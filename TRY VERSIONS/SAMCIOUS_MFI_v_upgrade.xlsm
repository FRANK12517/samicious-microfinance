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d.docs.live.net/136cdf6249d3033e/Desktop/SAMICIOUS MICROFINANCE/"/>
    </mc:Choice>
  </mc:AlternateContent>
  <xr:revisionPtr revIDLastSave="1" documentId="11_B1CC734066DA7692552C72FD10A0C52C3523C190" xr6:coauthVersionLast="47" xr6:coauthVersionMax="47" xr10:uidLastSave="{962CB982-1359-4046-A0E4-314D80C0DA35}"/>
  <bookViews>
    <workbookView xWindow="-120" yWindow="-120" windowWidth="29040" windowHeight="15720" tabRatio="500" firstSheet="2" activeTab="2" xr2:uid="{00000000-000D-0000-FFFF-FFFF00000000}"/>
  </bookViews>
  <sheets>
    <sheet name="MANAGER_DASHBOARD" sheetId="1" r:id="rId1"/>
    <sheet name="Daily_Balance_Control" sheetId="2" r:id="rId2"/>
    <sheet name="AGENT_1" sheetId="3" r:id="rId3"/>
    <sheet name="AGENT_2" sheetId="4" r:id="rId4"/>
    <sheet name="AGENT_3" sheetId="5" r:id="rId5"/>
    <sheet name="AGENT_4" sheetId="6" r:id="rId6"/>
    <sheet name="AGENT_5" sheetId="7" r:id="rId7"/>
    <sheet name="AGENT_6" sheetId="8" r:id="rId8"/>
    <sheet name="AGENT_7" sheetId="9" r:id="rId9"/>
    <sheet name="AGENT_8" sheetId="10" r:id="rId10"/>
    <sheet name="AGENT_9" sheetId="11" r:id="rId11"/>
    <sheet name="AGENT_10" sheetId="12" r:id="rId12"/>
    <sheet name="ARCHIVE" sheetId="13" r:id="rId13"/>
    <sheet name="SETTINGS" sheetId="14" state="hidden" r:id="rId14"/>
    <sheet name="AGENT_DATABASE" sheetId="15" state="hidden" r:id="rId15"/>
    <sheet name="Members" sheetId="16" r:id="rId16"/>
    <sheet name="Transactions" sheetId="17" r:id="rId17"/>
    <sheet name="Loans" sheetId="18" r:id="rId18"/>
    <sheet name="Pending_Loans" sheetId="19" r:id="rId19"/>
    <sheet name="Interest_Engine" sheetId="20" r:id="rId20"/>
    <sheet name="Int_Repayments" sheetId="21" r:id="rId21"/>
    <sheet name="Savings_Passbook" sheetId="22" r:id="rId22"/>
    <sheet name="Arrears_Tracker" sheetId="23" r:id="rId23"/>
    <sheet name="Loan_Aging" sheetId="24" r:id="rId24"/>
    <sheet name="Income_Expenses" sheetId="25" r:id="rId25"/>
    <sheet name="CashFlow_Summary" sheetId="26" r:id="rId26"/>
    <sheet name="Reports" sheetId="27" r:id="rId27"/>
    <sheet name="Member_Ledger" sheetId="28" r:id="rId28"/>
    <sheet name="Profit_Sharing" sheetId="29" r:id="rId29"/>
    <sheet name="Repayment_Log" sheetId="30" r:id="rId30"/>
    <sheet name="Local_Cache" sheetId="31" state="hidden" r:id="rId31"/>
    <sheet name="Config" sheetId="32" state="hidden" r:id="rId32"/>
    <sheet name="AdminSettings" sheetId="33" state="hidden" r:id="rId33"/>
    <sheet name="AuditLog" sheetId="34" r:id="rId34"/>
    <sheet name="HOW_TO_USE" sheetId="35" r:id="rId35"/>
  </sheets>
  <externalReferences>
    <externalReference r:id="rId36"/>
  </externalReferenc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32" l="1"/>
  <c r="B19" i="32"/>
  <c r="C9" i="32"/>
  <c r="C8" i="32"/>
  <c r="B8" i="32"/>
  <c r="C7" i="32"/>
  <c r="C6" i="32"/>
  <c r="B6" i="32"/>
  <c r="C5" i="32"/>
  <c r="B5" i="32"/>
  <c r="C4" i="32"/>
  <c r="B4" i="32"/>
  <c r="C3" i="32"/>
  <c r="B3" i="32"/>
  <c r="B7" i="32" s="1"/>
  <c r="I502" i="30"/>
  <c r="I501" i="30"/>
  <c r="I500" i="30"/>
  <c r="I499" i="30"/>
  <c r="I498" i="30"/>
  <c r="I497" i="30"/>
  <c r="I496" i="30"/>
  <c r="I495" i="30"/>
  <c r="I494" i="30"/>
  <c r="I493" i="30"/>
  <c r="I492" i="30"/>
  <c r="I491" i="30"/>
  <c r="I490" i="30"/>
  <c r="I489" i="30"/>
  <c r="I488" i="30"/>
  <c r="I487" i="30"/>
  <c r="I486" i="30"/>
  <c r="I485" i="30"/>
  <c r="I484" i="30"/>
  <c r="I483" i="30"/>
  <c r="I482" i="30"/>
  <c r="I481" i="30"/>
  <c r="I480" i="30"/>
  <c r="I479" i="30"/>
  <c r="I478" i="30"/>
  <c r="I477" i="30"/>
  <c r="I476" i="30"/>
  <c r="I475" i="30"/>
  <c r="I474" i="30"/>
  <c r="I473" i="30"/>
  <c r="I472" i="30"/>
  <c r="I471" i="30"/>
  <c r="I470" i="30"/>
  <c r="I469" i="30"/>
  <c r="I468" i="30"/>
  <c r="I467" i="30"/>
  <c r="I466" i="30"/>
  <c r="I465" i="30"/>
  <c r="I464" i="30"/>
  <c r="I463" i="30"/>
  <c r="I462" i="30"/>
  <c r="I461" i="30"/>
  <c r="I460" i="30"/>
  <c r="I459" i="30"/>
  <c r="I458" i="30"/>
  <c r="I457" i="30"/>
  <c r="I456" i="30"/>
  <c r="I455" i="30"/>
  <c r="I454" i="30"/>
  <c r="I453" i="30"/>
  <c r="I452" i="30"/>
  <c r="I451" i="30"/>
  <c r="I450" i="30"/>
  <c r="I449" i="30"/>
  <c r="I448" i="30"/>
  <c r="I447" i="30"/>
  <c r="I446" i="30"/>
  <c r="I445" i="30"/>
  <c r="I444" i="30"/>
  <c r="I443" i="30"/>
  <c r="I442" i="30"/>
  <c r="I441" i="30"/>
  <c r="I440" i="30"/>
  <c r="I439" i="30"/>
  <c r="I438" i="30"/>
  <c r="I437" i="30"/>
  <c r="I436" i="30"/>
  <c r="I435" i="30"/>
  <c r="I434" i="30"/>
  <c r="I433" i="30"/>
  <c r="I432" i="30"/>
  <c r="I431" i="30"/>
  <c r="I430" i="30"/>
  <c r="I429" i="30"/>
  <c r="I428" i="30"/>
  <c r="I427" i="30"/>
  <c r="I426" i="30"/>
  <c r="I425" i="30"/>
  <c r="I424" i="30"/>
  <c r="I423" i="30"/>
  <c r="I422" i="30"/>
  <c r="I421" i="30"/>
  <c r="I420" i="30"/>
  <c r="I419" i="30"/>
  <c r="I418" i="30"/>
  <c r="I417" i="30"/>
  <c r="I416" i="30"/>
  <c r="I415" i="30"/>
  <c r="I414" i="30"/>
  <c r="I413" i="30"/>
  <c r="I412" i="30"/>
  <c r="I411" i="30"/>
  <c r="I410" i="30"/>
  <c r="I409" i="30"/>
  <c r="I408" i="30"/>
  <c r="I407" i="30"/>
  <c r="I406" i="30"/>
  <c r="I405" i="30"/>
  <c r="I404" i="30"/>
  <c r="I403" i="30"/>
  <c r="I402" i="30"/>
  <c r="I401" i="30"/>
  <c r="I400" i="30"/>
  <c r="I399" i="30"/>
  <c r="I398" i="30"/>
  <c r="I397" i="30"/>
  <c r="I396" i="30"/>
  <c r="I395" i="30"/>
  <c r="I394" i="30"/>
  <c r="I393" i="30"/>
  <c r="I392" i="30"/>
  <c r="I391" i="30"/>
  <c r="I390" i="30"/>
  <c r="I389" i="30"/>
  <c r="I388" i="30"/>
  <c r="I387" i="30"/>
  <c r="I386" i="30"/>
  <c r="I385" i="30"/>
  <c r="I384" i="30"/>
  <c r="I383" i="30"/>
  <c r="I382" i="30"/>
  <c r="I381" i="30"/>
  <c r="I380" i="30"/>
  <c r="I379" i="30"/>
  <c r="I378" i="30"/>
  <c r="I377" i="30"/>
  <c r="I376" i="30"/>
  <c r="I375" i="30"/>
  <c r="I374" i="30"/>
  <c r="I373" i="30"/>
  <c r="I372" i="30"/>
  <c r="I371" i="30"/>
  <c r="I370" i="30"/>
  <c r="I369" i="30"/>
  <c r="I368" i="30"/>
  <c r="I367" i="30"/>
  <c r="I366" i="30"/>
  <c r="I365" i="30"/>
  <c r="I364" i="30"/>
  <c r="I363" i="30"/>
  <c r="I362" i="30"/>
  <c r="I361" i="30"/>
  <c r="I360" i="30"/>
  <c r="I359" i="30"/>
  <c r="I358" i="30"/>
  <c r="I357" i="30"/>
  <c r="I356" i="30"/>
  <c r="I355" i="30"/>
  <c r="I354" i="30"/>
  <c r="I353" i="30"/>
  <c r="I352" i="30"/>
  <c r="I351" i="30"/>
  <c r="I350" i="30"/>
  <c r="I349" i="30"/>
  <c r="I348" i="30"/>
  <c r="I347" i="30"/>
  <c r="I346" i="30"/>
  <c r="I345" i="30"/>
  <c r="I344" i="30"/>
  <c r="I343" i="30"/>
  <c r="I342" i="30"/>
  <c r="I341" i="30"/>
  <c r="I340" i="30"/>
  <c r="I339" i="30"/>
  <c r="I338" i="30"/>
  <c r="I337" i="30"/>
  <c r="I336" i="30"/>
  <c r="I335" i="30"/>
  <c r="I334" i="30"/>
  <c r="I333" i="30"/>
  <c r="I332" i="30"/>
  <c r="I331" i="30"/>
  <c r="I330" i="30"/>
  <c r="I329" i="30"/>
  <c r="I328" i="30"/>
  <c r="I327" i="30"/>
  <c r="I326" i="30"/>
  <c r="I325" i="30"/>
  <c r="I324" i="30"/>
  <c r="I323" i="30"/>
  <c r="I322" i="30"/>
  <c r="I321" i="30"/>
  <c r="I320" i="30"/>
  <c r="I319" i="30"/>
  <c r="I318" i="30"/>
  <c r="I317" i="30"/>
  <c r="I316" i="30"/>
  <c r="I315" i="30"/>
  <c r="I314" i="30"/>
  <c r="I313" i="30"/>
  <c r="I312" i="30"/>
  <c r="I311" i="30"/>
  <c r="I310" i="30"/>
  <c r="I309" i="30"/>
  <c r="I308" i="30"/>
  <c r="I307" i="30"/>
  <c r="I306" i="30"/>
  <c r="I305" i="30"/>
  <c r="I304" i="30"/>
  <c r="I303" i="30"/>
  <c r="I302" i="30"/>
  <c r="I301" i="30"/>
  <c r="I300" i="30"/>
  <c r="I299" i="30"/>
  <c r="I298" i="30"/>
  <c r="I297" i="30"/>
  <c r="I296" i="30"/>
  <c r="I295" i="30"/>
  <c r="I294" i="30"/>
  <c r="I293" i="30"/>
  <c r="I292" i="30"/>
  <c r="I291" i="30"/>
  <c r="I290" i="30"/>
  <c r="I289" i="30"/>
  <c r="I288" i="30"/>
  <c r="I287" i="30"/>
  <c r="I286" i="30"/>
  <c r="I285" i="30"/>
  <c r="I284" i="30"/>
  <c r="I283" i="30"/>
  <c r="I282" i="30"/>
  <c r="I281" i="30"/>
  <c r="I280" i="30"/>
  <c r="I279" i="30"/>
  <c r="I278" i="30"/>
  <c r="I277" i="30"/>
  <c r="I276" i="30"/>
  <c r="I275" i="30"/>
  <c r="I274" i="30"/>
  <c r="I273" i="30"/>
  <c r="I272" i="30"/>
  <c r="I271" i="30"/>
  <c r="I270" i="30"/>
  <c r="I269" i="30"/>
  <c r="I268" i="30"/>
  <c r="I267" i="30"/>
  <c r="I266" i="30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I250" i="30"/>
  <c r="I249" i="30"/>
  <c r="I248" i="30"/>
  <c r="I247" i="30"/>
  <c r="I246" i="30"/>
  <c r="I245" i="30"/>
  <c r="I244" i="30"/>
  <c r="I243" i="30"/>
  <c r="I242" i="30"/>
  <c r="I241" i="30"/>
  <c r="I240" i="30"/>
  <c r="I239" i="30"/>
  <c r="I238" i="30"/>
  <c r="I237" i="30"/>
  <c r="I236" i="30"/>
  <c r="I235" i="30"/>
  <c r="I234" i="30"/>
  <c r="I233" i="30"/>
  <c r="I232" i="30"/>
  <c r="I231" i="30"/>
  <c r="I230" i="30"/>
  <c r="I229" i="30"/>
  <c r="I228" i="30"/>
  <c r="I227" i="30"/>
  <c r="I226" i="30"/>
  <c r="I225" i="30"/>
  <c r="I224" i="30"/>
  <c r="I223" i="30"/>
  <c r="I222" i="30"/>
  <c r="I221" i="30"/>
  <c r="I220" i="30"/>
  <c r="I219" i="30"/>
  <c r="I218" i="30"/>
  <c r="I217" i="30"/>
  <c r="I216" i="30"/>
  <c r="I215" i="30"/>
  <c r="I214" i="30"/>
  <c r="I213" i="30"/>
  <c r="I212" i="30"/>
  <c r="I211" i="30"/>
  <c r="I210" i="30"/>
  <c r="I209" i="30"/>
  <c r="I208" i="30"/>
  <c r="I207" i="30"/>
  <c r="I206" i="30"/>
  <c r="I205" i="30"/>
  <c r="I204" i="30"/>
  <c r="I203" i="30"/>
  <c r="I202" i="30"/>
  <c r="I201" i="30"/>
  <c r="I200" i="30"/>
  <c r="I199" i="30"/>
  <c r="I198" i="30"/>
  <c r="I197" i="30"/>
  <c r="I196" i="30"/>
  <c r="I195" i="30"/>
  <c r="I194" i="30"/>
  <c r="I193" i="30"/>
  <c r="I192" i="30"/>
  <c r="I191" i="30"/>
  <c r="I190" i="30"/>
  <c r="I189" i="30"/>
  <c r="I188" i="30"/>
  <c r="I187" i="30"/>
  <c r="I186" i="30"/>
  <c r="I185" i="30"/>
  <c r="I184" i="30"/>
  <c r="I183" i="30"/>
  <c r="I182" i="30"/>
  <c r="I181" i="30"/>
  <c r="I180" i="30"/>
  <c r="I179" i="30"/>
  <c r="I178" i="30"/>
  <c r="I177" i="30"/>
  <c r="I176" i="30"/>
  <c r="I175" i="30"/>
  <c r="I174" i="30"/>
  <c r="I173" i="30"/>
  <c r="I172" i="30"/>
  <c r="I171" i="30"/>
  <c r="I170" i="30"/>
  <c r="I169" i="30"/>
  <c r="I168" i="30"/>
  <c r="I167" i="30"/>
  <c r="I166" i="30"/>
  <c r="I165" i="30"/>
  <c r="I164" i="30"/>
  <c r="I163" i="30"/>
  <c r="I162" i="30"/>
  <c r="I161" i="30"/>
  <c r="I160" i="30"/>
  <c r="I159" i="30"/>
  <c r="I158" i="30"/>
  <c r="I157" i="30"/>
  <c r="I156" i="30"/>
  <c r="I155" i="30"/>
  <c r="I154" i="30"/>
  <c r="I153" i="30"/>
  <c r="I152" i="30"/>
  <c r="I151" i="30"/>
  <c r="I150" i="30"/>
  <c r="I149" i="30"/>
  <c r="I148" i="30"/>
  <c r="I147" i="30"/>
  <c r="I146" i="30"/>
  <c r="I145" i="30"/>
  <c r="I144" i="30"/>
  <c r="I143" i="30"/>
  <c r="I142" i="30"/>
  <c r="I141" i="30"/>
  <c r="I140" i="30"/>
  <c r="I139" i="30"/>
  <c r="I138" i="30"/>
  <c r="I137" i="30"/>
  <c r="I136" i="30"/>
  <c r="I135" i="30"/>
  <c r="I134" i="30"/>
  <c r="I133" i="30"/>
  <c r="I132" i="30"/>
  <c r="I131" i="30"/>
  <c r="I130" i="30"/>
  <c r="I129" i="30"/>
  <c r="I128" i="30"/>
  <c r="I127" i="30"/>
  <c r="I126" i="30"/>
  <c r="I125" i="30"/>
  <c r="I124" i="30"/>
  <c r="I123" i="30"/>
  <c r="I122" i="30"/>
  <c r="I121" i="30"/>
  <c r="I120" i="30"/>
  <c r="I119" i="30"/>
  <c r="I118" i="30"/>
  <c r="I117" i="30"/>
  <c r="I116" i="30"/>
  <c r="I115" i="30"/>
  <c r="I114" i="30"/>
  <c r="I113" i="30"/>
  <c r="I112" i="30"/>
  <c r="I111" i="30"/>
  <c r="I110" i="30"/>
  <c r="I109" i="30"/>
  <c r="I108" i="30"/>
  <c r="I107" i="30"/>
  <c r="I106" i="30"/>
  <c r="I105" i="30"/>
  <c r="I104" i="30"/>
  <c r="I103" i="30"/>
  <c r="I102" i="30"/>
  <c r="I101" i="30"/>
  <c r="I100" i="30"/>
  <c r="I99" i="30"/>
  <c r="I98" i="30"/>
  <c r="I97" i="30"/>
  <c r="I96" i="30"/>
  <c r="I95" i="30"/>
  <c r="I94" i="30"/>
  <c r="I93" i="30"/>
  <c r="I92" i="30"/>
  <c r="I91" i="30"/>
  <c r="I90" i="30"/>
  <c r="I89" i="30"/>
  <c r="I88" i="30"/>
  <c r="I87" i="30"/>
  <c r="I86" i="30"/>
  <c r="I85" i="30"/>
  <c r="I84" i="30"/>
  <c r="I83" i="30"/>
  <c r="I82" i="30"/>
  <c r="I81" i="30"/>
  <c r="I80" i="30"/>
  <c r="I79" i="30"/>
  <c r="I78" i="30"/>
  <c r="I77" i="30"/>
  <c r="I76" i="30"/>
  <c r="I75" i="30"/>
  <c r="I74" i="30"/>
  <c r="I73" i="30"/>
  <c r="I72" i="30"/>
  <c r="I71" i="30"/>
  <c r="I70" i="30"/>
  <c r="I69" i="30"/>
  <c r="I68" i="30"/>
  <c r="I67" i="30"/>
  <c r="I66" i="30"/>
  <c r="I65" i="30"/>
  <c r="I64" i="30"/>
  <c r="I63" i="30"/>
  <c r="I62" i="30"/>
  <c r="I61" i="30"/>
  <c r="I60" i="30"/>
  <c r="I59" i="30"/>
  <c r="I58" i="30"/>
  <c r="I57" i="30"/>
  <c r="I56" i="30"/>
  <c r="I55" i="30"/>
  <c r="I54" i="30"/>
  <c r="I53" i="30"/>
  <c r="I52" i="30"/>
  <c r="I51" i="30"/>
  <c r="I50" i="30"/>
  <c r="I49" i="30"/>
  <c r="I48" i="30"/>
  <c r="I47" i="30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I32" i="30"/>
  <c r="I31" i="30"/>
  <c r="I30" i="30"/>
  <c r="I29" i="30"/>
  <c r="I28" i="30"/>
  <c r="I27" i="30"/>
  <c r="I26" i="30"/>
  <c r="I25" i="30"/>
  <c r="I24" i="30"/>
  <c r="I23" i="30"/>
  <c r="I22" i="30"/>
  <c r="I21" i="30"/>
  <c r="I20" i="30"/>
  <c r="I19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I4" i="30"/>
  <c r="I3" i="30"/>
  <c r="H102" i="29"/>
  <c r="F102" i="29"/>
  <c r="B102" i="29"/>
  <c r="A102" i="29"/>
  <c r="H101" i="29"/>
  <c r="F101" i="29"/>
  <c r="B101" i="29"/>
  <c r="A101" i="29"/>
  <c r="H100" i="29"/>
  <c r="F100" i="29"/>
  <c r="B100" i="29"/>
  <c r="A100" i="29"/>
  <c r="H99" i="29"/>
  <c r="F99" i="29"/>
  <c r="B99" i="29"/>
  <c r="A99" i="29"/>
  <c r="H98" i="29"/>
  <c r="F98" i="29"/>
  <c r="B98" i="29"/>
  <c r="A98" i="29"/>
  <c r="H97" i="29"/>
  <c r="F97" i="29"/>
  <c r="B97" i="29"/>
  <c r="A97" i="29"/>
  <c r="H96" i="29"/>
  <c r="F96" i="29"/>
  <c r="B96" i="29"/>
  <c r="A96" i="29"/>
  <c r="H95" i="29"/>
  <c r="F95" i="29"/>
  <c r="B95" i="29"/>
  <c r="A95" i="29"/>
  <c r="H94" i="29"/>
  <c r="F94" i="29"/>
  <c r="B94" i="29"/>
  <c r="A94" i="29"/>
  <c r="H93" i="29"/>
  <c r="F93" i="29"/>
  <c r="B93" i="29"/>
  <c r="A93" i="29"/>
  <c r="H92" i="29"/>
  <c r="F92" i="29"/>
  <c r="B92" i="29"/>
  <c r="A92" i="29"/>
  <c r="H91" i="29"/>
  <c r="F91" i="29"/>
  <c r="B91" i="29"/>
  <c r="A91" i="29"/>
  <c r="H90" i="29"/>
  <c r="F90" i="29"/>
  <c r="B90" i="29"/>
  <c r="A90" i="29"/>
  <c r="H89" i="29"/>
  <c r="F89" i="29"/>
  <c r="B89" i="29"/>
  <c r="A89" i="29"/>
  <c r="H88" i="29"/>
  <c r="F88" i="29"/>
  <c r="B88" i="29"/>
  <c r="A88" i="29"/>
  <c r="H87" i="29"/>
  <c r="F87" i="29"/>
  <c r="B87" i="29"/>
  <c r="A87" i="29"/>
  <c r="H86" i="29"/>
  <c r="F86" i="29"/>
  <c r="B86" i="29"/>
  <c r="A86" i="29"/>
  <c r="H85" i="29"/>
  <c r="F85" i="29"/>
  <c r="B85" i="29"/>
  <c r="A85" i="29"/>
  <c r="H84" i="29"/>
  <c r="F84" i="29"/>
  <c r="B84" i="29"/>
  <c r="A84" i="29"/>
  <c r="H83" i="29"/>
  <c r="F83" i="29"/>
  <c r="B83" i="29"/>
  <c r="A83" i="29"/>
  <c r="H82" i="29"/>
  <c r="F82" i="29"/>
  <c r="B82" i="29"/>
  <c r="A82" i="29"/>
  <c r="H81" i="29"/>
  <c r="F81" i="29"/>
  <c r="B81" i="29"/>
  <c r="A81" i="29"/>
  <c r="H80" i="29"/>
  <c r="F80" i="29"/>
  <c r="B80" i="29"/>
  <c r="A80" i="29"/>
  <c r="H79" i="29"/>
  <c r="F79" i="29"/>
  <c r="B79" i="29"/>
  <c r="A79" i="29"/>
  <c r="H78" i="29"/>
  <c r="F78" i="29"/>
  <c r="B78" i="29"/>
  <c r="A78" i="29"/>
  <c r="H77" i="29"/>
  <c r="F77" i="29"/>
  <c r="B77" i="29"/>
  <c r="A77" i="29"/>
  <c r="H76" i="29"/>
  <c r="F76" i="29"/>
  <c r="B76" i="29"/>
  <c r="A76" i="29"/>
  <c r="H75" i="29"/>
  <c r="F75" i="29"/>
  <c r="B75" i="29"/>
  <c r="A75" i="29"/>
  <c r="H74" i="29"/>
  <c r="F74" i="29"/>
  <c r="B74" i="29"/>
  <c r="A74" i="29"/>
  <c r="H73" i="29"/>
  <c r="F73" i="29"/>
  <c r="B73" i="29"/>
  <c r="A73" i="29"/>
  <c r="H72" i="29"/>
  <c r="F72" i="29"/>
  <c r="B72" i="29"/>
  <c r="A72" i="29"/>
  <c r="H71" i="29"/>
  <c r="F71" i="29"/>
  <c r="B71" i="29"/>
  <c r="A71" i="29"/>
  <c r="H70" i="29"/>
  <c r="F70" i="29"/>
  <c r="B70" i="29"/>
  <c r="A70" i="29"/>
  <c r="H69" i="29"/>
  <c r="F69" i="29"/>
  <c r="B69" i="29"/>
  <c r="A69" i="29"/>
  <c r="H68" i="29"/>
  <c r="F68" i="29"/>
  <c r="B68" i="29"/>
  <c r="A68" i="29"/>
  <c r="H67" i="29"/>
  <c r="F67" i="29"/>
  <c r="B67" i="29"/>
  <c r="A67" i="29"/>
  <c r="H66" i="29"/>
  <c r="F66" i="29"/>
  <c r="B66" i="29"/>
  <c r="A66" i="29"/>
  <c r="H65" i="29"/>
  <c r="F65" i="29"/>
  <c r="B65" i="29"/>
  <c r="A65" i="29"/>
  <c r="H64" i="29"/>
  <c r="F64" i="29"/>
  <c r="B64" i="29"/>
  <c r="A64" i="29"/>
  <c r="H63" i="29"/>
  <c r="F63" i="29"/>
  <c r="B63" i="29"/>
  <c r="A63" i="29"/>
  <c r="H62" i="29"/>
  <c r="F62" i="29"/>
  <c r="B62" i="29"/>
  <c r="A62" i="29"/>
  <c r="H61" i="29"/>
  <c r="F61" i="29"/>
  <c r="B61" i="29"/>
  <c r="A61" i="29"/>
  <c r="H60" i="29"/>
  <c r="F60" i="29"/>
  <c r="B60" i="29"/>
  <c r="A60" i="29"/>
  <c r="H59" i="29"/>
  <c r="F59" i="29"/>
  <c r="B59" i="29"/>
  <c r="A59" i="29"/>
  <c r="H58" i="29"/>
  <c r="F58" i="29"/>
  <c r="B58" i="29"/>
  <c r="A58" i="29"/>
  <c r="H57" i="29"/>
  <c r="F57" i="29"/>
  <c r="B57" i="29"/>
  <c r="A57" i="29"/>
  <c r="H56" i="29"/>
  <c r="F56" i="29"/>
  <c r="B56" i="29"/>
  <c r="A56" i="29"/>
  <c r="H55" i="29"/>
  <c r="F55" i="29"/>
  <c r="B55" i="29"/>
  <c r="A55" i="29"/>
  <c r="H54" i="29"/>
  <c r="F54" i="29"/>
  <c r="B54" i="29"/>
  <c r="A54" i="29"/>
  <c r="H53" i="29"/>
  <c r="F53" i="29"/>
  <c r="B53" i="29"/>
  <c r="A53" i="29"/>
  <c r="H52" i="29"/>
  <c r="F52" i="29"/>
  <c r="B52" i="29"/>
  <c r="A52" i="29"/>
  <c r="H51" i="29"/>
  <c r="F51" i="29"/>
  <c r="B51" i="29"/>
  <c r="A51" i="29"/>
  <c r="H50" i="29"/>
  <c r="F50" i="29"/>
  <c r="B50" i="29"/>
  <c r="A50" i="29"/>
  <c r="H49" i="29"/>
  <c r="F49" i="29"/>
  <c r="B49" i="29"/>
  <c r="A49" i="29"/>
  <c r="H48" i="29"/>
  <c r="F48" i="29"/>
  <c r="B48" i="29"/>
  <c r="A48" i="29"/>
  <c r="H47" i="29"/>
  <c r="F47" i="29"/>
  <c r="B47" i="29"/>
  <c r="A47" i="29"/>
  <c r="H46" i="29"/>
  <c r="F46" i="29"/>
  <c r="B46" i="29"/>
  <c r="A46" i="29"/>
  <c r="H45" i="29"/>
  <c r="F45" i="29"/>
  <c r="B45" i="29"/>
  <c r="A45" i="29"/>
  <c r="H44" i="29"/>
  <c r="F44" i="29"/>
  <c r="B44" i="29"/>
  <c r="A44" i="29"/>
  <c r="H43" i="29"/>
  <c r="F43" i="29"/>
  <c r="B43" i="29"/>
  <c r="A43" i="29"/>
  <c r="H42" i="29"/>
  <c r="F42" i="29"/>
  <c r="B42" i="29"/>
  <c r="A42" i="29"/>
  <c r="H41" i="29"/>
  <c r="F41" i="29"/>
  <c r="B41" i="29"/>
  <c r="A41" i="29"/>
  <c r="H40" i="29"/>
  <c r="F40" i="29"/>
  <c r="B40" i="29"/>
  <c r="A40" i="29"/>
  <c r="H39" i="29"/>
  <c r="F39" i="29"/>
  <c r="B39" i="29"/>
  <c r="A39" i="29"/>
  <c r="H38" i="29"/>
  <c r="F38" i="29"/>
  <c r="B38" i="29"/>
  <c r="A38" i="29"/>
  <c r="H37" i="29"/>
  <c r="F37" i="29"/>
  <c r="B37" i="29"/>
  <c r="A37" i="29"/>
  <c r="H36" i="29"/>
  <c r="F36" i="29"/>
  <c r="B36" i="29"/>
  <c r="A36" i="29"/>
  <c r="H35" i="29"/>
  <c r="F35" i="29"/>
  <c r="B35" i="29"/>
  <c r="A35" i="29"/>
  <c r="H34" i="29"/>
  <c r="F34" i="29"/>
  <c r="B34" i="29"/>
  <c r="A34" i="29"/>
  <c r="H33" i="29"/>
  <c r="F33" i="29"/>
  <c r="B33" i="29"/>
  <c r="A33" i="29"/>
  <c r="H32" i="29"/>
  <c r="F32" i="29"/>
  <c r="B32" i="29"/>
  <c r="A32" i="29"/>
  <c r="H31" i="29"/>
  <c r="F31" i="29"/>
  <c r="B31" i="29"/>
  <c r="A31" i="29"/>
  <c r="H30" i="29"/>
  <c r="F30" i="29"/>
  <c r="B30" i="29"/>
  <c r="A30" i="29"/>
  <c r="H29" i="29"/>
  <c r="F29" i="29"/>
  <c r="B29" i="29"/>
  <c r="A29" i="29"/>
  <c r="H28" i="29"/>
  <c r="F28" i="29"/>
  <c r="B28" i="29"/>
  <c r="A28" i="29"/>
  <c r="H27" i="29"/>
  <c r="F27" i="29"/>
  <c r="B27" i="29"/>
  <c r="A27" i="29"/>
  <c r="H26" i="29"/>
  <c r="F26" i="29"/>
  <c r="B26" i="29"/>
  <c r="A26" i="29"/>
  <c r="H25" i="29"/>
  <c r="F25" i="29"/>
  <c r="B25" i="29"/>
  <c r="A25" i="29"/>
  <c r="H24" i="29"/>
  <c r="F24" i="29"/>
  <c r="B24" i="29"/>
  <c r="A24" i="29"/>
  <c r="H23" i="29"/>
  <c r="F23" i="29"/>
  <c r="B23" i="29"/>
  <c r="A23" i="29"/>
  <c r="H22" i="29"/>
  <c r="F22" i="29"/>
  <c r="B22" i="29"/>
  <c r="A22" i="29"/>
  <c r="H21" i="29"/>
  <c r="F21" i="29"/>
  <c r="B21" i="29"/>
  <c r="A21" i="29"/>
  <c r="H20" i="29"/>
  <c r="F20" i="29"/>
  <c r="B20" i="29"/>
  <c r="A20" i="29"/>
  <c r="H19" i="29"/>
  <c r="F19" i="29"/>
  <c r="B19" i="29"/>
  <c r="A19" i="29"/>
  <c r="H18" i="29"/>
  <c r="F18" i="29"/>
  <c r="B18" i="29"/>
  <c r="A18" i="29"/>
  <c r="H17" i="29"/>
  <c r="F17" i="29"/>
  <c r="B17" i="29"/>
  <c r="A17" i="29"/>
  <c r="H16" i="29"/>
  <c r="F16" i="29"/>
  <c r="B16" i="29"/>
  <c r="A16" i="29"/>
  <c r="H15" i="29"/>
  <c r="F15" i="29"/>
  <c r="B15" i="29"/>
  <c r="A15" i="29"/>
  <c r="H14" i="29"/>
  <c r="F14" i="29"/>
  <c r="B14" i="29"/>
  <c r="A14" i="29"/>
  <c r="H13" i="29"/>
  <c r="F13" i="29"/>
  <c r="B13" i="29"/>
  <c r="A13" i="29"/>
  <c r="H12" i="29"/>
  <c r="F12" i="29"/>
  <c r="B12" i="29"/>
  <c r="A12" i="29"/>
  <c r="H11" i="29"/>
  <c r="F11" i="29"/>
  <c r="B11" i="29"/>
  <c r="A11" i="29"/>
  <c r="H10" i="29"/>
  <c r="F10" i="29"/>
  <c r="B10" i="29"/>
  <c r="A10" i="29"/>
  <c r="H9" i="29"/>
  <c r="F9" i="29"/>
  <c r="B9" i="29"/>
  <c r="A9" i="29"/>
  <c r="H8" i="29"/>
  <c r="F8" i="29"/>
  <c r="B8" i="29"/>
  <c r="A8" i="29"/>
  <c r="H7" i="29"/>
  <c r="F7" i="29"/>
  <c r="B7" i="29"/>
  <c r="A7" i="29"/>
  <c r="H6" i="29"/>
  <c r="F6" i="29"/>
  <c r="B6" i="29"/>
  <c r="A6" i="29"/>
  <c r="H5" i="29"/>
  <c r="F5" i="29"/>
  <c r="B5" i="29"/>
  <c r="A5" i="29"/>
  <c r="H4" i="29"/>
  <c r="F4" i="29"/>
  <c r="B4" i="29"/>
  <c r="A4" i="29"/>
  <c r="H3" i="29"/>
  <c r="F3" i="29"/>
  <c r="B3" i="29"/>
  <c r="A3" i="29"/>
  <c r="G102" i="28"/>
  <c r="D102" i="28"/>
  <c r="C102" i="28"/>
  <c r="B102" i="28"/>
  <c r="A102" i="28"/>
  <c r="H101" i="28"/>
  <c r="D101" i="28"/>
  <c r="B101" i="28"/>
  <c r="A101" i="28"/>
  <c r="H100" i="28"/>
  <c r="G100" i="28"/>
  <c r="D100" i="28"/>
  <c r="B100" i="28"/>
  <c r="A100" i="28"/>
  <c r="H99" i="28"/>
  <c r="G99" i="28"/>
  <c r="E99" i="28"/>
  <c r="D99" i="28"/>
  <c r="C99" i="28"/>
  <c r="B99" i="28"/>
  <c r="A99" i="28"/>
  <c r="D98" i="28"/>
  <c r="B98" i="28"/>
  <c r="A98" i="28"/>
  <c r="D97" i="28"/>
  <c r="B97" i="28"/>
  <c r="A97" i="28"/>
  <c r="H96" i="28"/>
  <c r="G96" i="28"/>
  <c r="D96" i="28"/>
  <c r="C96" i="28"/>
  <c r="E96" i="28" s="1"/>
  <c r="B96" i="28"/>
  <c r="A96" i="28"/>
  <c r="G95" i="28"/>
  <c r="D95" i="28"/>
  <c r="B95" i="28"/>
  <c r="A95" i="28"/>
  <c r="G94" i="28"/>
  <c r="D94" i="28"/>
  <c r="C94" i="28"/>
  <c r="B94" i="28"/>
  <c r="A94" i="28"/>
  <c r="H93" i="28"/>
  <c r="D93" i="28"/>
  <c r="B93" i="28"/>
  <c r="A93" i="28"/>
  <c r="H92" i="28"/>
  <c r="G92" i="28"/>
  <c r="D92" i="28"/>
  <c r="E92" i="28" s="1"/>
  <c r="C92" i="28"/>
  <c r="B92" i="28"/>
  <c r="A92" i="28"/>
  <c r="H91" i="28"/>
  <c r="G91" i="28"/>
  <c r="D91" i="28"/>
  <c r="E91" i="28" s="1"/>
  <c r="C91" i="28"/>
  <c r="B91" i="28"/>
  <c r="A91" i="28"/>
  <c r="H90" i="28"/>
  <c r="G90" i="28"/>
  <c r="I90" i="28" s="1"/>
  <c r="D90" i="28"/>
  <c r="B90" i="28"/>
  <c r="A90" i="28"/>
  <c r="D89" i="28"/>
  <c r="C89" i="28"/>
  <c r="E89" i="28" s="1"/>
  <c r="B89" i="28"/>
  <c r="A89" i="28"/>
  <c r="H88" i="28"/>
  <c r="G88" i="28"/>
  <c r="D88" i="28"/>
  <c r="C88" i="28"/>
  <c r="B88" i="28"/>
  <c r="A88" i="28"/>
  <c r="G87" i="28"/>
  <c r="D87" i="28"/>
  <c r="B87" i="28"/>
  <c r="A87" i="28"/>
  <c r="G86" i="28"/>
  <c r="D86" i="28"/>
  <c r="C86" i="28"/>
  <c r="B86" i="28"/>
  <c r="A86" i="28"/>
  <c r="H85" i="28"/>
  <c r="D85" i="28"/>
  <c r="B85" i="28"/>
  <c r="A85" i="28"/>
  <c r="D84" i="28"/>
  <c r="C84" i="28"/>
  <c r="B84" i="28"/>
  <c r="A84" i="28"/>
  <c r="H83" i="28"/>
  <c r="G83" i="28"/>
  <c r="D83" i="28"/>
  <c r="E83" i="28" s="1"/>
  <c r="C83" i="28"/>
  <c r="B83" i="28"/>
  <c r="A83" i="28"/>
  <c r="D82" i="28"/>
  <c r="B82" i="28"/>
  <c r="A82" i="28"/>
  <c r="D81" i="28"/>
  <c r="C81" i="28"/>
  <c r="B81" i="28"/>
  <c r="A81" i="28"/>
  <c r="D80" i="28"/>
  <c r="C80" i="28"/>
  <c r="B80" i="28"/>
  <c r="A80" i="28"/>
  <c r="D79" i="28"/>
  <c r="B79" i="28"/>
  <c r="A79" i="28"/>
  <c r="D78" i="28"/>
  <c r="C78" i="28"/>
  <c r="E78" i="28" s="1"/>
  <c r="B78" i="28"/>
  <c r="A78" i="28"/>
  <c r="G77" i="28"/>
  <c r="D77" i="28"/>
  <c r="B77" i="28"/>
  <c r="A77" i="28"/>
  <c r="D76" i="28"/>
  <c r="B76" i="28"/>
  <c r="A76" i="28"/>
  <c r="H75" i="28"/>
  <c r="G75" i="28"/>
  <c r="E75" i="28"/>
  <c r="D75" i="28"/>
  <c r="C75" i="28"/>
  <c r="B75" i="28"/>
  <c r="A75" i="28"/>
  <c r="H74" i="28"/>
  <c r="G74" i="28"/>
  <c r="E74" i="28"/>
  <c r="D74" i="28"/>
  <c r="C74" i="28"/>
  <c r="B74" i="28"/>
  <c r="A74" i="28"/>
  <c r="D73" i="28"/>
  <c r="B73" i="28"/>
  <c r="A73" i="28"/>
  <c r="D72" i="28"/>
  <c r="B72" i="28"/>
  <c r="A72" i="28"/>
  <c r="H71" i="28"/>
  <c r="G71" i="28"/>
  <c r="D71" i="28"/>
  <c r="B71" i="28"/>
  <c r="A71" i="28"/>
  <c r="G70" i="28"/>
  <c r="D70" i="28"/>
  <c r="B70" i="28"/>
  <c r="A70" i="28"/>
  <c r="H69" i="28"/>
  <c r="D69" i="28"/>
  <c r="B69" i="28"/>
  <c r="A69" i="28"/>
  <c r="D68" i="28"/>
  <c r="C68" i="28"/>
  <c r="B68" i="28"/>
  <c r="A68" i="28"/>
  <c r="H67" i="28"/>
  <c r="G67" i="28"/>
  <c r="D67" i="28"/>
  <c r="C67" i="28"/>
  <c r="E67" i="28" s="1"/>
  <c r="B67" i="28"/>
  <c r="A67" i="28"/>
  <c r="I67" i="28" s="1"/>
  <c r="H66" i="28"/>
  <c r="G66" i="28"/>
  <c r="E66" i="28"/>
  <c r="D66" i="28"/>
  <c r="C66" i="28"/>
  <c r="B66" i="28"/>
  <c r="A66" i="28"/>
  <c r="D65" i="28"/>
  <c r="B65" i="28"/>
  <c r="A65" i="28"/>
  <c r="D64" i="28"/>
  <c r="C64" i="28"/>
  <c r="B64" i="28"/>
  <c r="A64" i="28"/>
  <c r="D63" i="28"/>
  <c r="B63" i="28"/>
  <c r="A63" i="28"/>
  <c r="D62" i="28"/>
  <c r="B62" i="28"/>
  <c r="A62" i="28"/>
  <c r="G61" i="28"/>
  <c r="D61" i="28"/>
  <c r="B61" i="28"/>
  <c r="A61" i="28"/>
  <c r="I60" i="28"/>
  <c r="H60" i="28"/>
  <c r="G60" i="28"/>
  <c r="D60" i="28"/>
  <c r="C60" i="28"/>
  <c r="B60" i="28"/>
  <c r="A60" i="28"/>
  <c r="H59" i="28"/>
  <c r="G59" i="28"/>
  <c r="E59" i="28"/>
  <c r="D59" i="28"/>
  <c r="C59" i="28"/>
  <c r="B59" i="28"/>
  <c r="A59" i="28"/>
  <c r="H58" i="28"/>
  <c r="G58" i="28"/>
  <c r="I58" i="28" s="1"/>
  <c r="D58" i="28"/>
  <c r="C58" i="28"/>
  <c r="B58" i="28"/>
  <c r="A58" i="28"/>
  <c r="D57" i="28"/>
  <c r="C57" i="28"/>
  <c r="B57" i="28"/>
  <c r="A57" i="28"/>
  <c r="G56" i="28"/>
  <c r="E56" i="28"/>
  <c r="D56" i="28"/>
  <c r="C56" i="28"/>
  <c r="B56" i="28"/>
  <c r="A56" i="28"/>
  <c r="H55" i="28"/>
  <c r="G55" i="28"/>
  <c r="E55" i="28"/>
  <c r="D55" i="28"/>
  <c r="C55" i="28"/>
  <c r="B55" i="28"/>
  <c r="A55" i="28"/>
  <c r="H54" i="28"/>
  <c r="D54" i="28"/>
  <c r="C54" i="28"/>
  <c r="B54" i="28"/>
  <c r="A54" i="28"/>
  <c r="D53" i="28"/>
  <c r="B53" i="28"/>
  <c r="A53" i="28"/>
  <c r="H52" i="28"/>
  <c r="G52" i="28"/>
  <c r="E52" i="28"/>
  <c r="D52" i="28"/>
  <c r="C52" i="28"/>
  <c r="B52" i="28"/>
  <c r="A52" i="28"/>
  <c r="D51" i="28"/>
  <c r="B51" i="28"/>
  <c r="A51" i="28"/>
  <c r="D50" i="28"/>
  <c r="B50" i="28"/>
  <c r="A50" i="28"/>
  <c r="D49" i="28"/>
  <c r="B49" i="28"/>
  <c r="A49" i="28"/>
  <c r="G48" i="28"/>
  <c r="D48" i="28"/>
  <c r="E48" i="28" s="1"/>
  <c r="C48" i="28"/>
  <c r="B48" i="28"/>
  <c r="A48" i="28"/>
  <c r="H47" i="28"/>
  <c r="G47" i="28"/>
  <c r="D47" i="28"/>
  <c r="E47" i="28" s="1"/>
  <c r="C47" i="28"/>
  <c r="B47" i="28"/>
  <c r="A47" i="28"/>
  <c r="I46" i="28"/>
  <c r="H46" i="28"/>
  <c r="G46" i="28"/>
  <c r="D46" i="28"/>
  <c r="C46" i="28"/>
  <c r="B46" i="28"/>
  <c r="A46" i="28"/>
  <c r="D45" i="28"/>
  <c r="E45" i="28" s="1"/>
  <c r="C45" i="28"/>
  <c r="B45" i="28"/>
  <c r="A45" i="28"/>
  <c r="H44" i="28"/>
  <c r="G44" i="28"/>
  <c r="D44" i="28"/>
  <c r="E44" i="28" s="1"/>
  <c r="C44" i="28"/>
  <c r="B44" i="28"/>
  <c r="A44" i="28"/>
  <c r="H43" i="28"/>
  <c r="I43" i="28" s="1"/>
  <c r="G43" i="28"/>
  <c r="D43" i="28"/>
  <c r="B43" i="28"/>
  <c r="A43" i="28"/>
  <c r="G42" i="28"/>
  <c r="D42" i="28"/>
  <c r="C42" i="28"/>
  <c r="B42" i="28"/>
  <c r="A42" i="28"/>
  <c r="D41" i="28"/>
  <c r="B41" i="28"/>
  <c r="A41" i="28"/>
  <c r="G40" i="28"/>
  <c r="D40" i="28"/>
  <c r="C40" i="28"/>
  <c r="E40" i="28" s="1"/>
  <c r="B40" i="28"/>
  <c r="A40" i="28"/>
  <c r="H39" i="28"/>
  <c r="G39" i="28"/>
  <c r="D39" i="28"/>
  <c r="E39" i="28" s="1"/>
  <c r="C39" i="28"/>
  <c r="B39" i="28"/>
  <c r="A39" i="28"/>
  <c r="H38" i="28"/>
  <c r="G38" i="28"/>
  <c r="D38" i="28"/>
  <c r="C38" i="28"/>
  <c r="B38" i="28"/>
  <c r="A38" i="28"/>
  <c r="I38" i="28" s="1"/>
  <c r="D37" i="28"/>
  <c r="C37" i="28"/>
  <c r="B37" i="28"/>
  <c r="A37" i="28"/>
  <c r="H36" i="28"/>
  <c r="G36" i="28"/>
  <c r="D36" i="28"/>
  <c r="C36" i="28"/>
  <c r="E36" i="28" s="1"/>
  <c r="B36" i="28"/>
  <c r="A36" i="28"/>
  <c r="D35" i="28"/>
  <c r="B35" i="28"/>
  <c r="A35" i="28"/>
  <c r="D34" i="28"/>
  <c r="C34" i="28"/>
  <c r="B34" i="28"/>
  <c r="A34" i="28"/>
  <c r="D33" i="28"/>
  <c r="B33" i="28"/>
  <c r="A33" i="28"/>
  <c r="G32" i="28"/>
  <c r="D32" i="28"/>
  <c r="E32" i="28" s="1"/>
  <c r="C32" i="28"/>
  <c r="B32" i="28"/>
  <c r="A32" i="28"/>
  <c r="H31" i="28"/>
  <c r="G31" i="28"/>
  <c r="D31" i="28"/>
  <c r="E31" i="28" s="1"/>
  <c r="C31" i="28"/>
  <c r="B31" i="28"/>
  <c r="A31" i="28"/>
  <c r="D30" i="28"/>
  <c r="B30" i="28"/>
  <c r="A30" i="28"/>
  <c r="D29" i="28"/>
  <c r="B29" i="28"/>
  <c r="A29" i="28"/>
  <c r="H28" i="28"/>
  <c r="G28" i="28"/>
  <c r="D28" i="28"/>
  <c r="E28" i="28" s="1"/>
  <c r="C28" i="28"/>
  <c r="B28" i="28"/>
  <c r="A28" i="28"/>
  <c r="D27" i="28"/>
  <c r="B27" i="28"/>
  <c r="A27" i="28"/>
  <c r="D26" i="28"/>
  <c r="B26" i="28"/>
  <c r="A26" i="28"/>
  <c r="H25" i="28"/>
  <c r="G25" i="28"/>
  <c r="E25" i="28"/>
  <c r="D25" i="28"/>
  <c r="C25" i="28"/>
  <c r="B25" i="28"/>
  <c r="A25" i="28"/>
  <c r="I25" i="28" s="1"/>
  <c r="D24" i="28"/>
  <c r="B24" i="28"/>
  <c r="A24" i="28"/>
  <c r="D23" i="28"/>
  <c r="B23" i="28"/>
  <c r="A23" i="28"/>
  <c r="H22" i="28"/>
  <c r="G22" i="28"/>
  <c r="E22" i="28"/>
  <c r="D22" i="28"/>
  <c r="C22" i="28"/>
  <c r="B22" i="28"/>
  <c r="A22" i="28"/>
  <c r="H21" i="28"/>
  <c r="D21" i="28"/>
  <c r="C21" i="28"/>
  <c r="B21" i="28"/>
  <c r="A21" i="28"/>
  <c r="D20" i="28"/>
  <c r="C20" i="28"/>
  <c r="E20" i="28" s="1"/>
  <c r="B20" i="28"/>
  <c r="A20" i="28"/>
  <c r="G19" i="28"/>
  <c r="D19" i="28"/>
  <c r="B19" i="28"/>
  <c r="A19" i="28"/>
  <c r="H19" i="28" s="1"/>
  <c r="I19" i="28" s="1"/>
  <c r="D18" i="28"/>
  <c r="C18" i="28"/>
  <c r="B18" i="28"/>
  <c r="A18" i="28"/>
  <c r="H17" i="28"/>
  <c r="G17" i="28"/>
  <c r="D17" i="28"/>
  <c r="C17" i="28"/>
  <c r="E17" i="28" s="1"/>
  <c r="B17" i="28"/>
  <c r="A17" i="28"/>
  <c r="I17" i="28" s="1"/>
  <c r="D16" i="28"/>
  <c r="B16" i="28"/>
  <c r="A16" i="28"/>
  <c r="D15" i="28"/>
  <c r="C15" i="28"/>
  <c r="B15" i="28"/>
  <c r="A15" i="28"/>
  <c r="H14" i="28"/>
  <c r="G14" i="28"/>
  <c r="D14" i="28"/>
  <c r="E14" i="28" s="1"/>
  <c r="C14" i="28"/>
  <c r="B14" i="28"/>
  <c r="A14" i="28"/>
  <c r="H13" i="28"/>
  <c r="G13" i="28"/>
  <c r="D13" i="28"/>
  <c r="C13" i="28"/>
  <c r="B13" i="28"/>
  <c r="A13" i="28"/>
  <c r="I13" i="28" s="1"/>
  <c r="D12" i="28"/>
  <c r="E12" i="28" s="1"/>
  <c r="C12" i="28"/>
  <c r="B12" i="28"/>
  <c r="A12" i="28"/>
  <c r="G11" i="28"/>
  <c r="D11" i="28"/>
  <c r="B11" i="28"/>
  <c r="A11" i="28"/>
  <c r="H11" i="28" s="1"/>
  <c r="I11" i="28" s="1"/>
  <c r="H10" i="28"/>
  <c r="D10" i="28"/>
  <c r="C10" i="28"/>
  <c r="B10" i="28"/>
  <c r="A10" i="28"/>
  <c r="H9" i="28"/>
  <c r="G9" i="28"/>
  <c r="E9" i="28"/>
  <c r="D9" i="28"/>
  <c r="C9" i="28"/>
  <c r="B9" i="28"/>
  <c r="A9" i="28"/>
  <c r="I9" i="28" s="1"/>
  <c r="H8" i="28"/>
  <c r="G8" i="28"/>
  <c r="D8" i="28"/>
  <c r="B8" i="28"/>
  <c r="A8" i="28"/>
  <c r="E7" i="28"/>
  <c r="D7" i="28"/>
  <c r="C7" i="28"/>
  <c r="B7" i="28"/>
  <c r="A7" i="28"/>
  <c r="H6" i="28"/>
  <c r="G6" i="28"/>
  <c r="E6" i="28"/>
  <c r="D6" i="28"/>
  <c r="C6" i="28"/>
  <c r="B6" i="28"/>
  <c r="A6" i="28"/>
  <c r="H5" i="28"/>
  <c r="I5" i="28" s="1"/>
  <c r="G5" i="28"/>
  <c r="D5" i="28"/>
  <c r="C5" i="28"/>
  <c r="B5" i="28"/>
  <c r="A5" i="28"/>
  <c r="D4" i="28"/>
  <c r="E4" i="28" s="1"/>
  <c r="C4" i="28"/>
  <c r="B4" i="28"/>
  <c r="A4" i="28"/>
  <c r="H3" i="28"/>
  <c r="G3" i="28"/>
  <c r="I3" i="28" s="1"/>
  <c r="D3" i="28"/>
  <c r="B3" i="28"/>
  <c r="A3" i="28"/>
  <c r="H16" i="27"/>
  <c r="H15" i="27"/>
  <c r="H14" i="27"/>
  <c r="H13" i="27"/>
  <c r="G13" i="27"/>
  <c r="B13" i="27"/>
  <c r="H12" i="27"/>
  <c r="H11" i="27"/>
  <c r="H10" i="27"/>
  <c r="E10" i="27"/>
  <c r="B10" i="27"/>
  <c r="H9" i="27"/>
  <c r="C9" i="27"/>
  <c r="H8" i="27"/>
  <c r="C8" i="27"/>
  <c r="H7" i="27"/>
  <c r="C7" i="27"/>
  <c r="B7" i="27"/>
  <c r="H6" i="27"/>
  <c r="F6" i="27"/>
  <c r="E6" i="27"/>
  <c r="D6" i="27"/>
  <c r="H5" i="27"/>
  <c r="G5" i="27"/>
  <c r="F5" i="27"/>
  <c r="E5" i="27"/>
  <c r="D5" i="27"/>
  <c r="C5" i="27"/>
  <c r="B5" i="27"/>
  <c r="E2" i="27"/>
  <c r="B2" i="27"/>
  <c r="E14" i="27" s="1"/>
  <c r="N10" i="26"/>
  <c r="M9" i="26"/>
  <c r="L9" i="26"/>
  <c r="K9" i="26"/>
  <c r="J9" i="26"/>
  <c r="I9" i="26"/>
  <c r="H9" i="26"/>
  <c r="G9" i="26"/>
  <c r="F9" i="26"/>
  <c r="E9" i="26"/>
  <c r="D9" i="26"/>
  <c r="C9" i="26"/>
  <c r="B9" i="26"/>
  <c r="M8" i="26"/>
  <c r="L8" i="26"/>
  <c r="K8" i="26"/>
  <c r="J8" i="26"/>
  <c r="I8" i="26"/>
  <c r="H8" i="26"/>
  <c r="G8" i="26"/>
  <c r="F8" i="26"/>
  <c r="E8" i="26"/>
  <c r="D8" i="26"/>
  <c r="O8" i="26" s="1"/>
  <c r="C8" i="26"/>
  <c r="B8" i="26"/>
  <c r="M7" i="26"/>
  <c r="L7" i="26"/>
  <c r="K7" i="26"/>
  <c r="J7" i="26"/>
  <c r="I7" i="26"/>
  <c r="H7" i="26"/>
  <c r="G7" i="26"/>
  <c r="F7" i="26"/>
  <c r="E7" i="26"/>
  <c r="D7" i="26"/>
  <c r="C7" i="26"/>
  <c r="B7" i="26"/>
  <c r="M5" i="26"/>
  <c r="L5" i="26"/>
  <c r="K5" i="26"/>
  <c r="J5" i="26"/>
  <c r="I5" i="26"/>
  <c r="H5" i="26"/>
  <c r="G5" i="26"/>
  <c r="F5" i="26"/>
  <c r="E5" i="26"/>
  <c r="D5" i="26"/>
  <c r="C5" i="26"/>
  <c r="B5" i="26"/>
  <c r="M4" i="26"/>
  <c r="L4" i="26"/>
  <c r="K4" i="26"/>
  <c r="J4" i="26"/>
  <c r="I4" i="26"/>
  <c r="H4" i="26"/>
  <c r="G4" i="26"/>
  <c r="F4" i="26"/>
  <c r="E4" i="26"/>
  <c r="D4" i="26"/>
  <c r="C4" i="26"/>
  <c r="B4" i="26"/>
  <c r="M3" i="26"/>
  <c r="L3" i="26"/>
  <c r="K3" i="26"/>
  <c r="J3" i="26"/>
  <c r="I3" i="26"/>
  <c r="H3" i="26"/>
  <c r="G3" i="26"/>
  <c r="F3" i="26"/>
  <c r="E3" i="26"/>
  <c r="D3" i="26"/>
  <c r="C3" i="26"/>
  <c r="B3" i="26"/>
  <c r="E15" i="25"/>
  <c r="E11" i="25"/>
  <c r="E10" i="25"/>
  <c r="E9" i="25"/>
  <c r="E6" i="25"/>
  <c r="E5" i="25"/>
  <c r="E4" i="25"/>
  <c r="E3" i="25"/>
  <c r="E13" i="25" s="1"/>
  <c r="E17" i="25" s="1"/>
  <c r="J103" i="24"/>
  <c r="B103" i="24"/>
  <c r="A103" i="24"/>
  <c r="A102" i="24"/>
  <c r="J102" i="24" s="1"/>
  <c r="C101" i="24"/>
  <c r="A100" i="24"/>
  <c r="J100" i="24" s="1"/>
  <c r="D99" i="24"/>
  <c r="A99" i="24"/>
  <c r="J99" i="24" s="1"/>
  <c r="B98" i="24"/>
  <c r="D97" i="24"/>
  <c r="J95" i="24"/>
  <c r="C94" i="24"/>
  <c r="B94" i="24"/>
  <c r="D93" i="24"/>
  <c r="C93" i="24"/>
  <c r="A93" i="24"/>
  <c r="J93" i="24" s="1"/>
  <c r="A92" i="24"/>
  <c r="J92" i="24" s="1"/>
  <c r="A91" i="24"/>
  <c r="J91" i="24" s="1"/>
  <c r="B90" i="24"/>
  <c r="A90" i="24"/>
  <c r="J90" i="24" s="1"/>
  <c r="D89" i="24"/>
  <c r="B87" i="24"/>
  <c r="A86" i="24"/>
  <c r="J86" i="24" s="1"/>
  <c r="D85" i="24"/>
  <c r="A85" i="24"/>
  <c r="J85" i="24" s="1"/>
  <c r="J84" i="24"/>
  <c r="A84" i="24"/>
  <c r="J83" i="24"/>
  <c r="A83" i="24"/>
  <c r="C82" i="24"/>
  <c r="B82" i="24"/>
  <c r="D81" i="24"/>
  <c r="A81" i="24"/>
  <c r="J81" i="24" s="1"/>
  <c r="A80" i="24"/>
  <c r="J80" i="24" s="1"/>
  <c r="B79" i="24"/>
  <c r="A79" i="24"/>
  <c r="J79" i="24" s="1"/>
  <c r="B76" i="24"/>
  <c r="D75" i="24"/>
  <c r="A75" i="24"/>
  <c r="J75" i="24" s="1"/>
  <c r="D74" i="24"/>
  <c r="A74" i="24"/>
  <c r="J74" i="24" s="1"/>
  <c r="J71" i="24"/>
  <c r="D71" i="24"/>
  <c r="D69" i="24"/>
  <c r="C69" i="24"/>
  <c r="A69" i="24"/>
  <c r="J69" i="24" s="1"/>
  <c r="A68" i="24"/>
  <c r="J68" i="24" s="1"/>
  <c r="H67" i="24"/>
  <c r="D67" i="24"/>
  <c r="C67" i="24"/>
  <c r="A67" i="24"/>
  <c r="J67" i="24" s="1"/>
  <c r="C66" i="24"/>
  <c r="B66" i="24"/>
  <c r="D65" i="24"/>
  <c r="B63" i="24"/>
  <c r="A63" i="24"/>
  <c r="J63" i="24" s="1"/>
  <c r="D61" i="24"/>
  <c r="C61" i="24"/>
  <c r="J60" i="24"/>
  <c r="B60" i="24"/>
  <c r="A60" i="24"/>
  <c r="J59" i="24"/>
  <c r="D59" i="24"/>
  <c r="A59" i="24"/>
  <c r="D58" i="24"/>
  <c r="C58" i="24"/>
  <c r="D57" i="24"/>
  <c r="A57" i="24"/>
  <c r="J57" i="24" s="1"/>
  <c r="B56" i="24"/>
  <c r="B55" i="24"/>
  <c r="A51" i="24"/>
  <c r="J51" i="24" s="1"/>
  <c r="C50" i="24"/>
  <c r="A50" i="24"/>
  <c r="J50" i="24" s="1"/>
  <c r="D49" i="24"/>
  <c r="C49" i="24"/>
  <c r="J47" i="24"/>
  <c r="B47" i="24"/>
  <c r="D45" i="24"/>
  <c r="C45" i="24"/>
  <c r="D43" i="24"/>
  <c r="A43" i="24"/>
  <c r="J43" i="24" s="1"/>
  <c r="D42" i="24"/>
  <c r="A41" i="24"/>
  <c r="J41" i="24" s="1"/>
  <c r="C40" i="24"/>
  <c r="B39" i="24"/>
  <c r="B38" i="24"/>
  <c r="A38" i="24"/>
  <c r="J38" i="24" s="1"/>
  <c r="D37" i="24"/>
  <c r="C36" i="24"/>
  <c r="A36" i="24"/>
  <c r="J36" i="24" s="1"/>
  <c r="B35" i="24"/>
  <c r="A35" i="24"/>
  <c r="J35" i="24" s="1"/>
  <c r="A34" i="24"/>
  <c r="J34" i="24" s="1"/>
  <c r="D33" i="24"/>
  <c r="C32" i="24"/>
  <c r="J31" i="24"/>
  <c r="D29" i="24"/>
  <c r="C28" i="24"/>
  <c r="A27" i="24"/>
  <c r="J27" i="24" s="1"/>
  <c r="C24" i="24"/>
  <c r="D23" i="24"/>
  <c r="C23" i="24"/>
  <c r="B23" i="24"/>
  <c r="C22" i="24"/>
  <c r="D21" i="24"/>
  <c r="B19" i="24"/>
  <c r="J12" i="24"/>
  <c r="H12" i="24"/>
  <c r="J10" i="24"/>
  <c r="B9" i="24"/>
  <c r="D7" i="24"/>
  <c r="J5" i="24"/>
  <c r="B5" i="24"/>
  <c r="J4" i="24"/>
  <c r="H102" i="23"/>
  <c r="I102" i="23" s="1"/>
  <c r="J102" i="23" s="1"/>
  <c r="I103" i="24" s="1"/>
  <c r="G102" i="23"/>
  <c r="F102" i="23"/>
  <c r="E102" i="23"/>
  <c r="D103" i="24" s="1"/>
  <c r="D102" i="23"/>
  <c r="C103" i="24" s="1"/>
  <c r="C102" i="23"/>
  <c r="B102" i="23"/>
  <c r="A102" i="23"/>
  <c r="I101" i="23"/>
  <c r="H102" i="24" s="1"/>
  <c r="G101" i="23"/>
  <c r="F101" i="23"/>
  <c r="H101" i="23" s="1"/>
  <c r="E101" i="23"/>
  <c r="D102" i="24" s="1"/>
  <c r="D101" i="23"/>
  <c r="C102" i="24" s="1"/>
  <c r="B101" i="23"/>
  <c r="B102" i="24" s="1"/>
  <c r="A101" i="23"/>
  <c r="C101" i="23" s="1"/>
  <c r="G100" i="23"/>
  <c r="H100" i="23" s="1"/>
  <c r="I100" i="23" s="1"/>
  <c r="F100" i="23"/>
  <c r="E100" i="23"/>
  <c r="D101" i="24" s="1"/>
  <c r="D100" i="23"/>
  <c r="C100" i="23"/>
  <c r="B100" i="23"/>
  <c r="B101" i="24" s="1"/>
  <c r="A100" i="23"/>
  <c r="G99" i="23"/>
  <c r="F99" i="23"/>
  <c r="E99" i="23"/>
  <c r="D100" i="24" s="1"/>
  <c r="D99" i="23"/>
  <c r="C100" i="24" s="1"/>
  <c r="B99" i="23"/>
  <c r="B100" i="24" s="1"/>
  <c r="A99" i="23"/>
  <c r="C99" i="23" s="1"/>
  <c r="H98" i="23"/>
  <c r="I98" i="23" s="1"/>
  <c r="G98" i="23"/>
  <c r="F98" i="23"/>
  <c r="E98" i="23"/>
  <c r="D98" i="23"/>
  <c r="C99" i="24" s="1"/>
  <c r="C98" i="23"/>
  <c r="B98" i="23"/>
  <c r="B99" i="24" s="1"/>
  <c r="A98" i="23"/>
  <c r="G97" i="23"/>
  <c r="F97" i="23"/>
  <c r="H97" i="23" s="1"/>
  <c r="I97" i="23" s="1"/>
  <c r="E97" i="23"/>
  <c r="D98" i="24" s="1"/>
  <c r="D97" i="23"/>
  <c r="C98" i="24" s="1"/>
  <c r="B97" i="23"/>
  <c r="A97" i="23"/>
  <c r="G96" i="23"/>
  <c r="F96" i="23"/>
  <c r="H96" i="23" s="1"/>
  <c r="I96" i="23" s="1"/>
  <c r="J96" i="23" s="1"/>
  <c r="I97" i="24" s="1"/>
  <c r="E96" i="23"/>
  <c r="D96" i="23"/>
  <c r="C97" i="24" s="1"/>
  <c r="C96" i="23"/>
  <c r="B96" i="23"/>
  <c r="B97" i="24" s="1"/>
  <c r="A96" i="23"/>
  <c r="G95" i="23"/>
  <c r="H95" i="23" s="1"/>
  <c r="I95" i="23" s="1"/>
  <c r="F95" i="23"/>
  <c r="E95" i="23"/>
  <c r="D96" i="24" s="1"/>
  <c r="D95" i="23"/>
  <c r="C96" i="24" s="1"/>
  <c r="B95" i="23"/>
  <c r="B96" i="24" s="1"/>
  <c r="A95" i="23"/>
  <c r="G94" i="23"/>
  <c r="F94" i="23"/>
  <c r="H94" i="23" s="1"/>
  <c r="I94" i="23" s="1"/>
  <c r="J94" i="23" s="1"/>
  <c r="I95" i="24" s="1"/>
  <c r="E94" i="23"/>
  <c r="D95" i="24" s="1"/>
  <c r="D94" i="23"/>
  <c r="C95" i="24" s="1"/>
  <c r="C94" i="23"/>
  <c r="B94" i="23"/>
  <c r="B95" i="24" s="1"/>
  <c r="A94" i="23"/>
  <c r="A95" i="24" s="1"/>
  <c r="G93" i="23"/>
  <c r="F93" i="23"/>
  <c r="H93" i="23" s="1"/>
  <c r="I93" i="23" s="1"/>
  <c r="H94" i="24" s="1"/>
  <c r="E93" i="23"/>
  <c r="D94" i="24" s="1"/>
  <c r="D93" i="23"/>
  <c r="C93" i="23"/>
  <c r="B93" i="23"/>
  <c r="A93" i="23"/>
  <c r="I92" i="23"/>
  <c r="G92" i="23"/>
  <c r="F92" i="23"/>
  <c r="H92" i="23" s="1"/>
  <c r="E92" i="23"/>
  <c r="D92" i="23"/>
  <c r="B92" i="23"/>
  <c r="B93" i="24" s="1"/>
  <c r="A92" i="23"/>
  <c r="H91" i="23"/>
  <c r="I91" i="23" s="1"/>
  <c r="G91" i="23"/>
  <c r="F91" i="23"/>
  <c r="E91" i="23"/>
  <c r="D92" i="24" s="1"/>
  <c r="D91" i="23"/>
  <c r="C92" i="24" s="1"/>
  <c r="B91" i="23"/>
  <c r="B92" i="24" s="1"/>
  <c r="A91" i="23"/>
  <c r="C91" i="23" s="1"/>
  <c r="H90" i="23"/>
  <c r="I90" i="23" s="1"/>
  <c r="J90" i="23" s="1"/>
  <c r="I91" i="24" s="1"/>
  <c r="G90" i="23"/>
  <c r="F90" i="23"/>
  <c r="E90" i="23"/>
  <c r="D91" i="24" s="1"/>
  <c r="D90" i="23"/>
  <c r="C91" i="24" s="1"/>
  <c r="C90" i="23"/>
  <c r="B90" i="23"/>
  <c r="B91" i="24" s="1"/>
  <c r="A90" i="23"/>
  <c r="H89" i="23"/>
  <c r="I89" i="23" s="1"/>
  <c r="G89" i="23"/>
  <c r="F89" i="23"/>
  <c r="E89" i="23"/>
  <c r="D90" i="24" s="1"/>
  <c r="D89" i="23"/>
  <c r="C90" i="24" s="1"/>
  <c r="B89" i="23"/>
  <c r="A89" i="23"/>
  <c r="C89" i="23" s="1"/>
  <c r="G88" i="23"/>
  <c r="F88" i="23"/>
  <c r="H88" i="23" s="1"/>
  <c r="I88" i="23" s="1"/>
  <c r="H89" i="24" s="1"/>
  <c r="E88" i="23"/>
  <c r="D88" i="23"/>
  <c r="C89" i="24" s="1"/>
  <c r="C88" i="23"/>
  <c r="B88" i="23"/>
  <c r="B89" i="24" s="1"/>
  <c r="A88" i="23"/>
  <c r="A89" i="24" s="1"/>
  <c r="J89" i="24" s="1"/>
  <c r="I87" i="23"/>
  <c r="H88" i="24" s="1"/>
  <c r="H87" i="23"/>
  <c r="G87" i="23"/>
  <c r="F87" i="23"/>
  <c r="E87" i="23"/>
  <c r="D88" i="24" s="1"/>
  <c r="D87" i="23"/>
  <c r="C88" i="24" s="1"/>
  <c r="B87" i="23"/>
  <c r="B88" i="24" s="1"/>
  <c r="A87" i="23"/>
  <c r="H86" i="23"/>
  <c r="I86" i="23" s="1"/>
  <c r="G86" i="23"/>
  <c r="F86" i="23"/>
  <c r="E86" i="23"/>
  <c r="D87" i="24" s="1"/>
  <c r="D86" i="23"/>
  <c r="C87" i="24" s="1"/>
  <c r="C86" i="23"/>
  <c r="B86" i="23"/>
  <c r="A86" i="23"/>
  <c r="A87" i="24" s="1"/>
  <c r="J87" i="24" s="1"/>
  <c r="I85" i="23"/>
  <c r="H86" i="24" s="1"/>
  <c r="G85" i="23"/>
  <c r="F85" i="23"/>
  <c r="H85" i="23" s="1"/>
  <c r="E85" i="23"/>
  <c r="D86" i="24" s="1"/>
  <c r="D85" i="23"/>
  <c r="C86" i="24" s="1"/>
  <c r="C85" i="23"/>
  <c r="B85" i="23"/>
  <c r="B86" i="24" s="1"/>
  <c r="A85" i="23"/>
  <c r="G84" i="23"/>
  <c r="F84" i="23"/>
  <c r="H84" i="23" s="1"/>
  <c r="I84" i="23" s="1"/>
  <c r="E84" i="23"/>
  <c r="D84" i="23"/>
  <c r="C85" i="24" s="1"/>
  <c r="C84" i="23"/>
  <c r="B84" i="23"/>
  <c r="B85" i="24" s="1"/>
  <c r="A84" i="23"/>
  <c r="G83" i="23"/>
  <c r="F83" i="23"/>
  <c r="E83" i="23"/>
  <c r="D84" i="24" s="1"/>
  <c r="D83" i="23"/>
  <c r="C84" i="24" s="1"/>
  <c r="B83" i="23"/>
  <c r="B84" i="24" s="1"/>
  <c r="A83" i="23"/>
  <c r="C83" i="23" s="1"/>
  <c r="H82" i="23"/>
  <c r="I82" i="23" s="1"/>
  <c r="H83" i="24" s="1"/>
  <c r="G82" i="23"/>
  <c r="F82" i="23"/>
  <c r="E82" i="23"/>
  <c r="D83" i="24" s="1"/>
  <c r="D82" i="23"/>
  <c r="C83" i="24" s="1"/>
  <c r="C82" i="23"/>
  <c r="B82" i="23"/>
  <c r="B83" i="24" s="1"/>
  <c r="A82" i="23"/>
  <c r="G81" i="23"/>
  <c r="F81" i="23"/>
  <c r="H81" i="23" s="1"/>
  <c r="I81" i="23" s="1"/>
  <c r="E81" i="23"/>
  <c r="D82" i="24" s="1"/>
  <c r="D81" i="23"/>
  <c r="B81" i="23"/>
  <c r="A81" i="23"/>
  <c r="G80" i="23"/>
  <c r="F80" i="23"/>
  <c r="E80" i="23"/>
  <c r="D80" i="23"/>
  <c r="C81" i="24" s="1"/>
  <c r="C80" i="23"/>
  <c r="B80" i="23"/>
  <c r="B81" i="24" s="1"/>
  <c r="A80" i="23"/>
  <c r="G79" i="23"/>
  <c r="H79" i="23" s="1"/>
  <c r="I79" i="23" s="1"/>
  <c r="F79" i="23"/>
  <c r="E79" i="23"/>
  <c r="D80" i="24" s="1"/>
  <c r="D79" i="23"/>
  <c r="C80" i="24" s="1"/>
  <c r="B79" i="23"/>
  <c r="B80" i="24" s="1"/>
  <c r="A79" i="23"/>
  <c r="C79" i="23" s="1"/>
  <c r="H78" i="23"/>
  <c r="I78" i="23" s="1"/>
  <c r="G78" i="23"/>
  <c r="F78" i="23"/>
  <c r="E78" i="23"/>
  <c r="D79" i="24" s="1"/>
  <c r="D78" i="23"/>
  <c r="C79" i="24" s="1"/>
  <c r="C78" i="23"/>
  <c r="B78" i="23"/>
  <c r="A78" i="23"/>
  <c r="G77" i="23"/>
  <c r="F77" i="23"/>
  <c r="H77" i="23" s="1"/>
  <c r="I77" i="23" s="1"/>
  <c r="E77" i="23"/>
  <c r="D78" i="24" s="1"/>
  <c r="D77" i="23"/>
  <c r="C78" i="24" s="1"/>
  <c r="C77" i="23"/>
  <c r="B77" i="23"/>
  <c r="B78" i="24" s="1"/>
  <c r="A77" i="23"/>
  <c r="G76" i="23"/>
  <c r="F76" i="23"/>
  <c r="H76" i="23" s="1"/>
  <c r="I76" i="23" s="1"/>
  <c r="E76" i="23"/>
  <c r="D77" i="24" s="1"/>
  <c r="D76" i="23"/>
  <c r="C77" i="24" s="1"/>
  <c r="B76" i="23"/>
  <c r="B77" i="24" s="1"/>
  <c r="A76" i="23"/>
  <c r="H75" i="23"/>
  <c r="I75" i="23" s="1"/>
  <c r="J75" i="23" s="1"/>
  <c r="I76" i="24" s="1"/>
  <c r="G75" i="23"/>
  <c r="F75" i="23"/>
  <c r="E75" i="23"/>
  <c r="D76" i="24" s="1"/>
  <c r="D75" i="23"/>
  <c r="C76" i="24" s="1"/>
  <c r="B75" i="23"/>
  <c r="A75" i="23"/>
  <c r="G74" i="23"/>
  <c r="H74" i="23" s="1"/>
  <c r="I74" i="23" s="1"/>
  <c r="F74" i="23"/>
  <c r="E74" i="23"/>
  <c r="D74" i="23"/>
  <c r="C75" i="24" s="1"/>
  <c r="C74" i="23"/>
  <c r="B74" i="23"/>
  <c r="B75" i="24" s="1"/>
  <c r="A74" i="23"/>
  <c r="H73" i="23"/>
  <c r="I73" i="23" s="1"/>
  <c r="G73" i="23"/>
  <c r="F73" i="23"/>
  <c r="E73" i="23"/>
  <c r="D73" i="23"/>
  <c r="C74" i="24" s="1"/>
  <c r="B73" i="23"/>
  <c r="B74" i="24" s="1"/>
  <c r="A73" i="23"/>
  <c r="C73" i="23" s="1"/>
  <c r="G72" i="23"/>
  <c r="F72" i="23"/>
  <c r="H72" i="23" s="1"/>
  <c r="I72" i="23" s="1"/>
  <c r="J72" i="23" s="1"/>
  <c r="I73" i="24" s="1"/>
  <c r="E72" i="23"/>
  <c r="D73" i="24" s="1"/>
  <c r="D72" i="23"/>
  <c r="C73" i="24" s="1"/>
  <c r="C72" i="23"/>
  <c r="B72" i="23"/>
  <c r="B73" i="24" s="1"/>
  <c r="A72" i="23"/>
  <c r="I71" i="23"/>
  <c r="H72" i="24" s="1"/>
  <c r="H71" i="23"/>
  <c r="G71" i="23"/>
  <c r="F71" i="23"/>
  <c r="E71" i="23"/>
  <c r="D72" i="24" s="1"/>
  <c r="D71" i="23"/>
  <c r="C72" i="24" s="1"/>
  <c r="B71" i="23"/>
  <c r="B72" i="24" s="1"/>
  <c r="A71" i="23"/>
  <c r="G70" i="23"/>
  <c r="H70" i="23" s="1"/>
  <c r="I70" i="23" s="1"/>
  <c r="F70" i="23"/>
  <c r="E70" i="23"/>
  <c r="D70" i="23"/>
  <c r="C71" i="24" s="1"/>
  <c r="C70" i="23"/>
  <c r="B70" i="23"/>
  <c r="B71" i="24" s="1"/>
  <c r="A70" i="23"/>
  <c r="A71" i="24" s="1"/>
  <c r="I69" i="23"/>
  <c r="H70" i="24" s="1"/>
  <c r="G69" i="23"/>
  <c r="F69" i="23"/>
  <c r="H69" i="23" s="1"/>
  <c r="E69" i="23"/>
  <c r="D70" i="24" s="1"/>
  <c r="D69" i="23"/>
  <c r="C70" i="24" s="1"/>
  <c r="B69" i="23"/>
  <c r="B70" i="24" s="1"/>
  <c r="A69" i="23"/>
  <c r="G68" i="23"/>
  <c r="H68" i="23" s="1"/>
  <c r="I68" i="23" s="1"/>
  <c r="F68" i="23"/>
  <c r="E68" i="23"/>
  <c r="D68" i="23"/>
  <c r="C68" i="23"/>
  <c r="B68" i="23"/>
  <c r="B69" i="24" s="1"/>
  <c r="A68" i="23"/>
  <c r="G67" i="23"/>
  <c r="F67" i="23"/>
  <c r="E67" i="23"/>
  <c r="D68" i="24" s="1"/>
  <c r="D67" i="23"/>
  <c r="C68" i="24" s="1"/>
  <c r="B67" i="23"/>
  <c r="B68" i="24" s="1"/>
  <c r="A67" i="23"/>
  <c r="C67" i="23" s="1"/>
  <c r="H66" i="23"/>
  <c r="I66" i="23" s="1"/>
  <c r="J66" i="23" s="1"/>
  <c r="I67" i="24" s="1"/>
  <c r="G66" i="23"/>
  <c r="F66" i="23"/>
  <c r="E66" i="23"/>
  <c r="D66" i="23"/>
  <c r="C66" i="23"/>
  <c r="B66" i="23"/>
  <c r="B67" i="24" s="1"/>
  <c r="A66" i="23"/>
  <c r="G65" i="23"/>
  <c r="F65" i="23"/>
  <c r="H65" i="23" s="1"/>
  <c r="I65" i="23" s="1"/>
  <c r="E65" i="23"/>
  <c r="D66" i="24" s="1"/>
  <c r="D65" i="23"/>
  <c r="B65" i="23"/>
  <c r="A65" i="23"/>
  <c r="G64" i="23"/>
  <c r="F64" i="23"/>
  <c r="E64" i="23"/>
  <c r="D64" i="23"/>
  <c r="C65" i="24" s="1"/>
  <c r="C64" i="23"/>
  <c r="B64" i="23"/>
  <c r="B65" i="24" s="1"/>
  <c r="A64" i="23"/>
  <c r="G63" i="23"/>
  <c r="H63" i="23" s="1"/>
  <c r="I63" i="23" s="1"/>
  <c r="F63" i="23"/>
  <c r="E63" i="23"/>
  <c r="D64" i="24" s="1"/>
  <c r="D63" i="23"/>
  <c r="C64" i="24" s="1"/>
  <c r="B63" i="23"/>
  <c r="B64" i="24" s="1"/>
  <c r="A63" i="23"/>
  <c r="G62" i="23"/>
  <c r="F62" i="23"/>
  <c r="H62" i="23" s="1"/>
  <c r="I62" i="23" s="1"/>
  <c r="E62" i="23"/>
  <c r="D63" i="24" s="1"/>
  <c r="D62" i="23"/>
  <c r="C63" i="24" s="1"/>
  <c r="C62" i="23"/>
  <c r="B62" i="23"/>
  <c r="A62" i="23"/>
  <c r="J61" i="23"/>
  <c r="I62" i="24" s="1"/>
  <c r="G61" i="23"/>
  <c r="F61" i="23"/>
  <c r="H61" i="23" s="1"/>
  <c r="I61" i="23" s="1"/>
  <c r="H62" i="24" s="1"/>
  <c r="E61" i="23"/>
  <c r="D62" i="24" s="1"/>
  <c r="D61" i="23"/>
  <c r="C62" i="24" s="1"/>
  <c r="B61" i="23"/>
  <c r="B62" i="24" s="1"/>
  <c r="A61" i="23"/>
  <c r="G60" i="23"/>
  <c r="F60" i="23"/>
  <c r="H60" i="23" s="1"/>
  <c r="I60" i="23" s="1"/>
  <c r="H61" i="24" s="1"/>
  <c r="E60" i="23"/>
  <c r="D60" i="23"/>
  <c r="B60" i="23"/>
  <c r="B61" i="24" s="1"/>
  <c r="A60" i="23"/>
  <c r="G59" i="23"/>
  <c r="H59" i="23" s="1"/>
  <c r="I59" i="23" s="1"/>
  <c r="F59" i="23"/>
  <c r="E59" i="23"/>
  <c r="D60" i="24" s="1"/>
  <c r="D59" i="23"/>
  <c r="C60" i="24" s="1"/>
  <c r="B59" i="23"/>
  <c r="A59" i="23"/>
  <c r="C59" i="23" s="1"/>
  <c r="G58" i="23"/>
  <c r="H58" i="23" s="1"/>
  <c r="I58" i="23" s="1"/>
  <c r="F58" i="23"/>
  <c r="E58" i="23"/>
  <c r="D58" i="23"/>
  <c r="C59" i="24" s="1"/>
  <c r="C58" i="23"/>
  <c r="B58" i="23"/>
  <c r="B59" i="24" s="1"/>
  <c r="A58" i="23"/>
  <c r="H57" i="23"/>
  <c r="I57" i="23" s="1"/>
  <c r="G57" i="23"/>
  <c r="F57" i="23"/>
  <c r="E57" i="23"/>
  <c r="D57" i="23"/>
  <c r="B57" i="23"/>
  <c r="B58" i="24" s="1"/>
  <c r="A57" i="23"/>
  <c r="G56" i="23"/>
  <c r="F56" i="23"/>
  <c r="H56" i="23" s="1"/>
  <c r="I56" i="23" s="1"/>
  <c r="H57" i="24" s="1"/>
  <c r="E56" i="23"/>
  <c r="D56" i="23"/>
  <c r="C57" i="24" s="1"/>
  <c r="C56" i="23"/>
  <c r="B56" i="23"/>
  <c r="B57" i="24" s="1"/>
  <c r="A56" i="23"/>
  <c r="H55" i="23"/>
  <c r="I55" i="23" s="1"/>
  <c r="G55" i="23"/>
  <c r="F55" i="23"/>
  <c r="E55" i="23"/>
  <c r="D56" i="24" s="1"/>
  <c r="D55" i="23"/>
  <c r="C56" i="24" s="1"/>
  <c r="B55" i="23"/>
  <c r="A55" i="23"/>
  <c r="G54" i="23"/>
  <c r="F54" i="23"/>
  <c r="H54" i="23" s="1"/>
  <c r="I54" i="23" s="1"/>
  <c r="E54" i="23"/>
  <c r="D55" i="24" s="1"/>
  <c r="D54" i="23"/>
  <c r="C55" i="24" s="1"/>
  <c r="C54" i="23"/>
  <c r="B54" i="23"/>
  <c r="A54" i="23"/>
  <c r="A55" i="24" s="1"/>
  <c r="J55" i="24" s="1"/>
  <c r="I53" i="23"/>
  <c r="H54" i="24" s="1"/>
  <c r="G53" i="23"/>
  <c r="F53" i="23"/>
  <c r="H53" i="23" s="1"/>
  <c r="E53" i="23"/>
  <c r="D54" i="24" s="1"/>
  <c r="D53" i="23"/>
  <c r="C54" i="24" s="1"/>
  <c r="B53" i="23"/>
  <c r="B54" i="24" s="1"/>
  <c r="A53" i="23"/>
  <c r="G52" i="23"/>
  <c r="F52" i="23"/>
  <c r="H52" i="23" s="1"/>
  <c r="I52" i="23" s="1"/>
  <c r="J52" i="23" s="1"/>
  <c r="I53" i="24" s="1"/>
  <c r="E52" i="23"/>
  <c r="D53" i="24" s="1"/>
  <c r="D52" i="23"/>
  <c r="C53" i="24" s="1"/>
  <c r="C52" i="23"/>
  <c r="B52" i="23"/>
  <c r="B53" i="24" s="1"/>
  <c r="A52" i="23"/>
  <c r="G51" i="23"/>
  <c r="F51" i="23"/>
  <c r="H51" i="23" s="1"/>
  <c r="I51" i="23" s="1"/>
  <c r="E51" i="23"/>
  <c r="D52" i="24" s="1"/>
  <c r="D51" i="23"/>
  <c r="C52" i="24" s="1"/>
  <c r="B51" i="23"/>
  <c r="B52" i="24" s="1"/>
  <c r="A51" i="23"/>
  <c r="C51" i="23" s="1"/>
  <c r="H50" i="23"/>
  <c r="I50" i="23" s="1"/>
  <c r="H51" i="24" s="1"/>
  <c r="G50" i="23"/>
  <c r="F50" i="23"/>
  <c r="E50" i="23"/>
  <c r="D51" i="24" s="1"/>
  <c r="D50" i="23"/>
  <c r="C51" i="24" s="1"/>
  <c r="C50" i="23"/>
  <c r="B50" i="23"/>
  <c r="B51" i="24" s="1"/>
  <c r="A50" i="23"/>
  <c r="G49" i="23"/>
  <c r="F49" i="23"/>
  <c r="H49" i="23" s="1"/>
  <c r="I49" i="23" s="1"/>
  <c r="E49" i="23"/>
  <c r="D50" i="24" s="1"/>
  <c r="D49" i="23"/>
  <c r="B49" i="23"/>
  <c r="B50" i="24" s="1"/>
  <c r="A49" i="23"/>
  <c r="C49" i="23" s="1"/>
  <c r="G48" i="23"/>
  <c r="F48" i="23"/>
  <c r="E48" i="23"/>
  <c r="D48" i="23"/>
  <c r="C48" i="23"/>
  <c r="B48" i="23"/>
  <c r="B49" i="24" s="1"/>
  <c r="A48" i="23"/>
  <c r="G47" i="23"/>
  <c r="H47" i="23" s="1"/>
  <c r="I47" i="23" s="1"/>
  <c r="F47" i="23"/>
  <c r="E47" i="23"/>
  <c r="D48" i="24" s="1"/>
  <c r="D47" i="23"/>
  <c r="C48" i="24" s="1"/>
  <c r="B47" i="23"/>
  <c r="B48" i="24" s="1"/>
  <c r="A47" i="23"/>
  <c r="G46" i="23"/>
  <c r="F46" i="23"/>
  <c r="H46" i="23" s="1"/>
  <c r="I46" i="23" s="1"/>
  <c r="E46" i="23"/>
  <c r="D47" i="24" s="1"/>
  <c r="D46" i="23"/>
  <c r="C47" i="24" s="1"/>
  <c r="C46" i="23"/>
  <c r="B46" i="23"/>
  <c r="A46" i="23"/>
  <c r="A47" i="24" s="1"/>
  <c r="G45" i="23"/>
  <c r="F45" i="23"/>
  <c r="H45" i="23" s="1"/>
  <c r="I45" i="23" s="1"/>
  <c r="E45" i="23"/>
  <c r="D46" i="24" s="1"/>
  <c r="D45" i="23"/>
  <c r="C46" i="24" s="1"/>
  <c r="C45" i="23"/>
  <c r="B45" i="23"/>
  <c r="B46" i="24" s="1"/>
  <c r="A45" i="23"/>
  <c r="A46" i="24" s="1"/>
  <c r="J46" i="24" s="1"/>
  <c r="G44" i="23"/>
  <c r="F44" i="23"/>
  <c r="H44" i="23" s="1"/>
  <c r="I44" i="23" s="1"/>
  <c r="E44" i="23"/>
  <c r="D44" i="23"/>
  <c r="B44" i="23"/>
  <c r="B45" i="24" s="1"/>
  <c r="A44" i="23"/>
  <c r="H43" i="23"/>
  <c r="I43" i="23" s="1"/>
  <c r="G43" i="23"/>
  <c r="F43" i="23"/>
  <c r="E43" i="23"/>
  <c r="D44" i="24" s="1"/>
  <c r="D43" i="23"/>
  <c r="C44" i="24" s="1"/>
  <c r="B43" i="23"/>
  <c r="B44" i="24" s="1"/>
  <c r="A43" i="23"/>
  <c r="G42" i="23"/>
  <c r="H42" i="23" s="1"/>
  <c r="I42" i="23" s="1"/>
  <c r="F42" i="23"/>
  <c r="E42" i="23"/>
  <c r="D42" i="23"/>
  <c r="C43" i="24" s="1"/>
  <c r="C42" i="23"/>
  <c r="B42" i="23"/>
  <c r="B43" i="24" s="1"/>
  <c r="A42" i="23"/>
  <c r="H41" i="23"/>
  <c r="I41" i="23" s="1"/>
  <c r="G41" i="23"/>
  <c r="F41" i="23"/>
  <c r="E41" i="23"/>
  <c r="D41" i="23"/>
  <c r="C42" i="24" s="1"/>
  <c r="B41" i="23"/>
  <c r="B42" i="24" s="1"/>
  <c r="A41" i="23"/>
  <c r="C41" i="23" s="1"/>
  <c r="G40" i="23"/>
  <c r="F40" i="23"/>
  <c r="E40" i="23"/>
  <c r="D41" i="24" s="1"/>
  <c r="D40" i="23"/>
  <c r="C41" i="24" s="1"/>
  <c r="C40" i="23"/>
  <c r="B40" i="23"/>
  <c r="B41" i="24" s="1"/>
  <c r="A40" i="23"/>
  <c r="G39" i="23"/>
  <c r="H39" i="23" s="1"/>
  <c r="I39" i="23" s="1"/>
  <c r="F39" i="23"/>
  <c r="E39" i="23"/>
  <c r="D40" i="24" s="1"/>
  <c r="D39" i="23"/>
  <c r="B39" i="23"/>
  <c r="B40" i="24" s="1"/>
  <c r="A39" i="23"/>
  <c r="G38" i="23"/>
  <c r="H38" i="23" s="1"/>
  <c r="I38" i="23" s="1"/>
  <c r="F38" i="23"/>
  <c r="E38" i="23"/>
  <c r="D39" i="24" s="1"/>
  <c r="D38" i="23"/>
  <c r="C39" i="24" s="1"/>
  <c r="C38" i="23"/>
  <c r="B38" i="23"/>
  <c r="A38" i="23"/>
  <c r="A39" i="24" s="1"/>
  <c r="J39" i="24" s="1"/>
  <c r="I37" i="23"/>
  <c r="H38" i="24" s="1"/>
  <c r="G37" i="23"/>
  <c r="F37" i="23"/>
  <c r="H37" i="23" s="1"/>
  <c r="E37" i="23"/>
  <c r="D38" i="24" s="1"/>
  <c r="D37" i="23"/>
  <c r="C38" i="24" s="1"/>
  <c r="C37" i="23"/>
  <c r="B37" i="23"/>
  <c r="A37" i="23"/>
  <c r="H36" i="23"/>
  <c r="I36" i="23" s="1"/>
  <c r="G36" i="23"/>
  <c r="F36" i="23"/>
  <c r="E36" i="23"/>
  <c r="D36" i="23"/>
  <c r="C37" i="24" s="1"/>
  <c r="B36" i="23"/>
  <c r="B37" i="24" s="1"/>
  <c r="A36" i="23"/>
  <c r="H35" i="23"/>
  <c r="I35" i="23" s="1"/>
  <c r="G35" i="23"/>
  <c r="F35" i="23"/>
  <c r="E35" i="23"/>
  <c r="D36" i="24" s="1"/>
  <c r="D35" i="23"/>
  <c r="B35" i="23"/>
  <c r="B36" i="24" s="1"/>
  <c r="A35" i="23"/>
  <c r="C35" i="23" s="1"/>
  <c r="G34" i="23"/>
  <c r="H34" i="23" s="1"/>
  <c r="I34" i="23" s="1"/>
  <c r="J34" i="23" s="1"/>
  <c r="I35" i="24" s="1"/>
  <c r="F34" i="23"/>
  <c r="E34" i="23"/>
  <c r="D35" i="24" s="1"/>
  <c r="D34" i="23"/>
  <c r="C35" i="24" s="1"/>
  <c r="C34" i="23"/>
  <c r="B34" i="23"/>
  <c r="A34" i="23"/>
  <c r="I33" i="23"/>
  <c r="H34" i="24" s="1"/>
  <c r="G33" i="23"/>
  <c r="F33" i="23"/>
  <c r="H33" i="23" s="1"/>
  <c r="E33" i="23"/>
  <c r="D34" i="24" s="1"/>
  <c r="D33" i="23"/>
  <c r="C34" i="24" s="1"/>
  <c r="C33" i="23"/>
  <c r="B33" i="23"/>
  <c r="B34" i="24" s="1"/>
  <c r="A33" i="23"/>
  <c r="H32" i="23"/>
  <c r="I32" i="23" s="1"/>
  <c r="G32" i="23"/>
  <c r="F32" i="23"/>
  <c r="E32" i="23"/>
  <c r="D32" i="23"/>
  <c r="C33" i="24" s="1"/>
  <c r="B32" i="23"/>
  <c r="B33" i="24" s="1"/>
  <c r="A32" i="23"/>
  <c r="H31" i="23"/>
  <c r="I31" i="23" s="1"/>
  <c r="G31" i="23"/>
  <c r="F31" i="23"/>
  <c r="E31" i="23"/>
  <c r="D32" i="24" s="1"/>
  <c r="D31" i="23"/>
  <c r="B31" i="23"/>
  <c r="B32" i="24" s="1"/>
  <c r="A31" i="23"/>
  <c r="G30" i="23"/>
  <c r="H30" i="23" s="1"/>
  <c r="I30" i="23" s="1"/>
  <c r="F30" i="23"/>
  <c r="E30" i="23"/>
  <c r="D31" i="24" s="1"/>
  <c r="D30" i="23"/>
  <c r="C31" i="24" s="1"/>
  <c r="C30" i="23"/>
  <c r="B30" i="23"/>
  <c r="B31" i="24" s="1"/>
  <c r="A30" i="23"/>
  <c r="A31" i="24" s="1"/>
  <c r="I29" i="23"/>
  <c r="H30" i="24" s="1"/>
  <c r="G29" i="23"/>
  <c r="F29" i="23"/>
  <c r="H29" i="23" s="1"/>
  <c r="E29" i="23"/>
  <c r="D30" i="24" s="1"/>
  <c r="D29" i="23"/>
  <c r="C30" i="24" s="1"/>
  <c r="C29" i="23"/>
  <c r="B29" i="23"/>
  <c r="B30" i="24" s="1"/>
  <c r="A29" i="23"/>
  <c r="A30" i="24" s="1"/>
  <c r="J30" i="24" s="1"/>
  <c r="H28" i="23"/>
  <c r="I28" i="23" s="1"/>
  <c r="G28" i="23"/>
  <c r="F28" i="23"/>
  <c r="E28" i="23"/>
  <c r="D28" i="23"/>
  <c r="C29" i="24" s="1"/>
  <c r="B28" i="23"/>
  <c r="B29" i="24" s="1"/>
  <c r="A28" i="23"/>
  <c r="H27" i="23"/>
  <c r="I27" i="23" s="1"/>
  <c r="G27" i="23"/>
  <c r="F27" i="23"/>
  <c r="E27" i="23"/>
  <c r="D28" i="24" s="1"/>
  <c r="D27" i="23"/>
  <c r="B27" i="23"/>
  <c r="B28" i="24" s="1"/>
  <c r="A27" i="23"/>
  <c r="G26" i="23"/>
  <c r="H26" i="23" s="1"/>
  <c r="I26" i="23" s="1"/>
  <c r="F26" i="23"/>
  <c r="E26" i="23"/>
  <c r="D27" i="24" s="1"/>
  <c r="D26" i="23"/>
  <c r="C27" i="24" s="1"/>
  <c r="C26" i="23"/>
  <c r="B26" i="23"/>
  <c r="B27" i="24" s="1"/>
  <c r="A26" i="23"/>
  <c r="I25" i="23"/>
  <c r="H26" i="24" s="1"/>
  <c r="G25" i="23"/>
  <c r="F25" i="23"/>
  <c r="H25" i="23" s="1"/>
  <c r="E25" i="23"/>
  <c r="D26" i="24" s="1"/>
  <c r="D25" i="23"/>
  <c r="C26" i="24" s="1"/>
  <c r="C25" i="23"/>
  <c r="B25" i="23"/>
  <c r="B26" i="24" s="1"/>
  <c r="A25" i="23"/>
  <c r="A26" i="24" s="1"/>
  <c r="J26" i="24" s="1"/>
  <c r="H24" i="23"/>
  <c r="I24" i="23" s="1"/>
  <c r="G24" i="23"/>
  <c r="F24" i="23"/>
  <c r="E24" i="23"/>
  <c r="D25" i="24" s="1"/>
  <c r="D24" i="23"/>
  <c r="C25" i="24" s="1"/>
  <c r="B24" i="23"/>
  <c r="B25" i="24" s="1"/>
  <c r="A24" i="23"/>
  <c r="H23" i="23"/>
  <c r="I23" i="23" s="1"/>
  <c r="G23" i="23"/>
  <c r="F23" i="23"/>
  <c r="E23" i="23"/>
  <c r="D24" i="24" s="1"/>
  <c r="D23" i="23"/>
  <c r="B23" i="23"/>
  <c r="B24" i="24" s="1"/>
  <c r="A23" i="23"/>
  <c r="H22" i="23"/>
  <c r="I22" i="23" s="1"/>
  <c r="G22" i="23"/>
  <c r="F22" i="23"/>
  <c r="E22" i="23"/>
  <c r="D22" i="23"/>
  <c r="B22" i="23"/>
  <c r="A22" i="23"/>
  <c r="A23" i="24" s="1"/>
  <c r="J23" i="24" s="1"/>
  <c r="G21" i="23"/>
  <c r="F21" i="23"/>
  <c r="H21" i="23" s="1"/>
  <c r="I21" i="23" s="1"/>
  <c r="E21" i="23"/>
  <c r="D22" i="24" s="1"/>
  <c r="D21" i="23"/>
  <c r="C21" i="23"/>
  <c r="B21" i="23"/>
  <c r="B22" i="24" s="1"/>
  <c r="A21" i="23"/>
  <c r="A22" i="24" s="1"/>
  <c r="J22" i="24" s="1"/>
  <c r="H20" i="23"/>
  <c r="I20" i="23" s="1"/>
  <c r="G20" i="23"/>
  <c r="F20" i="23"/>
  <c r="E20" i="23"/>
  <c r="D20" i="23"/>
  <c r="C21" i="24" s="1"/>
  <c r="C20" i="23"/>
  <c r="B20" i="23"/>
  <c r="B21" i="24" s="1"/>
  <c r="A20" i="23"/>
  <c r="A21" i="24" s="1"/>
  <c r="J21" i="24" s="1"/>
  <c r="G19" i="23"/>
  <c r="F19" i="23"/>
  <c r="H19" i="23" s="1"/>
  <c r="I19" i="23" s="1"/>
  <c r="H20" i="24" s="1"/>
  <c r="E19" i="23"/>
  <c r="D20" i="24" s="1"/>
  <c r="D19" i="23"/>
  <c r="C20" i="24" s="1"/>
  <c r="C19" i="23"/>
  <c r="B19" i="23"/>
  <c r="B20" i="24" s="1"/>
  <c r="A19" i="23"/>
  <c r="A20" i="24" s="1"/>
  <c r="J20" i="24" s="1"/>
  <c r="H18" i="23"/>
  <c r="I18" i="23" s="1"/>
  <c r="G18" i="23"/>
  <c r="F18" i="23"/>
  <c r="E18" i="23"/>
  <c r="D19" i="24" s="1"/>
  <c r="D18" i="23"/>
  <c r="C19" i="24" s="1"/>
  <c r="B18" i="23"/>
  <c r="A18" i="23"/>
  <c r="A19" i="24" s="1"/>
  <c r="J19" i="24" s="1"/>
  <c r="G17" i="23"/>
  <c r="F17" i="23"/>
  <c r="H17" i="23" s="1"/>
  <c r="I17" i="23" s="1"/>
  <c r="E17" i="23"/>
  <c r="D18" i="24" s="1"/>
  <c r="D17" i="23"/>
  <c r="C18" i="24" s="1"/>
  <c r="C17" i="23"/>
  <c r="B17" i="23"/>
  <c r="B18" i="24" s="1"/>
  <c r="A17" i="23"/>
  <c r="A18" i="24" s="1"/>
  <c r="J18" i="24" s="1"/>
  <c r="H16" i="23"/>
  <c r="I16" i="23" s="1"/>
  <c r="G16" i="23"/>
  <c r="F16" i="23"/>
  <c r="E16" i="23"/>
  <c r="D17" i="24" s="1"/>
  <c r="D16" i="23"/>
  <c r="C17" i="24" s="1"/>
  <c r="C16" i="23"/>
  <c r="B16" i="23"/>
  <c r="B17" i="24" s="1"/>
  <c r="A16" i="23"/>
  <c r="A17" i="24" s="1"/>
  <c r="J17" i="24" s="1"/>
  <c r="G15" i="23"/>
  <c r="F15" i="23"/>
  <c r="H15" i="23" s="1"/>
  <c r="I15" i="23" s="1"/>
  <c r="H16" i="24" s="1"/>
  <c r="E15" i="23"/>
  <c r="D16" i="24" s="1"/>
  <c r="D15" i="23"/>
  <c r="C16" i="24" s="1"/>
  <c r="C15" i="23"/>
  <c r="B15" i="23"/>
  <c r="B16" i="24" s="1"/>
  <c r="A15" i="23"/>
  <c r="A16" i="24" s="1"/>
  <c r="J16" i="24" s="1"/>
  <c r="H14" i="23"/>
  <c r="I14" i="23" s="1"/>
  <c r="G14" i="23"/>
  <c r="F14" i="23"/>
  <c r="E14" i="23"/>
  <c r="D15" i="24" s="1"/>
  <c r="D14" i="23"/>
  <c r="C15" i="24" s="1"/>
  <c r="B14" i="23"/>
  <c r="B15" i="24" s="1"/>
  <c r="A14" i="23"/>
  <c r="G13" i="23"/>
  <c r="F13" i="23"/>
  <c r="H13" i="23" s="1"/>
  <c r="I13" i="23" s="1"/>
  <c r="J13" i="23" s="1"/>
  <c r="I14" i="24" s="1"/>
  <c r="E13" i="23"/>
  <c r="D14" i="24" s="1"/>
  <c r="D13" i="23"/>
  <c r="C14" i="24" s="1"/>
  <c r="C13" i="23"/>
  <c r="B13" i="23"/>
  <c r="B14" i="24" s="1"/>
  <c r="A13" i="23"/>
  <c r="A14" i="24" s="1"/>
  <c r="J14" i="24" s="1"/>
  <c r="H12" i="23"/>
  <c r="I12" i="23" s="1"/>
  <c r="G12" i="23"/>
  <c r="F12" i="23"/>
  <c r="E12" i="23"/>
  <c r="D13" i="24" s="1"/>
  <c r="D12" i="23"/>
  <c r="C13" i="24" s="1"/>
  <c r="C12" i="23"/>
  <c r="B12" i="23"/>
  <c r="B13" i="24" s="1"/>
  <c r="A12" i="23"/>
  <c r="A13" i="24" s="1"/>
  <c r="J13" i="24" s="1"/>
  <c r="G11" i="23"/>
  <c r="F11" i="23"/>
  <c r="H11" i="23" s="1"/>
  <c r="I11" i="23" s="1"/>
  <c r="J11" i="23" s="1"/>
  <c r="I12" i="24" s="1"/>
  <c r="E11" i="23"/>
  <c r="D12" i="24" s="1"/>
  <c r="D11" i="23"/>
  <c r="C12" i="24" s="1"/>
  <c r="C11" i="23"/>
  <c r="B11" i="23"/>
  <c r="B12" i="24" s="1"/>
  <c r="A11" i="23"/>
  <c r="A12" i="24" s="1"/>
  <c r="H10" i="23"/>
  <c r="I10" i="23" s="1"/>
  <c r="G10" i="23"/>
  <c r="F10" i="23"/>
  <c r="E10" i="23"/>
  <c r="D11" i="24" s="1"/>
  <c r="D10" i="23"/>
  <c r="C11" i="24" s="1"/>
  <c r="B10" i="23"/>
  <c r="B11" i="24" s="1"/>
  <c r="A10" i="23"/>
  <c r="G9" i="23"/>
  <c r="F9" i="23"/>
  <c r="H9" i="23" s="1"/>
  <c r="I9" i="23" s="1"/>
  <c r="E9" i="23"/>
  <c r="D10" i="24" s="1"/>
  <c r="D9" i="23"/>
  <c r="C10" i="24" s="1"/>
  <c r="C9" i="23"/>
  <c r="B9" i="23"/>
  <c r="B10" i="24" s="1"/>
  <c r="A9" i="23"/>
  <c r="A10" i="24" s="1"/>
  <c r="H8" i="23"/>
  <c r="I8" i="23" s="1"/>
  <c r="G8" i="23"/>
  <c r="F8" i="23"/>
  <c r="E8" i="23"/>
  <c r="D9" i="24" s="1"/>
  <c r="D8" i="23"/>
  <c r="C9" i="24" s="1"/>
  <c r="C8" i="23"/>
  <c r="B8" i="23"/>
  <c r="A8" i="23"/>
  <c r="A9" i="24" s="1"/>
  <c r="J9" i="24" s="1"/>
  <c r="G7" i="23"/>
  <c r="F7" i="23"/>
  <c r="H7" i="23" s="1"/>
  <c r="I7" i="23" s="1"/>
  <c r="H8" i="24" s="1"/>
  <c r="E7" i="23"/>
  <c r="D8" i="24" s="1"/>
  <c r="D7" i="23"/>
  <c r="C8" i="24" s="1"/>
  <c r="C7" i="23"/>
  <c r="B7" i="23"/>
  <c r="B8" i="24" s="1"/>
  <c r="A7" i="23"/>
  <c r="A8" i="24" s="1"/>
  <c r="J8" i="24" s="1"/>
  <c r="H6" i="23"/>
  <c r="I6" i="23" s="1"/>
  <c r="G6" i="23"/>
  <c r="F6" i="23"/>
  <c r="E6" i="23"/>
  <c r="D6" i="23"/>
  <c r="C7" i="24" s="1"/>
  <c r="B6" i="23"/>
  <c r="B7" i="24" s="1"/>
  <c r="A6" i="23"/>
  <c r="A7" i="24" s="1"/>
  <c r="J7" i="24" s="1"/>
  <c r="G5" i="23"/>
  <c r="F5" i="23"/>
  <c r="H5" i="23" s="1"/>
  <c r="I5" i="23" s="1"/>
  <c r="J5" i="23" s="1"/>
  <c r="I6" i="24" s="1"/>
  <c r="E5" i="23"/>
  <c r="D6" i="24" s="1"/>
  <c r="D5" i="23"/>
  <c r="C6" i="24" s="1"/>
  <c r="C5" i="23"/>
  <c r="B5" i="23"/>
  <c r="B6" i="24" s="1"/>
  <c r="A5" i="23"/>
  <c r="A6" i="24" s="1"/>
  <c r="J6" i="24" s="1"/>
  <c r="H4" i="23"/>
  <c r="I4" i="23" s="1"/>
  <c r="G4" i="23"/>
  <c r="F4" i="23"/>
  <c r="E4" i="23"/>
  <c r="D5" i="24" s="1"/>
  <c r="D4" i="23"/>
  <c r="C5" i="24" s="1"/>
  <c r="C4" i="23"/>
  <c r="B4" i="23"/>
  <c r="A4" i="23"/>
  <c r="A5" i="24" s="1"/>
  <c r="G3" i="23"/>
  <c r="F3" i="23"/>
  <c r="H3" i="23" s="1"/>
  <c r="I3" i="23" s="1"/>
  <c r="H4" i="24" s="1"/>
  <c r="E3" i="23"/>
  <c r="D4" i="24" s="1"/>
  <c r="D3" i="23"/>
  <c r="C4" i="24" s="1"/>
  <c r="C3" i="23"/>
  <c r="B3" i="23"/>
  <c r="B4" i="24" s="1"/>
  <c r="A3" i="23"/>
  <c r="A4" i="24" s="1"/>
  <c r="G2" i="22"/>
  <c r="D2" i="22"/>
  <c r="G1003" i="21"/>
  <c r="E1003" i="21"/>
  <c r="C1003" i="21"/>
  <c r="B1003" i="21"/>
  <c r="G1002" i="21"/>
  <c r="E1002" i="21"/>
  <c r="C1002" i="21"/>
  <c r="B1002" i="21"/>
  <c r="G1001" i="21"/>
  <c r="E1001" i="21"/>
  <c r="C1001" i="21"/>
  <c r="B1001" i="21"/>
  <c r="G1000" i="21"/>
  <c r="E1000" i="21"/>
  <c r="C1000" i="21"/>
  <c r="B1000" i="21"/>
  <c r="G999" i="21"/>
  <c r="E999" i="21"/>
  <c r="C999" i="21"/>
  <c r="B999" i="21"/>
  <c r="G998" i="21"/>
  <c r="E998" i="21"/>
  <c r="C998" i="21"/>
  <c r="B998" i="21"/>
  <c r="G997" i="21"/>
  <c r="E997" i="21"/>
  <c r="C997" i="21"/>
  <c r="B997" i="21"/>
  <c r="G996" i="21"/>
  <c r="E996" i="21"/>
  <c r="C996" i="21"/>
  <c r="B996" i="21"/>
  <c r="G995" i="21"/>
  <c r="E995" i="21"/>
  <c r="C995" i="21"/>
  <c r="B995" i="21"/>
  <c r="G994" i="21"/>
  <c r="E994" i="21"/>
  <c r="C994" i="21"/>
  <c r="B994" i="21"/>
  <c r="G993" i="21"/>
  <c r="E993" i="21"/>
  <c r="C993" i="21"/>
  <c r="B993" i="21"/>
  <c r="G992" i="21"/>
  <c r="E992" i="21"/>
  <c r="C992" i="21"/>
  <c r="B992" i="21"/>
  <c r="G991" i="21"/>
  <c r="E991" i="21"/>
  <c r="C991" i="21"/>
  <c r="B991" i="21"/>
  <c r="G990" i="21"/>
  <c r="E990" i="21"/>
  <c r="C990" i="21"/>
  <c r="B990" i="21"/>
  <c r="G989" i="21"/>
  <c r="E989" i="21"/>
  <c r="C989" i="21"/>
  <c r="B989" i="21"/>
  <c r="G988" i="21"/>
  <c r="E988" i="21"/>
  <c r="C988" i="21"/>
  <c r="B988" i="21"/>
  <c r="G987" i="21"/>
  <c r="E987" i="21"/>
  <c r="C987" i="21"/>
  <c r="B987" i="21"/>
  <c r="G986" i="21"/>
  <c r="E986" i="21"/>
  <c r="C986" i="21"/>
  <c r="B986" i="21"/>
  <c r="G985" i="21"/>
  <c r="E985" i="21"/>
  <c r="C985" i="21"/>
  <c r="B985" i="21"/>
  <c r="G984" i="21"/>
  <c r="E984" i="21"/>
  <c r="C984" i="21"/>
  <c r="B984" i="21"/>
  <c r="G983" i="21"/>
  <c r="E983" i="21"/>
  <c r="C983" i="21"/>
  <c r="B983" i="21"/>
  <c r="G982" i="21"/>
  <c r="E982" i="21"/>
  <c r="C982" i="21"/>
  <c r="B982" i="21"/>
  <c r="G981" i="21"/>
  <c r="E981" i="21"/>
  <c r="C981" i="21"/>
  <c r="B981" i="21"/>
  <c r="G980" i="21"/>
  <c r="E980" i="21"/>
  <c r="C980" i="21"/>
  <c r="B980" i="21"/>
  <c r="G979" i="21"/>
  <c r="E979" i="21"/>
  <c r="C979" i="21"/>
  <c r="B979" i="21"/>
  <c r="G978" i="21"/>
  <c r="E978" i="21"/>
  <c r="C978" i="21"/>
  <c r="B978" i="21"/>
  <c r="G977" i="21"/>
  <c r="E977" i="21"/>
  <c r="C977" i="21"/>
  <c r="B977" i="21"/>
  <c r="G976" i="21"/>
  <c r="E976" i="21"/>
  <c r="C976" i="21"/>
  <c r="B976" i="21"/>
  <c r="G975" i="21"/>
  <c r="E975" i="21"/>
  <c r="C975" i="21"/>
  <c r="B975" i="21"/>
  <c r="G974" i="21"/>
  <c r="E974" i="21"/>
  <c r="C974" i="21"/>
  <c r="B974" i="21"/>
  <c r="G973" i="21"/>
  <c r="E973" i="21"/>
  <c r="C973" i="21"/>
  <c r="B973" i="21"/>
  <c r="G972" i="21"/>
  <c r="E972" i="21"/>
  <c r="C972" i="21"/>
  <c r="B972" i="21"/>
  <c r="G971" i="21"/>
  <c r="E971" i="21"/>
  <c r="C971" i="21"/>
  <c r="B971" i="21"/>
  <c r="G970" i="21"/>
  <c r="E970" i="21"/>
  <c r="C970" i="21"/>
  <c r="B970" i="21"/>
  <c r="G969" i="21"/>
  <c r="E969" i="21"/>
  <c r="C969" i="21"/>
  <c r="B969" i="21"/>
  <c r="G968" i="21"/>
  <c r="E968" i="21"/>
  <c r="C968" i="21"/>
  <c r="B968" i="21"/>
  <c r="G967" i="21"/>
  <c r="E967" i="21"/>
  <c r="C967" i="21"/>
  <c r="B967" i="21"/>
  <c r="G966" i="21"/>
  <c r="E966" i="21"/>
  <c r="C966" i="21"/>
  <c r="B966" i="21"/>
  <c r="G965" i="21"/>
  <c r="E965" i="21"/>
  <c r="C965" i="21"/>
  <c r="B965" i="21"/>
  <c r="G964" i="21"/>
  <c r="E964" i="21"/>
  <c r="C964" i="21"/>
  <c r="B964" i="21"/>
  <c r="G963" i="21"/>
  <c r="E963" i="21"/>
  <c r="C963" i="21"/>
  <c r="B963" i="21"/>
  <c r="G962" i="21"/>
  <c r="E962" i="21"/>
  <c r="C962" i="21"/>
  <c r="B962" i="21"/>
  <c r="G961" i="21"/>
  <c r="E961" i="21"/>
  <c r="C961" i="21"/>
  <c r="B961" i="21"/>
  <c r="G960" i="21"/>
  <c r="E960" i="21"/>
  <c r="C960" i="21"/>
  <c r="B960" i="21"/>
  <c r="G959" i="21"/>
  <c r="E959" i="21"/>
  <c r="C959" i="21"/>
  <c r="B959" i="21"/>
  <c r="G958" i="21"/>
  <c r="E958" i="21"/>
  <c r="C958" i="21"/>
  <c r="B958" i="21"/>
  <c r="G957" i="21"/>
  <c r="E957" i="21"/>
  <c r="C957" i="21"/>
  <c r="B957" i="21"/>
  <c r="G956" i="21"/>
  <c r="E956" i="21"/>
  <c r="C956" i="21"/>
  <c r="B956" i="21"/>
  <c r="G955" i="21"/>
  <c r="E955" i="21"/>
  <c r="C955" i="21"/>
  <c r="B955" i="21"/>
  <c r="G954" i="21"/>
  <c r="E954" i="21"/>
  <c r="C954" i="21"/>
  <c r="B954" i="21"/>
  <c r="G953" i="21"/>
  <c r="E953" i="21"/>
  <c r="C953" i="21"/>
  <c r="B953" i="21"/>
  <c r="G952" i="21"/>
  <c r="E952" i="21"/>
  <c r="C952" i="21"/>
  <c r="B952" i="21"/>
  <c r="G951" i="21"/>
  <c r="E951" i="21"/>
  <c r="C951" i="21"/>
  <c r="B951" i="21"/>
  <c r="G950" i="21"/>
  <c r="E950" i="21"/>
  <c r="C950" i="21"/>
  <c r="B950" i="21"/>
  <c r="G949" i="21"/>
  <c r="E949" i="21"/>
  <c r="C949" i="21"/>
  <c r="B949" i="21"/>
  <c r="G948" i="21"/>
  <c r="E948" i="21"/>
  <c r="C948" i="21"/>
  <c r="B948" i="21"/>
  <c r="G947" i="21"/>
  <c r="E947" i="21"/>
  <c r="C947" i="21"/>
  <c r="B947" i="21"/>
  <c r="G946" i="21"/>
  <c r="E946" i="21"/>
  <c r="C946" i="21"/>
  <c r="B946" i="21"/>
  <c r="G945" i="21"/>
  <c r="E945" i="21"/>
  <c r="C945" i="21"/>
  <c r="B945" i="21"/>
  <c r="G944" i="21"/>
  <c r="E944" i="21"/>
  <c r="C944" i="21"/>
  <c r="B944" i="21"/>
  <c r="G943" i="21"/>
  <c r="E943" i="21"/>
  <c r="C943" i="21"/>
  <c r="B943" i="21"/>
  <c r="G942" i="21"/>
  <c r="E942" i="21"/>
  <c r="C942" i="21"/>
  <c r="B942" i="21"/>
  <c r="G941" i="21"/>
  <c r="E941" i="21"/>
  <c r="C941" i="21"/>
  <c r="B941" i="21"/>
  <c r="G940" i="21"/>
  <c r="E940" i="21"/>
  <c r="C940" i="21"/>
  <c r="B940" i="21"/>
  <c r="G939" i="21"/>
  <c r="E939" i="21"/>
  <c r="C939" i="21"/>
  <c r="B939" i="21"/>
  <c r="G938" i="21"/>
  <c r="E938" i="21"/>
  <c r="C938" i="21"/>
  <c r="B938" i="21"/>
  <c r="G937" i="21"/>
  <c r="E937" i="21"/>
  <c r="C937" i="21"/>
  <c r="B937" i="21"/>
  <c r="G936" i="21"/>
  <c r="E936" i="21"/>
  <c r="C936" i="21"/>
  <c r="B936" i="21"/>
  <c r="G935" i="21"/>
  <c r="E935" i="21"/>
  <c r="C935" i="21"/>
  <c r="B935" i="21"/>
  <c r="G934" i="21"/>
  <c r="E934" i="21"/>
  <c r="C934" i="21"/>
  <c r="B934" i="21"/>
  <c r="G933" i="21"/>
  <c r="E933" i="21"/>
  <c r="C933" i="21"/>
  <c r="B933" i="21"/>
  <c r="G932" i="21"/>
  <c r="E932" i="21"/>
  <c r="C932" i="21"/>
  <c r="B932" i="21"/>
  <c r="G931" i="21"/>
  <c r="E931" i="21"/>
  <c r="C931" i="21"/>
  <c r="B931" i="21"/>
  <c r="G930" i="21"/>
  <c r="E930" i="21"/>
  <c r="C930" i="21"/>
  <c r="B930" i="21"/>
  <c r="G929" i="21"/>
  <c r="E929" i="21"/>
  <c r="C929" i="21"/>
  <c r="B929" i="21"/>
  <c r="G928" i="21"/>
  <c r="E928" i="21"/>
  <c r="C928" i="21"/>
  <c r="B928" i="21"/>
  <c r="G927" i="21"/>
  <c r="E927" i="21"/>
  <c r="C927" i="21"/>
  <c r="B927" i="21"/>
  <c r="G926" i="21"/>
  <c r="E926" i="21"/>
  <c r="C926" i="21"/>
  <c r="B926" i="21"/>
  <c r="G925" i="21"/>
  <c r="E925" i="21"/>
  <c r="C925" i="21"/>
  <c r="B925" i="21"/>
  <c r="G924" i="21"/>
  <c r="E924" i="21"/>
  <c r="C924" i="21"/>
  <c r="B924" i="21"/>
  <c r="G923" i="21"/>
  <c r="E923" i="21"/>
  <c r="C923" i="21"/>
  <c r="B923" i="21"/>
  <c r="G922" i="21"/>
  <c r="E922" i="21"/>
  <c r="C922" i="21"/>
  <c r="B922" i="21"/>
  <c r="G921" i="21"/>
  <c r="E921" i="21"/>
  <c r="C921" i="21"/>
  <c r="B921" i="21"/>
  <c r="G920" i="21"/>
  <c r="E920" i="21"/>
  <c r="C920" i="21"/>
  <c r="B920" i="21"/>
  <c r="G919" i="21"/>
  <c r="E919" i="21"/>
  <c r="C919" i="21"/>
  <c r="B919" i="21"/>
  <c r="G918" i="21"/>
  <c r="E918" i="21"/>
  <c r="C918" i="21"/>
  <c r="B918" i="21"/>
  <c r="G917" i="21"/>
  <c r="E917" i="21"/>
  <c r="C917" i="21"/>
  <c r="B917" i="21"/>
  <c r="G916" i="21"/>
  <c r="E916" i="21"/>
  <c r="C916" i="21"/>
  <c r="B916" i="21"/>
  <c r="G915" i="21"/>
  <c r="E915" i="21"/>
  <c r="C915" i="21"/>
  <c r="B915" i="21"/>
  <c r="G914" i="21"/>
  <c r="E914" i="21"/>
  <c r="C914" i="21"/>
  <c r="B914" i="21"/>
  <c r="G913" i="21"/>
  <c r="E913" i="21"/>
  <c r="C913" i="21"/>
  <c r="B913" i="21"/>
  <c r="G912" i="21"/>
  <c r="E912" i="21"/>
  <c r="C912" i="21"/>
  <c r="B912" i="21"/>
  <c r="G911" i="21"/>
  <c r="E911" i="21"/>
  <c r="C911" i="21"/>
  <c r="B911" i="21"/>
  <c r="G910" i="21"/>
  <c r="E910" i="21"/>
  <c r="C910" i="21"/>
  <c r="B910" i="21"/>
  <c r="G909" i="21"/>
  <c r="E909" i="21"/>
  <c r="C909" i="21"/>
  <c r="B909" i="21"/>
  <c r="G908" i="21"/>
  <c r="E908" i="21"/>
  <c r="C908" i="21"/>
  <c r="B908" i="21"/>
  <c r="G907" i="21"/>
  <c r="E907" i="21"/>
  <c r="C907" i="21"/>
  <c r="B907" i="21"/>
  <c r="G906" i="21"/>
  <c r="E906" i="21"/>
  <c r="C906" i="21"/>
  <c r="B906" i="21"/>
  <c r="G905" i="21"/>
  <c r="E905" i="21"/>
  <c r="C905" i="21"/>
  <c r="B905" i="21"/>
  <c r="G904" i="21"/>
  <c r="E904" i="21"/>
  <c r="C904" i="21"/>
  <c r="B904" i="21"/>
  <c r="G903" i="21"/>
  <c r="E903" i="21"/>
  <c r="C903" i="21"/>
  <c r="B903" i="21"/>
  <c r="G902" i="21"/>
  <c r="E902" i="21"/>
  <c r="C902" i="21"/>
  <c r="B902" i="21"/>
  <c r="G901" i="21"/>
  <c r="E901" i="21"/>
  <c r="C901" i="21"/>
  <c r="B901" i="21"/>
  <c r="G900" i="21"/>
  <c r="E900" i="21"/>
  <c r="C900" i="21"/>
  <c r="B900" i="21"/>
  <c r="G899" i="21"/>
  <c r="E899" i="21"/>
  <c r="C899" i="21"/>
  <c r="B899" i="21"/>
  <c r="G898" i="21"/>
  <c r="E898" i="21"/>
  <c r="C898" i="21"/>
  <c r="B898" i="21"/>
  <c r="G897" i="21"/>
  <c r="E897" i="21"/>
  <c r="C897" i="21"/>
  <c r="B897" i="21"/>
  <c r="G896" i="21"/>
  <c r="E896" i="21"/>
  <c r="C896" i="21"/>
  <c r="B896" i="21"/>
  <c r="G895" i="21"/>
  <c r="E895" i="21"/>
  <c r="C895" i="21"/>
  <c r="B895" i="21"/>
  <c r="G894" i="21"/>
  <c r="E894" i="21"/>
  <c r="C894" i="21"/>
  <c r="B894" i="21"/>
  <c r="G893" i="21"/>
  <c r="E893" i="21"/>
  <c r="C893" i="21"/>
  <c r="B893" i="21"/>
  <c r="G892" i="21"/>
  <c r="E892" i="21"/>
  <c r="C892" i="21"/>
  <c r="B892" i="21"/>
  <c r="G891" i="21"/>
  <c r="E891" i="21"/>
  <c r="C891" i="21"/>
  <c r="B891" i="21"/>
  <c r="G890" i="21"/>
  <c r="E890" i="21"/>
  <c r="C890" i="21"/>
  <c r="B890" i="21"/>
  <c r="G889" i="21"/>
  <c r="E889" i="21"/>
  <c r="C889" i="21"/>
  <c r="B889" i="21"/>
  <c r="G888" i="21"/>
  <c r="E888" i="21"/>
  <c r="C888" i="21"/>
  <c r="B888" i="21"/>
  <c r="G887" i="21"/>
  <c r="E887" i="21"/>
  <c r="C887" i="21"/>
  <c r="B887" i="21"/>
  <c r="G886" i="21"/>
  <c r="E886" i="21"/>
  <c r="C886" i="21"/>
  <c r="B886" i="21"/>
  <c r="G885" i="21"/>
  <c r="E885" i="21"/>
  <c r="C885" i="21"/>
  <c r="B885" i="21"/>
  <c r="G884" i="21"/>
  <c r="E884" i="21"/>
  <c r="C884" i="21"/>
  <c r="B884" i="21"/>
  <c r="G883" i="21"/>
  <c r="E883" i="21"/>
  <c r="C883" i="21"/>
  <c r="B883" i="21"/>
  <c r="G882" i="21"/>
  <c r="E882" i="21"/>
  <c r="C882" i="21"/>
  <c r="B882" i="21"/>
  <c r="G881" i="21"/>
  <c r="E881" i="21"/>
  <c r="C881" i="21"/>
  <c r="B881" i="21"/>
  <c r="G880" i="21"/>
  <c r="E880" i="21"/>
  <c r="C880" i="21"/>
  <c r="B880" i="21"/>
  <c r="G879" i="21"/>
  <c r="E879" i="21"/>
  <c r="C879" i="21"/>
  <c r="B879" i="21"/>
  <c r="G878" i="21"/>
  <c r="E878" i="21"/>
  <c r="C878" i="21"/>
  <c r="B878" i="21"/>
  <c r="G877" i="21"/>
  <c r="E877" i="21"/>
  <c r="C877" i="21"/>
  <c r="B877" i="21"/>
  <c r="G876" i="21"/>
  <c r="E876" i="21"/>
  <c r="C876" i="21"/>
  <c r="B876" i="21"/>
  <c r="G875" i="21"/>
  <c r="E875" i="21"/>
  <c r="C875" i="21"/>
  <c r="B875" i="21"/>
  <c r="G874" i="21"/>
  <c r="E874" i="21"/>
  <c r="C874" i="21"/>
  <c r="B874" i="21"/>
  <c r="G873" i="21"/>
  <c r="E873" i="21"/>
  <c r="C873" i="21"/>
  <c r="B873" i="21"/>
  <c r="G872" i="21"/>
  <c r="E872" i="21"/>
  <c r="C872" i="21"/>
  <c r="B872" i="21"/>
  <c r="G871" i="21"/>
  <c r="E871" i="21"/>
  <c r="C871" i="21"/>
  <c r="B871" i="21"/>
  <c r="G870" i="21"/>
  <c r="E870" i="21"/>
  <c r="C870" i="21"/>
  <c r="B870" i="21"/>
  <c r="G869" i="21"/>
  <c r="E869" i="21"/>
  <c r="C869" i="21"/>
  <c r="B869" i="21"/>
  <c r="G868" i="21"/>
  <c r="E868" i="21"/>
  <c r="C868" i="21"/>
  <c r="B868" i="21"/>
  <c r="G867" i="21"/>
  <c r="E867" i="21"/>
  <c r="C867" i="21"/>
  <c r="B867" i="21"/>
  <c r="G866" i="21"/>
  <c r="E866" i="21"/>
  <c r="C866" i="21"/>
  <c r="B866" i="21"/>
  <c r="G865" i="21"/>
  <c r="E865" i="21"/>
  <c r="C865" i="21"/>
  <c r="B865" i="21"/>
  <c r="G864" i="21"/>
  <c r="E864" i="21"/>
  <c r="C864" i="21"/>
  <c r="B864" i="21"/>
  <c r="G863" i="21"/>
  <c r="E863" i="21"/>
  <c r="C863" i="21"/>
  <c r="B863" i="21"/>
  <c r="G862" i="21"/>
  <c r="E862" i="21"/>
  <c r="C862" i="21"/>
  <c r="B862" i="21"/>
  <c r="G861" i="21"/>
  <c r="E861" i="21"/>
  <c r="C861" i="21"/>
  <c r="B861" i="21"/>
  <c r="G860" i="21"/>
  <c r="E860" i="21"/>
  <c r="C860" i="21"/>
  <c r="B860" i="21"/>
  <c r="G859" i="21"/>
  <c r="E859" i="21"/>
  <c r="C859" i="21"/>
  <c r="B859" i="21"/>
  <c r="G858" i="21"/>
  <c r="E858" i="21"/>
  <c r="C858" i="21"/>
  <c r="B858" i="21"/>
  <c r="G857" i="21"/>
  <c r="E857" i="21"/>
  <c r="C857" i="21"/>
  <c r="B857" i="21"/>
  <c r="G856" i="21"/>
  <c r="E856" i="21"/>
  <c r="C856" i="21"/>
  <c r="B856" i="21"/>
  <c r="G855" i="21"/>
  <c r="E855" i="21"/>
  <c r="C855" i="21"/>
  <c r="B855" i="21"/>
  <c r="G854" i="21"/>
  <c r="E854" i="21"/>
  <c r="C854" i="21"/>
  <c r="B854" i="21"/>
  <c r="G853" i="21"/>
  <c r="E853" i="21"/>
  <c r="C853" i="21"/>
  <c r="B853" i="21"/>
  <c r="G852" i="21"/>
  <c r="E852" i="21"/>
  <c r="C852" i="21"/>
  <c r="B852" i="21"/>
  <c r="G851" i="21"/>
  <c r="E851" i="21"/>
  <c r="C851" i="21"/>
  <c r="B851" i="21"/>
  <c r="G850" i="21"/>
  <c r="E850" i="21"/>
  <c r="C850" i="21"/>
  <c r="B850" i="21"/>
  <c r="G849" i="21"/>
  <c r="E849" i="21"/>
  <c r="C849" i="21"/>
  <c r="B849" i="21"/>
  <c r="G848" i="21"/>
  <c r="E848" i="21"/>
  <c r="C848" i="21"/>
  <c r="B848" i="21"/>
  <c r="G847" i="21"/>
  <c r="E847" i="21"/>
  <c r="C847" i="21"/>
  <c r="B847" i="21"/>
  <c r="G846" i="21"/>
  <c r="E846" i="21"/>
  <c r="C846" i="21"/>
  <c r="B846" i="21"/>
  <c r="G845" i="21"/>
  <c r="E845" i="21"/>
  <c r="C845" i="21"/>
  <c r="B845" i="21"/>
  <c r="G844" i="21"/>
  <c r="E844" i="21"/>
  <c r="C844" i="21"/>
  <c r="B844" i="21"/>
  <c r="G843" i="21"/>
  <c r="E843" i="21"/>
  <c r="C843" i="21"/>
  <c r="B843" i="21"/>
  <c r="G842" i="21"/>
  <c r="E842" i="21"/>
  <c r="C842" i="21"/>
  <c r="B842" i="21"/>
  <c r="G841" i="21"/>
  <c r="E841" i="21"/>
  <c r="C841" i="21"/>
  <c r="B841" i="21"/>
  <c r="G840" i="21"/>
  <c r="E840" i="21"/>
  <c r="C840" i="21"/>
  <c r="B840" i="21"/>
  <c r="G839" i="21"/>
  <c r="E839" i="21"/>
  <c r="C839" i="21"/>
  <c r="B839" i="21"/>
  <c r="G838" i="21"/>
  <c r="E838" i="21"/>
  <c r="C838" i="21"/>
  <c r="B838" i="21"/>
  <c r="G837" i="21"/>
  <c r="E837" i="21"/>
  <c r="C837" i="21"/>
  <c r="B837" i="21"/>
  <c r="G836" i="21"/>
  <c r="E836" i="21"/>
  <c r="C836" i="21"/>
  <c r="B836" i="21"/>
  <c r="G835" i="21"/>
  <c r="E835" i="21"/>
  <c r="C835" i="21"/>
  <c r="B835" i="21"/>
  <c r="G834" i="21"/>
  <c r="E834" i="21"/>
  <c r="C834" i="21"/>
  <c r="B834" i="21"/>
  <c r="G833" i="21"/>
  <c r="E833" i="21"/>
  <c r="C833" i="21"/>
  <c r="B833" i="21"/>
  <c r="G832" i="21"/>
  <c r="E832" i="21"/>
  <c r="C832" i="21"/>
  <c r="B832" i="21"/>
  <c r="G831" i="21"/>
  <c r="E831" i="21"/>
  <c r="C831" i="21"/>
  <c r="B831" i="21"/>
  <c r="G830" i="21"/>
  <c r="E830" i="21"/>
  <c r="C830" i="21"/>
  <c r="B830" i="21"/>
  <c r="G829" i="21"/>
  <c r="E829" i="21"/>
  <c r="C829" i="21"/>
  <c r="B829" i="21"/>
  <c r="G828" i="21"/>
  <c r="E828" i="21"/>
  <c r="C828" i="21"/>
  <c r="B828" i="21"/>
  <c r="G827" i="21"/>
  <c r="E827" i="21"/>
  <c r="C827" i="21"/>
  <c r="B827" i="21"/>
  <c r="G826" i="21"/>
  <c r="E826" i="21"/>
  <c r="C826" i="21"/>
  <c r="B826" i="21"/>
  <c r="G825" i="21"/>
  <c r="E825" i="21"/>
  <c r="C825" i="21"/>
  <c r="B825" i="21"/>
  <c r="G824" i="21"/>
  <c r="E824" i="21"/>
  <c r="C824" i="21"/>
  <c r="B824" i="21"/>
  <c r="G823" i="21"/>
  <c r="E823" i="21"/>
  <c r="C823" i="21"/>
  <c r="B823" i="21"/>
  <c r="G822" i="21"/>
  <c r="E822" i="21"/>
  <c r="C822" i="21"/>
  <c r="B822" i="21"/>
  <c r="G821" i="21"/>
  <c r="E821" i="21"/>
  <c r="C821" i="21"/>
  <c r="B821" i="21"/>
  <c r="G820" i="21"/>
  <c r="E820" i="21"/>
  <c r="C820" i="21"/>
  <c r="B820" i="21"/>
  <c r="G819" i="21"/>
  <c r="E819" i="21"/>
  <c r="C819" i="21"/>
  <c r="B819" i="21"/>
  <c r="G818" i="21"/>
  <c r="E818" i="21"/>
  <c r="C818" i="21"/>
  <c r="B818" i="21"/>
  <c r="G817" i="21"/>
  <c r="E817" i="21"/>
  <c r="C817" i="21"/>
  <c r="B817" i="21"/>
  <c r="G816" i="21"/>
  <c r="E816" i="21"/>
  <c r="C816" i="21"/>
  <c r="B816" i="21"/>
  <c r="G815" i="21"/>
  <c r="E815" i="21"/>
  <c r="C815" i="21"/>
  <c r="B815" i="21"/>
  <c r="G814" i="21"/>
  <c r="E814" i="21"/>
  <c r="C814" i="21"/>
  <c r="B814" i="21"/>
  <c r="G813" i="21"/>
  <c r="E813" i="21"/>
  <c r="C813" i="21"/>
  <c r="B813" i="21"/>
  <c r="G812" i="21"/>
  <c r="E812" i="21"/>
  <c r="C812" i="21"/>
  <c r="B812" i="21"/>
  <c r="G811" i="21"/>
  <c r="E811" i="21"/>
  <c r="C811" i="21"/>
  <c r="B811" i="21"/>
  <c r="G810" i="21"/>
  <c r="E810" i="21"/>
  <c r="C810" i="21"/>
  <c r="B810" i="21"/>
  <c r="G809" i="21"/>
  <c r="E809" i="21"/>
  <c r="C809" i="21"/>
  <c r="B809" i="21"/>
  <c r="G808" i="21"/>
  <c r="E808" i="21"/>
  <c r="C808" i="21"/>
  <c r="B808" i="21"/>
  <c r="G807" i="21"/>
  <c r="E807" i="21"/>
  <c r="C807" i="21"/>
  <c r="B807" i="21"/>
  <c r="G806" i="21"/>
  <c r="E806" i="21"/>
  <c r="C806" i="21"/>
  <c r="B806" i="21"/>
  <c r="G805" i="21"/>
  <c r="E805" i="21"/>
  <c r="C805" i="21"/>
  <c r="B805" i="21"/>
  <c r="G804" i="21"/>
  <c r="E804" i="21"/>
  <c r="C804" i="21"/>
  <c r="B804" i="21"/>
  <c r="G803" i="21"/>
  <c r="E803" i="21"/>
  <c r="C803" i="21"/>
  <c r="B803" i="21"/>
  <c r="G802" i="21"/>
  <c r="E802" i="21"/>
  <c r="C802" i="21"/>
  <c r="B802" i="21"/>
  <c r="G801" i="21"/>
  <c r="E801" i="21"/>
  <c r="C801" i="21"/>
  <c r="B801" i="21"/>
  <c r="G800" i="21"/>
  <c r="E800" i="21"/>
  <c r="C800" i="21"/>
  <c r="B800" i="21"/>
  <c r="G799" i="21"/>
  <c r="E799" i="21"/>
  <c r="C799" i="21"/>
  <c r="B799" i="21"/>
  <c r="G798" i="21"/>
  <c r="E798" i="21"/>
  <c r="C798" i="21"/>
  <c r="B798" i="21"/>
  <c r="G797" i="21"/>
  <c r="E797" i="21"/>
  <c r="C797" i="21"/>
  <c r="B797" i="21"/>
  <c r="G796" i="21"/>
  <c r="E796" i="21"/>
  <c r="C796" i="21"/>
  <c r="B796" i="21"/>
  <c r="G795" i="21"/>
  <c r="E795" i="21"/>
  <c r="C795" i="21"/>
  <c r="B795" i="21"/>
  <c r="G794" i="21"/>
  <c r="E794" i="21"/>
  <c r="C794" i="21"/>
  <c r="B794" i="21"/>
  <c r="G793" i="21"/>
  <c r="E793" i="21"/>
  <c r="C793" i="21"/>
  <c r="B793" i="21"/>
  <c r="G792" i="21"/>
  <c r="E792" i="21"/>
  <c r="C792" i="21"/>
  <c r="B792" i="21"/>
  <c r="G791" i="21"/>
  <c r="E791" i="21"/>
  <c r="C791" i="21"/>
  <c r="B791" i="21"/>
  <c r="G790" i="21"/>
  <c r="E790" i="21"/>
  <c r="C790" i="21"/>
  <c r="B790" i="21"/>
  <c r="G789" i="21"/>
  <c r="E789" i="21"/>
  <c r="C789" i="21"/>
  <c r="B789" i="21"/>
  <c r="G788" i="21"/>
  <c r="E788" i="21"/>
  <c r="C788" i="21"/>
  <c r="B788" i="21"/>
  <c r="G787" i="21"/>
  <c r="E787" i="21"/>
  <c r="C787" i="21"/>
  <c r="B787" i="21"/>
  <c r="G786" i="21"/>
  <c r="E786" i="21"/>
  <c r="C786" i="21"/>
  <c r="B786" i="21"/>
  <c r="G785" i="21"/>
  <c r="E785" i="21"/>
  <c r="C785" i="21"/>
  <c r="B785" i="21"/>
  <c r="G784" i="21"/>
  <c r="E784" i="21"/>
  <c r="C784" i="21"/>
  <c r="B784" i="21"/>
  <c r="G783" i="21"/>
  <c r="E783" i="21"/>
  <c r="C783" i="21"/>
  <c r="B783" i="21"/>
  <c r="G782" i="21"/>
  <c r="E782" i="21"/>
  <c r="C782" i="21"/>
  <c r="B782" i="21"/>
  <c r="G781" i="21"/>
  <c r="E781" i="21"/>
  <c r="C781" i="21"/>
  <c r="B781" i="21"/>
  <c r="G780" i="21"/>
  <c r="E780" i="21"/>
  <c r="C780" i="21"/>
  <c r="B780" i="21"/>
  <c r="G779" i="21"/>
  <c r="E779" i="21"/>
  <c r="C779" i="21"/>
  <c r="B779" i="21"/>
  <c r="G778" i="21"/>
  <c r="E778" i="21"/>
  <c r="C778" i="21"/>
  <c r="B778" i="21"/>
  <c r="G777" i="21"/>
  <c r="E777" i="21"/>
  <c r="C777" i="21"/>
  <c r="B777" i="21"/>
  <c r="G776" i="21"/>
  <c r="E776" i="21"/>
  <c r="C776" i="21"/>
  <c r="B776" i="21"/>
  <c r="G775" i="21"/>
  <c r="E775" i="21"/>
  <c r="C775" i="21"/>
  <c r="B775" i="21"/>
  <c r="G774" i="21"/>
  <c r="E774" i="21"/>
  <c r="C774" i="21"/>
  <c r="B774" i="21"/>
  <c r="G773" i="21"/>
  <c r="E773" i="21"/>
  <c r="C773" i="21"/>
  <c r="B773" i="21"/>
  <c r="G772" i="21"/>
  <c r="E772" i="21"/>
  <c r="C772" i="21"/>
  <c r="B772" i="21"/>
  <c r="G771" i="21"/>
  <c r="E771" i="21"/>
  <c r="C771" i="21"/>
  <c r="B771" i="21"/>
  <c r="G770" i="21"/>
  <c r="E770" i="21"/>
  <c r="C770" i="21"/>
  <c r="B770" i="21"/>
  <c r="G769" i="21"/>
  <c r="E769" i="21"/>
  <c r="C769" i="21"/>
  <c r="B769" i="21"/>
  <c r="G768" i="21"/>
  <c r="E768" i="21"/>
  <c r="C768" i="21"/>
  <c r="B768" i="21"/>
  <c r="G767" i="21"/>
  <c r="E767" i="21"/>
  <c r="C767" i="21"/>
  <c r="B767" i="21"/>
  <c r="G766" i="21"/>
  <c r="E766" i="21"/>
  <c r="C766" i="21"/>
  <c r="B766" i="21"/>
  <c r="G765" i="21"/>
  <c r="E765" i="21"/>
  <c r="C765" i="21"/>
  <c r="B765" i="21"/>
  <c r="G764" i="21"/>
  <c r="E764" i="21"/>
  <c r="C764" i="21"/>
  <c r="B764" i="21"/>
  <c r="G763" i="21"/>
  <c r="E763" i="21"/>
  <c r="C763" i="21"/>
  <c r="B763" i="21"/>
  <c r="G762" i="21"/>
  <c r="E762" i="21"/>
  <c r="C762" i="21"/>
  <c r="B762" i="21"/>
  <c r="G761" i="21"/>
  <c r="E761" i="21"/>
  <c r="C761" i="21"/>
  <c r="B761" i="21"/>
  <c r="G760" i="21"/>
  <c r="E760" i="21"/>
  <c r="C760" i="21"/>
  <c r="B760" i="21"/>
  <c r="G759" i="21"/>
  <c r="E759" i="21"/>
  <c r="C759" i="21"/>
  <c r="B759" i="21"/>
  <c r="G758" i="21"/>
  <c r="E758" i="21"/>
  <c r="C758" i="21"/>
  <c r="B758" i="21"/>
  <c r="G757" i="21"/>
  <c r="E757" i="21"/>
  <c r="C757" i="21"/>
  <c r="B757" i="21"/>
  <c r="G756" i="21"/>
  <c r="E756" i="21"/>
  <c r="C756" i="21"/>
  <c r="B756" i="21"/>
  <c r="G755" i="21"/>
  <c r="E755" i="21"/>
  <c r="C755" i="21"/>
  <c r="B755" i="21"/>
  <c r="G754" i="21"/>
  <c r="E754" i="21"/>
  <c r="C754" i="21"/>
  <c r="B754" i="21"/>
  <c r="G753" i="21"/>
  <c r="E753" i="21"/>
  <c r="C753" i="21"/>
  <c r="B753" i="21"/>
  <c r="G752" i="21"/>
  <c r="E752" i="21"/>
  <c r="C752" i="21"/>
  <c r="B752" i="21"/>
  <c r="G751" i="21"/>
  <c r="E751" i="21"/>
  <c r="C751" i="21"/>
  <c r="B751" i="21"/>
  <c r="G750" i="21"/>
  <c r="E750" i="21"/>
  <c r="C750" i="21"/>
  <c r="B750" i="21"/>
  <c r="G749" i="21"/>
  <c r="E749" i="21"/>
  <c r="C749" i="21"/>
  <c r="B749" i="21"/>
  <c r="G748" i="21"/>
  <c r="E748" i="21"/>
  <c r="C748" i="21"/>
  <c r="B748" i="21"/>
  <c r="G747" i="21"/>
  <c r="E747" i="21"/>
  <c r="C747" i="21"/>
  <c r="B747" i="21"/>
  <c r="G746" i="21"/>
  <c r="E746" i="21"/>
  <c r="C746" i="21"/>
  <c r="B746" i="21"/>
  <c r="G745" i="21"/>
  <c r="E745" i="21"/>
  <c r="C745" i="21"/>
  <c r="B745" i="21"/>
  <c r="G744" i="21"/>
  <c r="E744" i="21"/>
  <c r="C744" i="21"/>
  <c r="B744" i="21"/>
  <c r="G743" i="21"/>
  <c r="E743" i="21"/>
  <c r="C743" i="21"/>
  <c r="B743" i="21"/>
  <c r="G742" i="21"/>
  <c r="E742" i="21"/>
  <c r="C742" i="21"/>
  <c r="B742" i="21"/>
  <c r="G741" i="21"/>
  <c r="E741" i="21"/>
  <c r="C741" i="21"/>
  <c r="B741" i="21"/>
  <c r="G740" i="21"/>
  <c r="E740" i="21"/>
  <c r="C740" i="21"/>
  <c r="B740" i="21"/>
  <c r="G739" i="21"/>
  <c r="E739" i="21"/>
  <c r="C739" i="21"/>
  <c r="B739" i="21"/>
  <c r="G738" i="21"/>
  <c r="E738" i="21"/>
  <c r="C738" i="21"/>
  <c r="B738" i="21"/>
  <c r="G737" i="21"/>
  <c r="E737" i="21"/>
  <c r="C737" i="21"/>
  <c r="B737" i="21"/>
  <c r="G736" i="21"/>
  <c r="E736" i="21"/>
  <c r="C736" i="21"/>
  <c r="B736" i="21"/>
  <c r="G735" i="21"/>
  <c r="E735" i="21"/>
  <c r="C735" i="21"/>
  <c r="B735" i="21"/>
  <c r="G734" i="21"/>
  <c r="E734" i="21"/>
  <c r="C734" i="21"/>
  <c r="B734" i="21"/>
  <c r="G733" i="21"/>
  <c r="E733" i="21"/>
  <c r="C733" i="21"/>
  <c r="B733" i="21"/>
  <c r="G732" i="21"/>
  <c r="E732" i="21"/>
  <c r="C732" i="21"/>
  <c r="B732" i="21"/>
  <c r="G731" i="21"/>
  <c r="E731" i="21"/>
  <c r="C731" i="21"/>
  <c r="B731" i="21"/>
  <c r="G730" i="21"/>
  <c r="E730" i="21"/>
  <c r="C730" i="21"/>
  <c r="B730" i="21"/>
  <c r="G729" i="21"/>
  <c r="E729" i="21"/>
  <c r="C729" i="21"/>
  <c r="B729" i="21"/>
  <c r="G728" i="21"/>
  <c r="E728" i="21"/>
  <c r="C728" i="21"/>
  <c r="B728" i="21"/>
  <c r="G727" i="21"/>
  <c r="E727" i="21"/>
  <c r="C727" i="21"/>
  <c r="B727" i="21"/>
  <c r="G726" i="21"/>
  <c r="E726" i="21"/>
  <c r="C726" i="21"/>
  <c r="B726" i="21"/>
  <c r="G725" i="21"/>
  <c r="E725" i="21"/>
  <c r="C725" i="21"/>
  <c r="B725" i="21"/>
  <c r="G724" i="21"/>
  <c r="E724" i="21"/>
  <c r="C724" i="21"/>
  <c r="B724" i="21"/>
  <c r="G723" i="21"/>
  <c r="E723" i="21"/>
  <c r="C723" i="21"/>
  <c r="B723" i="21"/>
  <c r="G722" i="21"/>
  <c r="E722" i="21"/>
  <c r="C722" i="21"/>
  <c r="B722" i="21"/>
  <c r="G721" i="21"/>
  <c r="E721" i="21"/>
  <c r="C721" i="21"/>
  <c r="B721" i="21"/>
  <c r="G720" i="21"/>
  <c r="E720" i="21"/>
  <c r="C720" i="21"/>
  <c r="B720" i="21"/>
  <c r="G719" i="21"/>
  <c r="E719" i="21"/>
  <c r="C719" i="21"/>
  <c r="B719" i="21"/>
  <c r="G718" i="21"/>
  <c r="E718" i="21"/>
  <c r="C718" i="21"/>
  <c r="B718" i="21"/>
  <c r="G717" i="21"/>
  <c r="E717" i="21"/>
  <c r="C717" i="21"/>
  <c r="B717" i="21"/>
  <c r="G716" i="21"/>
  <c r="E716" i="21"/>
  <c r="C716" i="21"/>
  <c r="B716" i="21"/>
  <c r="G715" i="21"/>
  <c r="E715" i="21"/>
  <c r="C715" i="21"/>
  <c r="B715" i="21"/>
  <c r="G714" i="21"/>
  <c r="E714" i="21"/>
  <c r="C714" i="21"/>
  <c r="B714" i="21"/>
  <c r="G713" i="21"/>
  <c r="E713" i="21"/>
  <c r="C713" i="21"/>
  <c r="B713" i="21"/>
  <c r="G712" i="21"/>
  <c r="E712" i="21"/>
  <c r="C712" i="21"/>
  <c r="B712" i="21"/>
  <c r="G711" i="21"/>
  <c r="E711" i="21"/>
  <c r="C711" i="21"/>
  <c r="B711" i="21"/>
  <c r="G710" i="21"/>
  <c r="E710" i="21"/>
  <c r="C710" i="21"/>
  <c r="B710" i="21"/>
  <c r="G709" i="21"/>
  <c r="E709" i="21"/>
  <c r="C709" i="21"/>
  <c r="B709" i="21"/>
  <c r="G708" i="21"/>
  <c r="E708" i="21"/>
  <c r="C708" i="21"/>
  <c r="B708" i="21"/>
  <c r="G707" i="21"/>
  <c r="E707" i="21"/>
  <c r="C707" i="21"/>
  <c r="B707" i="21"/>
  <c r="G706" i="21"/>
  <c r="E706" i="21"/>
  <c r="C706" i="21"/>
  <c r="B706" i="21"/>
  <c r="G705" i="21"/>
  <c r="E705" i="21"/>
  <c r="C705" i="21"/>
  <c r="B705" i="21"/>
  <c r="G704" i="21"/>
  <c r="E704" i="21"/>
  <c r="C704" i="21"/>
  <c r="B704" i="21"/>
  <c r="G703" i="21"/>
  <c r="E703" i="21"/>
  <c r="C703" i="21"/>
  <c r="B703" i="21"/>
  <c r="G702" i="21"/>
  <c r="E702" i="21"/>
  <c r="C702" i="21"/>
  <c r="B702" i="21"/>
  <c r="G701" i="21"/>
  <c r="E701" i="21"/>
  <c r="C701" i="21"/>
  <c r="B701" i="21"/>
  <c r="G700" i="21"/>
  <c r="E700" i="21"/>
  <c r="C700" i="21"/>
  <c r="B700" i="21"/>
  <c r="G699" i="21"/>
  <c r="E699" i="21"/>
  <c r="C699" i="21"/>
  <c r="B699" i="21"/>
  <c r="G698" i="21"/>
  <c r="E698" i="21"/>
  <c r="C698" i="21"/>
  <c r="B698" i="21"/>
  <c r="G697" i="21"/>
  <c r="E697" i="21"/>
  <c r="C697" i="21"/>
  <c r="B697" i="21"/>
  <c r="G696" i="21"/>
  <c r="E696" i="21"/>
  <c r="C696" i="21"/>
  <c r="B696" i="21"/>
  <c r="G695" i="21"/>
  <c r="E695" i="21"/>
  <c r="C695" i="21"/>
  <c r="B695" i="21"/>
  <c r="G694" i="21"/>
  <c r="E694" i="21"/>
  <c r="C694" i="21"/>
  <c r="B694" i="21"/>
  <c r="G693" i="21"/>
  <c r="E693" i="21"/>
  <c r="C693" i="21"/>
  <c r="B693" i="21"/>
  <c r="G692" i="21"/>
  <c r="E692" i="21"/>
  <c r="C692" i="21"/>
  <c r="B692" i="21"/>
  <c r="G691" i="21"/>
  <c r="E691" i="21"/>
  <c r="C691" i="21"/>
  <c r="B691" i="21"/>
  <c r="G690" i="21"/>
  <c r="E690" i="21"/>
  <c r="C690" i="21"/>
  <c r="B690" i="21"/>
  <c r="G689" i="21"/>
  <c r="E689" i="21"/>
  <c r="C689" i="21"/>
  <c r="B689" i="21"/>
  <c r="G688" i="21"/>
  <c r="E688" i="21"/>
  <c r="C688" i="21"/>
  <c r="B688" i="21"/>
  <c r="G687" i="21"/>
  <c r="E687" i="21"/>
  <c r="C687" i="21"/>
  <c r="B687" i="21"/>
  <c r="G686" i="21"/>
  <c r="E686" i="21"/>
  <c r="C686" i="21"/>
  <c r="B686" i="21"/>
  <c r="G685" i="21"/>
  <c r="E685" i="21"/>
  <c r="C685" i="21"/>
  <c r="B685" i="21"/>
  <c r="G684" i="21"/>
  <c r="E684" i="21"/>
  <c r="C684" i="21"/>
  <c r="B684" i="21"/>
  <c r="G683" i="21"/>
  <c r="E683" i="21"/>
  <c r="C683" i="21"/>
  <c r="B683" i="21"/>
  <c r="G682" i="21"/>
  <c r="E682" i="21"/>
  <c r="C682" i="21"/>
  <c r="B682" i="21"/>
  <c r="G681" i="21"/>
  <c r="E681" i="21"/>
  <c r="C681" i="21"/>
  <c r="B681" i="21"/>
  <c r="G680" i="21"/>
  <c r="E680" i="21"/>
  <c r="C680" i="21"/>
  <c r="B680" i="21"/>
  <c r="G679" i="21"/>
  <c r="E679" i="21"/>
  <c r="C679" i="21"/>
  <c r="B679" i="21"/>
  <c r="G678" i="21"/>
  <c r="E678" i="21"/>
  <c r="C678" i="21"/>
  <c r="B678" i="21"/>
  <c r="G677" i="21"/>
  <c r="E677" i="21"/>
  <c r="C677" i="21"/>
  <c r="B677" i="21"/>
  <c r="G676" i="21"/>
  <c r="E676" i="21"/>
  <c r="C676" i="21"/>
  <c r="B676" i="21"/>
  <c r="G675" i="21"/>
  <c r="E675" i="21"/>
  <c r="C675" i="21"/>
  <c r="B675" i="21"/>
  <c r="G674" i="21"/>
  <c r="E674" i="21"/>
  <c r="C674" i="21"/>
  <c r="B674" i="21"/>
  <c r="G673" i="21"/>
  <c r="E673" i="21"/>
  <c r="C673" i="21"/>
  <c r="B673" i="21"/>
  <c r="G672" i="21"/>
  <c r="E672" i="21"/>
  <c r="C672" i="21"/>
  <c r="B672" i="21"/>
  <c r="G671" i="21"/>
  <c r="E671" i="21"/>
  <c r="C671" i="21"/>
  <c r="B671" i="21"/>
  <c r="G670" i="21"/>
  <c r="E670" i="21"/>
  <c r="C670" i="21"/>
  <c r="B670" i="21"/>
  <c r="G669" i="21"/>
  <c r="E669" i="21"/>
  <c r="C669" i="21"/>
  <c r="B669" i="21"/>
  <c r="G668" i="21"/>
  <c r="E668" i="21"/>
  <c r="C668" i="21"/>
  <c r="B668" i="21"/>
  <c r="G667" i="21"/>
  <c r="E667" i="21"/>
  <c r="C667" i="21"/>
  <c r="B667" i="21"/>
  <c r="G666" i="21"/>
  <c r="E666" i="21"/>
  <c r="C666" i="21"/>
  <c r="B666" i="21"/>
  <c r="G665" i="21"/>
  <c r="E665" i="21"/>
  <c r="C665" i="21"/>
  <c r="B665" i="21"/>
  <c r="G664" i="21"/>
  <c r="E664" i="21"/>
  <c r="C664" i="21"/>
  <c r="B664" i="21"/>
  <c r="G663" i="21"/>
  <c r="E663" i="21"/>
  <c r="C663" i="21"/>
  <c r="B663" i="21"/>
  <c r="G662" i="21"/>
  <c r="E662" i="21"/>
  <c r="C662" i="21"/>
  <c r="B662" i="21"/>
  <c r="G661" i="21"/>
  <c r="E661" i="21"/>
  <c r="C661" i="21"/>
  <c r="B661" i="21"/>
  <c r="G660" i="21"/>
  <c r="E660" i="21"/>
  <c r="C660" i="21"/>
  <c r="B660" i="21"/>
  <c r="G659" i="21"/>
  <c r="E659" i="21"/>
  <c r="C659" i="21"/>
  <c r="B659" i="21"/>
  <c r="G658" i="21"/>
  <c r="E658" i="21"/>
  <c r="C658" i="21"/>
  <c r="B658" i="21"/>
  <c r="G657" i="21"/>
  <c r="E657" i="21"/>
  <c r="C657" i="21"/>
  <c r="B657" i="21"/>
  <c r="G656" i="21"/>
  <c r="E656" i="21"/>
  <c r="C656" i="21"/>
  <c r="B656" i="21"/>
  <c r="G655" i="21"/>
  <c r="E655" i="21"/>
  <c r="C655" i="21"/>
  <c r="B655" i="21"/>
  <c r="G654" i="21"/>
  <c r="E654" i="21"/>
  <c r="C654" i="21"/>
  <c r="B654" i="21"/>
  <c r="G653" i="21"/>
  <c r="E653" i="21"/>
  <c r="C653" i="21"/>
  <c r="B653" i="21"/>
  <c r="G652" i="21"/>
  <c r="E652" i="21"/>
  <c r="C652" i="21"/>
  <c r="B652" i="21"/>
  <c r="G651" i="21"/>
  <c r="E651" i="21"/>
  <c r="C651" i="21"/>
  <c r="B651" i="21"/>
  <c r="G650" i="21"/>
  <c r="E650" i="21"/>
  <c r="C650" i="21"/>
  <c r="B650" i="21"/>
  <c r="G649" i="21"/>
  <c r="E649" i="21"/>
  <c r="C649" i="21"/>
  <c r="B649" i="21"/>
  <c r="G648" i="21"/>
  <c r="E648" i="21"/>
  <c r="C648" i="21"/>
  <c r="B648" i="21"/>
  <c r="G647" i="21"/>
  <c r="E647" i="21"/>
  <c r="C647" i="21"/>
  <c r="B647" i="21"/>
  <c r="G646" i="21"/>
  <c r="E646" i="21"/>
  <c r="C646" i="21"/>
  <c r="B646" i="21"/>
  <c r="G645" i="21"/>
  <c r="E645" i="21"/>
  <c r="C645" i="21"/>
  <c r="B645" i="21"/>
  <c r="G644" i="21"/>
  <c r="E644" i="21"/>
  <c r="C644" i="21"/>
  <c r="B644" i="21"/>
  <c r="G643" i="21"/>
  <c r="E643" i="21"/>
  <c r="C643" i="21"/>
  <c r="B643" i="21"/>
  <c r="G642" i="21"/>
  <c r="E642" i="21"/>
  <c r="C642" i="21"/>
  <c r="B642" i="21"/>
  <c r="G641" i="21"/>
  <c r="E641" i="21"/>
  <c r="C641" i="21"/>
  <c r="B641" i="21"/>
  <c r="G640" i="21"/>
  <c r="E640" i="21"/>
  <c r="C640" i="21"/>
  <c r="B640" i="21"/>
  <c r="G639" i="21"/>
  <c r="E639" i="21"/>
  <c r="C639" i="21"/>
  <c r="B639" i="21"/>
  <c r="G638" i="21"/>
  <c r="E638" i="21"/>
  <c r="C638" i="21"/>
  <c r="B638" i="21"/>
  <c r="G637" i="21"/>
  <c r="E637" i="21"/>
  <c r="C637" i="21"/>
  <c r="B637" i="21"/>
  <c r="G636" i="21"/>
  <c r="E636" i="21"/>
  <c r="C636" i="21"/>
  <c r="B636" i="21"/>
  <c r="G635" i="21"/>
  <c r="E635" i="21"/>
  <c r="C635" i="21"/>
  <c r="B635" i="21"/>
  <c r="G634" i="21"/>
  <c r="E634" i="21"/>
  <c r="C634" i="21"/>
  <c r="B634" i="21"/>
  <c r="G633" i="21"/>
  <c r="E633" i="21"/>
  <c r="C633" i="21"/>
  <c r="B633" i="21"/>
  <c r="G632" i="21"/>
  <c r="E632" i="21"/>
  <c r="C632" i="21"/>
  <c r="B632" i="21"/>
  <c r="G631" i="21"/>
  <c r="E631" i="21"/>
  <c r="C631" i="21"/>
  <c r="B631" i="21"/>
  <c r="G630" i="21"/>
  <c r="E630" i="21"/>
  <c r="C630" i="21"/>
  <c r="B630" i="21"/>
  <c r="G629" i="21"/>
  <c r="E629" i="21"/>
  <c r="C629" i="21"/>
  <c r="B629" i="21"/>
  <c r="G628" i="21"/>
  <c r="E628" i="21"/>
  <c r="C628" i="21"/>
  <c r="B628" i="21"/>
  <c r="G627" i="21"/>
  <c r="E627" i="21"/>
  <c r="C627" i="21"/>
  <c r="B627" i="21"/>
  <c r="G626" i="21"/>
  <c r="E626" i="21"/>
  <c r="C626" i="21"/>
  <c r="B626" i="21"/>
  <c r="G625" i="21"/>
  <c r="E625" i="21"/>
  <c r="C625" i="21"/>
  <c r="B625" i="21"/>
  <c r="G624" i="21"/>
  <c r="E624" i="21"/>
  <c r="C624" i="21"/>
  <c r="B624" i="21"/>
  <c r="G623" i="21"/>
  <c r="E623" i="21"/>
  <c r="C623" i="21"/>
  <c r="B623" i="21"/>
  <c r="G622" i="21"/>
  <c r="E622" i="21"/>
  <c r="C622" i="21"/>
  <c r="B622" i="21"/>
  <c r="G621" i="21"/>
  <c r="E621" i="21"/>
  <c r="C621" i="21"/>
  <c r="B621" i="21"/>
  <c r="G620" i="21"/>
  <c r="E620" i="21"/>
  <c r="C620" i="21"/>
  <c r="B620" i="21"/>
  <c r="G619" i="21"/>
  <c r="E619" i="21"/>
  <c r="C619" i="21"/>
  <c r="B619" i="21"/>
  <c r="G618" i="21"/>
  <c r="E618" i="21"/>
  <c r="C618" i="21"/>
  <c r="B618" i="21"/>
  <c r="G617" i="21"/>
  <c r="E617" i="21"/>
  <c r="C617" i="21"/>
  <c r="B617" i="21"/>
  <c r="G616" i="21"/>
  <c r="E616" i="21"/>
  <c r="C616" i="21"/>
  <c r="B616" i="21"/>
  <c r="G615" i="21"/>
  <c r="E615" i="21"/>
  <c r="C615" i="21"/>
  <c r="B615" i="21"/>
  <c r="G614" i="21"/>
  <c r="E614" i="21"/>
  <c r="C614" i="21"/>
  <c r="B614" i="21"/>
  <c r="G613" i="21"/>
  <c r="E613" i="21"/>
  <c r="C613" i="21"/>
  <c r="B613" i="21"/>
  <c r="G612" i="21"/>
  <c r="E612" i="21"/>
  <c r="C612" i="21"/>
  <c r="B612" i="21"/>
  <c r="G611" i="21"/>
  <c r="E611" i="21"/>
  <c r="C611" i="21"/>
  <c r="B611" i="21"/>
  <c r="G610" i="21"/>
  <c r="E610" i="21"/>
  <c r="C610" i="21"/>
  <c r="B610" i="21"/>
  <c r="G609" i="21"/>
  <c r="E609" i="21"/>
  <c r="C609" i="21"/>
  <c r="B609" i="21"/>
  <c r="G608" i="21"/>
  <c r="E608" i="21"/>
  <c r="C608" i="21"/>
  <c r="B608" i="21"/>
  <c r="G607" i="21"/>
  <c r="E607" i="21"/>
  <c r="C607" i="21"/>
  <c r="B607" i="21"/>
  <c r="G606" i="21"/>
  <c r="E606" i="21"/>
  <c r="C606" i="21"/>
  <c r="B606" i="21"/>
  <c r="G605" i="21"/>
  <c r="E605" i="21"/>
  <c r="C605" i="21"/>
  <c r="B605" i="21"/>
  <c r="G604" i="21"/>
  <c r="E604" i="21"/>
  <c r="C604" i="21"/>
  <c r="B604" i="21"/>
  <c r="G603" i="21"/>
  <c r="E603" i="21"/>
  <c r="C603" i="21"/>
  <c r="B603" i="21"/>
  <c r="G602" i="21"/>
  <c r="E602" i="21"/>
  <c r="C602" i="21"/>
  <c r="B602" i="21"/>
  <c r="G601" i="21"/>
  <c r="E601" i="21"/>
  <c r="C601" i="21"/>
  <c r="B601" i="21"/>
  <c r="G600" i="21"/>
  <c r="E600" i="21"/>
  <c r="C600" i="21"/>
  <c r="B600" i="21"/>
  <c r="G599" i="21"/>
  <c r="E599" i="21"/>
  <c r="C599" i="21"/>
  <c r="B599" i="21"/>
  <c r="G598" i="21"/>
  <c r="E598" i="21"/>
  <c r="C598" i="21"/>
  <c r="B598" i="21"/>
  <c r="G597" i="21"/>
  <c r="E597" i="21"/>
  <c r="C597" i="21"/>
  <c r="B597" i="21"/>
  <c r="G596" i="21"/>
  <c r="E596" i="21"/>
  <c r="C596" i="21"/>
  <c r="B596" i="21"/>
  <c r="G595" i="21"/>
  <c r="E595" i="21"/>
  <c r="C595" i="21"/>
  <c r="B595" i="21"/>
  <c r="G594" i="21"/>
  <c r="E594" i="21"/>
  <c r="C594" i="21"/>
  <c r="B594" i="21"/>
  <c r="G593" i="21"/>
  <c r="E593" i="21"/>
  <c r="C593" i="21"/>
  <c r="B593" i="21"/>
  <c r="G592" i="21"/>
  <c r="E592" i="21"/>
  <c r="C592" i="21"/>
  <c r="B592" i="21"/>
  <c r="G591" i="21"/>
  <c r="E591" i="21"/>
  <c r="C591" i="21"/>
  <c r="B591" i="21"/>
  <c r="G590" i="21"/>
  <c r="E590" i="21"/>
  <c r="C590" i="21"/>
  <c r="B590" i="21"/>
  <c r="G589" i="21"/>
  <c r="E589" i="21"/>
  <c r="C589" i="21"/>
  <c r="B589" i="21"/>
  <c r="G588" i="21"/>
  <c r="E588" i="21"/>
  <c r="C588" i="21"/>
  <c r="B588" i="21"/>
  <c r="G587" i="21"/>
  <c r="E587" i="21"/>
  <c r="C587" i="21"/>
  <c r="B587" i="21"/>
  <c r="G586" i="21"/>
  <c r="E586" i="21"/>
  <c r="C586" i="21"/>
  <c r="B586" i="21"/>
  <c r="G585" i="21"/>
  <c r="E585" i="21"/>
  <c r="C585" i="21"/>
  <c r="B585" i="21"/>
  <c r="G584" i="21"/>
  <c r="E584" i="21"/>
  <c r="C584" i="21"/>
  <c r="B584" i="21"/>
  <c r="G583" i="21"/>
  <c r="E583" i="21"/>
  <c r="C583" i="21"/>
  <c r="B583" i="21"/>
  <c r="G582" i="21"/>
  <c r="E582" i="21"/>
  <c r="C582" i="21"/>
  <c r="B582" i="21"/>
  <c r="G581" i="21"/>
  <c r="E581" i="21"/>
  <c r="C581" i="21"/>
  <c r="B581" i="21"/>
  <c r="G580" i="21"/>
  <c r="E580" i="21"/>
  <c r="C580" i="21"/>
  <c r="B580" i="21"/>
  <c r="G579" i="21"/>
  <c r="E579" i="21"/>
  <c r="C579" i="21"/>
  <c r="B579" i="21"/>
  <c r="G578" i="21"/>
  <c r="E578" i="21"/>
  <c r="C578" i="21"/>
  <c r="B578" i="21"/>
  <c r="G577" i="21"/>
  <c r="E577" i="21"/>
  <c r="C577" i="21"/>
  <c r="B577" i="21"/>
  <c r="G576" i="21"/>
  <c r="E576" i="21"/>
  <c r="C576" i="21"/>
  <c r="B576" i="21"/>
  <c r="G575" i="21"/>
  <c r="E575" i="21"/>
  <c r="C575" i="21"/>
  <c r="B575" i="21"/>
  <c r="G574" i="21"/>
  <c r="E574" i="21"/>
  <c r="C574" i="21"/>
  <c r="B574" i="21"/>
  <c r="G573" i="21"/>
  <c r="E573" i="21"/>
  <c r="C573" i="21"/>
  <c r="B573" i="21"/>
  <c r="G572" i="21"/>
  <c r="E572" i="21"/>
  <c r="C572" i="21"/>
  <c r="B572" i="21"/>
  <c r="G571" i="21"/>
  <c r="E571" i="21"/>
  <c r="C571" i="21"/>
  <c r="B571" i="21"/>
  <c r="G570" i="21"/>
  <c r="E570" i="21"/>
  <c r="C570" i="21"/>
  <c r="B570" i="21"/>
  <c r="G569" i="21"/>
  <c r="E569" i="21"/>
  <c r="C569" i="21"/>
  <c r="B569" i="21"/>
  <c r="G568" i="21"/>
  <c r="E568" i="21"/>
  <c r="C568" i="21"/>
  <c r="B568" i="21"/>
  <c r="G567" i="21"/>
  <c r="E567" i="21"/>
  <c r="C567" i="21"/>
  <c r="B567" i="21"/>
  <c r="G566" i="21"/>
  <c r="E566" i="21"/>
  <c r="C566" i="21"/>
  <c r="B566" i="21"/>
  <c r="G565" i="21"/>
  <c r="E565" i="21"/>
  <c r="C565" i="21"/>
  <c r="B565" i="21"/>
  <c r="G564" i="21"/>
  <c r="E564" i="21"/>
  <c r="C564" i="21"/>
  <c r="B564" i="21"/>
  <c r="G563" i="21"/>
  <c r="E563" i="21"/>
  <c r="C563" i="21"/>
  <c r="B563" i="21"/>
  <c r="G562" i="21"/>
  <c r="E562" i="21"/>
  <c r="C562" i="21"/>
  <c r="B562" i="21"/>
  <c r="G561" i="21"/>
  <c r="E561" i="21"/>
  <c r="C561" i="21"/>
  <c r="B561" i="21"/>
  <c r="G560" i="21"/>
  <c r="E560" i="21"/>
  <c r="C560" i="21"/>
  <c r="B560" i="21"/>
  <c r="G559" i="21"/>
  <c r="E559" i="21"/>
  <c r="C559" i="21"/>
  <c r="B559" i="21"/>
  <c r="G558" i="21"/>
  <c r="E558" i="21"/>
  <c r="C558" i="21"/>
  <c r="B558" i="21"/>
  <c r="G557" i="21"/>
  <c r="E557" i="21"/>
  <c r="C557" i="21"/>
  <c r="B557" i="21"/>
  <c r="G556" i="21"/>
  <c r="E556" i="21"/>
  <c r="C556" i="21"/>
  <c r="B556" i="21"/>
  <c r="G555" i="21"/>
  <c r="E555" i="21"/>
  <c r="C555" i="21"/>
  <c r="B555" i="21"/>
  <c r="G554" i="21"/>
  <c r="E554" i="21"/>
  <c r="C554" i="21"/>
  <c r="B554" i="21"/>
  <c r="G553" i="21"/>
  <c r="E553" i="21"/>
  <c r="C553" i="21"/>
  <c r="B553" i="21"/>
  <c r="G552" i="21"/>
  <c r="E552" i="21"/>
  <c r="C552" i="21"/>
  <c r="B552" i="21"/>
  <c r="G551" i="21"/>
  <c r="E551" i="21"/>
  <c r="C551" i="21"/>
  <c r="B551" i="21"/>
  <c r="G550" i="21"/>
  <c r="E550" i="21"/>
  <c r="C550" i="21"/>
  <c r="B550" i="21"/>
  <c r="G549" i="21"/>
  <c r="E549" i="21"/>
  <c r="C549" i="21"/>
  <c r="B549" i="21"/>
  <c r="G548" i="21"/>
  <c r="E548" i="21"/>
  <c r="C548" i="21"/>
  <c r="B548" i="21"/>
  <c r="G547" i="21"/>
  <c r="E547" i="21"/>
  <c r="C547" i="21"/>
  <c r="B547" i="21"/>
  <c r="G546" i="21"/>
  <c r="E546" i="21"/>
  <c r="C546" i="21"/>
  <c r="B546" i="21"/>
  <c r="G545" i="21"/>
  <c r="E545" i="21"/>
  <c r="C545" i="21"/>
  <c r="B545" i="21"/>
  <c r="G544" i="21"/>
  <c r="E544" i="21"/>
  <c r="C544" i="21"/>
  <c r="B544" i="21"/>
  <c r="G543" i="21"/>
  <c r="E543" i="21"/>
  <c r="C543" i="21"/>
  <c r="B543" i="21"/>
  <c r="G542" i="21"/>
  <c r="E542" i="21"/>
  <c r="C542" i="21"/>
  <c r="B542" i="21"/>
  <c r="G541" i="21"/>
  <c r="E541" i="21"/>
  <c r="C541" i="21"/>
  <c r="B541" i="21"/>
  <c r="G540" i="21"/>
  <c r="E540" i="21"/>
  <c r="C540" i="21"/>
  <c r="B540" i="21"/>
  <c r="G539" i="21"/>
  <c r="E539" i="21"/>
  <c r="C539" i="21"/>
  <c r="B539" i="21"/>
  <c r="G538" i="21"/>
  <c r="E538" i="21"/>
  <c r="C538" i="21"/>
  <c r="B538" i="21"/>
  <c r="G537" i="21"/>
  <c r="E537" i="21"/>
  <c r="C537" i="21"/>
  <c r="B537" i="21"/>
  <c r="G536" i="21"/>
  <c r="E536" i="21"/>
  <c r="C536" i="21"/>
  <c r="B536" i="21"/>
  <c r="G535" i="21"/>
  <c r="E535" i="21"/>
  <c r="C535" i="21"/>
  <c r="B535" i="21"/>
  <c r="G534" i="21"/>
  <c r="E534" i="21"/>
  <c r="C534" i="21"/>
  <c r="B534" i="21"/>
  <c r="G533" i="21"/>
  <c r="E533" i="21"/>
  <c r="C533" i="21"/>
  <c r="B533" i="21"/>
  <c r="G532" i="21"/>
  <c r="E532" i="21"/>
  <c r="C532" i="21"/>
  <c r="B532" i="21"/>
  <c r="G531" i="21"/>
  <c r="E531" i="21"/>
  <c r="C531" i="21"/>
  <c r="B531" i="21"/>
  <c r="G530" i="21"/>
  <c r="E530" i="21"/>
  <c r="C530" i="21"/>
  <c r="B530" i="21"/>
  <c r="G529" i="21"/>
  <c r="E529" i="21"/>
  <c r="C529" i="21"/>
  <c r="B529" i="21"/>
  <c r="G528" i="21"/>
  <c r="E528" i="21"/>
  <c r="C528" i="21"/>
  <c r="B528" i="21"/>
  <c r="G527" i="21"/>
  <c r="E527" i="21"/>
  <c r="C527" i="21"/>
  <c r="B527" i="21"/>
  <c r="G526" i="21"/>
  <c r="E526" i="21"/>
  <c r="C526" i="21"/>
  <c r="B526" i="21"/>
  <c r="G525" i="21"/>
  <c r="E525" i="21"/>
  <c r="C525" i="21"/>
  <c r="B525" i="21"/>
  <c r="G524" i="21"/>
  <c r="E524" i="21"/>
  <c r="C524" i="21"/>
  <c r="B524" i="21"/>
  <c r="G523" i="21"/>
  <c r="E523" i="21"/>
  <c r="C523" i="21"/>
  <c r="B523" i="21"/>
  <c r="G522" i="21"/>
  <c r="E522" i="21"/>
  <c r="C522" i="21"/>
  <c r="B522" i="21"/>
  <c r="G521" i="21"/>
  <c r="E521" i="21"/>
  <c r="C521" i="21"/>
  <c r="B521" i="21"/>
  <c r="G520" i="21"/>
  <c r="E520" i="21"/>
  <c r="C520" i="21"/>
  <c r="B520" i="21"/>
  <c r="G519" i="21"/>
  <c r="E519" i="21"/>
  <c r="C519" i="21"/>
  <c r="B519" i="21"/>
  <c r="G518" i="21"/>
  <c r="E518" i="21"/>
  <c r="C518" i="21"/>
  <c r="B518" i="21"/>
  <c r="G517" i="21"/>
  <c r="E517" i="21"/>
  <c r="C517" i="21"/>
  <c r="B517" i="21"/>
  <c r="G516" i="21"/>
  <c r="E516" i="21"/>
  <c r="C516" i="21"/>
  <c r="B516" i="21"/>
  <c r="G515" i="21"/>
  <c r="E515" i="21"/>
  <c r="C515" i="21"/>
  <c r="B515" i="21"/>
  <c r="G514" i="21"/>
  <c r="E514" i="21"/>
  <c r="C514" i="21"/>
  <c r="B514" i="21"/>
  <c r="G513" i="21"/>
  <c r="E513" i="21"/>
  <c r="C513" i="21"/>
  <c r="B513" i="21"/>
  <c r="G512" i="21"/>
  <c r="E512" i="21"/>
  <c r="C512" i="21"/>
  <c r="B512" i="21"/>
  <c r="G511" i="21"/>
  <c r="E511" i="21"/>
  <c r="C511" i="21"/>
  <c r="B511" i="21"/>
  <c r="G510" i="21"/>
  <c r="E510" i="21"/>
  <c r="C510" i="21"/>
  <c r="B510" i="21"/>
  <c r="G509" i="21"/>
  <c r="E509" i="21"/>
  <c r="C509" i="21"/>
  <c r="B509" i="21"/>
  <c r="G508" i="21"/>
  <c r="E508" i="21"/>
  <c r="C508" i="21"/>
  <c r="B508" i="21"/>
  <c r="G507" i="21"/>
  <c r="E507" i="21"/>
  <c r="C507" i="21"/>
  <c r="B507" i="21"/>
  <c r="G506" i="21"/>
  <c r="E506" i="21"/>
  <c r="C506" i="21"/>
  <c r="B506" i="21"/>
  <c r="G505" i="21"/>
  <c r="E505" i="21"/>
  <c r="C505" i="21"/>
  <c r="B505" i="21"/>
  <c r="G504" i="21"/>
  <c r="E504" i="21"/>
  <c r="C504" i="21"/>
  <c r="B504" i="21"/>
  <c r="G503" i="21"/>
  <c r="E503" i="21"/>
  <c r="C503" i="21"/>
  <c r="B503" i="21"/>
  <c r="G502" i="21"/>
  <c r="E502" i="21"/>
  <c r="C502" i="21"/>
  <c r="B502" i="21"/>
  <c r="G501" i="21"/>
  <c r="E501" i="21"/>
  <c r="C501" i="21"/>
  <c r="B501" i="21"/>
  <c r="G500" i="21"/>
  <c r="E500" i="21"/>
  <c r="C500" i="21"/>
  <c r="B500" i="21"/>
  <c r="G499" i="21"/>
  <c r="E499" i="21"/>
  <c r="C499" i="21"/>
  <c r="B499" i="21"/>
  <c r="G498" i="21"/>
  <c r="E498" i="21"/>
  <c r="C498" i="21"/>
  <c r="B498" i="21"/>
  <c r="G497" i="21"/>
  <c r="E497" i="21"/>
  <c r="C497" i="21"/>
  <c r="B497" i="21"/>
  <c r="G496" i="21"/>
  <c r="E496" i="21"/>
  <c r="C496" i="21"/>
  <c r="B496" i="21"/>
  <c r="G495" i="21"/>
  <c r="E495" i="21"/>
  <c r="C495" i="21"/>
  <c r="B495" i="21"/>
  <c r="G494" i="21"/>
  <c r="E494" i="21"/>
  <c r="C494" i="21"/>
  <c r="B494" i="21"/>
  <c r="G493" i="21"/>
  <c r="E493" i="21"/>
  <c r="C493" i="21"/>
  <c r="B493" i="21"/>
  <c r="G492" i="21"/>
  <c r="E492" i="21"/>
  <c r="C492" i="21"/>
  <c r="B492" i="21"/>
  <c r="G491" i="21"/>
  <c r="E491" i="21"/>
  <c r="C491" i="21"/>
  <c r="B491" i="21"/>
  <c r="G490" i="21"/>
  <c r="E490" i="21"/>
  <c r="C490" i="21"/>
  <c r="B490" i="21"/>
  <c r="G489" i="21"/>
  <c r="E489" i="21"/>
  <c r="C489" i="21"/>
  <c r="B489" i="21"/>
  <c r="G488" i="21"/>
  <c r="E488" i="21"/>
  <c r="C488" i="21"/>
  <c r="B488" i="21"/>
  <c r="G487" i="21"/>
  <c r="E487" i="21"/>
  <c r="C487" i="21"/>
  <c r="B487" i="21"/>
  <c r="G486" i="21"/>
  <c r="E486" i="21"/>
  <c r="C486" i="21"/>
  <c r="B486" i="21"/>
  <c r="G485" i="21"/>
  <c r="E485" i="21"/>
  <c r="C485" i="21"/>
  <c r="B485" i="21"/>
  <c r="G484" i="21"/>
  <c r="E484" i="21"/>
  <c r="C484" i="21"/>
  <c r="B484" i="21"/>
  <c r="G483" i="21"/>
  <c r="E483" i="21"/>
  <c r="C483" i="21"/>
  <c r="B483" i="21"/>
  <c r="G482" i="21"/>
  <c r="E482" i="21"/>
  <c r="C482" i="21"/>
  <c r="B482" i="21"/>
  <c r="G481" i="21"/>
  <c r="E481" i="21"/>
  <c r="C481" i="21"/>
  <c r="B481" i="21"/>
  <c r="G480" i="21"/>
  <c r="E480" i="21"/>
  <c r="C480" i="21"/>
  <c r="B480" i="21"/>
  <c r="G479" i="21"/>
  <c r="E479" i="21"/>
  <c r="C479" i="21"/>
  <c r="B479" i="21"/>
  <c r="G478" i="21"/>
  <c r="E478" i="21"/>
  <c r="C478" i="21"/>
  <c r="B478" i="21"/>
  <c r="G477" i="21"/>
  <c r="E477" i="21"/>
  <c r="C477" i="21"/>
  <c r="B477" i="21"/>
  <c r="G476" i="21"/>
  <c r="E476" i="21"/>
  <c r="C476" i="21"/>
  <c r="B476" i="21"/>
  <c r="G475" i="21"/>
  <c r="E475" i="21"/>
  <c r="C475" i="21"/>
  <c r="B475" i="21"/>
  <c r="G474" i="21"/>
  <c r="E474" i="21"/>
  <c r="C474" i="21"/>
  <c r="B474" i="21"/>
  <c r="G473" i="21"/>
  <c r="E473" i="21"/>
  <c r="C473" i="21"/>
  <c r="B473" i="21"/>
  <c r="G472" i="21"/>
  <c r="E472" i="21"/>
  <c r="C472" i="21"/>
  <c r="B472" i="21"/>
  <c r="G471" i="21"/>
  <c r="E471" i="21"/>
  <c r="C471" i="21"/>
  <c r="B471" i="21"/>
  <c r="G470" i="21"/>
  <c r="E470" i="21"/>
  <c r="C470" i="21"/>
  <c r="B470" i="21"/>
  <c r="G469" i="21"/>
  <c r="E469" i="21"/>
  <c r="C469" i="21"/>
  <c r="B469" i="21"/>
  <c r="G468" i="21"/>
  <c r="E468" i="21"/>
  <c r="C468" i="21"/>
  <c r="B468" i="21"/>
  <c r="G467" i="21"/>
  <c r="E467" i="21"/>
  <c r="C467" i="21"/>
  <c r="B467" i="21"/>
  <c r="G466" i="21"/>
  <c r="E466" i="21"/>
  <c r="C466" i="21"/>
  <c r="B466" i="21"/>
  <c r="G465" i="21"/>
  <c r="E465" i="21"/>
  <c r="C465" i="21"/>
  <c r="B465" i="21"/>
  <c r="G464" i="21"/>
  <c r="E464" i="21"/>
  <c r="C464" i="21"/>
  <c r="B464" i="21"/>
  <c r="G463" i="21"/>
  <c r="E463" i="21"/>
  <c r="C463" i="21"/>
  <c r="B463" i="21"/>
  <c r="G462" i="21"/>
  <c r="E462" i="21"/>
  <c r="C462" i="21"/>
  <c r="B462" i="21"/>
  <c r="G461" i="21"/>
  <c r="E461" i="21"/>
  <c r="C461" i="21"/>
  <c r="B461" i="21"/>
  <c r="G460" i="21"/>
  <c r="E460" i="21"/>
  <c r="C460" i="21"/>
  <c r="B460" i="21"/>
  <c r="G459" i="21"/>
  <c r="E459" i="21"/>
  <c r="C459" i="21"/>
  <c r="B459" i="21"/>
  <c r="G458" i="21"/>
  <c r="E458" i="21"/>
  <c r="C458" i="21"/>
  <c r="B458" i="21"/>
  <c r="G457" i="21"/>
  <c r="E457" i="21"/>
  <c r="C457" i="21"/>
  <c r="B457" i="21"/>
  <c r="G456" i="21"/>
  <c r="E456" i="21"/>
  <c r="C456" i="21"/>
  <c r="B456" i="21"/>
  <c r="G455" i="21"/>
  <c r="E455" i="21"/>
  <c r="C455" i="21"/>
  <c r="B455" i="21"/>
  <c r="G454" i="21"/>
  <c r="E454" i="21"/>
  <c r="C454" i="21"/>
  <c r="B454" i="21"/>
  <c r="G453" i="21"/>
  <c r="E453" i="21"/>
  <c r="C453" i="21"/>
  <c r="B453" i="21"/>
  <c r="G452" i="21"/>
  <c r="E452" i="21"/>
  <c r="C452" i="21"/>
  <c r="B452" i="21"/>
  <c r="G451" i="21"/>
  <c r="E451" i="21"/>
  <c r="C451" i="21"/>
  <c r="B451" i="21"/>
  <c r="G450" i="21"/>
  <c r="E450" i="21"/>
  <c r="C450" i="21"/>
  <c r="B450" i="21"/>
  <c r="G449" i="21"/>
  <c r="E449" i="21"/>
  <c r="C449" i="21"/>
  <c r="B449" i="21"/>
  <c r="G448" i="21"/>
  <c r="E448" i="21"/>
  <c r="C448" i="21"/>
  <c r="B448" i="21"/>
  <c r="G447" i="21"/>
  <c r="E447" i="21"/>
  <c r="C447" i="21"/>
  <c r="B447" i="21"/>
  <c r="G446" i="21"/>
  <c r="E446" i="21"/>
  <c r="C446" i="21"/>
  <c r="B446" i="21"/>
  <c r="G445" i="21"/>
  <c r="E445" i="21"/>
  <c r="C445" i="21"/>
  <c r="B445" i="21"/>
  <c r="G444" i="21"/>
  <c r="E444" i="21"/>
  <c r="C444" i="21"/>
  <c r="B444" i="21"/>
  <c r="G443" i="21"/>
  <c r="E443" i="21"/>
  <c r="C443" i="21"/>
  <c r="B443" i="21"/>
  <c r="G442" i="21"/>
  <c r="E442" i="21"/>
  <c r="C442" i="21"/>
  <c r="B442" i="21"/>
  <c r="G441" i="21"/>
  <c r="E441" i="21"/>
  <c r="C441" i="21"/>
  <c r="B441" i="21"/>
  <c r="G440" i="21"/>
  <c r="E440" i="21"/>
  <c r="C440" i="21"/>
  <c r="B440" i="21"/>
  <c r="G439" i="21"/>
  <c r="E439" i="21"/>
  <c r="C439" i="21"/>
  <c r="B439" i="21"/>
  <c r="G438" i="21"/>
  <c r="E438" i="21"/>
  <c r="C438" i="21"/>
  <c r="B438" i="21"/>
  <c r="G437" i="21"/>
  <c r="E437" i="21"/>
  <c r="C437" i="21"/>
  <c r="B437" i="21"/>
  <c r="G436" i="21"/>
  <c r="E436" i="21"/>
  <c r="C436" i="21"/>
  <c r="B436" i="21"/>
  <c r="G435" i="21"/>
  <c r="E435" i="21"/>
  <c r="C435" i="21"/>
  <c r="B435" i="21"/>
  <c r="G434" i="21"/>
  <c r="E434" i="21"/>
  <c r="C434" i="21"/>
  <c r="B434" i="21"/>
  <c r="G433" i="21"/>
  <c r="E433" i="21"/>
  <c r="C433" i="21"/>
  <c r="B433" i="21"/>
  <c r="G432" i="21"/>
  <c r="E432" i="21"/>
  <c r="C432" i="21"/>
  <c r="B432" i="21"/>
  <c r="G431" i="21"/>
  <c r="E431" i="21"/>
  <c r="C431" i="21"/>
  <c r="B431" i="21"/>
  <c r="G430" i="21"/>
  <c r="E430" i="21"/>
  <c r="C430" i="21"/>
  <c r="B430" i="21"/>
  <c r="G429" i="21"/>
  <c r="E429" i="21"/>
  <c r="C429" i="21"/>
  <c r="B429" i="21"/>
  <c r="G428" i="21"/>
  <c r="E428" i="21"/>
  <c r="C428" i="21"/>
  <c r="B428" i="21"/>
  <c r="G427" i="21"/>
  <c r="E427" i="21"/>
  <c r="C427" i="21"/>
  <c r="B427" i="21"/>
  <c r="G426" i="21"/>
  <c r="E426" i="21"/>
  <c r="C426" i="21"/>
  <c r="B426" i="21"/>
  <c r="G425" i="21"/>
  <c r="E425" i="21"/>
  <c r="C425" i="21"/>
  <c r="B425" i="21"/>
  <c r="G424" i="21"/>
  <c r="E424" i="21"/>
  <c r="C424" i="21"/>
  <c r="B424" i="21"/>
  <c r="G423" i="21"/>
  <c r="E423" i="21"/>
  <c r="C423" i="21"/>
  <c r="B423" i="21"/>
  <c r="G422" i="21"/>
  <c r="E422" i="21"/>
  <c r="C422" i="21"/>
  <c r="B422" i="21"/>
  <c r="G421" i="21"/>
  <c r="E421" i="21"/>
  <c r="C421" i="21"/>
  <c r="B421" i="21"/>
  <c r="G420" i="21"/>
  <c r="E420" i="21"/>
  <c r="C420" i="21"/>
  <c r="B420" i="21"/>
  <c r="G419" i="21"/>
  <c r="E419" i="21"/>
  <c r="C419" i="21"/>
  <c r="B419" i="21"/>
  <c r="G418" i="21"/>
  <c r="E418" i="21"/>
  <c r="C418" i="21"/>
  <c r="B418" i="21"/>
  <c r="G417" i="21"/>
  <c r="E417" i="21"/>
  <c r="C417" i="21"/>
  <c r="B417" i="21"/>
  <c r="G416" i="21"/>
  <c r="E416" i="21"/>
  <c r="C416" i="21"/>
  <c r="B416" i="21"/>
  <c r="G415" i="21"/>
  <c r="E415" i="21"/>
  <c r="C415" i="21"/>
  <c r="B415" i="21"/>
  <c r="G414" i="21"/>
  <c r="E414" i="21"/>
  <c r="C414" i="21"/>
  <c r="B414" i="21"/>
  <c r="G413" i="21"/>
  <c r="E413" i="21"/>
  <c r="C413" i="21"/>
  <c r="B413" i="21"/>
  <c r="G412" i="21"/>
  <c r="E412" i="21"/>
  <c r="C412" i="21"/>
  <c r="B412" i="21"/>
  <c r="G411" i="21"/>
  <c r="E411" i="21"/>
  <c r="C411" i="21"/>
  <c r="B411" i="21"/>
  <c r="G410" i="21"/>
  <c r="E410" i="21"/>
  <c r="C410" i="21"/>
  <c r="B410" i="21"/>
  <c r="G409" i="21"/>
  <c r="E409" i="21"/>
  <c r="C409" i="21"/>
  <c r="B409" i="21"/>
  <c r="G408" i="21"/>
  <c r="E408" i="21"/>
  <c r="C408" i="21"/>
  <c r="B408" i="21"/>
  <c r="G407" i="21"/>
  <c r="E407" i="21"/>
  <c r="C407" i="21"/>
  <c r="B407" i="21"/>
  <c r="G406" i="21"/>
  <c r="E406" i="21"/>
  <c r="C406" i="21"/>
  <c r="B406" i="21"/>
  <c r="G405" i="21"/>
  <c r="E405" i="21"/>
  <c r="C405" i="21"/>
  <c r="B405" i="21"/>
  <c r="G404" i="21"/>
  <c r="E404" i="21"/>
  <c r="C404" i="21"/>
  <c r="B404" i="21"/>
  <c r="G403" i="21"/>
  <c r="E403" i="21"/>
  <c r="C403" i="21"/>
  <c r="B403" i="21"/>
  <c r="G402" i="21"/>
  <c r="E402" i="21"/>
  <c r="C402" i="21"/>
  <c r="B402" i="21"/>
  <c r="G401" i="21"/>
  <c r="E401" i="21"/>
  <c r="C401" i="21"/>
  <c r="B401" i="21"/>
  <c r="G400" i="21"/>
  <c r="E400" i="21"/>
  <c r="C400" i="21"/>
  <c r="B400" i="21"/>
  <c r="G399" i="21"/>
  <c r="E399" i="21"/>
  <c r="C399" i="21"/>
  <c r="B399" i="21"/>
  <c r="G398" i="21"/>
  <c r="E398" i="21"/>
  <c r="C398" i="21"/>
  <c r="B398" i="21"/>
  <c r="G397" i="21"/>
  <c r="E397" i="21"/>
  <c r="C397" i="21"/>
  <c r="B397" i="21"/>
  <c r="G396" i="21"/>
  <c r="E396" i="21"/>
  <c r="C396" i="21"/>
  <c r="B396" i="21"/>
  <c r="G395" i="21"/>
  <c r="E395" i="21"/>
  <c r="C395" i="21"/>
  <c r="B395" i="21"/>
  <c r="G394" i="21"/>
  <c r="E394" i="21"/>
  <c r="C394" i="21"/>
  <c r="B394" i="21"/>
  <c r="G393" i="21"/>
  <c r="E393" i="21"/>
  <c r="C393" i="21"/>
  <c r="B393" i="21"/>
  <c r="G392" i="21"/>
  <c r="E392" i="21"/>
  <c r="C392" i="21"/>
  <c r="B392" i="21"/>
  <c r="G391" i="21"/>
  <c r="E391" i="21"/>
  <c r="C391" i="21"/>
  <c r="B391" i="21"/>
  <c r="G390" i="21"/>
  <c r="E390" i="21"/>
  <c r="C390" i="21"/>
  <c r="B390" i="21"/>
  <c r="G389" i="21"/>
  <c r="E389" i="21"/>
  <c r="C389" i="21"/>
  <c r="B389" i="21"/>
  <c r="G388" i="21"/>
  <c r="E388" i="21"/>
  <c r="C388" i="21"/>
  <c r="B388" i="21"/>
  <c r="G387" i="21"/>
  <c r="E387" i="21"/>
  <c r="C387" i="21"/>
  <c r="B387" i="21"/>
  <c r="G386" i="21"/>
  <c r="E386" i="21"/>
  <c r="C386" i="21"/>
  <c r="B386" i="21"/>
  <c r="G385" i="21"/>
  <c r="E385" i="21"/>
  <c r="C385" i="21"/>
  <c r="B385" i="21"/>
  <c r="G384" i="21"/>
  <c r="E384" i="21"/>
  <c r="C384" i="21"/>
  <c r="B384" i="21"/>
  <c r="G383" i="21"/>
  <c r="E383" i="21"/>
  <c r="C383" i="21"/>
  <c r="B383" i="21"/>
  <c r="G382" i="21"/>
  <c r="E382" i="21"/>
  <c r="C382" i="21"/>
  <c r="B382" i="21"/>
  <c r="G381" i="21"/>
  <c r="E381" i="21"/>
  <c r="C381" i="21"/>
  <c r="B381" i="21"/>
  <c r="G380" i="21"/>
  <c r="E380" i="21"/>
  <c r="C380" i="21"/>
  <c r="B380" i="21"/>
  <c r="G379" i="21"/>
  <c r="E379" i="21"/>
  <c r="C379" i="21"/>
  <c r="B379" i="21"/>
  <c r="G378" i="21"/>
  <c r="E378" i="21"/>
  <c r="C378" i="21"/>
  <c r="B378" i="21"/>
  <c r="G377" i="21"/>
  <c r="E377" i="21"/>
  <c r="C377" i="21"/>
  <c r="B377" i="21"/>
  <c r="G376" i="21"/>
  <c r="E376" i="21"/>
  <c r="C376" i="21"/>
  <c r="B376" i="21"/>
  <c r="G375" i="21"/>
  <c r="E375" i="21"/>
  <c r="C375" i="21"/>
  <c r="B375" i="21"/>
  <c r="G374" i="21"/>
  <c r="E374" i="21"/>
  <c r="C374" i="21"/>
  <c r="B374" i="21"/>
  <c r="G373" i="21"/>
  <c r="E373" i="21"/>
  <c r="C373" i="21"/>
  <c r="B373" i="21"/>
  <c r="G372" i="21"/>
  <c r="E372" i="21"/>
  <c r="C372" i="21"/>
  <c r="B372" i="21"/>
  <c r="G371" i="21"/>
  <c r="E371" i="21"/>
  <c r="C371" i="21"/>
  <c r="B371" i="21"/>
  <c r="G370" i="21"/>
  <c r="E370" i="21"/>
  <c r="C370" i="21"/>
  <c r="B370" i="21"/>
  <c r="G369" i="21"/>
  <c r="E369" i="21"/>
  <c r="C369" i="21"/>
  <c r="B369" i="21"/>
  <c r="G368" i="21"/>
  <c r="E368" i="21"/>
  <c r="C368" i="21"/>
  <c r="B368" i="21"/>
  <c r="G367" i="21"/>
  <c r="E367" i="21"/>
  <c r="C367" i="21"/>
  <c r="B367" i="21"/>
  <c r="G366" i="21"/>
  <c r="E366" i="21"/>
  <c r="C366" i="21"/>
  <c r="B366" i="21"/>
  <c r="G365" i="21"/>
  <c r="E365" i="21"/>
  <c r="C365" i="21"/>
  <c r="B365" i="21"/>
  <c r="G364" i="21"/>
  <c r="E364" i="21"/>
  <c r="C364" i="21"/>
  <c r="B364" i="21"/>
  <c r="G363" i="21"/>
  <c r="E363" i="21"/>
  <c r="C363" i="21"/>
  <c r="B363" i="21"/>
  <c r="G362" i="21"/>
  <c r="E362" i="21"/>
  <c r="C362" i="21"/>
  <c r="B362" i="21"/>
  <c r="G361" i="21"/>
  <c r="E361" i="21"/>
  <c r="C361" i="21"/>
  <c r="B361" i="21"/>
  <c r="G360" i="21"/>
  <c r="E360" i="21"/>
  <c r="C360" i="21"/>
  <c r="B360" i="21"/>
  <c r="G359" i="21"/>
  <c r="E359" i="21"/>
  <c r="C359" i="21"/>
  <c r="B359" i="21"/>
  <c r="G358" i="21"/>
  <c r="E358" i="21"/>
  <c r="C358" i="21"/>
  <c r="B358" i="21"/>
  <c r="G357" i="21"/>
  <c r="E357" i="21"/>
  <c r="C357" i="21"/>
  <c r="B357" i="21"/>
  <c r="G356" i="21"/>
  <c r="E356" i="21"/>
  <c r="C356" i="21"/>
  <c r="B356" i="21"/>
  <c r="G355" i="21"/>
  <c r="E355" i="21"/>
  <c r="C355" i="21"/>
  <c r="B355" i="21"/>
  <c r="G354" i="21"/>
  <c r="E354" i="21"/>
  <c r="C354" i="21"/>
  <c r="B354" i="21"/>
  <c r="G353" i="21"/>
  <c r="E353" i="21"/>
  <c r="C353" i="21"/>
  <c r="B353" i="21"/>
  <c r="G352" i="21"/>
  <c r="E352" i="21"/>
  <c r="C352" i="21"/>
  <c r="B352" i="21"/>
  <c r="G351" i="21"/>
  <c r="E351" i="21"/>
  <c r="C351" i="21"/>
  <c r="B351" i="21"/>
  <c r="G350" i="21"/>
  <c r="E350" i="21"/>
  <c r="C350" i="21"/>
  <c r="B350" i="21"/>
  <c r="G349" i="21"/>
  <c r="E349" i="21"/>
  <c r="C349" i="21"/>
  <c r="B349" i="21"/>
  <c r="G348" i="21"/>
  <c r="E348" i="21"/>
  <c r="C348" i="21"/>
  <c r="B348" i="21"/>
  <c r="G347" i="21"/>
  <c r="E347" i="21"/>
  <c r="C347" i="21"/>
  <c r="B347" i="21"/>
  <c r="G346" i="21"/>
  <c r="E346" i="21"/>
  <c r="C346" i="21"/>
  <c r="B346" i="21"/>
  <c r="G345" i="21"/>
  <c r="E345" i="21"/>
  <c r="C345" i="21"/>
  <c r="B345" i="21"/>
  <c r="G344" i="21"/>
  <c r="E344" i="21"/>
  <c r="C344" i="21"/>
  <c r="B344" i="21"/>
  <c r="G343" i="21"/>
  <c r="E343" i="21"/>
  <c r="C343" i="21"/>
  <c r="B343" i="21"/>
  <c r="G342" i="21"/>
  <c r="E342" i="21"/>
  <c r="C342" i="21"/>
  <c r="B342" i="21"/>
  <c r="G341" i="21"/>
  <c r="E341" i="21"/>
  <c r="C341" i="21"/>
  <c r="B341" i="21"/>
  <c r="G340" i="21"/>
  <c r="E340" i="21"/>
  <c r="C340" i="21"/>
  <c r="B340" i="21"/>
  <c r="G339" i="21"/>
  <c r="E339" i="21"/>
  <c r="C339" i="21"/>
  <c r="B339" i="21"/>
  <c r="G338" i="21"/>
  <c r="E338" i="21"/>
  <c r="C338" i="21"/>
  <c r="B338" i="21"/>
  <c r="G337" i="21"/>
  <c r="E337" i="21"/>
  <c r="C337" i="21"/>
  <c r="B337" i="21"/>
  <c r="G336" i="21"/>
  <c r="E336" i="21"/>
  <c r="C336" i="21"/>
  <c r="B336" i="21"/>
  <c r="G335" i="21"/>
  <c r="E335" i="21"/>
  <c r="C335" i="21"/>
  <c r="B335" i="21"/>
  <c r="G334" i="21"/>
  <c r="E334" i="21"/>
  <c r="C334" i="21"/>
  <c r="B334" i="21"/>
  <c r="G333" i="21"/>
  <c r="E333" i="21"/>
  <c r="C333" i="21"/>
  <c r="B333" i="21"/>
  <c r="G332" i="21"/>
  <c r="E332" i="21"/>
  <c r="C332" i="21"/>
  <c r="B332" i="21"/>
  <c r="G331" i="21"/>
  <c r="E331" i="21"/>
  <c r="C331" i="21"/>
  <c r="B331" i="21"/>
  <c r="G330" i="21"/>
  <c r="E330" i="21"/>
  <c r="C330" i="21"/>
  <c r="B330" i="21"/>
  <c r="G329" i="21"/>
  <c r="E329" i="21"/>
  <c r="C329" i="21"/>
  <c r="B329" i="21"/>
  <c r="G328" i="21"/>
  <c r="E328" i="21"/>
  <c r="C328" i="21"/>
  <c r="B328" i="21"/>
  <c r="G327" i="21"/>
  <c r="E327" i="21"/>
  <c r="C327" i="21"/>
  <c r="B327" i="21"/>
  <c r="G326" i="21"/>
  <c r="E326" i="21"/>
  <c r="C326" i="21"/>
  <c r="B326" i="21"/>
  <c r="G325" i="21"/>
  <c r="E325" i="21"/>
  <c r="C325" i="21"/>
  <c r="B325" i="21"/>
  <c r="G324" i="21"/>
  <c r="E324" i="21"/>
  <c r="C324" i="21"/>
  <c r="B324" i="21"/>
  <c r="G323" i="21"/>
  <c r="E323" i="21"/>
  <c r="C323" i="21"/>
  <c r="B323" i="21"/>
  <c r="G322" i="21"/>
  <c r="E322" i="21"/>
  <c r="C322" i="21"/>
  <c r="B322" i="21"/>
  <c r="G321" i="21"/>
  <c r="E321" i="21"/>
  <c r="C321" i="21"/>
  <c r="B321" i="21"/>
  <c r="G320" i="21"/>
  <c r="E320" i="21"/>
  <c r="C320" i="21"/>
  <c r="B320" i="21"/>
  <c r="G319" i="21"/>
  <c r="E319" i="21"/>
  <c r="C319" i="21"/>
  <c r="B319" i="21"/>
  <c r="G318" i="21"/>
  <c r="E318" i="21"/>
  <c r="C318" i="21"/>
  <c r="B318" i="21"/>
  <c r="G317" i="21"/>
  <c r="E317" i="21"/>
  <c r="C317" i="21"/>
  <c r="B317" i="21"/>
  <c r="G316" i="21"/>
  <c r="E316" i="21"/>
  <c r="C316" i="21"/>
  <c r="B316" i="21"/>
  <c r="G315" i="21"/>
  <c r="E315" i="21"/>
  <c r="C315" i="21"/>
  <c r="B315" i="21"/>
  <c r="G314" i="21"/>
  <c r="E314" i="21"/>
  <c r="C314" i="21"/>
  <c r="B314" i="21"/>
  <c r="G313" i="21"/>
  <c r="E313" i="21"/>
  <c r="C313" i="21"/>
  <c r="B313" i="21"/>
  <c r="G312" i="21"/>
  <c r="E312" i="21"/>
  <c r="C312" i="21"/>
  <c r="B312" i="21"/>
  <c r="G311" i="21"/>
  <c r="E311" i="21"/>
  <c r="C311" i="21"/>
  <c r="B311" i="21"/>
  <c r="G310" i="21"/>
  <c r="E310" i="21"/>
  <c r="C310" i="21"/>
  <c r="B310" i="21"/>
  <c r="G309" i="21"/>
  <c r="E309" i="21"/>
  <c r="C309" i="21"/>
  <c r="B309" i="21"/>
  <c r="G308" i="21"/>
  <c r="E308" i="21"/>
  <c r="C308" i="21"/>
  <c r="B308" i="21"/>
  <c r="G307" i="21"/>
  <c r="E307" i="21"/>
  <c r="C307" i="21"/>
  <c r="B307" i="21"/>
  <c r="G306" i="21"/>
  <c r="E306" i="21"/>
  <c r="C306" i="21"/>
  <c r="B306" i="21"/>
  <c r="G305" i="21"/>
  <c r="E305" i="21"/>
  <c r="C305" i="21"/>
  <c r="B305" i="21"/>
  <c r="G304" i="21"/>
  <c r="E304" i="21"/>
  <c r="C304" i="21"/>
  <c r="B304" i="21"/>
  <c r="G303" i="21"/>
  <c r="E303" i="21"/>
  <c r="C303" i="21"/>
  <c r="B303" i="21"/>
  <c r="G302" i="21"/>
  <c r="E302" i="21"/>
  <c r="C302" i="21"/>
  <c r="B302" i="21"/>
  <c r="G301" i="21"/>
  <c r="E301" i="21"/>
  <c r="C301" i="21"/>
  <c r="B301" i="21"/>
  <c r="G300" i="21"/>
  <c r="E300" i="21"/>
  <c r="C300" i="21"/>
  <c r="B300" i="21"/>
  <c r="G299" i="21"/>
  <c r="E299" i="21"/>
  <c r="C299" i="21"/>
  <c r="B299" i="21"/>
  <c r="G298" i="21"/>
  <c r="E298" i="21"/>
  <c r="C298" i="21"/>
  <c r="B298" i="21"/>
  <c r="G297" i="21"/>
  <c r="E297" i="21"/>
  <c r="C297" i="21"/>
  <c r="B297" i="21"/>
  <c r="G296" i="21"/>
  <c r="E296" i="21"/>
  <c r="C296" i="21"/>
  <c r="B296" i="21"/>
  <c r="G295" i="21"/>
  <c r="E295" i="21"/>
  <c r="C295" i="21"/>
  <c r="B295" i="21"/>
  <c r="G294" i="21"/>
  <c r="E294" i="21"/>
  <c r="C294" i="21"/>
  <c r="B294" i="21"/>
  <c r="G293" i="21"/>
  <c r="E293" i="21"/>
  <c r="C293" i="21"/>
  <c r="B293" i="21"/>
  <c r="G292" i="21"/>
  <c r="E292" i="21"/>
  <c r="C292" i="21"/>
  <c r="B292" i="21"/>
  <c r="G291" i="21"/>
  <c r="E291" i="21"/>
  <c r="C291" i="21"/>
  <c r="B291" i="21"/>
  <c r="G290" i="21"/>
  <c r="E290" i="21"/>
  <c r="C290" i="21"/>
  <c r="B290" i="21"/>
  <c r="G289" i="21"/>
  <c r="E289" i="21"/>
  <c r="C289" i="21"/>
  <c r="B289" i="21"/>
  <c r="G288" i="21"/>
  <c r="E288" i="21"/>
  <c r="C288" i="21"/>
  <c r="B288" i="21"/>
  <c r="G287" i="21"/>
  <c r="E287" i="21"/>
  <c r="C287" i="21"/>
  <c r="B287" i="21"/>
  <c r="G286" i="21"/>
  <c r="E286" i="21"/>
  <c r="C286" i="21"/>
  <c r="B286" i="21"/>
  <c r="G285" i="21"/>
  <c r="E285" i="21"/>
  <c r="C285" i="21"/>
  <c r="B285" i="21"/>
  <c r="G284" i="21"/>
  <c r="E284" i="21"/>
  <c r="C284" i="21"/>
  <c r="B284" i="21"/>
  <c r="G283" i="21"/>
  <c r="E283" i="21"/>
  <c r="C283" i="21"/>
  <c r="B283" i="21"/>
  <c r="G282" i="21"/>
  <c r="E282" i="21"/>
  <c r="C282" i="21"/>
  <c r="B282" i="21"/>
  <c r="G281" i="21"/>
  <c r="E281" i="21"/>
  <c r="C281" i="21"/>
  <c r="B281" i="21"/>
  <c r="G280" i="21"/>
  <c r="E280" i="21"/>
  <c r="C280" i="21"/>
  <c r="B280" i="21"/>
  <c r="G279" i="21"/>
  <c r="E279" i="21"/>
  <c r="C279" i="21"/>
  <c r="B279" i="21"/>
  <c r="G278" i="21"/>
  <c r="E278" i="21"/>
  <c r="C278" i="21"/>
  <c r="B278" i="21"/>
  <c r="G277" i="21"/>
  <c r="E277" i="21"/>
  <c r="C277" i="21"/>
  <c r="B277" i="21"/>
  <c r="G276" i="21"/>
  <c r="E276" i="21"/>
  <c r="C276" i="21"/>
  <c r="B276" i="21"/>
  <c r="G275" i="21"/>
  <c r="E275" i="21"/>
  <c r="C275" i="21"/>
  <c r="B275" i="21"/>
  <c r="G274" i="21"/>
  <c r="E274" i="21"/>
  <c r="C274" i="21"/>
  <c r="B274" i="21"/>
  <c r="G273" i="21"/>
  <c r="E273" i="21"/>
  <c r="C273" i="21"/>
  <c r="B273" i="21"/>
  <c r="G272" i="21"/>
  <c r="E272" i="21"/>
  <c r="C272" i="21"/>
  <c r="B272" i="21"/>
  <c r="G271" i="21"/>
  <c r="E271" i="21"/>
  <c r="C271" i="21"/>
  <c r="B271" i="21"/>
  <c r="G270" i="21"/>
  <c r="E270" i="21"/>
  <c r="C270" i="21"/>
  <c r="B270" i="21"/>
  <c r="G269" i="21"/>
  <c r="E269" i="21"/>
  <c r="C269" i="21"/>
  <c r="B269" i="21"/>
  <c r="G268" i="21"/>
  <c r="E268" i="21"/>
  <c r="C268" i="21"/>
  <c r="B268" i="21"/>
  <c r="G267" i="21"/>
  <c r="E267" i="21"/>
  <c r="C267" i="21"/>
  <c r="B267" i="21"/>
  <c r="G266" i="21"/>
  <c r="E266" i="21"/>
  <c r="C266" i="21"/>
  <c r="B266" i="21"/>
  <c r="G265" i="21"/>
  <c r="E265" i="21"/>
  <c r="C265" i="21"/>
  <c r="B265" i="21"/>
  <c r="G264" i="21"/>
  <c r="E264" i="21"/>
  <c r="C264" i="21"/>
  <c r="B264" i="21"/>
  <c r="G263" i="21"/>
  <c r="E263" i="21"/>
  <c r="C263" i="21"/>
  <c r="B263" i="21"/>
  <c r="G262" i="21"/>
  <c r="E262" i="21"/>
  <c r="C262" i="21"/>
  <c r="B262" i="21"/>
  <c r="G261" i="21"/>
  <c r="E261" i="21"/>
  <c r="C261" i="21"/>
  <c r="B261" i="21"/>
  <c r="G260" i="21"/>
  <c r="E260" i="21"/>
  <c r="C260" i="21"/>
  <c r="B260" i="21"/>
  <c r="G259" i="21"/>
  <c r="E259" i="21"/>
  <c r="C259" i="21"/>
  <c r="B259" i="21"/>
  <c r="G258" i="21"/>
  <c r="E258" i="21"/>
  <c r="C258" i="21"/>
  <c r="B258" i="21"/>
  <c r="G257" i="21"/>
  <c r="E257" i="21"/>
  <c r="C257" i="21"/>
  <c r="B257" i="21"/>
  <c r="G256" i="21"/>
  <c r="E256" i="21"/>
  <c r="C256" i="21"/>
  <c r="B256" i="21"/>
  <c r="G255" i="21"/>
  <c r="E255" i="21"/>
  <c r="C255" i="21"/>
  <c r="B255" i="21"/>
  <c r="G254" i="21"/>
  <c r="E254" i="21"/>
  <c r="C254" i="21"/>
  <c r="B254" i="21"/>
  <c r="G253" i="21"/>
  <c r="E253" i="21"/>
  <c r="C253" i="21"/>
  <c r="B253" i="21"/>
  <c r="G252" i="21"/>
  <c r="E252" i="21"/>
  <c r="C252" i="21"/>
  <c r="B252" i="21"/>
  <c r="G251" i="21"/>
  <c r="E251" i="21"/>
  <c r="C251" i="21"/>
  <c r="B251" i="21"/>
  <c r="G250" i="21"/>
  <c r="E250" i="21"/>
  <c r="C250" i="21"/>
  <c r="B250" i="21"/>
  <c r="G249" i="21"/>
  <c r="E249" i="21"/>
  <c r="C249" i="21"/>
  <c r="B249" i="21"/>
  <c r="G248" i="21"/>
  <c r="E248" i="21"/>
  <c r="C248" i="21"/>
  <c r="B248" i="21"/>
  <c r="G247" i="21"/>
  <c r="E247" i="21"/>
  <c r="C247" i="21"/>
  <c r="B247" i="21"/>
  <c r="G246" i="21"/>
  <c r="E246" i="21"/>
  <c r="C246" i="21"/>
  <c r="B246" i="21"/>
  <c r="G245" i="21"/>
  <c r="E245" i="21"/>
  <c r="C245" i="21"/>
  <c r="B245" i="21"/>
  <c r="G244" i="21"/>
  <c r="E244" i="21"/>
  <c r="C244" i="21"/>
  <c r="B244" i="21"/>
  <c r="G243" i="21"/>
  <c r="E243" i="21"/>
  <c r="C243" i="21"/>
  <c r="B243" i="21"/>
  <c r="G242" i="21"/>
  <c r="E242" i="21"/>
  <c r="C242" i="21"/>
  <c r="B242" i="21"/>
  <c r="G241" i="21"/>
  <c r="E241" i="21"/>
  <c r="C241" i="21"/>
  <c r="B241" i="21"/>
  <c r="G240" i="21"/>
  <c r="E240" i="21"/>
  <c r="C240" i="21"/>
  <c r="B240" i="21"/>
  <c r="G239" i="21"/>
  <c r="E239" i="21"/>
  <c r="C239" i="21"/>
  <c r="B239" i="21"/>
  <c r="G238" i="21"/>
  <c r="E238" i="21"/>
  <c r="C238" i="21"/>
  <c r="B238" i="21"/>
  <c r="G237" i="21"/>
  <c r="E237" i="21"/>
  <c r="C237" i="21"/>
  <c r="B237" i="21"/>
  <c r="G236" i="21"/>
  <c r="E236" i="21"/>
  <c r="C236" i="21"/>
  <c r="B236" i="21"/>
  <c r="G235" i="21"/>
  <c r="E235" i="21"/>
  <c r="C235" i="21"/>
  <c r="B235" i="21"/>
  <c r="G234" i="21"/>
  <c r="E234" i="21"/>
  <c r="C234" i="21"/>
  <c r="B234" i="21"/>
  <c r="G233" i="21"/>
  <c r="E233" i="21"/>
  <c r="C233" i="21"/>
  <c r="B233" i="21"/>
  <c r="G232" i="21"/>
  <c r="E232" i="21"/>
  <c r="C232" i="21"/>
  <c r="B232" i="21"/>
  <c r="G231" i="21"/>
  <c r="E231" i="21"/>
  <c r="C231" i="21"/>
  <c r="B231" i="21"/>
  <c r="G230" i="21"/>
  <c r="E230" i="21"/>
  <c r="C230" i="21"/>
  <c r="B230" i="21"/>
  <c r="G229" i="21"/>
  <c r="E229" i="21"/>
  <c r="C229" i="21"/>
  <c r="B229" i="21"/>
  <c r="G228" i="21"/>
  <c r="E228" i="21"/>
  <c r="C228" i="21"/>
  <c r="B228" i="21"/>
  <c r="G227" i="21"/>
  <c r="E227" i="21"/>
  <c r="C227" i="21"/>
  <c r="B227" i="21"/>
  <c r="G226" i="21"/>
  <c r="E226" i="21"/>
  <c r="C226" i="21"/>
  <c r="B226" i="21"/>
  <c r="G225" i="21"/>
  <c r="E225" i="21"/>
  <c r="C225" i="21"/>
  <c r="B225" i="21"/>
  <c r="G224" i="21"/>
  <c r="E224" i="21"/>
  <c r="C224" i="21"/>
  <c r="B224" i="21"/>
  <c r="G223" i="21"/>
  <c r="E223" i="21"/>
  <c r="C223" i="21"/>
  <c r="B223" i="21"/>
  <c r="G222" i="21"/>
  <c r="E222" i="21"/>
  <c r="C222" i="21"/>
  <c r="B222" i="21"/>
  <c r="G221" i="21"/>
  <c r="E221" i="21"/>
  <c r="C221" i="21"/>
  <c r="B221" i="21"/>
  <c r="G220" i="21"/>
  <c r="E220" i="21"/>
  <c r="C220" i="21"/>
  <c r="B220" i="21"/>
  <c r="G219" i="21"/>
  <c r="E219" i="21"/>
  <c r="C219" i="21"/>
  <c r="B219" i="21"/>
  <c r="G218" i="21"/>
  <c r="E218" i="21"/>
  <c r="C218" i="21"/>
  <c r="B218" i="21"/>
  <c r="G217" i="21"/>
  <c r="E217" i="21"/>
  <c r="C217" i="21"/>
  <c r="B217" i="21"/>
  <c r="G216" i="21"/>
  <c r="E216" i="21"/>
  <c r="C216" i="21"/>
  <c r="B216" i="21"/>
  <c r="G215" i="21"/>
  <c r="E215" i="21"/>
  <c r="C215" i="21"/>
  <c r="B215" i="21"/>
  <c r="G214" i="21"/>
  <c r="E214" i="21"/>
  <c r="C214" i="21"/>
  <c r="B214" i="21"/>
  <c r="G213" i="21"/>
  <c r="E213" i="21"/>
  <c r="C213" i="21"/>
  <c r="B213" i="21"/>
  <c r="G212" i="21"/>
  <c r="E212" i="21"/>
  <c r="C212" i="21"/>
  <c r="B212" i="21"/>
  <c r="G211" i="21"/>
  <c r="E211" i="21"/>
  <c r="C211" i="21"/>
  <c r="B211" i="21"/>
  <c r="G210" i="21"/>
  <c r="E210" i="21"/>
  <c r="C210" i="21"/>
  <c r="B210" i="21"/>
  <c r="G209" i="21"/>
  <c r="E209" i="21"/>
  <c r="C209" i="21"/>
  <c r="B209" i="21"/>
  <c r="G208" i="21"/>
  <c r="E208" i="21"/>
  <c r="C208" i="21"/>
  <c r="B208" i="21"/>
  <c r="G207" i="21"/>
  <c r="E207" i="21"/>
  <c r="C207" i="21"/>
  <c r="B207" i="21"/>
  <c r="G206" i="21"/>
  <c r="E206" i="21"/>
  <c r="C206" i="21"/>
  <c r="B206" i="21"/>
  <c r="G205" i="21"/>
  <c r="E205" i="21"/>
  <c r="C205" i="21"/>
  <c r="B205" i="21"/>
  <c r="G204" i="21"/>
  <c r="E204" i="21"/>
  <c r="C204" i="21"/>
  <c r="B204" i="21"/>
  <c r="G203" i="21"/>
  <c r="E203" i="21"/>
  <c r="C203" i="21"/>
  <c r="B203" i="21"/>
  <c r="G202" i="21"/>
  <c r="E202" i="21"/>
  <c r="C202" i="21"/>
  <c r="B202" i="21"/>
  <c r="G201" i="21"/>
  <c r="E201" i="21"/>
  <c r="C201" i="21"/>
  <c r="B201" i="21"/>
  <c r="G200" i="21"/>
  <c r="E200" i="21"/>
  <c r="C200" i="21"/>
  <c r="B200" i="21"/>
  <c r="G199" i="21"/>
  <c r="E199" i="21"/>
  <c r="C199" i="21"/>
  <c r="B199" i="21"/>
  <c r="G198" i="21"/>
  <c r="E198" i="21"/>
  <c r="C198" i="21"/>
  <c r="B198" i="21"/>
  <c r="G197" i="21"/>
  <c r="E197" i="21"/>
  <c r="C197" i="21"/>
  <c r="B197" i="21"/>
  <c r="G196" i="21"/>
  <c r="E196" i="21"/>
  <c r="C196" i="21"/>
  <c r="B196" i="21"/>
  <c r="G195" i="21"/>
  <c r="E195" i="21"/>
  <c r="C195" i="21"/>
  <c r="B195" i="21"/>
  <c r="G194" i="21"/>
  <c r="E194" i="21"/>
  <c r="C194" i="21"/>
  <c r="B194" i="21"/>
  <c r="G193" i="21"/>
  <c r="E193" i="21"/>
  <c r="C193" i="21"/>
  <c r="B193" i="21"/>
  <c r="G192" i="21"/>
  <c r="E192" i="21"/>
  <c r="C192" i="21"/>
  <c r="B192" i="21"/>
  <c r="G191" i="21"/>
  <c r="E191" i="21"/>
  <c r="C191" i="21"/>
  <c r="B191" i="21"/>
  <c r="G190" i="21"/>
  <c r="E190" i="21"/>
  <c r="C190" i="21"/>
  <c r="B190" i="21"/>
  <c r="G189" i="21"/>
  <c r="E189" i="21"/>
  <c r="C189" i="21"/>
  <c r="B189" i="21"/>
  <c r="G188" i="21"/>
  <c r="E188" i="21"/>
  <c r="C188" i="21"/>
  <c r="B188" i="21"/>
  <c r="G187" i="21"/>
  <c r="E187" i="21"/>
  <c r="C187" i="21"/>
  <c r="B187" i="21"/>
  <c r="G186" i="21"/>
  <c r="E186" i="21"/>
  <c r="C186" i="21"/>
  <c r="B186" i="21"/>
  <c r="G185" i="21"/>
  <c r="E185" i="21"/>
  <c r="C185" i="21"/>
  <c r="B185" i="21"/>
  <c r="G184" i="21"/>
  <c r="E184" i="21"/>
  <c r="C184" i="21"/>
  <c r="B184" i="21"/>
  <c r="G183" i="21"/>
  <c r="E183" i="21"/>
  <c r="C183" i="21"/>
  <c r="B183" i="21"/>
  <c r="G182" i="21"/>
  <c r="E182" i="21"/>
  <c r="C182" i="21"/>
  <c r="B182" i="21"/>
  <c r="G181" i="21"/>
  <c r="E181" i="21"/>
  <c r="C181" i="21"/>
  <c r="B181" i="21"/>
  <c r="G180" i="21"/>
  <c r="E180" i="21"/>
  <c r="C180" i="21"/>
  <c r="B180" i="21"/>
  <c r="G179" i="21"/>
  <c r="E179" i="21"/>
  <c r="C179" i="21"/>
  <c r="B179" i="21"/>
  <c r="G178" i="21"/>
  <c r="E178" i="21"/>
  <c r="C178" i="21"/>
  <c r="B178" i="21"/>
  <c r="G177" i="21"/>
  <c r="E177" i="21"/>
  <c r="C177" i="21"/>
  <c r="B177" i="21"/>
  <c r="G176" i="21"/>
  <c r="E176" i="21"/>
  <c r="C176" i="21"/>
  <c r="B176" i="21"/>
  <c r="G175" i="21"/>
  <c r="E175" i="21"/>
  <c r="C175" i="21"/>
  <c r="B175" i="21"/>
  <c r="G174" i="21"/>
  <c r="E174" i="21"/>
  <c r="C174" i="21"/>
  <c r="B174" i="21"/>
  <c r="G173" i="21"/>
  <c r="E173" i="21"/>
  <c r="C173" i="21"/>
  <c r="B173" i="21"/>
  <c r="G172" i="21"/>
  <c r="E172" i="21"/>
  <c r="C172" i="21"/>
  <c r="B172" i="21"/>
  <c r="G171" i="21"/>
  <c r="E171" i="21"/>
  <c r="C171" i="21"/>
  <c r="B171" i="21"/>
  <c r="G170" i="21"/>
  <c r="E170" i="21"/>
  <c r="C170" i="21"/>
  <c r="B170" i="21"/>
  <c r="G169" i="21"/>
  <c r="E169" i="21"/>
  <c r="C169" i="21"/>
  <c r="B169" i="21"/>
  <c r="G168" i="21"/>
  <c r="E168" i="21"/>
  <c r="C168" i="21"/>
  <c r="B168" i="21"/>
  <c r="G167" i="21"/>
  <c r="E167" i="21"/>
  <c r="C167" i="21"/>
  <c r="B167" i="21"/>
  <c r="G166" i="21"/>
  <c r="E166" i="21"/>
  <c r="C166" i="21"/>
  <c r="B166" i="21"/>
  <c r="G165" i="21"/>
  <c r="E165" i="21"/>
  <c r="C165" i="21"/>
  <c r="B165" i="21"/>
  <c r="G164" i="21"/>
  <c r="E164" i="21"/>
  <c r="C164" i="21"/>
  <c r="B164" i="21"/>
  <c r="G163" i="21"/>
  <c r="E163" i="21"/>
  <c r="C163" i="21"/>
  <c r="B163" i="21"/>
  <c r="G162" i="21"/>
  <c r="E162" i="21"/>
  <c r="C162" i="21"/>
  <c r="B162" i="21"/>
  <c r="G161" i="21"/>
  <c r="E161" i="21"/>
  <c r="C161" i="21"/>
  <c r="B161" i="21"/>
  <c r="G160" i="21"/>
  <c r="E160" i="21"/>
  <c r="C160" i="21"/>
  <c r="B160" i="21"/>
  <c r="G159" i="21"/>
  <c r="E159" i="21"/>
  <c r="C159" i="21"/>
  <c r="B159" i="21"/>
  <c r="G158" i="21"/>
  <c r="E158" i="21"/>
  <c r="C158" i="21"/>
  <c r="B158" i="21"/>
  <c r="G157" i="21"/>
  <c r="E157" i="21"/>
  <c r="C157" i="21"/>
  <c r="B157" i="21"/>
  <c r="G156" i="21"/>
  <c r="E156" i="21"/>
  <c r="C156" i="21"/>
  <c r="B156" i="21"/>
  <c r="G155" i="21"/>
  <c r="E155" i="21"/>
  <c r="C155" i="21"/>
  <c r="B155" i="21"/>
  <c r="G154" i="21"/>
  <c r="E154" i="21"/>
  <c r="C154" i="21"/>
  <c r="B154" i="21"/>
  <c r="G153" i="21"/>
  <c r="E153" i="21"/>
  <c r="C153" i="21"/>
  <c r="B153" i="21"/>
  <c r="G152" i="21"/>
  <c r="E152" i="21"/>
  <c r="C152" i="21"/>
  <c r="B152" i="21"/>
  <c r="G151" i="21"/>
  <c r="E151" i="21"/>
  <c r="C151" i="21"/>
  <c r="B151" i="21"/>
  <c r="G150" i="21"/>
  <c r="E150" i="21"/>
  <c r="C150" i="21"/>
  <c r="B150" i="21"/>
  <c r="G149" i="21"/>
  <c r="E149" i="21"/>
  <c r="C149" i="21"/>
  <c r="B149" i="21"/>
  <c r="G148" i="21"/>
  <c r="E148" i="21"/>
  <c r="C148" i="21"/>
  <c r="B148" i="21"/>
  <c r="G147" i="21"/>
  <c r="E147" i="21"/>
  <c r="C147" i="21"/>
  <c r="B147" i="21"/>
  <c r="G146" i="21"/>
  <c r="E146" i="21"/>
  <c r="C146" i="21"/>
  <c r="B146" i="21"/>
  <c r="G145" i="21"/>
  <c r="E145" i="21"/>
  <c r="C145" i="21"/>
  <c r="B145" i="21"/>
  <c r="G144" i="21"/>
  <c r="E144" i="21"/>
  <c r="C144" i="21"/>
  <c r="B144" i="21"/>
  <c r="G143" i="21"/>
  <c r="E143" i="21"/>
  <c r="C143" i="21"/>
  <c r="B143" i="21"/>
  <c r="G142" i="21"/>
  <c r="E142" i="21"/>
  <c r="C142" i="21"/>
  <c r="B142" i="21"/>
  <c r="G141" i="21"/>
  <c r="E141" i="21"/>
  <c r="C141" i="21"/>
  <c r="B141" i="21"/>
  <c r="G140" i="21"/>
  <c r="E140" i="21"/>
  <c r="C140" i="21"/>
  <c r="B140" i="21"/>
  <c r="G139" i="21"/>
  <c r="E139" i="21"/>
  <c r="C139" i="21"/>
  <c r="B139" i="21"/>
  <c r="G138" i="21"/>
  <c r="E138" i="21"/>
  <c r="C138" i="21"/>
  <c r="B138" i="21"/>
  <c r="G137" i="21"/>
  <c r="E137" i="21"/>
  <c r="C137" i="21"/>
  <c r="B137" i="21"/>
  <c r="G136" i="21"/>
  <c r="E136" i="21"/>
  <c r="C136" i="21"/>
  <c r="B136" i="21"/>
  <c r="G135" i="21"/>
  <c r="E135" i="21"/>
  <c r="C135" i="21"/>
  <c r="B135" i="21"/>
  <c r="G134" i="21"/>
  <c r="E134" i="21"/>
  <c r="C134" i="21"/>
  <c r="B134" i="21"/>
  <c r="G133" i="21"/>
  <c r="E133" i="21"/>
  <c r="C133" i="21"/>
  <c r="B133" i="21"/>
  <c r="G132" i="21"/>
  <c r="E132" i="21"/>
  <c r="C132" i="21"/>
  <c r="B132" i="21"/>
  <c r="G131" i="21"/>
  <c r="E131" i="21"/>
  <c r="C131" i="21"/>
  <c r="B131" i="21"/>
  <c r="G130" i="21"/>
  <c r="E130" i="21"/>
  <c r="C130" i="21"/>
  <c r="B130" i="21"/>
  <c r="G129" i="21"/>
  <c r="E129" i="21"/>
  <c r="C129" i="21"/>
  <c r="B129" i="21"/>
  <c r="G128" i="21"/>
  <c r="E128" i="21"/>
  <c r="C128" i="21"/>
  <c r="B128" i="21"/>
  <c r="G127" i="21"/>
  <c r="E127" i="21"/>
  <c r="C127" i="21"/>
  <c r="B127" i="21"/>
  <c r="G126" i="21"/>
  <c r="E126" i="21"/>
  <c r="C126" i="21"/>
  <c r="B126" i="21"/>
  <c r="G125" i="21"/>
  <c r="E125" i="21"/>
  <c r="C125" i="21"/>
  <c r="B125" i="21"/>
  <c r="G124" i="21"/>
  <c r="E124" i="21"/>
  <c r="C124" i="21"/>
  <c r="B124" i="21"/>
  <c r="G123" i="21"/>
  <c r="E123" i="21"/>
  <c r="C123" i="21"/>
  <c r="B123" i="21"/>
  <c r="G122" i="21"/>
  <c r="E122" i="21"/>
  <c r="C122" i="21"/>
  <c r="B122" i="21"/>
  <c r="G121" i="21"/>
  <c r="E121" i="21"/>
  <c r="C121" i="21"/>
  <c r="B121" i="21"/>
  <c r="G120" i="21"/>
  <c r="E120" i="21"/>
  <c r="C120" i="21"/>
  <c r="B120" i="21"/>
  <c r="G119" i="21"/>
  <c r="E119" i="21"/>
  <c r="C119" i="21"/>
  <c r="B119" i="21"/>
  <c r="G118" i="21"/>
  <c r="E118" i="21"/>
  <c r="C118" i="21"/>
  <c r="B118" i="21"/>
  <c r="G117" i="21"/>
  <c r="E117" i="21"/>
  <c r="C117" i="21"/>
  <c r="B117" i="21"/>
  <c r="G116" i="21"/>
  <c r="E116" i="21"/>
  <c r="C116" i="21"/>
  <c r="B116" i="21"/>
  <c r="G115" i="21"/>
  <c r="E115" i="21"/>
  <c r="C115" i="21"/>
  <c r="B115" i="21"/>
  <c r="G114" i="21"/>
  <c r="E114" i="21"/>
  <c r="C114" i="21"/>
  <c r="B114" i="21"/>
  <c r="G113" i="21"/>
  <c r="E113" i="21"/>
  <c r="C113" i="21"/>
  <c r="B113" i="21"/>
  <c r="G112" i="21"/>
  <c r="E112" i="21"/>
  <c r="C112" i="21"/>
  <c r="B112" i="21"/>
  <c r="G111" i="21"/>
  <c r="E111" i="21"/>
  <c r="C111" i="21"/>
  <c r="B111" i="21"/>
  <c r="G110" i="21"/>
  <c r="E110" i="21"/>
  <c r="C110" i="21"/>
  <c r="B110" i="21"/>
  <c r="G109" i="21"/>
  <c r="E109" i="21"/>
  <c r="C109" i="21"/>
  <c r="B109" i="21"/>
  <c r="G108" i="21"/>
  <c r="E108" i="21"/>
  <c r="C108" i="21"/>
  <c r="B108" i="21"/>
  <c r="G107" i="21"/>
  <c r="E107" i="21"/>
  <c r="C107" i="21"/>
  <c r="B107" i="21"/>
  <c r="G106" i="21"/>
  <c r="E106" i="21"/>
  <c r="C106" i="21"/>
  <c r="B106" i="21"/>
  <c r="G105" i="21"/>
  <c r="E105" i="21"/>
  <c r="C105" i="21"/>
  <c r="B105" i="21"/>
  <c r="G104" i="21"/>
  <c r="E104" i="21"/>
  <c r="C104" i="21"/>
  <c r="B104" i="21"/>
  <c r="G103" i="21"/>
  <c r="E103" i="21"/>
  <c r="C103" i="21"/>
  <c r="B103" i="21"/>
  <c r="G102" i="21"/>
  <c r="E102" i="21"/>
  <c r="C102" i="21"/>
  <c r="B102" i="21"/>
  <c r="G101" i="21"/>
  <c r="E101" i="21"/>
  <c r="C101" i="21"/>
  <c r="B101" i="21"/>
  <c r="G100" i="21"/>
  <c r="E100" i="21"/>
  <c r="C100" i="21"/>
  <c r="B100" i="21"/>
  <c r="G99" i="21"/>
  <c r="E99" i="21"/>
  <c r="C99" i="21"/>
  <c r="B99" i="21"/>
  <c r="G98" i="21"/>
  <c r="E98" i="21"/>
  <c r="C98" i="21"/>
  <c r="B98" i="21"/>
  <c r="G97" i="21"/>
  <c r="E97" i="21"/>
  <c r="C97" i="21"/>
  <c r="B97" i="21"/>
  <c r="G96" i="21"/>
  <c r="E96" i="21"/>
  <c r="C96" i="21"/>
  <c r="B96" i="21"/>
  <c r="G95" i="21"/>
  <c r="E95" i="21"/>
  <c r="C95" i="21"/>
  <c r="B95" i="21"/>
  <c r="G94" i="21"/>
  <c r="E94" i="21"/>
  <c r="C94" i="21"/>
  <c r="B94" i="21"/>
  <c r="G93" i="21"/>
  <c r="E93" i="21"/>
  <c r="C93" i="21"/>
  <c r="B93" i="21"/>
  <c r="G92" i="21"/>
  <c r="E92" i="21"/>
  <c r="C92" i="21"/>
  <c r="B92" i="21"/>
  <c r="G91" i="21"/>
  <c r="E91" i="21"/>
  <c r="C91" i="21"/>
  <c r="B91" i="21"/>
  <c r="G90" i="21"/>
  <c r="E90" i="21"/>
  <c r="C90" i="21"/>
  <c r="B90" i="21"/>
  <c r="G89" i="21"/>
  <c r="E89" i="21"/>
  <c r="C89" i="21"/>
  <c r="B89" i="21"/>
  <c r="G88" i="21"/>
  <c r="E88" i="21"/>
  <c r="C88" i="21"/>
  <c r="B88" i="21"/>
  <c r="G87" i="21"/>
  <c r="E87" i="21"/>
  <c r="C87" i="21"/>
  <c r="B87" i="21"/>
  <c r="G86" i="21"/>
  <c r="E86" i="21"/>
  <c r="C86" i="21"/>
  <c r="B86" i="21"/>
  <c r="G85" i="21"/>
  <c r="E85" i="21"/>
  <c r="C85" i="21"/>
  <c r="B85" i="21"/>
  <c r="G84" i="21"/>
  <c r="E84" i="21"/>
  <c r="C84" i="21"/>
  <c r="B84" i="21"/>
  <c r="G83" i="21"/>
  <c r="E83" i="21"/>
  <c r="C83" i="21"/>
  <c r="B83" i="21"/>
  <c r="G82" i="21"/>
  <c r="E82" i="21"/>
  <c r="C82" i="21"/>
  <c r="B82" i="21"/>
  <c r="G81" i="21"/>
  <c r="E81" i="21"/>
  <c r="C81" i="21"/>
  <c r="B81" i="21"/>
  <c r="G80" i="21"/>
  <c r="E80" i="21"/>
  <c r="C80" i="21"/>
  <c r="B80" i="21"/>
  <c r="G79" i="21"/>
  <c r="E79" i="21"/>
  <c r="C79" i="21"/>
  <c r="B79" i="21"/>
  <c r="G78" i="21"/>
  <c r="E78" i="21"/>
  <c r="C78" i="21"/>
  <c r="B78" i="21"/>
  <c r="G77" i="21"/>
  <c r="E77" i="21"/>
  <c r="C77" i="21"/>
  <c r="B77" i="21"/>
  <c r="G76" i="21"/>
  <c r="E76" i="21"/>
  <c r="C76" i="21"/>
  <c r="B76" i="21"/>
  <c r="G75" i="21"/>
  <c r="E75" i="21"/>
  <c r="C75" i="21"/>
  <c r="B75" i="21"/>
  <c r="G74" i="21"/>
  <c r="E74" i="21"/>
  <c r="C74" i="21"/>
  <c r="B74" i="21"/>
  <c r="G73" i="21"/>
  <c r="E73" i="21"/>
  <c r="C73" i="21"/>
  <c r="B73" i="21"/>
  <c r="G72" i="21"/>
  <c r="E72" i="21"/>
  <c r="C72" i="21"/>
  <c r="B72" i="21"/>
  <c r="G71" i="21"/>
  <c r="E71" i="21"/>
  <c r="C71" i="21"/>
  <c r="B71" i="21"/>
  <c r="G70" i="21"/>
  <c r="E70" i="21"/>
  <c r="C70" i="21"/>
  <c r="B70" i="21"/>
  <c r="G69" i="21"/>
  <c r="E69" i="21"/>
  <c r="C69" i="21"/>
  <c r="B69" i="21"/>
  <c r="G68" i="21"/>
  <c r="E68" i="21"/>
  <c r="C68" i="21"/>
  <c r="B68" i="21"/>
  <c r="G67" i="21"/>
  <c r="E67" i="21"/>
  <c r="C67" i="21"/>
  <c r="B67" i="21"/>
  <c r="G66" i="21"/>
  <c r="E66" i="21"/>
  <c r="C66" i="21"/>
  <c r="B66" i="21"/>
  <c r="G65" i="21"/>
  <c r="E65" i="21"/>
  <c r="C65" i="21"/>
  <c r="B65" i="21"/>
  <c r="G64" i="21"/>
  <c r="E64" i="21"/>
  <c r="C64" i="21"/>
  <c r="B64" i="21"/>
  <c r="G63" i="21"/>
  <c r="E63" i="21"/>
  <c r="C63" i="21"/>
  <c r="B63" i="21"/>
  <c r="G62" i="21"/>
  <c r="E62" i="21"/>
  <c r="C62" i="21"/>
  <c r="B62" i="21"/>
  <c r="G61" i="21"/>
  <c r="E61" i="21"/>
  <c r="C61" i="21"/>
  <c r="B61" i="21"/>
  <c r="G60" i="21"/>
  <c r="E60" i="21"/>
  <c r="C60" i="21"/>
  <c r="B60" i="21"/>
  <c r="G59" i="21"/>
  <c r="E59" i="21"/>
  <c r="C59" i="21"/>
  <c r="B59" i="21"/>
  <c r="G58" i="21"/>
  <c r="E58" i="21"/>
  <c r="C58" i="21"/>
  <c r="B58" i="21"/>
  <c r="G57" i="21"/>
  <c r="E57" i="21"/>
  <c r="C57" i="21"/>
  <c r="B57" i="21"/>
  <c r="G56" i="21"/>
  <c r="E56" i="21"/>
  <c r="C56" i="21"/>
  <c r="B56" i="21"/>
  <c r="G55" i="21"/>
  <c r="E55" i="21"/>
  <c r="C55" i="21"/>
  <c r="B55" i="21"/>
  <c r="G54" i="21"/>
  <c r="E54" i="21"/>
  <c r="C54" i="21"/>
  <c r="B54" i="21"/>
  <c r="G53" i="21"/>
  <c r="E53" i="21"/>
  <c r="C53" i="21"/>
  <c r="B53" i="21"/>
  <c r="G52" i="21"/>
  <c r="E52" i="21"/>
  <c r="C52" i="21"/>
  <c r="B52" i="21"/>
  <c r="G51" i="21"/>
  <c r="E51" i="21"/>
  <c r="C51" i="21"/>
  <c r="B51" i="21"/>
  <c r="G50" i="21"/>
  <c r="E50" i="21"/>
  <c r="C50" i="21"/>
  <c r="B50" i="21"/>
  <c r="G49" i="21"/>
  <c r="E49" i="21"/>
  <c r="C49" i="21"/>
  <c r="B49" i="21"/>
  <c r="G48" i="21"/>
  <c r="E48" i="21"/>
  <c r="C48" i="21"/>
  <c r="B48" i="21"/>
  <c r="G47" i="21"/>
  <c r="E47" i="21"/>
  <c r="C47" i="21"/>
  <c r="B47" i="21"/>
  <c r="G46" i="21"/>
  <c r="E46" i="21"/>
  <c r="C46" i="21"/>
  <c r="B46" i="21"/>
  <c r="G45" i="21"/>
  <c r="E45" i="21"/>
  <c r="C45" i="21"/>
  <c r="B45" i="21"/>
  <c r="G44" i="21"/>
  <c r="E44" i="21"/>
  <c r="C44" i="21"/>
  <c r="B44" i="21"/>
  <c r="G43" i="21"/>
  <c r="E43" i="21"/>
  <c r="C43" i="21"/>
  <c r="B43" i="21"/>
  <c r="G42" i="21"/>
  <c r="E42" i="21"/>
  <c r="C42" i="21"/>
  <c r="B42" i="21"/>
  <c r="G41" i="21"/>
  <c r="E41" i="21"/>
  <c r="C41" i="21"/>
  <c r="B41" i="21"/>
  <c r="G40" i="21"/>
  <c r="E40" i="21"/>
  <c r="C40" i="21"/>
  <c r="B40" i="21"/>
  <c r="G39" i="21"/>
  <c r="E39" i="21"/>
  <c r="C39" i="21"/>
  <c r="B39" i="21"/>
  <c r="G38" i="21"/>
  <c r="E38" i="21"/>
  <c r="C38" i="21"/>
  <c r="B38" i="21"/>
  <c r="G37" i="21"/>
  <c r="E37" i="21"/>
  <c r="C37" i="21"/>
  <c r="B37" i="21"/>
  <c r="G36" i="21"/>
  <c r="E36" i="21"/>
  <c r="C36" i="21"/>
  <c r="B36" i="21"/>
  <c r="G35" i="21"/>
  <c r="E35" i="21"/>
  <c r="C35" i="21"/>
  <c r="B35" i="21"/>
  <c r="G34" i="21"/>
  <c r="E34" i="21"/>
  <c r="C34" i="21"/>
  <c r="B34" i="21"/>
  <c r="G33" i="21"/>
  <c r="E33" i="21"/>
  <c r="C33" i="21"/>
  <c r="B33" i="21"/>
  <c r="G32" i="21"/>
  <c r="E32" i="21"/>
  <c r="C32" i="21"/>
  <c r="B32" i="21"/>
  <c r="G31" i="21"/>
  <c r="E31" i="21"/>
  <c r="C31" i="21"/>
  <c r="B31" i="21"/>
  <c r="G30" i="21"/>
  <c r="E30" i="21"/>
  <c r="C30" i="21"/>
  <c r="B30" i="21"/>
  <c r="G29" i="21"/>
  <c r="E29" i="21"/>
  <c r="C29" i="21"/>
  <c r="B29" i="21"/>
  <c r="G28" i="21"/>
  <c r="E28" i="21"/>
  <c r="C28" i="21"/>
  <c r="B28" i="21"/>
  <c r="G27" i="21"/>
  <c r="E27" i="21"/>
  <c r="C27" i="21"/>
  <c r="B27" i="21"/>
  <c r="G26" i="21"/>
  <c r="E26" i="21"/>
  <c r="C26" i="21"/>
  <c r="B26" i="21"/>
  <c r="G25" i="21"/>
  <c r="E25" i="21"/>
  <c r="C25" i="21"/>
  <c r="B25" i="21"/>
  <c r="G24" i="21"/>
  <c r="E24" i="21"/>
  <c r="C24" i="21"/>
  <c r="B24" i="21"/>
  <c r="G23" i="21"/>
  <c r="E23" i="21"/>
  <c r="C23" i="21"/>
  <c r="B23" i="21"/>
  <c r="G22" i="21"/>
  <c r="E22" i="21"/>
  <c r="C22" i="21"/>
  <c r="B22" i="21"/>
  <c r="G21" i="21"/>
  <c r="E21" i="21"/>
  <c r="C21" i="21"/>
  <c r="B21" i="21"/>
  <c r="G20" i="21"/>
  <c r="E20" i="21"/>
  <c r="C20" i="21"/>
  <c r="B20" i="21"/>
  <c r="G19" i="21"/>
  <c r="E19" i="21"/>
  <c r="C19" i="21"/>
  <c r="B19" i="21"/>
  <c r="G18" i="21"/>
  <c r="E18" i="21"/>
  <c r="C18" i="21"/>
  <c r="B18" i="21"/>
  <c r="G17" i="21"/>
  <c r="E17" i="21"/>
  <c r="C17" i="21"/>
  <c r="B17" i="21"/>
  <c r="G16" i="21"/>
  <c r="E16" i="21"/>
  <c r="C16" i="21"/>
  <c r="B16" i="21"/>
  <c r="G15" i="21"/>
  <c r="E15" i="21"/>
  <c r="C15" i="21"/>
  <c r="B15" i="21"/>
  <c r="G14" i="21"/>
  <c r="E14" i="21"/>
  <c r="C14" i="21"/>
  <c r="B14" i="21"/>
  <c r="G13" i="21"/>
  <c r="E13" i="21"/>
  <c r="C13" i="21"/>
  <c r="B13" i="21"/>
  <c r="G12" i="21"/>
  <c r="E12" i="21"/>
  <c r="C12" i="21"/>
  <c r="B12" i="21"/>
  <c r="G11" i="21"/>
  <c r="E11" i="21"/>
  <c r="C11" i="21"/>
  <c r="B11" i="21"/>
  <c r="G10" i="21"/>
  <c r="E10" i="21"/>
  <c r="C10" i="21"/>
  <c r="B10" i="21"/>
  <c r="G9" i="21"/>
  <c r="E9" i="21"/>
  <c r="C9" i="21"/>
  <c r="B9" i="21"/>
  <c r="G8" i="21"/>
  <c r="E8" i="21"/>
  <c r="C8" i="21"/>
  <c r="B8" i="21"/>
  <c r="G7" i="21"/>
  <c r="E7" i="21"/>
  <c r="C7" i="21"/>
  <c r="B7" i="21"/>
  <c r="G6" i="21"/>
  <c r="E6" i="21"/>
  <c r="C6" i="21"/>
  <c r="B6" i="21"/>
  <c r="G5" i="21"/>
  <c r="E5" i="21"/>
  <c r="C5" i="21"/>
  <c r="B5" i="21"/>
  <c r="G4" i="21"/>
  <c r="E4" i="21"/>
  <c r="C4" i="21"/>
  <c r="B4" i="21"/>
  <c r="AS103" i="20"/>
  <c r="AR103" i="20"/>
  <c r="AL103" i="20"/>
  <c r="AF103" i="20"/>
  <c r="AC103" i="20"/>
  <c r="Z103" i="20"/>
  <c r="X103" i="20"/>
  <c r="W103" i="20"/>
  <c r="U103" i="20"/>
  <c r="T103" i="20"/>
  <c r="R103" i="20"/>
  <c r="N103" i="20"/>
  <c r="J103" i="20"/>
  <c r="H103" i="20"/>
  <c r="G103" i="20"/>
  <c r="F103" i="20"/>
  <c r="E103" i="20"/>
  <c r="D103" i="20"/>
  <c r="AB103" i="20" s="1"/>
  <c r="C103" i="20"/>
  <c r="B103" i="20"/>
  <c r="A103" i="20"/>
  <c r="AI103" i="20" s="1"/>
  <c r="AR102" i="20"/>
  <c r="AQ102" i="20"/>
  <c r="AP102" i="20"/>
  <c r="AM102" i="20"/>
  <c r="AK102" i="20"/>
  <c r="AJ102" i="20"/>
  <c r="AH102" i="20"/>
  <c r="AG102" i="20"/>
  <c r="AE102" i="20"/>
  <c r="AB102" i="20"/>
  <c r="AA102" i="20"/>
  <c r="U102" i="20"/>
  <c r="S102" i="20"/>
  <c r="R102" i="20"/>
  <c r="O102" i="20"/>
  <c r="L102" i="20"/>
  <c r="J102" i="20"/>
  <c r="I102" i="20"/>
  <c r="G102" i="20"/>
  <c r="F102" i="20"/>
  <c r="E102" i="20"/>
  <c r="D102" i="20"/>
  <c r="C102" i="20"/>
  <c r="B102" i="20"/>
  <c r="A102" i="20"/>
  <c r="AR101" i="20"/>
  <c r="AN101" i="20"/>
  <c r="AL101" i="20"/>
  <c r="AF101" i="20"/>
  <c r="AD101" i="20"/>
  <c r="Z101" i="20"/>
  <c r="Y101" i="20"/>
  <c r="X101" i="20"/>
  <c r="W101" i="20"/>
  <c r="N101" i="20"/>
  <c r="L101" i="20"/>
  <c r="H101" i="20"/>
  <c r="F101" i="20"/>
  <c r="E101" i="20"/>
  <c r="D101" i="20"/>
  <c r="AG101" i="20" s="1"/>
  <c r="C101" i="20"/>
  <c r="B101" i="20"/>
  <c r="A101" i="20"/>
  <c r="Q101" i="20" s="1"/>
  <c r="AS100" i="20"/>
  <c r="AQ100" i="20"/>
  <c r="AO100" i="20"/>
  <c r="AM100" i="20"/>
  <c r="AL100" i="20"/>
  <c r="AK100" i="20"/>
  <c r="AE100" i="20"/>
  <c r="AD100" i="20"/>
  <c r="AC100" i="20"/>
  <c r="AB100" i="20"/>
  <c r="AA100" i="20"/>
  <c r="W100" i="20"/>
  <c r="U100" i="20"/>
  <c r="S100" i="20"/>
  <c r="Q100" i="20"/>
  <c r="O100" i="20"/>
  <c r="M100" i="20"/>
  <c r="I100" i="20"/>
  <c r="G100" i="20"/>
  <c r="F100" i="20"/>
  <c r="E100" i="20"/>
  <c r="D100" i="20"/>
  <c r="AR100" i="20" s="1"/>
  <c r="C100" i="20"/>
  <c r="B100" i="20"/>
  <c r="A100" i="20"/>
  <c r="AI100" i="20" s="1"/>
  <c r="AL99" i="20"/>
  <c r="AI99" i="20"/>
  <c r="AH99" i="20"/>
  <c r="V99" i="20"/>
  <c r="T99" i="20"/>
  <c r="Q99" i="20"/>
  <c r="N99" i="20"/>
  <c r="K99" i="20"/>
  <c r="F99" i="20"/>
  <c r="E99" i="20"/>
  <c r="D99" i="20"/>
  <c r="C99" i="20"/>
  <c r="B99" i="20"/>
  <c r="A99" i="20"/>
  <c r="AS98" i="20"/>
  <c r="AQ98" i="20"/>
  <c r="AP98" i="20"/>
  <c r="AN98" i="20"/>
  <c r="AM98" i="20"/>
  <c r="AL98" i="20"/>
  <c r="AK98" i="20"/>
  <c r="AH98" i="20"/>
  <c r="AG98" i="20"/>
  <c r="AE98" i="20"/>
  <c r="AD98" i="20"/>
  <c r="AC98" i="20"/>
  <c r="AA98" i="20"/>
  <c r="Y98" i="20"/>
  <c r="X98" i="20"/>
  <c r="V98" i="20"/>
  <c r="U98" i="20"/>
  <c r="S98" i="20"/>
  <c r="R98" i="20"/>
  <c r="Q98" i="20"/>
  <c r="P98" i="20"/>
  <c r="O98" i="20"/>
  <c r="M98" i="20"/>
  <c r="J98" i="20"/>
  <c r="I98" i="20"/>
  <c r="G98" i="20"/>
  <c r="F98" i="20"/>
  <c r="E98" i="20"/>
  <c r="D98" i="20"/>
  <c r="AR98" i="20" s="1"/>
  <c r="C98" i="20"/>
  <c r="B98" i="20"/>
  <c r="A98" i="20"/>
  <c r="H98" i="20" s="1"/>
  <c r="AS97" i="20"/>
  <c r="AR97" i="20"/>
  <c r="AP97" i="20"/>
  <c r="AL97" i="20"/>
  <c r="AK97" i="20"/>
  <c r="AJ97" i="20"/>
  <c r="AI97" i="20"/>
  <c r="AH97" i="20"/>
  <c r="AF97" i="20"/>
  <c r="AD97" i="20"/>
  <c r="AC97" i="20"/>
  <c r="AB97" i="20"/>
  <c r="AA97" i="20"/>
  <c r="Z97" i="20"/>
  <c r="X97" i="20"/>
  <c r="W97" i="20"/>
  <c r="U97" i="20"/>
  <c r="T97" i="20"/>
  <c r="S97" i="20"/>
  <c r="R97" i="20"/>
  <c r="P97" i="20"/>
  <c r="O97" i="20"/>
  <c r="N97" i="20"/>
  <c r="L97" i="20"/>
  <c r="K97" i="20"/>
  <c r="J97" i="20"/>
  <c r="H97" i="20"/>
  <c r="G97" i="20"/>
  <c r="F97" i="20"/>
  <c r="E97" i="20"/>
  <c r="D97" i="20"/>
  <c r="AN97" i="20" s="1"/>
  <c r="C97" i="20"/>
  <c r="B97" i="20"/>
  <c r="A97" i="20"/>
  <c r="AO97" i="20" s="1"/>
  <c r="AS96" i="20"/>
  <c r="AJ96" i="20"/>
  <c r="AH96" i="20"/>
  <c r="U96" i="20"/>
  <c r="L96" i="20"/>
  <c r="J96" i="20"/>
  <c r="I96" i="20"/>
  <c r="F96" i="20"/>
  <c r="E96" i="20"/>
  <c r="D96" i="20"/>
  <c r="AK96" i="20" s="1"/>
  <c r="C96" i="20"/>
  <c r="B96" i="20"/>
  <c r="A96" i="20"/>
  <c r="AK95" i="20"/>
  <c r="AJ95" i="20"/>
  <c r="AH95" i="20"/>
  <c r="Y95" i="20"/>
  <c r="V95" i="20"/>
  <c r="O95" i="20"/>
  <c r="M95" i="20"/>
  <c r="J95" i="20"/>
  <c r="I95" i="20"/>
  <c r="F95" i="20"/>
  <c r="E95" i="20"/>
  <c r="D95" i="20"/>
  <c r="C95" i="20"/>
  <c r="B95" i="20"/>
  <c r="A95" i="20"/>
  <c r="AL94" i="20"/>
  <c r="AI94" i="20"/>
  <c r="Z94" i="20"/>
  <c r="V94" i="20"/>
  <c r="F94" i="20"/>
  <c r="E94" i="20"/>
  <c r="D94" i="20"/>
  <c r="C94" i="20"/>
  <c r="B94" i="20"/>
  <c r="A94" i="20"/>
  <c r="K94" i="20" s="1"/>
  <c r="AJ93" i="20"/>
  <c r="AH93" i="20"/>
  <c r="Z93" i="20"/>
  <c r="Y93" i="20"/>
  <c r="L93" i="20"/>
  <c r="I93" i="20"/>
  <c r="F93" i="20"/>
  <c r="E93" i="20"/>
  <c r="D93" i="20"/>
  <c r="V93" i="20" s="1"/>
  <c r="C93" i="20"/>
  <c r="B93" i="20"/>
  <c r="A93" i="20"/>
  <c r="AI93" i="20" s="1"/>
  <c r="AK92" i="20"/>
  <c r="AJ92" i="20"/>
  <c r="AA92" i="20"/>
  <c r="V92" i="20"/>
  <c r="M92" i="20"/>
  <c r="I92" i="20"/>
  <c r="F92" i="20"/>
  <c r="E92" i="20"/>
  <c r="D92" i="20"/>
  <c r="O92" i="20" s="1"/>
  <c r="C92" i="20"/>
  <c r="B92" i="20"/>
  <c r="A92" i="20"/>
  <c r="AK91" i="20"/>
  <c r="AJ91" i="20"/>
  <c r="AA91" i="20"/>
  <c r="V91" i="20"/>
  <c r="P91" i="20"/>
  <c r="M91" i="20"/>
  <c r="J91" i="20"/>
  <c r="F91" i="20"/>
  <c r="E91" i="20"/>
  <c r="D91" i="20"/>
  <c r="C91" i="20"/>
  <c r="B91" i="20"/>
  <c r="A91" i="20"/>
  <c r="AS90" i="20"/>
  <c r="AQ90" i="20"/>
  <c r="AP90" i="20"/>
  <c r="AN90" i="20"/>
  <c r="AM90" i="20"/>
  <c r="AL90" i="20"/>
  <c r="AK90" i="20"/>
  <c r="AI90" i="20"/>
  <c r="AH90" i="20"/>
  <c r="AG90" i="20"/>
  <c r="AE90" i="20"/>
  <c r="AD90" i="20"/>
  <c r="AC90" i="20"/>
  <c r="AA90" i="20"/>
  <c r="Z90" i="20"/>
  <c r="Y90" i="20"/>
  <c r="X90" i="20"/>
  <c r="V90" i="20"/>
  <c r="U90" i="20"/>
  <c r="S90" i="20"/>
  <c r="R90" i="20"/>
  <c r="Q90" i="20"/>
  <c r="P90" i="20"/>
  <c r="O90" i="20"/>
  <c r="M90" i="20"/>
  <c r="J90" i="20"/>
  <c r="I90" i="20"/>
  <c r="G90" i="20"/>
  <c r="F90" i="20"/>
  <c r="E90" i="20"/>
  <c r="D90" i="20"/>
  <c r="AR90" i="20" s="1"/>
  <c r="C90" i="20"/>
  <c r="B90" i="20"/>
  <c r="A90" i="20"/>
  <c r="H90" i="20" s="1"/>
  <c r="AR89" i="20"/>
  <c r="AQ89" i="20"/>
  <c r="AN89" i="20"/>
  <c r="AL89" i="20"/>
  <c r="AJ89" i="20"/>
  <c r="AI89" i="20"/>
  <c r="AF89" i="20"/>
  <c r="AE89" i="20"/>
  <c r="AC89" i="20"/>
  <c r="AB89" i="20"/>
  <c r="Z89" i="20"/>
  <c r="W89" i="20"/>
  <c r="V89" i="20"/>
  <c r="T89" i="20"/>
  <c r="S89" i="20"/>
  <c r="R89" i="20"/>
  <c r="O89" i="20"/>
  <c r="N89" i="20"/>
  <c r="K89" i="20"/>
  <c r="J89" i="20"/>
  <c r="H89" i="20"/>
  <c r="G89" i="20"/>
  <c r="F89" i="20"/>
  <c r="E89" i="20"/>
  <c r="D89" i="20"/>
  <c r="AS89" i="20" s="1"/>
  <c r="C89" i="20"/>
  <c r="B89" i="20"/>
  <c r="A89" i="20"/>
  <c r="AO89" i="20" s="1"/>
  <c r="AS88" i="20"/>
  <c r="AR88" i="20"/>
  <c r="AQ88" i="20"/>
  <c r="AP88" i="20"/>
  <c r="AM88" i="20"/>
  <c r="AK88" i="20"/>
  <c r="AJ88" i="20"/>
  <c r="AI88" i="20"/>
  <c r="AH88" i="20"/>
  <c r="AG88" i="20"/>
  <c r="AF88" i="20"/>
  <c r="AB88" i="20"/>
  <c r="AA88" i="20"/>
  <c r="Z88" i="20"/>
  <c r="Y88" i="20"/>
  <c r="X88" i="20"/>
  <c r="T88" i="20"/>
  <c r="S88" i="20"/>
  <c r="R88" i="20"/>
  <c r="Q88" i="20"/>
  <c r="P88" i="20"/>
  <c r="O88" i="20"/>
  <c r="M88" i="20"/>
  <c r="J88" i="20"/>
  <c r="I88" i="20"/>
  <c r="G88" i="20"/>
  <c r="F88" i="20"/>
  <c r="E88" i="20"/>
  <c r="D88" i="20"/>
  <c r="C88" i="20"/>
  <c r="B88" i="20"/>
  <c r="A88" i="20"/>
  <c r="H88" i="20" s="1"/>
  <c r="AS87" i="20"/>
  <c r="AR87" i="20"/>
  <c r="AP87" i="20"/>
  <c r="AM87" i="20"/>
  <c r="AK87" i="20"/>
  <c r="AJ87" i="20"/>
  <c r="AH87" i="20"/>
  <c r="AG87" i="20"/>
  <c r="AD87" i="20"/>
  <c r="AB87" i="20"/>
  <c r="Y87" i="20"/>
  <c r="X87" i="20"/>
  <c r="U87" i="20"/>
  <c r="R87" i="20"/>
  <c r="P87" i="20"/>
  <c r="O87" i="20"/>
  <c r="L87" i="20"/>
  <c r="J87" i="20"/>
  <c r="I87" i="20"/>
  <c r="G87" i="20"/>
  <c r="F87" i="20"/>
  <c r="E87" i="20"/>
  <c r="D87" i="20"/>
  <c r="C87" i="20"/>
  <c r="B87" i="20"/>
  <c r="A87" i="20"/>
  <c r="W87" i="20" s="1"/>
  <c r="AS86" i="20"/>
  <c r="AR86" i="20"/>
  <c r="AQ86" i="20"/>
  <c r="AP86" i="20"/>
  <c r="AM86" i="20"/>
  <c r="AL86" i="20"/>
  <c r="AK86" i="20"/>
  <c r="AJ86" i="20"/>
  <c r="AI86" i="20"/>
  <c r="AH86" i="20"/>
  <c r="AG86" i="20"/>
  <c r="AD86" i="20"/>
  <c r="AB86" i="20"/>
  <c r="AA86" i="20"/>
  <c r="Z86" i="20"/>
  <c r="Y86" i="20"/>
  <c r="U86" i="20"/>
  <c r="S86" i="20"/>
  <c r="R86" i="20"/>
  <c r="Q86" i="20"/>
  <c r="O86" i="20"/>
  <c r="N86" i="20"/>
  <c r="L86" i="20"/>
  <c r="K86" i="20"/>
  <c r="J86" i="20"/>
  <c r="I86" i="20"/>
  <c r="G86" i="20"/>
  <c r="F86" i="20"/>
  <c r="E86" i="20"/>
  <c r="D86" i="20"/>
  <c r="C86" i="20"/>
  <c r="B86" i="20"/>
  <c r="A86" i="20"/>
  <c r="AC86" i="20" s="1"/>
  <c r="AR85" i="20"/>
  <c r="AQ85" i="20"/>
  <c r="AP85" i="20"/>
  <c r="AM85" i="20"/>
  <c r="AJ85" i="20"/>
  <c r="AH85" i="20"/>
  <c r="AG85" i="20"/>
  <c r="AF85" i="20"/>
  <c r="AD85" i="20"/>
  <c r="AB85" i="20"/>
  <c r="AA85" i="20"/>
  <c r="Y85" i="20"/>
  <c r="X85" i="20"/>
  <c r="S85" i="20"/>
  <c r="R85" i="20"/>
  <c r="P85" i="20"/>
  <c r="O85" i="20"/>
  <c r="J85" i="20"/>
  <c r="I85" i="20"/>
  <c r="G85" i="20"/>
  <c r="F85" i="20"/>
  <c r="E85" i="20"/>
  <c r="D85" i="20"/>
  <c r="C85" i="20"/>
  <c r="B85" i="20"/>
  <c r="A85" i="20"/>
  <c r="W85" i="20" s="1"/>
  <c r="AS84" i="20"/>
  <c r="AR84" i="20"/>
  <c r="AQ84" i="20"/>
  <c r="AM84" i="20"/>
  <c r="AL84" i="20"/>
  <c r="AK84" i="20"/>
  <c r="AJ84" i="20"/>
  <c r="AI84" i="20"/>
  <c r="AG84" i="20"/>
  <c r="AF84" i="20"/>
  <c r="AD84" i="20"/>
  <c r="AB84" i="20"/>
  <c r="AA84" i="20"/>
  <c r="Y84" i="20"/>
  <c r="X84" i="20"/>
  <c r="U84" i="20"/>
  <c r="S84" i="20"/>
  <c r="Q84" i="20"/>
  <c r="P84" i="20"/>
  <c r="O84" i="20"/>
  <c r="N84" i="20"/>
  <c r="L84" i="20"/>
  <c r="K84" i="20"/>
  <c r="I84" i="20"/>
  <c r="G84" i="20"/>
  <c r="F84" i="20"/>
  <c r="E84" i="20"/>
  <c r="D84" i="20"/>
  <c r="C84" i="20"/>
  <c r="B84" i="20"/>
  <c r="A84" i="20"/>
  <c r="Z84" i="20" s="1"/>
  <c r="AS83" i="20"/>
  <c r="AR83" i="20"/>
  <c r="AQ83" i="20"/>
  <c r="AP83" i="20"/>
  <c r="AN83" i="20"/>
  <c r="AK83" i="20"/>
  <c r="AJ83" i="20"/>
  <c r="AH83" i="20"/>
  <c r="AG83" i="20"/>
  <c r="AD83" i="20"/>
  <c r="AC83" i="20"/>
  <c r="AB83" i="20"/>
  <c r="AA83" i="20"/>
  <c r="Y83" i="20"/>
  <c r="X83" i="20"/>
  <c r="U83" i="20"/>
  <c r="T83" i="20"/>
  <c r="S83" i="20"/>
  <c r="R83" i="20"/>
  <c r="P83" i="20"/>
  <c r="L83" i="20"/>
  <c r="J83" i="20"/>
  <c r="I83" i="20"/>
  <c r="F83" i="20"/>
  <c r="E83" i="20"/>
  <c r="D83" i="20"/>
  <c r="C83" i="20"/>
  <c r="B83" i="20"/>
  <c r="A83" i="20"/>
  <c r="AS82" i="20"/>
  <c r="AQ82" i="20"/>
  <c r="AP82" i="20"/>
  <c r="AN82" i="20"/>
  <c r="AM82" i="20"/>
  <c r="AK82" i="20"/>
  <c r="AH82" i="20"/>
  <c r="AG82" i="20"/>
  <c r="AE82" i="20"/>
  <c r="AD82" i="20"/>
  <c r="AC82" i="20"/>
  <c r="AA82" i="20"/>
  <c r="Y82" i="20"/>
  <c r="X82" i="20"/>
  <c r="V82" i="20"/>
  <c r="U82" i="20"/>
  <c r="S82" i="20"/>
  <c r="R82" i="20"/>
  <c r="P82" i="20"/>
  <c r="O82" i="20"/>
  <c r="M82" i="20"/>
  <c r="J82" i="20"/>
  <c r="I82" i="20"/>
  <c r="H82" i="20"/>
  <c r="G82" i="20"/>
  <c r="F82" i="20"/>
  <c r="E82" i="20"/>
  <c r="D82" i="20"/>
  <c r="AR82" i="20" s="1"/>
  <c r="C82" i="20"/>
  <c r="B82" i="20"/>
  <c r="A82" i="20"/>
  <c r="AS81" i="20"/>
  <c r="AR81" i="20"/>
  <c r="AQ81" i="20"/>
  <c r="AP81" i="20"/>
  <c r="AM81" i="20"/>
  <c r="AL81" i="20"/>
  <c r="AK81" i="20"/>
  <c r="AJ81" i="20"/>
  <c r="AI81" i="20"/>
  <c r="AH81" i="20"/>
  <c r="AF81" i="20"/>
  <c r="AD81" i="20"/>
  <c r="AC81" i="20"/>
  <c r="AB81" i="20"/>
  <c r="AA81" i="20"/>
  <c r="Z81" i="20"/>
  <c r="X81" i="20"/>
  <c r="W81" i="20"/>
  <c r="U81" i="20"/>
  <c r="T81" i="20"/>
  <c r="S81" i="20"/>
  <c r="R81" i="20"/>
  <c r="P81" i="20"/>
  <c r="O81" i="20"/>
  <c r="N81" i="20"/>
  <c r="L81" i="20"/>
  <c r="K81" i="20"/>
  <c r="J81" i="20"/>
  <c r="H81" i="20"/>
  <c r="G81" i="20"/>
  <c r="F81" i="20"/>
  <c r="E81" i="20"/>
  <c r="D81" i="20"/>
  <c r="C81" i="20"/>
  <c r="B81" i="20"/>
  <c r="A81" i="20"/>
  <c r="AO81" i="20" s="1"/>
  <c r="T80" i="20"/>
  <c r="F80" i="20"/>
  <c r="E80" i="20"/>
  <c r="D80" i="20"/>
  <c r="C80" i="20"/>
  <c r="B80" i="20"/>
  <c r="A80" i="20"/>
  <c r="AC80" i="20" s="1"/>
  <c r="AR79" i="20"/>
  <c r="AP79" i="20"/>
  <c r="AM79" i="20"/>
  <c r="AL79" i="20"/>
  <c r="AK79" i="20"/>
  <c r="AJ79" i="20"/>
  <c r="AG79" i="20"/>
  <c r="AE79" i="20"/>
  <c r="AC79" i="20"/>
  <c r="AB79" i="20"/>
  <c r="Z79" i="20"/>
  <c r="Y79" i="20"/>
  <c r="V79" i="20"/>
  <c r="U79" i="20"/>
  <c r="R79" i="20"/>
  <c r="Q79" i="20"/>
  <c r="P79" i="20"/>
  <c r="O79" i="20"/>
  <c r="L79" i="20"/>
  <c r="J79" i="20"/>
  <c r="H79" i="20"/>
  <c r="G79" i="20"/>
  <c r="F79" i="20"/>
  <c r="E79" i="20"/>
  <c r="D79" i="20"/>
  <c r="AN79" i="20" s="1"/>
  <c r="C79" i="20"/>
  <c r="B79" i="20"/>
  <c r="A79" i="20"/>
  <c r="AS78" i="20"/>
  <c r="AQ78" i="20"/>
  <c r="AO78" i="20"/>
  <c r="AL78" i="20"/>
  <c r="AI78" i="20"/>
  <c r="AF78" i="20"/>
  <c r="AE78" i="20"/>
  <c r="AC78" i="20"/>
  <c r="Z78" i="20"/>
  <c r="W78" i="20"/>
  <c r="T78" i="20"/>
  <c r="N78" i="20"/>
  <c r="K78" i="20"/>
  <c r="H78" i="20"/>
  <c r="F78" i="20"/>
  <c r="E78" i="20"/>
  <c r="D78" i="20"/>
  <c r="O78" i="20" s="1"/>
  <c r="C78" i="20"/>
  <c r="B78" i="20"/>
  <c r="A78" i="20"/>
  <c r="Q78" i="20" s="1"/>
  <c r="AR77" i="20"/>
  <c r="AQ77" i="20"/>
  <c r="AP77" i="20"/>
  <c r="AO77" i="20"/>
  <c r="AM77" i="20"/>
  <c r="AK77" i="20"/>
  <c r="AI77" i="20"/>
  <c r="AH77" i="20"/>
  <c r="AG77" i="20"/>
  <c r="AF77" i="20"/>
  <c r="AC77" i="20"/>
  <c r="AB77" i="20"/>
  <c r="Z77" i="20"/>
  <c r="Y77" i="20"/>
  <c r="X77" i="20"/>
  <c r="W77" i="20"/>
  <c r="T77" i="20"/>
  <c r="S77" i="20"/>
  <c r="Q77" i="20"/>
  <c r="P77" i="20"/>
  <c r="O77" i="20"/>
  <c r="M77" i="20"/>
  <c r="K77" i="20"/>
  <c r="J77" i="20"/>
  <c r="H77" i="20"/>
  <c r="G77" i="20"/>
  <c r="F77" i="20"/>
  <c r="E77" i="20"/>
  <c r="D77" i="20"/>
  <c r="AS77" i="20" s="1"/>
  <c r="C77" i="20"/>
  <c r="B77" i="20"/>
  <c r="A77" i="20"/>
  <c r="AS76" i="20"/>
  <c r="AR76" i="20"/>
  <c r="AP76" i="20"/>
  <c r="AO76" i="20"/>
  <c r="AM76" i="20"/>
  <c r="AL76" i="20"/>
  <c r="AJ76" i="20"/>
  <c r="AH76" i="20"/>
  <c r="AG76" i="20"/>
  <c r="AF76" i="20"/>
  <c r="AD76" i="20"/>
  <c r="AC76" i="20"/>
  <c r="Z76" i="20"/>
  <c r="Y76" i="20"/>
  <c r="X76" i="20"/>
  <c r="W76" i="20"/>
  <c r="U76" i="20"/>
  <c r="T76" i="20"/>
  <c r="Q76" i="20"/>
  <c r="P76" i="20"/>
  <c r="O76" i="20"/>
  <c r="N76" i="20"/>
  <c r="L76" i="20"/>
  <c r="J76" i="20"/>
  <c r="H76" i="20"/>
  <c r="G76" i="20"/>
  <c r="F76" i="20"/>
  <c r="E76" i="20"/>
  <c r="D76" i="20"/>
  <c r="AK76" i="20" s="1"/>
  <c r="C76" i="20"/>
  <c r="B76" i="20"/>
  <c r="A76" i="20"/>
  <c r="AS75" i="20"/>
  <c r="AR75" i="20"/>
  <c r="AQ75" i="20"/>
  <c r="AP75" i="20"/>
  <c r="AO75" i="20"/>
  <c r="AM75" i="20"/>
  <c r="AL75" i="20"/>
  <c r="AJ75" i="20"/>
  <c r="AI75" i="20"/>
  <c r="AH75" i="20"/>
  <c r="AG75" i="20"/>
  <c r="AD75" i="20"/>
  <c r="AC75" i="20"/>
  <c r="AA75" i="20"/>
  <c r="Z75" i="20"/>
  <c r="Y75" i="20"/>
  <c r="W75" i="20"/>
  <c r="U75" i="20"/>
  <c r="T75" i="20"/>
  <c r="R75" i="20"/>
  <c r="Q75" i="20"/>
  <c r="O75" i="20"/>
  <c r="N75" i="20"/>
  <c r="L75" i="20"/>
  <c r="K75" i="20"/>
  <c r="I75" i="20"/>
  <c r="G75" i="20"/>
  <c r="F75" i="20"/>
  <c r="E75" i="20"/>
  <c r="D75" i="20"/>
  <c r="AK75" i="20" s="1"/>
  <c r="C75" i="20"/>
  <c r="B75" i="20"/>
  <c r="A75" i="20"/>
  <c r="AR74" i="20"/>
  <c r="AQ74" i="20"/>
  <c r="AP74" i="20"/>
  <c r="AO74" i="20"/>
  <c r="AM74" i="20"/>
  <c r="AL74" i="20"/>
  <c r="AI74" i="20"/>
  <c r="AH74" i="20"/>
  <c r="AG74" i="20"/>
  <c r="AF74" i="20"/>
  <c r="AD74" i="20"/>
  <c r="AB74" i="20"/>
  <c r="Z74" i="20"/>
  <c r="Y74" i="20"/>
  <c r="X74" i="20"/>
  <c r="W74" i="20"/>
  <c r="T74" i="20"/>
  <c r="S74" i="20"/>
  <c r="Q74" i="20"/>
  <c r="P74" i="20"/>
  <c r="O74" i="20"/>
  <c r="N74" i="20"/>
  <c r="K74" i="20"/>
  <c r="J74" i="20"/>
  <c r="H74" i="20"/>
  <c r="G74" i="20"/>
  <c r="F74" i="20"/>
  <c r="E74" i="20"/>
  <c r="D74" i="20"/>
  <c r="AJ74" i="20" s="1"/>
  <c r="C74" i="20"/>
  <c r="B74" i="20"/>
  <c r="A74" i="20"/>
  <c r="AC74" i="20" s="1"/>
  <c r="AS73" i="20"/>
  <c r="AR73" i="20"/>
  <c r="AQ73" i="20"/>
  <c r="AO73" i="20"/>
  <c r="AM73" i="20"/>
  <c r="AL73" i="20"/>
  <c r="AJ73" i="20"/>
  <c r="AI73" i="20"/>
  <c r="AG73" i="20"/>
  <c r="AF73" i="20"/>
  <c r="AD73" i="20"/>
  <c r="AC73" i="20"/>
  <c r="AA73" i="20"/>
  <c r="Y73" i="20"/>
  <c r="X73" i="20"/>
  <c r="W73" i="20"/>
  <c r="U73" i="20"/>
  <c r="T73" i="20"/>
  <c r="Q73" i="20"/>
  <c r="P73" i="20"/>
  <c r="O73" i="20"/>
  <c r="N73" i="20"/>
  <c r="L73" i="20"/>
  <c r="K73" i="20"/>
  <c r="H73" i="20"/>
  <c r="G73" i="20"/>
  <c r="F73" i="20"/>
  <c r="E73" i="20"/>
  <c r="D73" i="20"/>
  <c r="AK73" i="20" s="1"/>
  <c r="C73" i="20"/>
  <c r="B73" i="20"/>
  <c r="A73" i="20"/>
  <c r="Z73" i="20" s="1"/>
  <c r="AS72" i="20"/>
  <c r="AR72" i="20"/>
  <c r="AQ72" i="20"/>
  <c r="AP72" i="20"/>
  <c r="AN72" i="20"/>
  <c r="AL72" i="20"/>
  <c r="AJ72" i="20"/>
  <c r="AI72" i="20"/>
  <c r="AH72" i="20"/>
  <c r="AG72" i="20"/>
  <c r="AD72" i="20"/>
  <c r="AC72" i="20"/>
  <c r="AA72" i="20"/>
  <c r="Z72" i="20"/>
  <c r="Y72" i="20"/>
  <c r="X72" i="20"/>
  <c r="U72" i="20"/>
  <c r="T72" i="20"/>
  <c r="R72" i="20"/>
  <c r="Q72" i="20"/>
  <c r="P72" i="20"/>
  <c r="N72" i="20"/>
  <c r="L72" i="20"/>
  <c r="K72" i="20"/>
  <c r="I72" i="20"/>
  <c r="H72" i="20"/>
  <c r="F72" i="20"/>
  <c r="E72" i="20"/>
  <c r="D72" i="20"/>
  <c r="AK72" i="20" s="1"/>
  <c r="C72" i="20"/>
  <c r="B72" i="20"/>
  <c r="A72" i="20"/>
  <c r="W72" i="20" s="1"/>
  <c r="AS71" i="20"/>
  <c r="AQ71" i="20"/>
  <c r="AP71" i="20"/>
  <c r="AO71" i="20"/>
  <c r="AN71" i="20"/>
  <c r="AM71" i="20"/>
  <c r="AL71" i="20"/>
  <c r="AK71" i="20"/>
  <c r="AI71" i="20"/>
  <c r="AH71" i="20"/>
  <c r="AG71" i="20"/>
  <c r="AF71" i="20"/>
  <c r="AE71" i="20"/>
  <c r="AD71" i="20"/>
  <c r="AC71" i="20"/>
  <c r="AA71" i="20"/>
  <c r="Z71" i="20"/>
  <c r="Y71" i="20"/>
  <c r="X71" i="20"/>
  <c r="W71" i="20"/>
  <c r="V71" i="20"/>
  <c r="U71" i="20"/>
  <c r="S71" i="20"/>
  <c r="R71" i="20"/>
  <c r="Q71" i="20"/>
  <c r="P71" i="20"/>
  <c r="O71" i="20"/>
  <c r="N71" i="20"/>
  <c r="M71" i="20"/>
  <c r="K71" i="20"/>
  <c r="J71" i="20"/>
  <c r="I71" i="20"/>
  <c r="H71" i="20"/>
  <c r="G71" i="20"/>
  <c r="F71" i="20"/>
  <c r="E71" i="20"/>
  <c r="D71" i="20"/>
  <c r="AR71" i="20" s="1"/>
  <c r="C71" i="20"/>
  <c r="B71" i="20"/>
  <c r="A71" i="20"/>
  <c r="T71" i="20" s="1"/>
  <c r="AS70" i="20"/>
  <c r="AR70" i="20"/>
  <c r="AQ70" i="20"/>
  <c r="AP70" i="20"/>
  <c r="AM70" i="20"/>
  <c r="AL70" i="20"/>
  <c r="AK70" i="20"/>
  <c r="AJ70" i="20"/>
  <c r="AI70" i="20"/>
  <c r="AH70" i="20"/>
  <c r="AF70" i="20"/>
  <c r="AD70" i="20"/>
  <c r="AC70" i="20"/>
  <c r="AB70" i="20"/>
  <c r="AA70" i="20"/>
  <c r="Z70" i="20"/>
  <c r="X70" i="20"/>
  <c r="W70" i="20"/>
  <c r="U70" i="20"/>
  <c r="T70" i="20"/>
  <c r="S70" i="20"/>
  <c r="R70" i="20"/>
  <c r="P70" i="20"/>
  <c r="O70" i="20"/>
  <c r="N70" i="20"/>
  <c r="L70" i="20"/>
  <c r="K70" i="20"/>
  <c r="J70" i="20"/>
  <c r="H70" i="20"/>
  <c r="G70" i="20"/>
  <c r="F70" i="20"/>
  <c r="E70" i="20"/>
  <c r="D70" i="20"/>
  <c r="C70" i="20"/>
  <c r="B70" i="20"/>
  <c r="A70" i="20"/>
  <c r="AO70" i="20" s="1"/>
  <c r="AS69" i="20"/>
  <c r="AR69" i="20"/>
  <c r="AI69" i="20"/>
  <c r="AH69" i="20"/>
  <c r="AG69" i="20"/>
  <c r="X69" i="20"/>
  <c r="U69" i="20"/>
  <c r="T69" i="20"/>
  <c r="K69" i="20"/>
  <c r="I69" i="20"/>
  <c r="H69" i="20"/>
  <c r="F69" i="20"/>
  <c r="E69" i="20"/>
  <c r="D69" i="20"/>
  <c r="AJ69" i="20" s="1"/>
  <c r="C69" i="20"/>
  <c r="B69" i="20"/>
  <c r="A69" i="20"/>
  <c r="AS68" i="20"/>
  <c r="AJ68" i="20"/>
  <c r="AH68" i="20"/>
  <c r="AG68" i="20"/>
  <c r="X68" i="20"/>
  <c r="V68" i="20"/>
  <c r="U68" i="20"/>
  <c r="L68" i="20"/>
  <c r="I68" i="20"/>
  <c r="H68" i="20"/>
  <c r="F68" i="20"/>
  <c r="E68" i="20"/>
  <c r="D68" i="20"/>
  <c r="AK68" i="20" s="1"/>
  <c r="C68" i="20"/>
  <c r="B68" i="20"/>
  <c r="A68" i="20"/>
  <c r="AS67" i="20"/>
  <c r="AJ67" i="20"/>
  <c r="AH67" i="20"/>
  <c r="Y67" i="20"/>
  <c r="V67" i="20"/>
  <c r="U67" i="20"/>
  <c r="L67" i="20"/>
  <c r="J67" i="20"/>
  <c r="I67" i="20"/>
  <c r="F67" i="20"/>
  <c r="E67" i="20"/>
  <c r="D67" i="20"/>
  <c r="AK67" i="20" s="1"/>
  <c r="C67" i="20"/>
  <c r="B67" i="20"/>
  <c r="A67" i="20"/>
  <c r="AR66" i="20"/>
  <c r="AI66" i="20"/>
  <c r="AH66" i="20"/>
  <c r="AG66" i="20"/>
  <c r="X66" i="20"/>
  <c r="V66" i="20"/>
  <c r="T66" i="20"/>
  <c r="K66" i="20"/>
  <c r="I66" i="20"/>
  <c r="H66" i="20"/>
  <c r="F66" i="20"/>
  <c r="E66" i="20"/>
  <c r="D66" i="20"/>
  <c r="AJ66" i="20" s="1"/>
  <c r="C66" i="20"/>
  <c r="B66" i="20"/>
  <c r="A66" i="20"/>
  <c r="AS65" i="20"/>
  <c r="AJ65" i="20"/>
  <c r="AG65" i="20"/>
  <c r="X65" i="20"/>
  <c r="V65" i="20"/>
  <c r="U65" i="20"/>
  <c r="L65" i="20"/>
  <c r="I65" i="20"/>
  <c r="H65" i="20"/>
  <c r="F65" i="20"/>
  <c r="E65" i="20"/>
  <c r="D65" i="20"/>
  <c r="AK65" i="20" s="1"/>
  <c r="C65" i="20"/>
  <c r="B65" i="20"/>
  <c r="A65" i="20"/>
  <c r="AS64" i="20"/>
  <c r="AJ64" i="20"/>
  <c r="AH64" i="20"/>
  <c r="Y64" i="20"/>
  <c r="V64" i="20"/>
  <c r="U64" i="20"/>
  <c r="L64" i="20"/>
  <c r="J64" i="20"/>
  <c r="I64" i="20"/>
  <c r="F64" i="20"/>
  <c r="E64" i="20"/>
  <c r="D64" i="20"/>
  <c r="AK64" i="20" s="1"/>
  <c r="C64" i="20"/>
  <c r="B64" i="20"/>
  <c r="A64" i="20"/>
  <c r="AS63" i="20"/>
  <c r="AQ63" i="20"/>
  <c r="AP63" i="20"/>
  <c r="AN63" i="20"/>
  <c r="AM63" i="20"/>
  <c r="AK63" i="20"/>
  <c r="AI63" i="20"/>
  <c r="AH63" i="20"/>
  <c r="AG63" i="20"/>
  <c r="AE63" i="20"/>
  <c r="AD63" i="20"/>
  <c r="AA63" i="20"/>
  <c r="Y63" i="20"/>
  <c r="X63" i="20"/>
  <c r="V63" i="20"/>
  <c r="U63" i="20"/>
  <c r="S63" i="20"/>
  <c r="R63" i="20"/>
  <c r="P63" i="20"/>
  <c r="M63" i="20"/>
  <c r="J63" i="20"/>
  <c r="I63" i="20"/>
  <c r="F63" i="20"/>
  <c r="E63" i="20"/>
  <c r="D63" i="20"/>
  <c r="C63" i="20"/>
  <c r="B63" i="20"/>
  <c r="A63" i="20"/>
  <c r="AS62" i="20"/>
  <c r="AQ62" i="20"/>
  <c r="AP62" i="20"/>
  <c r="AN62" i="20"/>
  <c r="AM62" i="20"/>
  <c r="AL62" i="20"/>
  <c r="AK62" i="20"/>
  <c r="AI62" i="20"/>
  <c r="AH62" i="20"/>
  <c r="AG62" i="20"/>
  <c r="AF62" i="20"/>
  <c r="AE62" i="20"/>
  <c r="AD62" i="20"/>
  <c r="AC62" i="20"/>
  <c r="AA62" i="20"/>
  <c r="Z62" i="20"/>
  <c r="Y62" i="20"/>
  <c r="X62" i="20"/>
  <c r="W62" i="20"/>
  <c r="V62" i="20"/>
  <c r="U62" i="20"/>
  <c r="S62" i="20"/>
  <c r="R62" i="20"/>
  <c r="P62" i="20"/>
  <c r="O62" i="20"/>
  <c r="N62" i="20"/>
  <c r="M62" i="20"/>
  <c r="K62" i="20"/>
  <c r="J62" i="20"/>
  <c r="I62" i="20"/>
  <c r="H62" i="20"/>
  <c r="G62" i="20"/>
  <c r="F62" i="20"/>
  <c r="E62" i="20"/>
  <c r="D62" i="20"/>
  <c r="AR62" i="20" s="1"/>
  <c r="C62" i="20"/>
  <c r="B62" i="20"/>
  <c r="A62" i="20"/>
  <c r="T62" i="20" s="1"/>
  <c r="AS61" i="20"/>
  <c r="AR61" i="20"/>
  <c r="AM61" i="20"/>
  <c r="AL61" i="20"/>
  <c r="AK61" i="20"/>
  <c r="AJ61" i="20"/>
  <c r="AI61" i="20"/>
  <c r="AF61" i="20"/>
  <c r="AC61" i="20"/>
  <c r="AA61" i="20"/>
  <c r="Z61" i="20"/>
  <c r="X61" i="20"/>
  <c r="W61" i="20"/>
  <c r="T61" i="20"/>
  <c r="S61" i="20"/>
  <c r="P61" i="20"/>
  <c r="O61" i="20"/>
  <c r="N61" i="20"/>
  <c r="K61" i="20"/>
  <c r="J61" i="20"/>
  <c r="H61" i="20"/>
  <c r="G61" i="20"/>
  <c r="F61" i="20"/>
  <c r="E61" i="20"/>
  <c r="D61" i="20"/>
  <c r="AP61" i="20" s="1"/>
  <c r="C61" i="20"/>
  <c r="B61" i="20"/>
  <c r="A61" i="20"/>
  <c r="AO61" i="20" s="1"/>
  <c r="AR60" i="20"/>
  <c r="AP60" i="20"/>
  <c r="AO60" i="20"/>
  <c r="AN60" i="20"/>
  <c r="AJ60" i="20"/>
  <c r="AG60" i="20"/>
  <c r="AE60" i="20"/>
  <c r="Y60" i="20"/>
  <c r="W60" i="20"/>
  <c r="U60" i="20"/>
  <c r="T60" i="20"/>
  <c r="R60" i="20"/>
  <c r="O60" i="20"/>
  <c r="L60" i="20"/>
  <c r="J60" i="20"/>
  <c r="I60" i="20"/>
  <c r="F60" i="20"/>
  <c r="E60" i="20"/>
  <c r="D60" i="20"/>
  <c r="C60" i="20"/>
  <c r="B60" i="20"/>
  <c r="A60" i="20"/>
  <c r="AO59" i="20"/>
  <c r="AL59" i="20"/>
  <c r="AJ59" i="20"/>
  <c r="AC59" i="20"/>
  <c r="AB59" i="20"/>
  <c r="Z59" i="20"/>
  <c r="W59" i="20"/>
  <c r="T59" i="20"/>
  <c r="Q59" i="20"/>
  <c r="O59" i="20"/>
  <c r="N59" i="20"/>
  <c r="F59" i="20"/>
  <c r="E59" i="20"/>
  <c r="D59" i="20"/>
  <c r="C59" i="20"/>
  <c r="B59" i="20"/>
  <c r="A59" i="20"/>
  <c r="AR58" i="20"/>
  <c r="AQ58" i="20"/>
  <c r="AP58" i="20"/>
  <c r="AM58" i="20"/>
  <c r="AH58" i="20"/>
  <c r="AG58" i="20"/>
  <c r="AE58" i="20"/>
  <c r="AD58" i="20"/>
  <c r="AB58" i="20"/>
  <c r="AA58" i="20"/>
  <c r="V58" i="20"/>
  <c r="S58" i="20"/>
  <c r="R58" i="20"/>
  <c r="L58" i="20"/>
  <c r="J58" i="20"/>
  <c r="I58" i="20"/>
  <c r="G58" i="20"/>
  <c r="F58" i="20"/>
  <c r="E58" i="20"/>
  <c r="D58" i="20"/>
  <c r="C58" i="20"/>
  <c r="B58" i="20"/>
  <c r="A58" i="20"/>
  <c r="AL57" i="20"/>
  <c r="AI57" i="20"/>
  <c r="AF57" i="20"/>
  <c r="W57" i="20"/>
  <c r="N57" i="20"/>
  <c r="K57" i="20"/>
  <c r="F57" i="20"/>
  <c r="E57" i="20"/>
  <c r="D57" i="20"/>
  <c r="X57" i="20" s="1"/>
  <c r="C57" i="20"/>
  <c r="B57" i="20"/>
  <c r="A57" i="20"/>
  <c r="H57" i="20" s="1"/>
  <c r="AQ56" i="20"/>
  <c r="AN56" i="20"/>
  <c r="AL56" i="20"/>
  <c r="AK56" i="20"/>
  <c r="AC56" i="20"/>
  <c r="AB56" i="20"/>
  <c r="AA56" i="20"/>
  <c r="U56" i="20"/>
  <c r="S56" i="20"/>
  <c r="Q56" i="20"/>
  <c r="P56" i="20"/>
  <c r="H56" i="20"/>
  <c r="F56" i="20"/>
  <c r="E56" i="20"/>
  <c r="D56" i="20"/>
  <c r="AS56" i="20" s="1"/>
  <c r="C56" i="20"/>
  <c r="B56" i="20"/>
  <c r="A56" i="20"/>
  <c r="AO56" i="20" s="1"/>
  <c r="AS55" i="20"/>
  <c r="AQ55" i="20"/>
  <c r="AP55" i="20"/>
  <c r="AO55" i="20"/>
  <c r="AN55" i="20"/>
  <c r="AK55" i="20"/>
  <c r="AH55" i="20"/>
  <c r="AG55" i="20"/>
  <c r="AD55" i="20"/>
  <c r="AA55" i="20"/>
  <c r="Y55" i="20"/>
  <c r="X55" i="20"/>
  <c r="V55" i="20"/>
  <c r="U55" i="20"/>
  <c r="S55" i="20"/>
  <c r="R55" i="20"/>
  <c r="P55" i="20"/>
  <c r="M55" i="20"/>
  <c r="J55" i="20"/>
  <c r="I55" i="20"/>
  <c r="F55" i="20"/>
  <c r="E55" i="20"/>
  <c r="D55" i="20"/>
  <c r="AM55" i="20" s="1"/>
  <c r="C55" i="20"/>
  <c r="B55" i="20"/>
  <c r="A55" i="20"/>
  <c r="AS54" i="20"/>
  <c r="AQ54" i="20"/>
  <c r="AP54" i="20"/>
  <c r="AN54" i="20"/>
  <c r="AM54" i="20"/>
  <c r="AL54" i="20"/>
  <c r="AK54" i="20"/>
  <c r="AI54" i="20"/>
  <c r="AH54" i="20"/>
  <c r="AG54" i="20"/>
  <c r="AF54" i="20"/>
  <c r="AE54" i="20"/>
  <c r="AD54" i="20"/>
  <c r="AC54" i="20"/>
  <c r="AA54" i="20"/>
  <c r="Z54" i="20"/>
  <c r="Y54" i="20"/>
  <c r="X54" i="20"/>
  <c r="W54" i="20"/>
  <c r="V54" i="20"/>
  <c r="U54" i="20"/>
  <c r="S54" i="20"/>
  <c r="R54" i="20"/>
  <c r="P54" i="20"/>
  <c r="O54" i="20"/>
  <c r="N54" i="20"/>
  <c r="M54" i="20"/>
  <c r="K54" i="20"/>
  <c r="J54" i="20"/>
  <c r="I54" i="20"/>
  <c r="H54" i="20"/>
  <c r="G54" i="20"/>
  <c r="F54" i="20"/>
  <c r="E54" i="20"/>
  <c r="D54" i="20"/>
  <c r="AR54" i="20" s="1"/>
  <c r="C54" i="20"/>
  <c r="B54" i="20"/>
  <c r="A54" i="20"/>
  <c r="T54" i="20" s="1"/>
  <c r="AS53" i="20"/>
  <c r="AR53" i="20"/>
  <c r="AL53" i="20"/>
  <c r="AI53" i="20"/>
  <c r="AF53" i="20"/>
  <c r="AC53" i="20"/>
  <c r="Z53" i="20"/>
  <c r="W53" i="20"/>
  <c r="T53" i="20"/>
  <c r="N53" i="20"/>
  <c r="K53" i="20"/>
  <c r="H53" i="20"/>
  <c r="F53" i="20"/>
  <c r="E53" i="20"/>
  <c r="D53" i="20"/>
  <c r="O53" i="20" s="1"/>
  <c r="C53" i="20"/>
  <c r="B53" i="20"/>
  <c r="A53" i="20"/>
  <c r="AO53" i="20" s="1"/>
  <c r="AS52" i="20"/>
  <c r="AP52" i="20"/>
  <c r="AO52" i="20"/>
  <c r="AN52" i="20"/>
  <c r="AH52" i="20"/>
  <c r="AC52" i="20"/>
  <c r="X52" i="20"/>
  <c r="U52" i="20"/>
  <c r="T52" i="20"/>
  <c r="R52" i="20"/>
  <c r="M52" i="20"/>
  <c r="H52" i="20"/>
  <c r="F52" i="20"/>
  <c r="E52" i="20"/>
  <c r="D52" i="20"/>
  <c r="C52" i="20"/>
  <c r="B52" i="20"/>
  <c r="A52" i="20"/>
  <c r="AL51" i="20"/>
  <c r="AC51" i="20"/>
  <c r="Z51" i="20"/>
  <c r="W51" i="20"/>
  <c r="T51" i="20"/>
  <c r="Q51" i="20"/>
  <c r="N51" i="20"/>
  <c r="F51" i="20"/>
  <c r="E51" i="20"/>
  <c r="D51" i="20"/>
  <c r="R51" i="20" s="1"/>
  <c r="C51" i="20"/>
  <c r="B51" i="20"/>
  <c r="A51" i="20"/>
  <c r="AO51" i="20" s="1"/>
  <c r="AR50" i="20"/>
  <c r="AQ50" i="20"/>
  <c r="AP50" i="20"/>
  <c r="AO50" i="20"/>
  <c r="AM50" i="20"/>
  <c r="AL50" i="20"/>
  <c r="AJ50" i="20"/>
  <c r="AH50" i="20"/>
  <c r="AG50" i="20"/>
  <c r="AE50" i="20"/>
  <c r="AD50" i="20"/>
  <c r="AB50" i="20"/>
  <c r="AA50" i="20"/>
  <c r="Z50" i="20"/>
  <c r="V50" i="20"/>
  <c r="S50" i="20"/>
  <c r="R50" i="20"/>
  <c r="Q50" i="20"/>
  <c r="O50" i="20"/>
  <c r="L50" i="20"/>
  <c r="K50" i="20"/>
  <c r="J50" i="20"/>
  <c r="I50" i="20"/>
  <c r="G50" i="20"/>
  <c r="F50" i="20"/>
  <c r="E50" i="20"/>
  <c r="D50" i="20"/>
  <c r="C50" i="20"/>
  <c r="B50" i="20"/>
  <c r="A50" i="20"/>
  <c r="AR49" i="20"/>
  <c r="AQ49" i="20"/>
  <c r="AN49" i="20"/>
  <c r="AJ49" i="20"/>
  <c r="AG49" i="20"/>
  <c r="AF49" i="20"/>
  <c r="AE49" i="20"/>
  <c r="AD49" i="20"/>
  <c r="Y49" i="20"/>
  <c r="V49" i="20"/>
  <c r="S49" i="20"/>
  <c r="O49" i="20"/>
  <c r="L49" i="20"/>
  <c r="K49" i="20"/>
  <c r="I49" i="20"/>
  <c r="F49" i="20"/>
  <c r="E49" i="20"/>
  <c r="D49" i="20"/>
  <c r="C49" i="20"/>
  <c r="B49" i="20"/>
  <c r="A49" i="20"/>
  <c r="AO48" i="20"/>
  <c r="AL48" i="20"/>
  <c r="AJ48" i="20"/>
  <c r="AI48" i="20"/>
  <c r="AD48" i="20"/>
  <c r="AC48" i="20"/>
  <c r="AB48" i="20"/>
  <c r="AA48" i="20"/>
  <c r="Y48" i="20"/>
  <c r="T48" i="20"/>
  <c r="Q48" i="20"/>
  <c r="P48" i="20"/>
  <c r="N48" i="20"/>
  <c r="I48" i="20"/>
  <c r="H48" i="20"/>
  <c r="F48" i="20"/>
  <c r="E48" i="20"/>
  <c r="D48" i="20"/>
  <c r="C48" i="20"/>
  <c r="B48" i="20"/>
  <c r="A48" i="20"/>
  <c r="AO47" i="20"/>
  <c r="AL47" i="20"/>
  <c r="AI47" i="20"/>
  <c r="AF47" i="20"/>
  <c r="AC47" i="20"/>
  <c r="Z47" i="20"/>
  <c r="T47" i="20"/>
  <c r="Q47" i="20"/>
  <c r="N47" i="20"/>
  <c r="K47" i="20"/>
  <c r="H47" i="20"/>
  <c r="F47" i="20"/>
  <c r="E47" i="20"/>
  <c r="D47" i="20"/>
  <c r="AS47" i="20" s="1"/>
  <c r="C47" i="20"/>
  <c r="B47" i="20"/>
  <c r="A47" i="20"/>
  <c r="W47" i="20" s="1"/>
  <c r="AS46" i="20"/>
  <c r="AQ46" i="20"/>
  <c r="AP46" i="20"/>
  <c r="AO46" i="20"/>
  <c r="AN46" i="20"/>
  <c r="AM46" i="20"/>
  <c r="AL46" i="20"/>
  <c r="AK46" i="20"/>
  <c r="AH46" i="20"/>
  <c r="AG46" i="20"/>
  <c r="AF46" i="20"/>
  <c r="AE46" i="20"/>
  <c r="AD46" i="20"/>
  <c r="AC46" i="20"/>
  <c r="AA46" i="20"/>
  <c r="Z46" i="20"/>
  <c r="Y46" i="20"/>
  <c r="X46" i="20"/>
  <c r="W46" i="20"/>
  <c r="V46" i="20"/>
  <c r="U46" i="20"/>
  <c r="S46" i="20"/>
  <c r="R46" i="20"/>
  <c r="Q46" i="20"/>
  <c r="P46" i="20"/>
  <c r="O46" i="20"/>
  <c r="N46" i="20"/>
  <c r="M46" i="20"/>
  <c r="K46" i="20"/>
  <c r="J46" i="20"/>
  <c r="I46" i="20"/>
  <c r="H46" i="20"/>
  <c r="G46" i="20"/>
  <c r="F46" i="20"/>
  <c r="E46" i="20"/>
  <c r="D46" i="20"/>
  <c r="AR46" i="20" s="1"/>
  <c r="C46" i="20"/>
  <c r="B46" i="20"/>
  <c r="A46" i="20"/>
  <c r="T46" i="20" s="1"/>
  <c r="AL45" i="20"/>
  <c r="AI45" i="20"/>
  <c r="AF45" i="20"/>
  <c r="AC45" i="20"/>
  <c r="Z45" i="20"/>
  <c r="W45" i="20"/>
  <c r="U45" i="20"/>
  <c r="T45" i="20"/>
  <c r="N45" i="20"/>
  <c r="K45" i="20"/>
  <c r="H45" i="20"/>
  <c r="G45" i="20"/>
  <c r="F45" i="20"/>
  <c r="E45" i="20"/>
  <c r="D45" i="20"/>
  <c r="C45" i="20"/>
  <c r="B45" i="20"/>
  <c r="A45" i="20"/>
  <c r="AO45" i="20" s="1"/>
  <c r="AR44" i="20"/>
  <c r="AP44" i="20"/>
  <c r="AO44" i="20"/>
  <c r="AN44" i="20"/>
  <c r="AM44" i="20"/>
  <c r="AI44" i="20"/>
  <c r="AF44" i="20"/>
  <c r="AE44" i="20"/>
  <c r="AC44" i="20"/>
  <c r="Z44" i="20"/>
  <c r="X44" i="20"/>
  <c r="W44" i="20"/>
  <c r="U44" i="20"/>
  <c r="T44" i="20"/>
  <c r="Q44" i="20"/>
  <c r="O44" i="20"/>
  <c r="M44" i="20"/>
  <c r="L44" i="20"/>
  <c r="K44" i="20"/>
  <c r="H44" i="20"/>
  <c r="F44" i="20"/>
  <c r="E44" i="20"/>
  <c r="D44" i="20"/>
  <c r="C44" i="20"/>
  <c r="B44" i="20"/>
  <c r="A44" i="20"/>
  <c r="AS43" i="20"/>
  <c r="AQ43" i="20"/>
  <c r="AP43" i="20"/>
  <c r="AN43" i="20"/>
  <c r="AK43" i="20"/>
  <c r="AI43" i="20"/>
  <c r="AH43" i="20"/>
  <c r="AG43" i="20"/>
  <c r="AA43" i="20"/>
  <c r="Y43" i="20"/>
  <c r="X43" i="20"/>
  <c r="U43" i="20"/>
  <c r="S43" i="20"/>
  <c r="R43" i="20"/>
  <c r="P43" i="20"/>
  <c r="M43" i="20"/>
  <c r="J43" i="20"/>
  <c r="I43" i="20"/>
  <c r="F43" i="20"/>
  <c r="E43" i="20"/>
  <c r="D43" i="20"/>
  <c r="AM43" i="20" s="1"/>
  <c r="C43" i="20"/>
  <c r="B43" i="20"/>
  <c r="A43" i="20"/>
  <c r="AS42" i="20"/>
  <c r="AQ42" i="20"/>
  <c r="AP42" i="20"/>
  <c r="AN42" i="20"/>
  <c r="AM42" i="20"/>
  <c r="AL42" i="20"/>
  <c r="AK42" i="20"/>
  <c r="AH42" i="20"/>
  <c r="AG42" i="20"/>
  <c r="AF42" i="20"/>
  <c r="AE42" i="20"/>
  <c r="AD42" i="20"/>
  <c r="AC42" i="20"/>
  <c r="AA42" i="20"/>
  <c r="Z42" i="20"/>
  <c r="Y42" i="20"/>
  <c r="X42" i="20"/>
  <c r="W42" i="20"/>
  <c r="V42" i="20"/>
  <c r="U42" i="20"/>
  <c r="S42" i="20"/>
  <c r="R42" i="20"/>
  <c r="P42" i="20"/>
  <c r="O42" i="20"/>
  <c r="N42" i="20"/>
  <c r="M42" i="20"/>
  <c r="J42" i="20"/>
  <c r="I42" i="20"/>
  <c r="H42" i="20"/>
  <c r="G42" i="20"/>
  <c r="F42" i="20"/>
  <c r="E42" i="20"/>
  <c r="D42" i="20"/>
  <c r="AR42" i="20" s="1"/>
  <c r="C42" i="20"/>
  <c r="B42" i="20"/>
  <c r="A42" i="20"/>
  <c r="T42" i="20" s="1"/>
  <c r="AP41" i="20"/>
  <c r="AM41" i="20"/>
  <c r="AL41" i="20"/>
  <c r="AK41" i="20"/>
  <c r="AI41" i="20"/>
  <c r="AF41" i="20"/>
  <c r="AE41" i="20"/>
  <c r="AC41" i="20"/>
  <c r="AA41" i="20"/>
  <c r="Z41" i="20"/>
  <c r="W41" i="20"/>
  <c r="T41" i="20"/>
  <c r="S41" i="20"/>
  <c r="R41" i="20"/>
  <c r="N41" i="20"/>
  <c r="K41" i="20"/>
  <c r="H41" i="20"/>
  <c r="G41" i="20"/>
  <c r="F41" i="20"/>
  <c r="E41" i="20"/>
  <c r="D41" i="20"/>
  <c r="AS41" i="20" s="1"/>
  <c r="C41" i="20"/>
  <c r="B41" i="20"/>
  <c r="A41" i="20"/>
  <c r="AO41" i="20" s="1"/>
  <c r="AR40" i="20"/>
  <c r="AP40" i="20"/>
  <c r="AO40" i="20"/>
  <c r="AF40" i="20"/>
  <c r="AE40" i="20"/>
  <c r="Z40" i="20"/>
  <c r="T40" i="20"/>
  <c r="R40" i="20"/>
  <c r="Q40" i="20"/>
  <c r="H40" i="20"/>
  <c r="G40" i="20"/>
  <c r="F40" i="20"/>
  <c r="E40" i="20"/>
  <c r="D40" i="20"/>
  <c r="C40" i="20"/>
  <c r="B40" i="20"/>
  <c r="A40" i="20"/>
  <c r="AR39" i="20"/>
  <c r="AO39" i="20"/>
  <c r="AL39" i="20"/>
  <c r="AC39" i="20"/>
  <c r="Q39" i="20"/>
  <c r="F39" i="20"/>
  <c r="E39" i="20"/>
  <c r="D39" i="20"/>
  <c r="AD39" i="20" s="1"/>
  <c r="C39" i="20"/>
  <c r="B39" i="20"/>
  <c r="A39" i="20"/>
  <c r="T39" i="20" s="1"/>
  <c r="AO38" i="20"/>
  <c r="AL38" i="20"/>
  <c r="AJ38" i="20"/>
  <c r="AI38" i="20"/>
  <c r="AH38" i="20"/>
  <c r="AA38" i="20"/>
  <c r="Z38" i="20"/>
  <c r="Y38" i="20"/>
  <c r="V38" i="20"/>
  <c r="T38" i="20"/>
  <c r="N38" i="20"/>
  <c r="L38" i="20"/>
  <c r="J38" i="20"/>
  <c r="I38" i="20"/>
  <c r="F38" i="20"/>
  <c r="E38" i="20"/>
  <c r="D38" i="20"/>
  <c r="C38" i="20"/>
  <c r="B38" i="20"/>
  <c r="A38" i="20"/>
  <c r="AQ37" i="20"/>
  <c r="AP37" i="20"/>
  <c r="AN37" i="20"/>
  <c r="AM37" i="20"/>
  <c r="AL37" i="20"/>
  <c r="AI37" i="20"/>
  <c r="AH37" i="20"/>
  <c r="AG37" i="20"/>
  <c r="AE37" i="20"/>
  <c r="AD37" i="20"/>
  <c r="AA37" i="20"/>
  <c r="Y37" i="20"/>
  <c r="X37" i="20"/>
  <c r="V37" i="20"/>
  <c r="S37" i="20"/>
  <c r="R37" i="20"/>
  <c r="P37" i="20"/>
  <c r="O37" i="20"/>
  <c r="N37" i="20"/>
  <c r="J37" i="20"/>
  <c r="I37" i="20"/>
  <c r="G37" i="20"/>
  <c r="F37" i="20"/>
  <c r="E37" i="20"/>
  <c r="D37" i="20"/>
  <c r="AS37" i="20" s="1"/>
  <c r="C37" i="20"/>
  <c r="B37" i="20"/>
  <c r="A37" i="20"/>
  <c r="AO37" i="20" s="1"/>
  <c r="AL36" i="20"/>
  <c r="AI36" i="20"/>
  <c r="AF36" i="20"/>
  <c r="AC36" i="20"/>
  <c r="W36" i="20"/>
  <c r="T36" i="20"/>
  <c r="N36" i="20"/>
  <c r="K36" i="20"/>
  <c r="H36" i="20"/>
  <c r="F36" i="20"/>
  <c r="E36" i="20"/>
  <c r="D36" i="20"/>
  <c r="AN36" i="20" s="1"/>
  <c r="C36" i="20"/>
  <c r="B36" i="20"/>
  <c r="A36" i="20"/>
  <c r="Z36" i="20" s="1"/>
  <c r="AS35" i="20"/>
  <c r="AN35" i="20"/>
  <c r="AK35" i="20"/>
  <c r="AH35" i="20"/>
  <c r="AG35" i="20"/>
  <c r="Z35" i="20"/>
  <c r="Y35" i="20"/>
  <c r="U35" i="20"/>
  <c r="S35" i="20"/>
  <c r="M35" i="20"/>
  <c r="K35" i="20"/>
  <c r="I35" i="20"/>
  <c r="H35" i="20"/>
  <c r="F35" i="20"/>
  <c r="E35" i="20"/>
  <c r="D35" i="20"/>
  <c r="X35" i="20" s="1"/>
  <c r="C35" i="20"/>
  <c r="B35" i="20"/>
  <c r="A35" i="20"/>
  <c r="AS34" i="20"/>
  <c r="AQ34" i="20"/>
  <c r="AP34" i="20"/>
  <c r="AN34" i="20"/>
  <c r="AM34" i="20"/>
  <c r="AL34" i="20"/>
  <c r="AK34" i="20"/>
  <c r="AH34" i="20"/>
  <c r="AG34" i="20"/>
  <c r="AE34" i="20"/>
  <c r="AD34" i="20"/>
  <c r="AC34" i="20"/>
  <c r="AA34" i="20"/>
  <c r="Y34" i="20"/>
  <c r="X34" i="20"/>
  <c r="V34" i="20"/>
  <c r="U34" i="20"/>
  <c r="S34" i="20"/>
  <c r="R34" i="20"/>
  <c r="P34" i="20"/>
  <c r="O34" i="20"/>
  <c r="M34" i="20"/>
  <c r="J34" i="20"/>
  <c r="I34" i="20"/>
  <c r="H34" i="20"/>
  <c r="G34" i="20"/>
  <c r="F34" i="20"/>
  <c r="E34" i="20"/>
  <c r="D34" i="20"/>
  <c r="AR34" i="20" s="1"/>
  <c r="C34" i="20"/>
  <c r="B34" i="20"/>
  <c r="A34" i="20"/>
  <c r="AS33" i="20"/>
  <c r="AQ33" i="20"/>
  <c r="AP33" i="20"/>
  <c r="AL33" i="20"/>
  <c r="AJ33" i="20"/>
  <c r="AI33" i="20"/>
  <c r="AF33" i="20"/>
  <c r="AE33" i="20"/>
  <c r="AC33" i="20"/>
  <c r="AA33" i="20"/>
  <c r="Z33" i="20"/>
  <c r="W33" i="20"/>
  <c r="V33" i="20"/>
  <c r="U33" i="20"/>
  <c r="T33" i="20"/>
  <c r="O33" i="20"/>
  <c r="N33" i="20"/>
  <c r="L33" i="20"/>
  <c r="K33" i="20"/>
  <c r="H33" i="20"/>
  <c r="F33" i="20"/>
  <c r="E33" i="20"/>
  <c r="D33" i="20"/>
  <c r="C33" i="20"/>
  <c r="B33" i="20"/>
  <c r="A33" i="20"/>
  <c r="AO33" i="20" s="1"/>
  <c r="AQ32" i="20"/>
  <c r="AP32" i="20"/>
  <c r="AN32" i="20"/>
  <c r="AM32" i="20"/>
  <c r="AJ32" i="20"/>
  <c r="AG32" i="20"/>
  <c r="AE32" i="20"/>
  <c r="AB32" i="20"/>
  <c r="AA32" i="20"/>
  <c r="T32" i="20"/>
  <c r="S32" i="20"/>
  <c r="R32" i="20"/>
  <c r="P32" i="20"/>
  <c r="J32" i="20"/>
  <c r="I32" i="20"/>
  <c r="G32" i="20"/>
  <c r="F32" i="20"/>
  <c r="E32" i="20"/>
  <c r="D32" i="20"/>
  <c r="C32" i="20"/>
  <c r="B32" i="20"/>
  <c r="A32" i="20"/>
  <c r="AO32" i="20" s="1"/>
  <c r="AK31" i="20"/>
  <c r="AF31" i="20"/>
  <c r="Y31" i="20"/>
  <c r="X31" i="20"/>
  <c r="N31" i="20"/>
  <c r="F31" i="20"/>
  <c r="E31" i="20"/>
  <c r="D31" i="20"/>
  <c r="C31" i="20"/>
  <c r="B31" i="20"/>
  <c r="A31" i="20"/>
  <c r="T31" i="20" s="1"/>
  <c r="AO30" i="20"/>
  <c r="AL30" i="20"/>
  <c r="AC30" i="20"/>
  <c r="W30" i="20"/>
  <c r="T30" i="20"/>
  <c r="N30" i="20"/>
  <c r="K30" i="20"/>
  <c r="F30" i="20"/>
  <c r="E30" i="20"/>
  <c r="D30" i="20"/>
  <c r="C30" i="20"/>
  <c r="B30" i="20"/>
  <c r="A30" i="20"/>
  <c r="AI30" i="20" s="1"/>
  <c r="AO29" i="20"/>
  <c r="AN29" i="20"/>
  <c r="AL29" i="20"/>
  <c r="AF29" i="20"/>
  <c r="AE29" i="20"/>
  <c r="W29" i="20"/>
  <c r="N29" i="20"/>
  <c r="L29" i="20"/>
  <c r="F29" i="20"/>
  <c r="E29" i="20"/>
  <c r="D29" i="20"/>
  <c r="C29" i="20"/>
  <c r="B29" i="20"/>
  <c r="A29" i="20"/>
  <c r="AC29" i="20" s="1"/>
  <c r="AO28" i="20"/>
  <c r="AL28" i="20"/>
  <c r="AF28" i="20"/>
  <c r="AC28" i="20"/>
  <c r="W28" i="20"/>
  <c r="T28" i="20"/>
  <c r="N28" i="20"/>
  <c r="K28" i="20"/>
  <c r="F28" i="20"/>
  <c r="E28" i="20"/>
  <c r="D28" i="20"/>
  <c r="V28" i="20" s="1"/>
  <c r="C28" i="20"/>
  <c r="B28" i="20"/>
  <c r="A28" i="20"/>
  <c r="Z28" i="20" s="1"/>
  <c r="AP27" i="20"/>
  <c r="AO27" i="20"/>
  <c r="AL27" i="20"/>
  <c r="AK27" i="20"/>
  <c r="AI27" i="20"/>
  <c r="AG27" i="20"/>
  <c r="AF27" i="20"/>
  <c r="AC27" i="20"/>
  <c r="AB27" i="20"/>
  <c r="Z27" i="20"/>
  <c r="X27" i="20"/>
  <c r="V27" i="20"/>
  <c r="T27" i="20"/>
  <c r="S27" i="20"/>
  <c r="Q27" i="20"/>
  <c r="N27" i="20"/>
  <c r="M27" i="20"/>
  <c r="K27" i="20"/>
  <c r="J27" i="20"/>
  <c r="H27" i="20"/>
  <c r="F27" i="20"/>
  <c r="E27" i="20"/>
  <c r="D27" i="20"/>
  <c r="C27" i="20"/>
  <c r="B27" i="20"/>
  <c r="A27" i="20"/>
  <c r="W27" i="20" s="1"/>
  <c r="AQ26" i="20"/>
  <c r="AP26" i="20"/>
  <c r="AN26" i="20"/>
  <c r="AM26" i="20"/>
  <c r="AI26" i="20"/>
  <c r="AH26" i="20"/>
  <c r="AG26" i="20"/>
  <c r="AF26" i="20"/>
  <c r="AE26" i="20"/>
  <c r="AA26" i="20"/>
  <c r="Z26" i="20"/>
  <c r="Y26" i="20"/>
  <c r="X26" i="20"/>
  <c r="W26" i="20"/>
  <c r="S26" i="20"/>
  <c r="R26" i="20"/>
  <c r="P26" i="20"/>
  <c r="O26" i="20"/>
  <c r="K26" i="20"/>
  <c r="J26" i="20"/>
  <c r="I26" i="20"/>
  <c r="H26" i="20"/>
  <c r="G26" i="20"/>
  <c r="F26" i="20"/>
  <c r="E26" i="20"/>
  <c r="D26" i="20"/>
  <c r="AD26" i="20" s="1"/>
  <c r="C26" i="20"/>
  <c r="B26" i="20"/>
  <c r="A26" i="20"/>
  <c r="AL26" i="20" s="1"/>
  <c r="AS25" i="20"/>
  <c r="AN25" i="20"/>
  <c r="AM25" i="20"/>
  <c r="AL25" i="20"/>
  <c r="AK25" i="20"/>
  <c r="AF25" i="20"/>
  <c r="AE25" i="20"/>
  <c r="AC25" i="20"/>
  <c r="X25" i="20"/>
  <c r="W25" i="20"/>
  <c r="U25" i="20"/>
  <c r="T25" i="20"/>
  <c r="P25" i="20"/>
  <c r="O25" i="20"/>
  <c r="N25" i="20"/>
  <c r="M25" i="20"/>
  <c r="H25" i="20"/>
  <c r="G25" i="20"/>
  <c r="F25" i="20"/>
  <c r="E25" i="20"/>
  <c r="D25" i="20"/>
  <c r="AR25" i="20" s="1"/>
  <c r="C25" i="20"/>
  <c r="B25" i="20"/>
  <c r="A25" i="20"/>
  <c r="AI25" i="20" s="1"/>
  <c r="AC24" i="20"/>
  <c r="Z24" i="20"/>
  <c r="T24" i="20"/>
  <c r="F24" i="20"/>
  <c r="E24" i="20"/>
  <c r="D24" i="20"/>
  <c r="U24" i="20" s="1"/>
  <c r="C24" i="20"/>
  <c r="B24" i="20"/>
  <c r="A24" i="20"/>
  <c r="AO24" i="20" s="1"/>
  <c r="AQ23" i="20"/>
  <c r="AP23" i="20"/>
  <c r="AN23" i="20"/>
  <c r="AM23" i="20"/>
  <c r="AH23" i="20"/>
  <c r="AG23" i="20"/>
  <c r="AE23" i="20"/>
  <c r="AD23" i="20"/>
  <c r="AA23" i="20"/>
  <c r="Y23" i="20"/>
  <c r="X23" i="20"/>
  <c r="V23" i="20"/>
  <c r="S23" i="20"/>
  <c r="R23" i="20"/>
  <c r="P23" i="20"/>
  <c r="O23" i="20"/>
  <c r="J23" i="20"/>
  <c r="I23" i="20"/>
  <c r="G23" i="20"/>
  <c r="F23" i="20"/>
  <c r="E23" i="20"/>
  <c r="D23" i="20"/>
  <c r="AS23" i="20" s="1"/>
  <c r="C23" i="20"/>
  <c r="B23" i="20"/>
  <c r="A23" i="20"/>
  <c r="AM22" i="20"/>
  <c r="AL22" i="20"/>
  <c r="AI22" i="20"/>
  <c r="AF22" i="20"/>
  <c r="AE22" i="20"/>
  <c r="AD22" i="20"/>
  <c r="AC22" i="20"/>
  <c r="W22" i="20"/>
  <c r="V22" i="20"/>
  <c r="T22" i="20"/>
  <c r="O22" i="20"/>
  <c r="N22" i="20"/>
  <c r="K22" i="20"/>
  <c r="H22" i="20"/>
  <c r="G22" i="20"/>
  <c r="F22" i="20"/>
  <c r="E22" i="20"/>
  <c r="D22" i="20"/>
  <c r="AQ22" i="20" s="1"/>
  <c r="C22" i="20"/>
  <c r="B22" i="20"/>
  <c r="A22" i="20"/>
  <c r="Z22" i="20" s="1"/>
  <c r="AR21" i="20"/>
  <c r="AJ21" i="20"/>
  <c r="AI21" i="20"/>
  <c r="AA21" i="20"/>
  <c r="T21" i="20"/>
  <c r="S21" i="20"/>
  <c r="L21" i="20"/>
  <c r="K21" i="20"/>
  <c r="F21" i="20"/>
  <c r="E21" i="20"/>
  <c r="D21" i="20"/>
  <c r="AQ21" i="20" s="1"/>
  <c r="C21" i="20"/>
  <c r="B21" i="20"/>
  <c r="A21" i="20"/>
  <c r="AF21" i="20" s="1"/>
  <c r="AS20" i="20"/>
  <c r="AQ20" i="20"/>
  <c r="AP20" i="20"/>
  <c r="AO20" i="20"/>
  <c r="AN20" i="20"/>
  <c r="AM20" i="20"/>
  <c r="AK20" i="20"/>
  <c r="AH20" i="20"/>
  <c r="AG20" i="20"/>
  <c r="AE20" i="20"/>
  <c r="AD20" i="20"/>
  <c r="AA20" i="20"/>
  <c r="Y20" i="20"/>
  <c r="X20" i="20"/>
  <c r="V20" i="20"/>
  <c r="U20" i="20"/>
  <c r="S20" i="20"/>
  <c r="R20" i="20"/>
  <c r="Q20" i="20"/>
  <c r="P20" i="20"/>
  <c r="O20" i="20"/>
  <c r="M20" i="20"/>
  <c r="J20" i="20"/>
  <c r="I20" i="20"/>
  <c r="G20" i="20"/>
  <c r="F20" i="20"/>
  <c r="E20" i="20"/>
  <c r="D20" i="20"/>
  <c r="AR20" i="20" s="1"/>
  <c r="C20" i="20"/>
  <c r="B20" i="20"/>
  <c r="A20" i="20"/>
  <c r="AF20" i="20" s="1"/>
  <c r="AS19" i="20"/>
  <c r="AQ19" i="20"/>
  <c r="AP19" i="20"/>
  <c r="AM19" i="20"/>
  <c r="AL19" i="20"/>
  <c r="AK19" i="20"/>
  <c r="AI19" i="20"/>
  <c r="AH19" i="20"/>
  <c r="AF19" i="20"/>
  <c r="AE19" i="20"/>
  <c r="AD19" i="20"/>
  <c r="AC19" i="20"/>
  <c r="AA19" i="20"/>
  <c r="Z19" i="20"/>
  <c r="W19" i="20"/>
  <c r="V19" i="20"/>
  <c r="U19" i="20"/>
  <c r="T19" i="20"/>
  <c r="S19" i="20"/>
  <c r="R19" i="20"/>
  <c r="O19" i="20"/>
  <c r="N19" i="20"/>
  <c r="M19" i="20"/>
  <c r="K19" i="20"/>
  <c r="J19" i="20"/>
  <c r="H19" i="20"/>
  <c r="G19" i="20"/>
  <c r="F19" i="20"/>
  <c r="E19" i="20"/>
  <c r="D19" i="20"/>
  <c r="AG19" i="20" s="1"/>
  <c r="C19" i="20"/>
  <c r="B19" i="20"/>
  <c r="A19" i="20"/>
  <c r="AO19" i="20" s="1"/>
  <c r="AQ18" i="20"/>
  <c r="AP18" i="20"/>
  <c r="AN18" i="20"/>
  <c r="AM18" i="20"/>
  <c r="AI18" i="20"/>
  <c r="AH18" i="20"/>
  <c r="AF18" i="20"/>
  <c r="AE18" i="20"/>
  <c r="AA18" i="20"/>
  <c r="Z18" i="20"/>
  <c r="X18" i="20"/>
  <c r="W18" i="20"/>
  <c r="T18" i="20"/>
  <c r="S18" i="20"/>
  <c r="R18" i="20"/>
  <c r="P18" i="20"/>
  <c r="O18" i="20"/>
  <c r="K18" i="20"/>
  <c r="J18" i="20"/>
  <c r="H18" i="20"/>
  <c r="G18" i="20"/>
  <c r="F18" i="20"/>
  <c r="E18" i="20"/>
  <c r="D18" i="20"/>
  <c r="AD18" i="20" s="1"/>
  <c r="C18" i="20"/>
  <c r="B18" i="20"/>
  <c r="A18" i="20"/>
  <c r="AL18" i="20" s="1"/>
  <c r="AS17" i="20"/>
  <c r="AN17" i="20"/>
  <c r="AM17" i="20"/>
  <c r="AK17" i="20"/>
  <c r="AF17" i="20"/>
  <c r="AE17" i="20"/>
  <c r="AC17" i="20"/>
  <c r="X17" i="20"/>
  <c r="W17" i="20"/>
  <c r="U17" i="20"/>
  <c r="T17" i="20"/>
  <c r="P17" i="20"/>
  <c r="O17" i="20"/>
  <c r="M17" i="20"/>
  <c r="H17" i="20"/>
  <c r="G17" i="20"/>
  <c r="F17" i="20"/>
  <c r="E17" i="20"/>
  <c r="D17" i="20"/>
  <c r="AR17" i="20" s="1"/>
  <c r="C17" i="20"/>
  <c r="B17" i="20"/>
  <c r="A17" i="20"/>
  <c r="AI17" i="20" s="1"/>
  <c r="AS16" i="20"/>
  <c r="AR16" i="20"/>
  <c r="AK16" i="20"/>
  <c r="AJ16" i="20"/>
  <c r="AC16" i="20"/>
  <c r="Z16" i="20"/>
  <c r="U16" i="20"/>
  <c r="T16" i="20"/>
  <c r="M16" i="20"/>
  <c r="L16" i="20"/>
  <c r="F16" i="20"/>
  <c r="E16" i="20"/>
  <c r="D16" i="20"/>
  <c r="C16" i="20"/>
  <c r="B16" i="20"/>
  <c r="A16" i="20"/>
  <c r="AO16" i="20" s="1"/>
  <c r="AQ15" i="20"/>
  <c r="AP15" i="20"/>
  <c r="AN15" i="20"/>
  <c r="AM15" i="20"/>
  <c r="AH15" i="20"/>
  <c r="AG15" i="20"/>
  <c r="AE15" i="20"/>
  <c r="AD15" i="20"/>
  <c r="AA15" i="20"/>
  <c r="Y15" i="20"/>
  <c r="X15" i="20"/>
  <c r="V15" i="20"/>
  <c r="S15" i="20"/>
  <c r="R15" i="20"/>
  <c r="P15" i="20"/>
  <c r="O15" i="20"/>
  <c r="J15" i="20"/>
  <c r="I15" i="20"/>
  <c r="G15" i="20"/>
  <c r="F15" i="20"/>
  <c r="E15" i="20"/>
  <c r="D15" i="20"/>
  <c r="AS15" i="20" s="1"/>
  <c r="C15" i="20"/>
  <c r="B15" i="20"/>
  <c r="A15" i="20"/>
  <c r="AM14" i="20"/>
  <c r="AL14" i="20"/>
  <c r="AI14" i="20"/>
  <c r="AF14" i="20"/>
  <c r="AE14" i="20"/>
  <c r="AD14" i="20"/>
  <c r="AC14" i="20"/>
  <c r="W14" i="20"/>
  <c r="V14" i="20"/>
  <c r="T14" i="20"/>
  <c r="O14" i="20"/>
  <c r="N14" i="20"/>
  <c r="K14" i="20"/>
  <c r="H14" i="20"/>
  <c r="G14" i="20"/>
  <c r="F14" i="20"/>
  <c r="E14" i="20"/>
  <c r="D14" i="20"/>
  <c r="AQ14" i="20" s="1"/>
  <c r="C14" i="20"/>
  <c r="B14" i="20"/>
  <c r="A14" i="20"/>
  <c r="Z14" i="20" s="1"/>
  <c r="AR13" i="20"/>
  <c r="AQ13" i="20"/>
  <c r="AJ13" i="20"/>
  <c r="AI13" i="20"/>
  <c r="AA13" i="20"/>
  <c r="T13" i="20"/>
  <c r="S13" i="20"/>
  <c r="L13" i="20"/>
  <c r="K13" i="20"/>
  <c r="F13" i="20"/>
  <c r="E13" i="20"/>
  <c r="D13" i="20"/>
  <c r="C13" i="20"/>
  <c r="B13" i="20"/>
  <c r="A13" i="20"/>
  <c r="AF13" i="20" s="1"/>
  <c r="AS12" i="20"/>
  <c r="AQ12" i="20"/>
  <c r="AP12" i="20"/>
  <c r="AN12" i="20"/>
  <c r="AM12" i="20"/>
  <c r="AK12" i="20"/>
  <c r="AH12" i="20"/>
  <c r="AG12" i="20"/>
  <c r="AF12" i="20"/>
  <c r="AE12" i="20"/>
  <c r="AD12" i="20"/>
  <c r="AA12" i="20"/>
  <c r="Y12" i="20"/>
  <c r="X12" i="20"/>
  <c r="V12" i="20"/>
  <c r="U12" i="20"/>
  <c r="S12" i="20"/>
  <c r="R12" i="20"/>
  <c r="P12" i="20"/>
  <c r="O12" i="20"/>
  <c r="M12" i="20"/>
  <c r="J12" i="20"/>
  <c r="I12" i="20"/>
  <c r="H12" i="20"/>
  <c r="G12" i="20"/>
  <c r="F12" i="20"/>
  <c r="E12" i="20"/>
  <c r="D12" i="20"/>
  <c r="AR12" i="20" s="1"/>
  <c r="C12" i="20"/>
  <c r="B12" i="20"/>
  <c r="A12" i="20"/>
  <c r="AO12" i="20" s="1"/>
  <c r="AS11" i="20"/>
  <c r="AQ11" i="20"/>
  <c r="AP11" i="20"/>
  <c r="AM11" i="20"/>
  <c r="AL11" i="20"/>
  <c r="AK11" i="20"/>
  <c r="AI11" i="20"/>
  <c r="AH11" i="20"/>
  <c r="AF11" i="20"/>
  <c r="AE11" i="20"/>
  <c r="AD11" i="20"/>
  <c r="AC11" i="20"/>
  <c r="AA11" i="20"/>
  <c r="Z11" i="20"/>
  <c r="W11" i="20"/>
  <c r="V11" i="20"/>
  <c r="U11" i="20"/>
  <c r="T11" i="20"/>
  <c r="S11" i="20"/>
  <c r="R11" i="20"/>
  <c r="O11" i="20"/>
  <c r="N11" i="20"/>
  <c r="M11" i="20"/>
  <c r="K11" i="20"/>
  <c r="J11" i="20"/>
  <c r="H11" i="20"/>
  <c r="G11" i="20"/>
  <c r="F11" i="20"/>
  <c r="E11" i="20"/>
  <c r="D11" i="20"/>
  <c r="AG11" i="20" s="1"/>
  <c r="C11" i="20"/>
  <c r="B11" i="20"/>
  <c r="A11" i="20"/>
  <c r="AO11" i="20" s="1"/>
  <c r="AQ10" i="20"/>
  <c r="AP10" i="20"/>
  <c r="AN10" i="20"/>
  <c r="AM10" i="20"/>
  <c r="AI10" i="20"/>
  <c r="AH10" i="20"/>
  <c r="AF10" i="20"/>
  <c r="AE10" i="20"/>
  <c r="AA10" i="20"/>
  <c r="Z10" i="20"/>
  <c r="X10" i="20"/>
  <c r="W10" i="20"/>
  <c r="T10" i="20"/>
  <c r="S10" i="20"/>
  <c r="R10" i="20"/>
  <c r="P10" i="20"/>
  <c r="O10" i="20"/>
  <c r="K10" i="20"/>
  <c r="J10" i="20"/>
  <c r="H10" i="20"/>
  <c r="G10" i="20"/>
  <c r="F10" i="20"/>
  <c r="E10" i="20"/>
  <c r="D10" i="20"/>
  <c r="AD10" i="20" s="1"/>
  <c r="C10" i="20"/>
  <c r="B10" i="20"/>
  <c r="A10" i="20"/>
  <c r="AL10" i="20" s="1"/>
  <c r="AS9" i="20"/>
  <c r="AN9" i="20"/>
  <c r="AM9" i="20"/>
  <c r="AK9" i="20"/>
  <c r="AF9" i="20"/>
  <c r="AE9" i="20"/>
  <c r="AC9" i="20"/>
  <c r="X9" i="20"/>
  <c r="W9" i="20"/>
  <c r="U9" i="20"/>
  <c r="T9" i="20"/>
  <c r="P9" i="20"/>
  <c r="O9" i="20"/>
  <c r="M9" i="20"/>
  <c r="H9" i="20"/>
  <c r="G9" i="20"/>
  <c r="F9" i="20"/>
  <c r="E9" i="20"/>
  <c r="D9" i="20"/>
  <c r="AR9" i="20" s="1"/>
  <c r="C9" i="20"/>
  <c r="B9" i="20"/>
  <c r="A9" i="20"/>
  <c r="AI9" i="20" s="1"/>
  <c r="AK8" i="20"/>
  <c r="AJ8" i="20"/>
  <c r="AC8" i="20"/>
  <c r="Z8" i="20"/>
  <c r="U8" i="20"/>
  <c r="T8" i="20"/>
  <c r="L8" i="20"/>
  <c r="F8" i="20"/>
  <c r="E8" i="20"/>
  <c r="D8" i="20"/>
  <c r="AS8" i="20" s="1"/>
  <c r="C8" i="20"/>
  <c r="B8" i="20"/>
  <c r="A8" i="20"/>
  <c r="AO8" i="20" s="1"/>
  <c r="AQ7" i="20"/>
  <c r="AP7" i="20"/>
  <c r="AO7" i="20"/>
  <c r="AN7" i="20"/>
  <c r="AM7" i="20"/>
  <c r="AH7" i="20"/>
  <c r="AG7" i="20"/>
  <c r="AE7" i="20"/>
  <c r="AD7" i="20"/>
  <c r="AA7" i="20"/>
  <c r="Z7" i="20"/>
  <c r="Y7" i="20"/>
  <c r="X7" i="20"/>
  <c r="V7" i="20"/>
  <c r="S7" i="20"/>
  <c r="R7" i="20"/>
  <c r="P7" i="20"/>
  <c r="O7" i="20"/>
  <c r="J7" i="20"/>
  <c r="I7" i="20"/>
  <c r="G7" i="20"/>
  <c r="F7" i="20"/>
  <c r="E7" i="20"/>
  <c r="D7" i="20"/>
  <c r="AS7" i="20" s="1"/>
  <c r="C7" i="20"/>
  <c r="B7" i="20"/>
  <c r="A7" i="20"/>
  <c r="Q7" i="20" s="1"/>
  <c r="AM6" i="20"/>
  <c r="AL6" i="20"/>
  <c r="AI6" i="20"/>
  <c r="AF6" i="20"/>
  <c r="AE6" i="20"/>
  <c r="AD6" i="20"/>
  <c r="AC6" i="20"/>
  <c r="W6" i="20"/>
  <c r="V6" i="20"/>
  <c r="T6" i="20"/>
  <c r="O6" i="20"/>
  <c r="N6" i="20"/>
  <c r="K6" i="20"/>
  <c r="H6" i="20"/>
  <c r="G6" i="20"/>
  <c r="F6" i="20"/>
  <c r="E6" i="20"/>
  <c r="D6" i="20"/>
  <c r="AQ6" i="20" s="1"/>
  <c r="C6" i="20"/>
  <c r="B6" i="20"/>
  <c r="A6" i="20"/>
  <c r="Z6" i="20" s="1"/>
  <c r="AR5" i="20"/>
  <c r="AQ5" i="20"/>
  <c r="AI5" i="20"/>
  <c r="AA5" i="20"/>
  <c r="T5" i="20"/>
  <c r="L5" i="20"/>
  <c r="K5" i="20"/>
  <c r="F5" i="20"/>
  <c r="E5" i="20"/>
  <c r="D5" i="20"/>
  <c r="S5" i="20" s="1"/>
  <c r="C5" i="20"/>
  <c r="B5" i="20"/>
  <c r="A5" i="20"/>
  <c r="AF5" i="20" s="1"/>
  <c r="AS4" i="20"/>
  <c r="AQ4" i="20"/>
  <c r="AP4" i="20"/>
  <c r="AN4" i="20"/>
  <c r="AM4" i="20"/>
  <c r="AK4" i="20"/>
  <c r="AH4" i="20"/>
  <c r="AG4" i="20"/>
  <c r="AE4" i="20"/>
  <c r="AD4" i="20"/>
  <c r="AA4" i="20"/>
  <c r="Y4" i="20"/>
  <c r="X4" i="20"/>
  <c r="V4" i="20"/>
  <c r="U4" i="20"/>
  <c r="S4" i="20"/>
  <c r="R4" i="20"/>
  <c r="P4" i="20"/>
  <c r="O4" i="20"/>
  <c r="M4" i="20"/>
  <c r="J4" i="20"/>
  <c r="I4" i="20"/>
  <c r="G4" i="20"/>
  <c r="F4" i="20"/>
  <c r="E4" i="20"/>
  <c r="D4" i="20"/>
  <c r="AR4" i="20" s="1"/>
  <c r="C4" i="20"/>
  <c r="B4" i="20"/>
  <c r="A4" i="20"/>
  <c r="I103" i="19"/>
  <c r="H103" i="19"/>
  <c r="I102" i="19"/>
  <c r="H102" i="19"/>
  <c r="I101" i="19"/>
  <c r="H101" i="19"/>
  <c r="I100" i="19"/>
  <c r="H100" i="19"/>
  <c r="I99" i="19"/>
  <c r="H99" i="19"/>
  <c r="I98" i="19"/>
  <c r="H98" i="19"/>
  <c r="I97" i="19"/>
  <c r="H97" i="19"/>
  <c r="I96" i="19"/>
  <c r="H96" i="19"/>
  <c r="I95" i="19"/>
  <c r="H95" i="19"/>
  <c r="I94" i="19"/>
  <c r="H94" i="19"/>
  <c r="I93" i="19"/>
  <c r="H93" i="19"/>
  <c r="I92" i="19"/>
  <c r="H92" i="19"/>
  <c r="I91" i="19"/>
  <c r="H91" i="19"/>
  <c r="I90" i="19"/>
  <c r="H90" i="19"/>
  <c r="I89" i="19"/>
  <c r="H89" i="19"/>
  <c r="I88" i="19"/>
  <c r="H88" i="19"/>
  <c r="I87" i="19"/>
  <c r="H87" i="19"/>
  <c r="I86" i="19"/>
  <c r="H86" i="19"/>
  <c r="I85" i="19"/>
  <c r="H85" i="19"/>
  <c r="I84" i="19"/>
  <c r="H84" i="19"/>
  <c r="I83" i="19"/>
  <c r="H83" i="19"/>
  <c r="I82" i="19"/>
  <c r="H82" i="19"/>
  <c r="I81" i="19"/>
  <c r="H81" i="19"/>
  <c r="I80" i="19"/>
  <c r="H80" i="19"/>
  <c r="I79" i="19"/>
  <c r="H79" i="19"/>
  <c r="I78" i="19"/>
  <c r="H78" i="19"/>
  <c r="I77" i="19"/>
  <c r="H77" i="19"/>
  <c r="I76" i="19"/>
  <c r="H76" i="19"/>
  <c r="I75" i="19"/>
  <c r="H75" i="19"/>
  <c r="I74" i="19"/>
  <c r="H74" i="19"/>
  <c r="I73" i="19"/>
  <c r="H73" i="19"/>
  <c r="I72" i="19"/>
  <c r="H72" i="19"/>
  <c r="I71" i="19"/>
  <c r="H71" i="19"/>
  <c r="I70" i="19"/>
  <c r="H70" i="19"/>
  <c r="I69" i="19"/>
  <c r="H69" i="19"/>
  <c r="I68" i="19"/>
  <c r="H68" i="19"/>
  <c r="I67" i="19"/>
  <c r="H67" i="19"/>
  <c r="I66" i="19"/>
  <c r="H66" i="19"/>
  <c r="I65" i="19"/>
  <c r="H65" i="19"/>
  <c r="I64" i="19"/>
  <c r="H64" i="19"/>
  <c r="I63" i="19"/>
  <c r="H63" i="19"/>
  <c r="I62" i="19"/>
  <c r="H62" i="19"/>
  <c r="I61" i="19"/>
  <c r="H61" i="19"/>
  <c r="I60" i="19"/>
  <c r="H60" i="19"/>
  <c r="I59" i="19"/>
  <c r="H59" i="19"/>
  <c r="I58" i="19"/>
  <c r="H58" i="19"/>
  <c r="I57" i="19"/>
  <c r="H57" i="19"/>
  <c r="I56" i="19"/>
  <c r="H56" i="19"/>
  <c r="I55" i="19"/>
  <c r="H55" i="19"/>
  <c r="I54" i="19"/>
  <c r="H54" i="19"/>
  <c r="I53" i="19"/>
  <c r="H53" i="19"/>
  <c r="I52" i="19"/>
  <c r="H52" i="19"/>
  <c r="I51" i="19"/>
  <c r="H51" i="19"/>
  <c r="I50" i="19"/>
  <c r="H50" i="19"/>
  <c r="I49" i="19"/>
  <c r="H49" i="19"/>
  <c r="I48" i="19"/>
  <c r="H48" i="19"/>
  <c r="I47" i="19"/>
  <c r="H47" i="19"/>
  <c r="I46" i="19"/>
  <c r="H46" i="19"/>
  <c r="I45" i="19"/>
  <c r="H45" i="19"/>
  <c r="I44" i="19"/>
  <c r="H44" i="19"/>
  <c r="I43" i="19"/>
  <c r="H43" i="19"/>
  <c r="I42" i="19"/>
  <c r="H42" i="19"/>
  <c r="I41" i="19"/>
  <c r="H41" i="19"/>
  <c r="I40" i="19"/>
  <c r="H40" i="19"/>
  <c r="I39" i="19"/>
  <c r="H39" i="19"/>
  <c r="I38" i="19"/>
  <c r="H38" i="19"/>
  <c r="I37" i="19"/>
  <c r="H37" i="19"/>
  <c r="I36" i="19"/>
  <c r="H36" i="19"/>
  <c r="I35" i="19"/>
  <c r="H35" i="19"/>
  <c r="I34" i="19"/>
  <c r="H34" i="19"/>
  <c r="I33" i="19"/>
  <c r="H33" i="19"/>
  <c r="I32" i="19"/>
  <c r="H32" i="19"/>
  <c r="I31" i="19"/>
  <c r="H31" i="19"/>
  <c r="I30" i="19"/>
  <c r="H30" i="19"/>
  <c r="I29" i="19"/>
  <c r="H29" i="19"/>
  <c r="I28" i="19"/>
  <c r="H28" i="19"/>
  <c r="I27" i="19"/>
  <c r="H27" i="19"/>
  <c r="I26" i="19"/>
  <c r="H26" i="19"/>
  <c r="I25" i="19"/>
  <c r="H25" i="19"/>
  <c r="I24" i="19"/>
  <c r="H24" i="19"/>
  <c r="I23" i="19"/>
  <c r="H23" i="19"/>
  <c r="I22" i="19"/>
  <c r="H22" i="19"/>
  <c r="I21" i="19"/>
  <c r="H21" i="19"/>
  <c r="I20" i="19"/>
  <c r="H20" i="19"/>
  <c r="I19" i="19"/>
  <c r="H19" i="19"/>
  <c r="I18" i="19"/>
  <c r="H18" i="19"/>
  <c r="I17" i="19"/>
  <c r="H17" i="19"/>
  <c r="I16" i="19"/>
  <c r="H16" i="19"/>
  <c r="I15" i="19"/>
  <c r="H15" i="19"/>
  <c r="I14" i="19"/>
  <c r="H14" i="19"/>
  <c r="I13" i="19"/>
  <c r="H13" i="19"/>
  <c r="I12" i="19"/>
  <c r="H12" i="19"/>
  <c r="I11" i="19"/>
  <c r="H11" i="19"/>
  <c r="I10" i="19"/>
  <c r="H10" i="19"/>
  <c r="I9" i="19"/>
  <c r="H9" i="19"/>
  <c r="I8" i="19"/>
  <c r="H8" i="19"/>
  <c r="I7" i="19"/>
  <c r="H7" i="19"/>
  <c r="I6" i="19"/>
  <c r="H6" i="19"/>
  <c r="I5" i="19"/>
  <c r="H5" i="19"/>
  <c r="I4" i="19"/>
  <c r="H4" i="19"/>
  <c r="K2" i="19"/>
  <c r="H2" i="19"/>
  <c r="E2" i="19"/>
  <c r="B2" i="19"/>
  <c r="M1003" i="18"/>
  <c r="L1003" i="18"/>
  <c r="N1003" i="18" s="1"/>
  <c r="K1003" i="18"/>
  <c r="J1003" i="18"/>
  <c r="G1003" i="18"/>
  <c r="F1003" i="18"/>
  <c r="N1002" i="18"/>
  <c r="M1002" i="18"/>
  <c r="L1002" i="18"/>
  <c r="K1002" i="18"/>
  <c r="J1002" i="18"/>
  <c r="G1002" i="18"/>
  <c r="F1002" i="18"/>
  <c r="N1001" i="18"/>
  <c r="M1001" i="18"/>
  <c r="L1001" i="18"/>
  <c r="K1001" i="18"/>
  <c r="J1001" i="18"/>
  <c r="G1001" i="18"/>
  <c r="F1001" i="18"/>
  <c r="N1000" i="18"/>
  <c r="M1000" i="18"/>
  <c r="L1000" i="18"/>
  <c r="K1000" i="18"/>
  <c r="J1000" i="18"/>
  <c r="G1000" i="18"/>
  <c r="F1000" i="18"/>
  <c r="N999" i="18"/>
  <c r="M999" i="18"/>
  <c r="L999" i="18"/>
  <c r="K999" i="18"/>
  <c r="J999" i="18"/>
  <c r="G999" i="18"/>
  <c r="F999" i="18"/>
  <c r="N998" i="18"/>
  <c r="M998" i="18"/>
  <c r="L998" i="18"/>
  <c r="K998" i="18"/>
  <c r="J998" i="18"/>
  <c r="G998" i="18"/>
  <c r="F998" i="18"/>
  <c r="M997" i="18"/>
  <c r="L997" i="18"/>
  <c r="N997" i="18" s="1"/>
  <c r="K997" i="18"/>
  <c r="J997" i="18"/>
  <c r="G997" i="18"/>
  <c r="F997" i="18"/>
  <c r="M996" i="18"/>
  <c r="L996" i="18"/>
  <c r="N996" i="18" s="1"/>
  <c r="K996" i="18"/>
  <c r="J996" i="18"/>
  <c r="G996" i="18"/>
  <c r="F996" i="18"/>
  <c r="M995" i="18"/>
  <c r="L995" i="18"/>
  <c r="N995" i="18" s="1"/>
  <c r="K995" i="18"/>
  <c r="J995" i="18"/>
  <c r="G995" i="18"/>
  <c r="F995" i="18"/>
  <c r="N994" i="18"/>
  <c r="M994" i="18"/>
  <c r="L994" i="18"/>
  <c r="K994" i="18"/>
  <c r="J994" i="18"/>
  <c r="G994" i="18"/>
  <c r="F994" i="18"/>
  <c r="N993" i="18"/>
  <c r="M993" i="18"/>
  <c r="L993" i="18"/>
  <c r="K993" i="18"/>
  <c r="J993" i="18"/>
  <c r="G993" i="18"/>
  <c r="F993" i="18"/>
  <c r="N992" i="18"/>
  <c r="M992" i="18"/>
  <c r="L992" i="18"/>
  <c r="K992" i="18"/>
  <c r="J992" i="18"/>
  <c r="G992" i="18"/>
  <c r="F992" i="18"/>
  <c r="N991" i="18"/>
  <c r="M991" i="18"/>
  <c r="L991" i="18"/>
  <c r="K991" i="18"/>
  <c r="J991" i="18"/>
  <c r="G991" i="18"/>
  <c r="F991" i="18"/>
  <c r="N990" i="18"/>
  <c r="M990" i="18"/>
  <c r="L990" i="18"/>
  <c r="K990" i="18"/>
  <c r="J990" i="18"/>
  <c r="G990" i="18"/>
  <c r="F990" i="18"/>
  <c r="M989" i="18"/>
  <c r="L989" i="18"/>
  <c r="N989" i="18" s="1"/>
  <c r="K989" i="18"/>
  <c r="J989" i="18"/>
  <c r="G989" i="18"/>
  <c r="F989" i="18"/>
  <c r="M988" i="18"/>
  <c r="L988" i="18"/>
  <c r="N988" i="18" s="1"/>
  <c r="K988" i="18"/>
  <c r="J988" i="18"/>
  <c r="G988" i="18"/>
  <c r="F988" i="18"/>
  <c r="M987" i="18"/>
  <c r="L987" i="18"/>
  <c r="N987" i="18" s="1"/>
  <c r="K987" i="18"/>
  <c r="J987" i="18"/>
  <c r="G987" i="18"/>
  <c r="F987" i="18"/>
  <c r="N986" i="18"/>
  <c r="M986" i="18"/>
  <c r="L986" i="18"/>
  <c r="K986" i="18"/>
  <c r="J986" i="18"/>
  <c r="G986" i="18"/>
  <c r="F986" i="18"/>
  <c r="N985" i="18"/>
  <c r="M985" i="18"/>
  <c r="L985" i="18"/>
  <c r="K985" i="18"/>
  <c r="J985" i="18"/>
  <c r="G985" i="18"/>
  <c r="F985" i="18"/>
  <c r="N984" i="18"/>
  <c r="M984" i="18"/>
  <c r="L984" i="18"/>
  <c r="K984" i="18"/>
  <c r="J984" i="18"/>
  <c r="G984" i="18"/>
  <c r="F984" i="18"/>
  <c r="N983" i="18"/>
  <c r="M983" i="18"/>
  <c r="L983" i="18"/>
  <c r="K983" i="18"/>
  <c r="J983" i="18"/>
  <c r="G983" i="18"/>
  <c r="F983" i="18"/>
  <c r="N982" i="18"/>
  <c r="M982" i="18"/>
  <c r="L982" i="18"/>
  <c r="K982" i="18"/>
  <c r="J982" i="18"/>
  <c r="G982" i="18"/>
  <c r="F982" i="18"/>
  <c r="M981" i="18"/>
  <c r="L981" i="18"/>
  <c r="N981" i="18" s="1"/>
  <c r="K981" i="18"/>
  <c r="J981" i="18"/>
  <c r="G981" i="18"/>
  <c r="F981" i="18"/>
  <c r="M980" i="18"/>
  <c r="L980" i="18"/>
  <c r="N980" i="18" s="1"/>
  <c r="K980" i="18"/>
  <c r="J980" i="18"/>
  <c r="G980" i="18"/>
  <c r="F980" i="18"/>
  <c r="M979" i="18"/>
  <c r="L979" i="18"/>
  <c r="N979" i="18" s="1"/>
  <c r="K979" i="18"/>
  <c r="J979" i="18"/>
  <c r="G979" i="18"/>
  <c r="F979" i="18"/>
  <c r="N978" i="18"/>
  <c r="M978" i="18"/>
  <c r="L978" i="18"/>
  <c r="K978" i="18"/>
  <c r="J978" i="18"/>
  <c r="G978" i="18"/>
  <c r="F978" i="18"/>
  <c r="N977" i="18"/>
  <c r="M977" i="18"/>
  <c r="L977" i="18"/>
  <c r="K977" i="18"/>
  <c r="J977" i="18"/>
  <c r="G977" i="18"/>
  <c r="F977" i="18"/>
  <c r="N976" i="18"/>
  <c r="M976" i="18"/>
  <c r="L976" i="18"/>
  <c r="K976" i="18"/>
  <c r="J976" i="18"/>
  <c r="G976" i="18"/>
  <c r="F976" i="18"/>
  <c r="N975" i="18"/>
  <c r="M975" i="18"/>
  <c r="L975" i="18"/>
  <c r="K975" i="18"/>
  <c r="J975" i="18"/>
  <c r="G975" i="18"/>
  <c r="F975" i="18"/>
  <c r="N974" i="18"/>
  <c r="M974" i="18"/>
  <c r="L974" i="18"/>
  <c r="K974" i="18"/>
  <c r="J974" i="18"/>
  <c r="G974" i="18"/>
  <c r="F974" i="18"/>
  <c r="M973" i="18"/>
  <c r="L973" i="18"/>
  <c r="N973" i="18" s="1"/>
  <c r="K973" i="18"/>
  <c r="J973" i="18"/>
  <c r="G973" i="18"/>
  <c r="F973" i="18"/>
  <c r="M972" i="18"/>
  <c r="L972" i="18"/>
  <c r="N972" i="18" s="1"/>
  <c r="K972" i="18"/>
  <c r="J972" i="18"/>
  <c r="G972" i="18"/>
  <c r="F972" i="18"/>
  <c r="M971" i="18"/>
  <c r="L971" i="18"/>
  <c r="N971" i="18" s="1"/>
  <c r="K971" i="18"/>
  <c r="J971" i="18"/>
  <c r="G971" i="18"/>
  <c r="F971" i="18"/>
  <c r="N970" i="18"/>
  <c r="M970" i="18"/>
  <c r="L970" i="18"/>
  <c r="K970" i="18"/>
  <c r="J970" i="18"/>
  <c r="G970" i="18"/>
  <c r="F970" i="18"/>
  <c r="N969" i="18"/>
  <c r="M969" i="18"/>
  <c r="L969" i="18"/>
  <c r="K969" i="18"/>
  <c r="J969" i="18"/>
  <c r="G969" i="18"/>
  <c r="F969" i="18"/>
  <c r="N968" i="18"/>
  <c r="M968" i="18"/>
  <c r="L968" i="18"/>
  <c r="K968" i="18"/>
  <c r="J968" i="18"/>
  <c r="G968" i="18"/>
  <c r="F968" i="18"/>
  <c r="N967" i="18"/>
  <c r="M967" i="18"/>
  <c r="L967" i="18"/>
  <c r="K967" i="18"/>
  <c r="J967" i="18"/>
  <c r="G967" i="18"/>
  <c r="F967" i="18"/>
  <c r="N966" i="18"/>
  <c r="M966" i="18"/>
  <c r="L966" i="18"/>
  <c r="K966" i="18"/>
  <c r="J966" i="18"/>
  <c r="G966" i="18"/>
  <c r="F966" i="18"/>
  <c r="M965" i="18"/>
  <c r="L965" i="18"/>
  <c r="N965" i="18" s="1"/>
  <c r="K965" i="18"/>
  <c r="J965" i="18"/>
  <c r="G965" i="18"/>
  <c r="F965" i="18"/>
  <c r="M964" i="18"/>
  <c r="L964" i="18"/>
  <c r="N964" i="18" s="1"/>
  <c r="K964" i="18"/>
  <c r="J964" i="18"/>
  <c r="G964" i="18"/>
  <c r="F964" i="18"/>
  <c r="M963" i="18"/>
  <c r="L963" i="18"/>
  <c r="N963" i="18" s="1"/>
  <c r="K963" i="18"/>
  <c r="J963" i="18"/>
  <c r="G963" i="18"/>
  <c r="F963" i="18"/>
  <c r="N962" i="18"/>
  <c r="M962" i="18"/>
  <c r="L962" i="18"/>
  <c r="K962" i="18"/>
  <c r="J962" i="18"/>
  <c r="G962" i="18"/>
  <c r="F962" i="18"/>
  <c r="N961" i="18"/>
  <c r="M961" i="18"/>
  <c r="L961" i="18"/>
  <c r="K961" i="18"/>
  <c r="J961" i="18"/>
  <c r="G961" i="18"/>
  <c r="F961" i="18"/>
  <c r="N960" i="18"/>
  <c r="M960" i="18"/>
  <c r="L960" i="18"/>
  <c r="K960" i="18"/>
  <c r="J960" i="18"/>
  <c r="G960" i="18"/>
  <c r="F960" i="18"/>
  <c r="N959" i="18"/>
  <c r="M959" i="18"/>
  <c r="L959" i="18"/>
  <c r="K959" i="18"/>
  <c r="J959" i="18"/>
  <c r="G959" i="18"/>
  <c r="F959" i="18"/>
  <c r="N958" i="18"/>
  <c r="M958" i="18"/>
  <c r="L958" i="18"/>
  <c r="K958" i="18"/>
  <c r="J958" i="18"/>
  <c r="G958" i="18"/>
  <c r="F958" i="18"/>
  <c r="M957" i="18"/>
  <c r="L957" i="18"/>
  <c r="N957" i="18" s="1"/>
  <c r="K957" i="18"/>
  <c r="J957" i="18"/>
  <c r="G957" i="18"/>
  <c r="F957" i="18"/>
  <c r="M956" i="18"/>
  <c r="L956" i="18"/>
  <c r="N956" i="18" s="1"/>
  <c r="K956" i="18"/>
  <c r="J956" i="18"/>
  <c r="G956" i="18"/>
  <c r="F956" i="18"/>
  <c r="M955" i="18"/>
  <c r="L955" i="18"/>
  <c r="N955" i="18" s="1"/>
  <c r="K955" i="18"/>
  <c r="J955" i="18"/>
  <c r="G955" i="18"/>
  <c r="F955" i="18"/>
  <c r="N954" i="18"/>
  <c r="M954" i="18"/>
  <c r="L954" i="18"/>
  <c r="K954" i="18"/>
  <c r="J954" i="18"/>
  <c r="G954" i="18"/>
  <c r="F954" i="18"/>
  <c r="N953" i="18"/>
  <c r="M953" i="18"/>
  <c r="L953" i="18"/>
  <c r="K953" i="18"/>
  <c r="J953" i="18"/>
  <c r="G953" i="18"/>
  <c r="F953" i="18"/>
  <c r="N952" i="18"/>
  <c r="M952" i="18"/>
  <c r="L952" i="18"/>
  <c r="K952" i="18"/>
  <c r="J952" i="18"/>
  <c r="G952" i="18"/>
  <c r="F952" i="18"/>
  <c r="N951" i="18"/>
  <c r="M951" i="18"/>
  <c r="L951" i="18"/>
  <c r="K951" i="18"/>
  <c r="J951" i="18"/>
  <c r="G951" i="18"/>
  <c r="F951" i="18"/>
  <c r="N950" i="18"/>
  <c r="M950" i="18"/>
  <c r="L950" i="18"/>
  <c r="K950" i="18"/>
  <c r="J950" i="18"/>
  <c r="G950" i="18"/>
  <c r="F950" i="18"/>
  <c r="M949" i="18"/>
  <c r="L949" i="18"/>
  <c r="N949" i="18" s="1"/>
  <c r="K949" i="18"/>
  <c r="J949" i="18"/>
  <c r="G949" i="18"/>
  <c r="F949" i="18"/>
  <c r="M948" i="18"/>
  <c r="L948" i="18"/>
  <c r="N948" i="18" s="1"/>
  <c r="K948" i="18"/>
  <c r="J948" i="18"/>
  <c r="G948" i="18"/>
  <c r="F948" i="18"/>
  <c r="M947" i="18"/>
  <c r="L947" i="18"/>
  <c r="N947" i="18" s="1"/>
  <c r="K947" i="18"/>
  <c r="J947" i="18"/>
  <c r="G947" i="18"/>
  <c r="F947" i="18"/>
  <c r="N946" i="18"/>
  <c r="M946" i="18"/>
  <c r="L946" i="18"/>
  <c r="K946" i="18"/>
  <c r="J946" i="18"/>
  <c r="G946" i="18"/>
  <c r="F946" i="18"/>
  <c r="N945" i="18"/>
  <c r="M945" i="18"/>
  <c r="L945" i="18"/>
  <c r="K945" i="18"/>
  <c r="J945" i="18"/>
  <c r="G945" i="18"/>
  <c r="F945" i="18"/>
  <c r="N944" i="18"/>
  <c r="M944" i="18"/>
  <c r="L944" i="18"/>
  <c r="K944" i="18"/>
  <c r="J944" i="18"/>
  <c r="G944" i="18"/>
  <c r="F944" i="18"/>
  <c r="N943" i="18"/>
  <c r="M943" i="18"/>
  <c r="L943" i="18"/>
  <c r="K943" i="18"/>
  <c r="J943" i="18"/>
  <c r="G943" i="18"/>
  <c r="F943" i="18"/>
  <c r="N942" i="18"/>
  <c r="M942" i="18"/>
  <c r="L942" i="18"/>
  <c r="K942" i="18"/>
  <c r="J942" i="18"/>
  <c r="G942" i="18"/>
  <c r="F942" i="18"/>
  <c r="M941" i="18"/>
  <c r="L941" i="18"/>
  <c r="N941" i="18" s="1"/>
  <c r="K941" i="18"/>
  <c r="J941" i="18"/>
  <c r="G941" i="18"/>
  <c r="F941" i="18"/>
  <c r="M940" i="18"/>
  <c r="L940" i="18"/>
  <c r="N940" i="18" s="1"/>
  <c r="K940" i="18"/>
  <c r="J940" i="18"/>
  <c r="G940" i="18"/>
  <c r="F940" i="18"/>
  <c r="M939" i="18"/>
  <c r="L939" i="18"/>
  <c r="N939" i="18" s="1"/>
  <c r="K939" i="18"/>
  <c r="J939" i="18"/>
  <c r="G939" i="18"/>
  <c r="F939" i="18"/>
  <c r="N938" i="18"/>
  <c r="M938" i="18"/>
  <c r="L938" i="18"/>
  <c r="K938" i="18"/>
  <c r="J938" i="18"/>
  <c r="G938" i="18"/>
  <c r="F938" i="18"/>
  <c r="N937" i="18"/>
  <c r="M937" i="18"/>
  <c r="L937" i="18"/>
  <c r="K937" i="18"/>
  <c r="J937" i="18"/>
  <c r="G937" i="18"/>
  <c r="F937" i="18"/>
  <c r="N936" i="18"/>
  <c r="M936" i="18"/>
  <c r="L936" i="18"/>
  <c r="K936" i="18"/>
  <c r="J936" i="18"/>
  <c r="G936" i="18"/>
  <c r="F936" i="18"/>
  <c r="N935" i="18"/>
  <c r="M935" i="18"/>
  <c r="L935" i="18"/>
  <c r="K935" i="18"/>
  <c r="J935" i="18"/>
  <c r="G935" i="18"/>
  <c r="F935" i="18"/>
  <c r="N934" i="18"/>
  <c r="M934" i="18"/>
  <c r="L934" i="18"/>
  <c r="K934" i="18"/>
  <c r="J934" i="18"/>
  <c r="G934" i="18"/>
  <c r="F934" i="18"/>
  <c r="M933" i="18"/>
  <c r="L933" i="18"/>
  <c r="N933" i="18" s="1"/>
  <c r="K933" i="18"/>
  <c r="J933" i="18"/>
  <c r="G933" i="18"/>
  <c r="F933" i="18"/>
  <c r="M932" i="18"/>
  <c r="L932" i="18"/>
  <c r="N932" i="18" s="1"/>
  <c r="K932" i="18"/>
  <c r="J932" i="18"/>
  <c r="G932" i="18"/>
  <c r="F932" i="18"/>
  <c r="M931" i="18"/>
  <c r="L931" i="18"/>
  <c r="N931" i="18" s="1"/>
  <c r="K931" i="18"/>
  <c r="J931" i="18"/>
  <c r="G931" i="18"/>
  <c r="F931" i="18"/>
  <c r="N930" i="18"/>
  <c r="M930" i="18"/>
  <c r="L930" i="18"/>
  <c r="K930" i="18"/>
  <c r="J930" i="18"/>
  <c r="G930" i="18"/>
  <c r="F930" i="18"/>
  <c r="N929" i="18"/>
  <c r="M929" i="18"/>
  <c r="L929" i="18"/>
  <c r="K929" i="18"/>
  <c r="J929" i="18"/>
  <c r="G929" i="18"/>
  <c r="F929" i="18"/>
  <c r="N928" i="18"/>
  <c r="M928" i="18"/>
  <c r="L928" i="18"/>
  <c r="K928" i="18"/>
  <c r="J928" i="18"/>
  <c r="G928" i="18"/>
  <c r="F928" i="18"/>
  <c r="N927" i="18"/>
  <c r="M927" i="18"/>
  <c r="L927" i="18"/>
  <c r="K927" i="18"/>
  <c r="J927" i="18"/>
  <c r="G927" i="18"/>
  <c r="F927" i="18"/>
  <c r="N926" i="18"/>
  <c r="M926" i="18"/>
  <c r="L926" i="18"/>
  <c r="K926" i="18"/>
  <c r="J926" i="18"/>
  <c r="G926" i="18"/>
  <c r="F926" i="18"/>
  <c r="M925" i="18"/>
  <c r="L925" i="18"/>
  <c r="N925" i="18" s="1"/>
  <c r="K925" i="18"/>
  <c r="J925" i="18"/>
  <c r="G925" i="18"/>
  <c r="F925" i="18"/>
  <c r="M924" i="18"/>
  <c r="L924" i="18"/>
  <c r="N924" i="18" s="1"/>
  <c r="K924" i="18"/>
  <c r="J924" i="18"/>
  <c r="G924" i="18"/>
  <c r="F924" i="18"/>
  <c r="M923" i="18"/>
  <c r="L923" i="18"/>
  <c r="N923" i="18" s="1"/>
  <c r="K923" i="18"/>
  <c r="J923" i="18"/>
  <c r="G923" i="18"/>
  <c r="F923" i="18"/>
  <c r="N922" i="18"/>
  <c r="M922" i="18"/>
  <c r="L922" i="18"/>
  <c r="K922" i="18"/>
  <c r="J922" i="18"/>
  <c r="G922" i="18"/>
  <c r="F922" i="18"/>
  <c r="N921" i="18"/>
  <c r="M921" i="18"/>
  <c r="L921" i="18"/>
  <c r="K921" i="18"/>
  <c r="J921" i="18"/>
  <c r="G921" i="18"/>
  <c r="F921" i="18"/>
  <c r="N920" i="18"/>
  <c r="M920" i="18"/>
  <c r="L920" i="18"/>
  <c r="K920" i="18"/>
  <c r="J920" i="18"/>
  <c r="G920" i="18"/>
  <c r="F920" i="18"/>
  <c r="N919" i="18"/>
  <c r="M919" i="18"/>
  <c r="L919" i="18"/>
  <c r="K919" i="18"/>
  <c r="J919" i="18"/>
  <c r="G919" i="18"/>
  <c r="F919" i="18"/>
  <c r="N918" i="18"/>
  <c r="M918" i="18"/>
  <c r="L918" i="18"/>
  <c r="K918" i="18"/>
  <c r="J918" i="18"/>
  <c r="G918" i="18"/>
  <c r="F918" i="18"/>
  <c r="M917" i="18"/>
  <c r="L917" i="18"/>
  <c r="N917" i="18" s="1"/>
  <c r="K917" i="18"/>
  <c r="J917" i="18"/>
  <c r="G917" i="18"/>
  <c r="F917" i="18"/>
  <c r="M916" i="18"/>
  <c r="L916" i="18"/>
  <c r="N916" i="18" s="1"/>
  <c r="K916" i="18"/>
  <c r="J916" i="18"/>
  <c r="G916" i="18"/>
  <c r="F916" i="18"/>
  <c r="M915" i="18"/>
  <c r="L915" i="18"/>
  <c r="N915" i="18" s="1"/>
  <c r="K915" i="18"/>
  <c r="J915" i="18"/>
  <c r="G915" i="18"/>
  <c r="F915" i="18"/>
  <c r="N914" i="18"/>
  <c r="M914" i="18"/>
  <c r="L914" i="18"/>
  <c r="K914" i="18"/>
  <c r="J914" i="18"/>
  <c r="G914" i="18"/>
  <c r="F914" i="18"/>
  <c r="N913" i="18"/>
  <c r="M913" i="18"/>
  <c r="L913" i="18"/>
  <c r="K913" i="18"/>
  <c r="J913" i="18"/>
  <c r="G913" i="18"/>
  <c r="F913" i="18"/>
  <c r="N912" i="18"/>
  <c r="M912" i="18"/>
  <c r="L912" i="18"/>
  <c r="K912" i="18"/>
  <c r="J912" i="18"/>
  <c r="G912" i="18"/>
  <c r="F912" i="18"/>
  <c r="N911" i="18"/>
  <c r="M911" i="18"/>
  <c r="L911" i="18"/>
  <c r="K911" i="18"/>
  <c r="J911" i="18"/>
  <c r="G911" i="18"/>
  <c r="F911" i="18"/>
  <c r="N910" i="18"/>
  <c r="M910" i="18"/>
  <c r="L910" i="18"/>
  <c r="K910" i="18"/>
  <c r="J910" i="18"/>
  <c r="G910" i="18"/>
  <c r="F910" i="18"/>
  <c r="M909" i="18"/>
  <c r="L909" i="18"/>
  <c r="N909" i="18" s="1"/>
  <c r="K909" i="18"/>
  <c r="J909" i="18"/>
  <c r="G909" i="18"/>
  <c r="F909" i="18"/>
  <c r="M908" i="18"/>
  <c r="L908" i="18"/>
  <c r="N908" i="18" s="1"/>
  <c r="K908" i="18"/>
  <c r="J908" i="18"/>
  <c r="G908" i="18"/>
  <c r="F908" i="18"/>
  <c r="M907" i="18"/>
  <c r="L907" i="18"/>
  <c r="N907" i="18" s="1"/>
  <c r="K907" i="18"/>
  <c r="J907" i="18"/>
  <c r="G907" i="18"/>
  <c r="F907" i="18"/>
  <c r="N906" i="18"/>
  <c r="M906" i="18"/>
  <c r="L906" i="18"/>
  <c r="K906" i="18"/>
  <c r="J906" i="18"/>
  <c r="G906" i="18"/>
  <c r="F906" i="18"/>
  <c r="N905" i="18"/>
  <c r="M905" i="18"/>
  <c r="L905" i="18"/>
  <c r="K905" i="18"/>
  <c r="J905" i="18"/>
  <c r="G905" i="18"/>
  <c r="F905" i="18"/>
  <c r="N904" i="18"/>
  <c r="M904" i="18"/>
  <c r="L904" i="18"/>
  <c r="K904" i="18"/>
  <c r="J904" i="18"/>
  <c r="G904" i="18"/>
  <c r="F904" i="18"/>
  <c r="N903" i="18"/>
  <c r="M903" i="18"/>
  <c r="L903" i="18"/>
  <c r="K903" i="18"/>
  <c r="J903" i="18"/>
  <c r="G903" i="18"/>
  <c r="F903" i="18"/>
  <c r="N902" i="18"/>
  <c r="M902" i="18"/>
  <c r="L902" i="18"/>
  <c r="K902" i="18"/>
  <c r="J902" i="18"/>
  <c r="G902" i="18"/>
  <c r="F902" i="18"/>
  <c r="M901" i="18"/>
  <c r="L901" i="18"/>
  <c r="N901" i="18" s="1"/>
  <c r="K901" i="18"/>
  <c r="J901" i="18"/>
  <c r="G901" i="18"/>
  <c r="F901" i="18"/>
  <c r="M900" i="18"/>
  <c r="L900" i="18"/>
  <c r="N900" i="18" s="1"/>
  <c r="K900" i="18"/>
  <c r="J900" i="18"/>
  <c r="G900" i="18"/>
  <c r="F900" i="18"/>
  <c r="M899" i="18"/>
  <c r="L899" i="18"/>
  <c r="N899" i="18" s="1"/>
  <c r="K899" i="18"/>
  <c r="J899" i="18"/>
  <c r="G899" i="18"/>
  <c r="F899" i="18"/>
  <c r="N898" i="18"/>
  <c r="M898" i="18"/>
  <c r="L898" i="18"/>
  <c r="K898" i="18"/>
  <c r="J898" i="18"/>
  <c r="G898" i="18"/>
  <c r="F898" i="18"/>
  <c r="N897" i="18"/>
  <c r="M897" i="18"/>
  <c r="L897" i="18"/>
  <c r="K897" i="18"/>
  <c r="J897" i="18"/>
  <c r="G897" i="18"/>
  <c r="F897" i="18"/>
  <c r="N896" i="18"/>
  <c r="M896" i="18"/>
  <c r="L896" i="18"/>
  <c r="K896" i="18"/>
  <c r="J896" i="18"/>
  <c r="G896" i="18"/>
  <c r="F896" i="18"/>
  <c r="N895" i="18"/>
  <c r="M895" i="18"/>
  <c r="L895" i="18"/>
  <c r="K895" i="18"/>
  <c r="J895" i="18"/>
  <c r="G895" i="18"/>
  <c r="F895" i="18"/>
  <c r="N894" i="18"/>
  <c r="M894" i="18"/>
  <c r="L894" i="18"/>
  <c r="K894" i="18"/>
  <c r="J894" i="18"/>
  <c r="G894" i="18"/>
  <c r="F894" i="18"/>
  <c r="M893" i="18"/>
  <c r="L893" i="18"/>
  <c r="N893" i="18" s="1"/>
  <c r="K893" i="18"/>
  <c r="J893" i="18"/>
  <c r="G893" i="18"/>
  <c r="F893" i="18"/>
  <c r="M892" i="18"/>
  <c r="L892" i="18"/>
  <c r="N892" i="18" s="1"/>
  <c r="K892" i="18"/>
  <c r="J892" i="18"/>
  <c r="G892" i="18"/>
  <c r="F892" i="18"/>
  <c r="M891" i="18"/>
  <c r="L891" i="18"/>
  <c r="N891" i="18" s="1"/>
  <c r="K891" i="18"/>
  <c r="J891" i="18"/>
  <c r="G891" i="18"/>
  <c r="F891" i="18"/>
  <c r="N890" i="18"/>
  <c r="M890" i="18"/>
  <c r="L890" i="18"/>
  <c r="K890" i="18"/>
  <c r="J890" i="18"/>
  <c r="G890" i="18"/>
  <c r="F890" i="18"/>
  <c r="N889" i="18"/>
  <c r="M889" i="18"/>
  <c r="L889" i="18"/>
  <c r="K889" i="18"/>
  <c r="J889" i="18"/>
  <c r="G889" i="18"/>
  <c r="F889" i="18"/>
  <c r="N888" i="18"/>
  <c r="M888" i="18"/>
  <c r="L888" i="18"/>
  <c r="K888" i="18"/>
  <c r="J888" i="18"/>
  <c r="G888" i="18"/>
  <c r="F888" i="18"/>
  <c r="N887" i="18"/>
  <c r="M887" i="18"/>
  <c r="L887" i="18"/>
  <c r="K887" i="18"/>
  <c r="J887" i="18"/>
  <c r="G887" i="18"/>
  <c r="F887" i="18"/>
  <c r="N886" i="18"/>
  <c r="M886" i="18"/>
  <c r="L886" i="18"/>
  <c r="K886" i="18"/>
  <c r="J886" i="18"/>
  <c r="G886" i="18"/>
  <c r="F886" i="18"/>
  <c r="M885" i="18"/>
  <c r="L885" i="18"/>
  <c r="N885" i="18" s="1"/>
  <c r="K885" i="18"/>
  <c r="J885" i="18"/>
  <c r="G885" i="18"/>
  <c r="F885" i="18"/>
  <c r="M884" i="18"/>
  <c r="L884" i="18"/>
  <c r="N884" i="18" s="1"/>
  <c r="K884" i="18"/>
  <c r="J884" i="18"/>
  <c r="G884" i="18"/>
  <c r="F884" i="18"/>
  <c r="M883" i="18"/>
  <c r="L883" i="18"/>
  <c r="N883" i="18" s="1"/>
  <c r="K883" i="18"/>
  <c r="J883" i="18"/>
  <c r="G883" i="18"/>
  <c r="F883" i="18"/>
  <c r="N882" i="18"/>
  <c r="M882" i="18"/>
  <c r="L882" i="18"/>
  <c r="K882" i="18"/>
  <c r="J882" i="18"/>
  <c r="G882" i="18"/>
  <c r="F882" i="18"/>
  <c r="N881" i="18"/>
  <c r="M881" i="18"/>
  <c r="L881" i="18"/>
  <c r="K881" i="18"/>
  <c r="J881" i="18"/>
  <c r="G881" i="18"/>
  <c r="F881" i="18"/>
  <c r="N880" i="18"/>
  <c r="M880" i="18"/>
  <c r="L880" i="18"/>
  <c r="K880" i="18"/>
  <c r="J880" i="18"/>
  <c r="G880" i="18"/>
  <c r="F880" i="18"/>
  <c r="N879" i="18"/>
  <c r="M879" i="18"/>
  <c r="L879" i="18"/>
  <c r="K879" i="18"/>
  <c r="J879" i="18"/>
  <c r="G879" i="18"/>
  <c r="F879" i="18"/>
  <c r="N878" i="18"/>
  <c r="M878" i="18"/>
  <c r="L878" i="18"/>
  <c r="K878" i="18"/>
  <c r="J878" i="18"/>
  <c r="G878" i="18"/>
  <c r="F878" i="18"/>
  <c r="M877" i="18"/>
  <c r="L877" i="18"/>
  <c r="N877" i="18" s="1"/>
  <c r="K877" i="18"/>
  <c r="J877" i="18"/>
  <c r="G877" i="18"/>
  <c r="F877" i="18"/>
  <c r="M876" i="18"/>
  <c r="L876" i="18"/>
  <c r="N876" i="18" s="1"/>
  <c r="K876" i="18"/>
  <c r="J876" i="18"/>
  <c r="G876" i="18"/>
  <c r="F876" i="18"/>
  <c r="M875" i="18"/>
  <c r="L875" i="18"/>
  <c r="N875" i="18" s="1"/>
  <c r="K875" i="18"/>
  <c r="J875" i="18"/>
  <c r="G875" i="18"/>
  <c r="F875" i="18"/>
  <c r="N874" i="18"/>
  <c r="M874" i="18"/>
  <c r="L874" i="18"/>
  <c r="K874" i="18"/>
  <c r="J874" i="18"/>
  <c r="G874" i="18"/>
  <c r="F874" i="18"/>
  <c r="N873" i="18"/>
  <c r="M873" i="18"/>
  <c r="L873" i="18"/>
  <c r="K873" i="18"/>
  <c r="J873" i="18"/>
  <c r="G873" i="18"/>
  <c r="F873" i="18"/>
  <c r="N872" i="18"/>
  <c r="M872" i="18"/>
  <c r="L872" i="18"/>
  <c r="K872" i="18"/>
  <c r="J872" i="18"/>
  <c r="G872" i="18"/>
  <c r="F872" i="18"/>
  <c r="N871" i="18"/>
  <c r="M871" i="18"/>
  <c r="L871" i="18"/>
  <c r="K871" i="18"/>
  <c r="J871" i="18"/>
  <c r="G871" i="18"/>
  <c r="F871" i="18"/>
  <c r="N870" i="18"/>
  <c r="M870" i="18"/>
  <c r="L870" i="18"/>
  <c r="K870" i="18"/>
  <c r="J870" i="18"/>
  <c r="G870" i="18"/>
  <c r="F870" i="18"/>
  <c r="M869" i="18"/>
  <c r="L869" i="18"/>
  <c r="N869" i="18" s="1"/>
  <c r="K869" i="18"/>
  <c r="J869" i="18"/>
  <c r="G869" i="18"/>
  <c r="F869" i="18"/>
  <c r="M868" i="18"/>
  <c r="L868" i="18"/>
  <c r="N868" i="18" s="1"/>
  <c r="K868" i="18"/>
  <c r="J868" i="18"/>
  <c r="G868" i="18"/>
  <c r="F868" i="18"/>
  <c r="M867" i="18"/>
  <c r="L867" i="18"/>
  <c r="N867" i="18" s="1"/>
  <c r="K867" i="18"/>
  <c r="J867" i="18"/>
  <c r="G867" i="18"/>
  <c r="F867" i="18"/>
  <c r="N866" i="18"/>
  <c r="M866" i="18"/>
  <c r="L866" i="18"/>
  <c r="K866" i="18"/>
  <c r="J866" i="18"/>
  <c r="G866" i="18"/>
  <c r="F866" i="18"/>
  <c r="N865" i="18"/>
  <c r="M865" i="18"/>
  <c r="L865" i="18"/>
  <c r="K865" i="18"/>
  <c r="J865" i="18"/>
  <c r="G865" i="18"/>
  <c r="F865" i="18"/>
  <c r="N864" i="18"/>
  <c r="M864" i="18"/>
  <c r="L864" i="18"/>
  <c r="K864" i="18"/>
  <c r="J864" i="18"/>
  <c r="G864" i="18"/>
  <c r="F864" i="18"/>
  <c r="N863" i="18"/>
  <c r="M863" i="18"/>
  <c r="L863" i="18"/>
  <c r="K863" i="18"/>
  <c r="J863" i="18"/>
  <c r="G863" i="18"/>
  <c r="F863" i="18"/>
  <c r="N862" i="18"/>
  <c r="M862" i="18"/>
  <c r="L862" i="18"/>
  <c r="K862" i="18"/>
  <c r="J862" i="18"/>
  <c r="G862" i="18"/>
  <c r="F862" i="18"/>
  <c r="M861" i="18"/>
  <c r="L861" i="18"/>
  <c r="N861" i="18" s="1"/>
  <c r="K861" i="18"/>
  <c r="J861" i="18"/>
  <c r="G861" i="18"/>
  <c r="F861" i="18"/>
  <c r="M860" i="18"/>
  <c r="L860" i="18"/>
  <c r="N860" i="18" s="1"/>
  <c r="K860" i="18"/>
  <c r="J860" i="18"/>
  <c r="G860" i="18"/>
  <c r="F860" i="18"/>
  <c r="M859" i="18"/>
  <c r="L859" i="18"/>
  <c r="N859" i="18" s="1"/>
  <c r="K859" i="18"/>
  <c r="J859" i="18"/>
  <c r="G859" i="18"/>
  <c r="F859" i="18"/>
  <c r="N858" i="18"/>
  <c r="M858" i="18"/>
  <c r="L858" i="18"/>
  <c r="K858" i="18"/>
  <c r="J858" i="18"/>
  <c r="G858" i="18"/>
  <c r="F858" i="18"/>
  <c r="N857" i="18"/>
  <c r="M857" i="18"/>
  <c r="L857" i="18"/>
  <c r="K857" i="18"/>
  <c r="J857" i="18"/>
  <c r="G857" i="18"/>
  <c r="F857" i="18"/>
  <c r="N856" i="18"/>
  <c r="M856" i="18"/>
  <c r="L856" i="18"/>
  <c r="K856" i="18"/>
  <c r="J856" i="18"/>
  <c r="G856" i="18"/>
  <c r="F856" i="18"/>
  <c r="N855" i="18"/>
  <c r="M855" i="18"/>
  <c r="L855" i="18"/>
  <c r="K855" i="18"/>
  <c r="J855" i="18"/>
  <c r="G855" i="18"/>
  <c r="F855" i="18"/>
  <c r="N854" i="18"/>
  <c r="M854" i="18"/>
  <c r="L854" i="18"/>
  <c r="K854" i="18"/>
  <c r="J854" i="18"/>
  <c r="G854" i="18"/>
  <c r="F854" i="18"/>
  <c r="M853" i="18"/>
  <c r="L853" i="18"/>
  <c r="N853" i="18" s="1"/>
  <c r="K853" i="18"/>
  <c r="J853" i="18"/>
  <c r="G853" i="18"/>
  <c r="F853" i="18"/>
  <c r="M852" i="18"/>
  <c r="L852" i="18"/>
  <c r="N852" i="18" s="1"/>
  <c r="K852" i="18"/>
  <c r="J852" i="18"/>
  <c r="G852" i="18"/>
  <c r="F852" i="18"/>
  <c r="M851" i="18"/>
  <c r="L851" i="18"/>
  <c r="N851" i="18" s="1"/>
  <c r="K851" i="18"/>
  <c r="J851" i="18"/>
  <c r="G851" i="18"/>
  <c r="F851" i="18"/>
  <c r="N850" i="18"/>
  <c r="M850" i="18"/>
  <c r="L850" i="18"/>
  <c r="K850" i="18"/>
  <c r="J850" i="18"/>
  <c r="G850" i="18"/>
  <c r="F850" i="18"/>
  <c r="N849" i="18"/>
  <c r="M849" i="18"/>
  <c r="L849" i="18"/>
  <c r="K849" i="18"/>
  <c r="J849" i="18"/>
  <c r="G849" i="18"/>
  <c r="F849" i="18"/>
  <c r="N848" i="18"/>
  <c r="M848" i="18"/>
  <c r="L848" i="18"/>
  <c r="K848" i="18"/>
  <c r="J848" i="18"/>
  <c r="G848" i="18"/>
  <c r="F848" i="18"/>
  <c r="N847" i="18"/>
  <c r="M847" i="18"/>
  <c r="L847" i="18"/>
  <c r="K847" i="18"/>
  <c r="J847" i="18"/>
  <c r="G847" i="18"/>
  <c r="F847" i="18"/>
  <c r="N846" i="18"/>
  <c r="M846" i="18"/>
  <c r="L846" i="18"/>
  <c r="K846" i="18"/>
  <c r="J846" i="18"/>
  <c r="G846" i="18"/>
  <c r="F846" i="18"/>
  <c r="M845" i="18"/>
  <c r="L845" i="18"/>
  <c r="N845" i="18" s="1"/>
  <c r="K845" i="18"/>
  <c r="J845" i="18"/>
  <c r="G845" i="18"/>
  <c r="F845" i="18"/>
  <c r="M844" i="18"/>
  <c r="L844" i="18"/>
  <c r="N844" i="18" s="1"/>
  <c r="K844" i="18"/>
  <c r="J844" i="18"/>
  <c r="G844" i="18"/>
  <c r="F844" i="18"/>
  <c r="M843" i="18"/>
  <c r="L843" i="18"/>
  <c r="N843" i="18" s="1"/>
  <c r="K843" i="18"/>
  <c r="J843" i="18"/>
  <c r="G843" i="18"/>
  <c r="F843" i="18"/>
  <c r="N842" i="18"/>
  <c r="M842" i="18"/>
  <c r="L842" i="18"/>
  <c r="K842" i="18"/>
  <c r="J842" i="18"/>
  <c r="G842" i="18"/>
  <c r="F842" i="18"/>
  <c r="N841" i="18"/>
  <c r="M841" i="18"/>
  <c r="L841" i="18"/>
  <c r="K841" i="18"/>
  <c r="J841" i="18"/>
  <c r="G841" i="18"/>
  <c r="F841" i="18"/>
  <c r="N840" i="18"/>
  <c r="M840" i="18"/>
  <c r="L840" i="18"/>
  <c r="K840" i="18"/>
  <c r="J840" i="18"/>
  <c r="G840" i="18"/>
  <c r="F840" i="18"/>
  <c r="N839" i="18"/>
  <c r="M839" i="18"/>
  <c r="L839" i="18"/>
  <c r="K839" i="18"/>
  <c r="J839" i="18"/>
  <c r="G839" i="18"/>
  <c r="F839" i="18"/>
  <c r="N838" i="18"/>
  <c r="M838" i="18"/>
  <c r="L838" i="18"/>
  <c r="K838" i="18"/>
  <c r="J838" i="18"/>
  <c r="G838" i="18"/>
  <c r="F838" i="18"/>
  <c r="M837" i="18"/>
  <c r="L837" i="18"/>
  <c r="N837" i="18" s="1"/>
  <c r="K837" i="18"/>
  <c r="J837" i="18"/>
  <c r="G837" i="18"/>
  <c r="F837" i="18"/>
  <c r="M836" i="18"/>
  <c r="L836" i="18"/>
  <c r="N836" i="18" s="1"/>
  <c r="K836" i="18"/>
  <c r="J836" i="18"/>
  <c r="G836" i="18"/>
  <c r="F836" i="18"/>
  <c r="M835" i="18"/>
  <c r="L835" i="18"/>
  <c r="N835" i="18" s="1"/>
  <c r="K835" i="18"/>
  <c r="J835" i="18"/>
  <c r="G835" i="18"/>
  <c r="F835" i="18"/>
  <c r="N834" i="18"/>
  <c r="M834" i="18"/>
  <c r="L834" i="18"/>
  <c r="K834" i="18"/>
  <c r="J834" i="18"/>
  <c r="G834" i="18"/>
  <c r="F834" i="18"/>
  <c r="N833" i="18"/>
  <c r="M833" i="18"/>
  <c r="L833" i="18"/>
  <c r="K833" i="18"/>
  <c r="J833" i="18"/>
  <c r="G833" i="18"/>
  <c r="F833" i="18"/>
  <c r="N832" i="18"/>
  <c r="M832" i="18"/>
  <c r="L832" i="18"/>
  <c r="K832" i="18"/>
  <c r="J832" i="18"/>
  <c r="G832" i="18"/>
  <c r="F832" i="18"/>
  <c r="N831" i="18"/>
  <c r="M831" i="18"/>
  <c r="L831" i="18"/>
  <c r="K831" i="18"/>
  <c r="J831" i="18"/>
  <c r="G831" i="18"/>
  <c r="F831" i="18"/>
  <c r="N830" i="18"/>
  <c r="M830" i="18"/>
  <c r="L830" i="18"/>
  <c r="K830" i="18"/>
  <c r="J830" i="18"/>
  <c r="G830" i="18"/>
  <c r="F830" i="18"/>
  <c r="M829" i="18"/>
  <c r="L829" i="18"/>
  <c r="N829" i="18" s="1"/>
  <c r="K829" i="18"/>
  <c r="J829" i="18"/>
  <c r="G829" i="18"/>
  <c r="F829" i="18"/>
  <c r="M828" i="18"/>
  <c r="L828" i="18"/>
  <c r="N828" i="18" s="1"/>
  <c r="K828" i="18"/>
  <c r="J828" i="18"/>
  <c r="G828" i="18"/>
  <c r="F828" i="18"/>
  <c r="M827" i="18"/>
  <c r="L827" i="18"/>
  <c r="N827" i="18" s="1"/>
  <c r="K827" i="18"/>
  <c r="J827" i="18"/>
  <c r="G827" i="18"/>
  <c r="F827" i="18"/>
  <c r="N826" i="18"/>
  <c r="M826" i="18"/>
  <c r="L826" i="18"/>
  <c r="K826" i="18"/>
  <c r="J826" i="18"/>
  <c r="G826" i="18"/>
  <c r="F826" i="18"/>
  <c r="N825" i="18"/>
  <c r="M825" i="18"/>
  <c r="L825" i="18"/>
  <c r="K825" i="18"/>
  <c r="J825" i="18"/>
  <c r="G825" i="18"/>
  <c r="F825" i="18"/>
  <c r="N824" i="18"/>
  <c r="M824" i="18"/>
  <c r="L824" i="18"/>
  <c r="K824" i="18"/>
  <c r="J824" i="18"/>
  <c r="G824" i="18"/>
  <c r="F824" i="18"/>
  <c r="N823" i="18"/>
  <c r="M823" i="18"/>
  <c r="L823" i="18"/>
  <c r="K823" i="18"/>
  <c r="J823" i="18"/>
  <c r="G823" i="18"/>
  <c r="F823" i="18"/>
  <c r="N822" i="18"/>
  <c r="M822" i="18"/>
  <c r="L822" i="18"/>
  <c r="K822" i="18"/>
  <c r="J822" i="18"/>
  <c r="G822" i="18"/>
  <c r="F822" i="18"/>
  <c r="M821" i="18"/>
  <c r="L821" i="18"/>
  <c r="N821" i="18" s="1"/>
  <c r="K821" i="18"/>
  <c r="J821" i="18"/>
  <c r="G821" i="18"/>
  <c r="F821" i="18"/>
  <c r="M820" i="18"/>
  <c r="L820" i="18"/>
  <c r="N820" i="18" s="1"/>
  <c r="K820" i="18"/>
  <c r="J820" i="18"/>
  <c r="G820" i="18"/>
  <c r="F820" i="18"/>
  <c r="M819" i="18"/>
  <c r="L819" i="18"/>
  <c r="N819" i="18" s="1"/>
  <c r="K819" i="18"/>
  <c r="J819" i="18"/>
  <c r="G819" i="18"/>
  <c r="F819" i="18"/>
  <c r="N818" i="18"/>
  <c r="M818" i="18"/>
  <c r="L818" i="18"/>
  <c r="K818" i="18"/>
  <c r="J818" i="18"/>
  <c r="G818" i="18"/>
  <c r="F818" i="18"/>
  <c r="N817" i="18"/>
  <c r="M817" i="18"/>
  <c r="L817" i="18"/>
  <c r="K817" i="18"/>
  <c r="J817" i="18"/>
  <c r="G817" i="18"/>
  <c r="F817" i="18"/>
  <c r="N816" i="18"/>
  <c r="M816" i="18"/>
  <c r="L816" i="18"/>
  <c r="K816" i="18"/>
  <c r="J816" i="18"/>
  <c r="G816" i="18"/>
  <c r="F816" i="18"/>
  <c r="N815" i="18"/>
  <c r="M815" i="18"/>
  <c r="L815" i="18"/>
  <c r="K815" i="18"/>
  <c r="J815" i="18"/>
  <c r="G815" i="18"/>
  <c r="F815" i="18"/>
  <c r="N814" i="18"/>
  <c r="M814" i="18"/>
  <c r="L814" i="18"/>
  <c r="K814" i="18"/>
  <c r="J814" i="18"/>
  <c r="G814" i="18"/>
  <c r="F814" i="18"/>
  <c r="M813" i="18"/>
  <c r="L813" i="18"/>
  <c r="N813" i="18" s="1"/>
  <c r="K813" i="18"/>
  <c r="J813" i="18"/>
  <c r="G813" i="18"/>
  <c r="F813" i="18"/>
  <c r="M812" i="18"/>
  <c r="L812" i="18"/>
  <c r="N812" i="18" s="1"/>
  <c r="K812" i="18"/>
  <c r="J812" i="18"/>
  <c r="G812" i="18"/>
  <c r="F812" i="18"/>
  <c r="M811" i="18"/>
  <c r="L811" i="18"/>
  <c r="N811" i="18" s="1"/>
  <c r="K811" i="18"/>
  <c r="J811" i="18"/>
  <c r="G811" i="18"/>
  <c r="F811" i="18"/>
  <c r="N810" i="18"/>
  <c r="M810" i="18"/>
  <c r="L810" i="18"/>
  <c r="K810" i="18"/>
  <c r="J810" i="18"/>
  <c r="G810" i="18"/>
  <c r="F810" i="18"/>
  <c r="N809" i="18"/>
  <c r="M809" i="18"/>
  <c r="L809" i="18"/>
  <c r="K809" i="18"/>
  <c r="J809" i="18"/>
  <c r="G809" i="18"/>
  <c r="F809" i="18"/>
  <c r="N808" i="18"/>
  <c r="M808" i="18"/>
  <c r="L808" i="18"/>
  <c r="K808" i="18"/>
  <c r="J808" i="18"/>
  <c r="G808" i="18"/>
  <c r="F808" i="18"/>
  <c r="N807" i="18"/>
  <c r="M807" i="18"/>
  <c r="L807" i="18"/>
  <c r="K807" i="18"/>
  <c r="J807" i="18"/>
  <c r="G807" i="18"/>
  <c r="F807" i="18"/>
  <c r="N806" i="18"/>
  <c r="M806" i="18"/>
  <c r="L806" i="18"/>
  <c r="K806" i="18"/>
  <c r="J806" i="18"/>
  <c r="G806" i="18"/>
  <c r="F806" i="18"/>
  <c r="M805" i="18"/>
  <c r="L805" i="18"/>
  <c r="N805" i="18" s="1"/>
  <c r="K805" i="18"/>
  <c r="J805" i="18"/>
  <c r="G805" i="18"/>
  <c r="F805" i="18"/>
  <c r="M804" i="18"/>
  <c r="L804" i="18"/>
  <c r="N804" i="18" s="1"/>
  <c r="K804" i="18"/>
  <c r="J804" i="18"/>
  <c r="G804" i="18"/>
  <c r="F804" i="18"/>
  <c r="M803" i="18"/>
  <c r="L803" i="18"/>
  <c r="N803" i="18" s="1"/>
  <c r="K803" i="18"/>
  <c r="J803" i="18"/>
  <c r="G803" i="18"/>
  <c r="F803" i="18"/>
  <c r="N802" i="18"/>
  <c r="M802" i="18"/>
  <c r="L802" i="18"/>
  <c r="K802" i="18"/>
  <c r="J802" i="18"/>
  <c r="G802" i="18"/>
  <c r="F802" i="18"/>
  <c r="N801" i="18"/>
  <c r="M801" i="18"/>
  <c r="L801" i="18"/>
  <c r="K801" i="18"/>
  <c r="J801" i="18"/>
  <c r="G801" i="18"/>
  <c r="F801" i="18"/>
  <c r="N800" i="18"/>
  <c r="M800" i="18"/>
  <c r="L800" i="18"/>
  <c r="K800" i="18"/>
  <c r="J800" i="18"/>
  <c r="G800" i="18"/>
  <c r="F800" i="18"/>
  <c r="N799" i="18"/>
  <c r="M799" i="18"/>
  <c r="L799" i="18"/>
  <c r="K799" i="18"/>
  <c r="J799" i="18"/>
  <c r="G799" i="18"/>
  <c r="F799" i="18"/>
  <c r="N798" i="18"/>
  <c r="M798" i="18"/>
  <c r="L798" i="18"/>
  <c r="K798" i="18"/>
  <c r="J798" i="18"/>
  <c r="G798" i="18"/>
  <c r="F798" i="18"/>
  <c r="M797" i="18"/>
  <c r="L797" i="18"/>
  <c r="N797" i="18" s="1"/>
  <c r="K797" i="18"/>
  <c r="J797" i="18"/>
  <c r="G797" i="18"/>
  <c r="F797" i="18"/>
  <c r="M796" i="18"/>
  <c r="L796" i="18"/>
  <c r="N796" i="18" s="1"/>
  <c r="K796" i="18"/>
  <c r="J796" i="18"/>
  <c r="G796" i="18"/>
  <c r="F796" i="18"/>
  <c r="M795" i="18"/>
  <c r="L795" i="18"/>
  <c r="N795" i="18" s="1"/>
  <c r="K795" i="18"/>
  <c r="J795" i="18"/>
  <c r="G795" i="18"/>
  <c r="F795" i="18"/>
  <c r="N794" i="18"/>
  <c r="M794" i="18"/>
  <c r="L794" i="18"/>
  <c r="K794" i="18"/>
  <c r="J794" i="18"/>
  <c r="G794" i="18"/>
  <c r="F794" i="18"/>
  <c r="N793" i="18"/>
  <c r="M793" i="18"/>
  <c r="L793" i="18"/>
  <c r="K793" i="18"/>
  <c r="J793" i="18"/>
  <c r="G793" i="18"/>
  <c r="F793" i="18"/>
  <c r="N792" i="18"/>
  <c r="M792" i="18"/>
  <c r="L792" i="18"/>
  <c r="K792" i="18"/>
  <c r="J792" i="18"/>
  <c r="G792" i="18"/>
  <c r="F792" i="18"/>
  <c r="N791" i="18"/>
  <c r="M791" i="18"/>
  <c r="L791" i="18"/>
  <c r="K791" i="18"/>
  <c r="J791" i="18"/>
  <c r="G791" i="18"/>
  <c r="F791" i="18"/>
  <c r="N790" i="18"/>
  <c r="M790" i="18"/>
  <c r="L790" i="18"/>
  <c r="K790" i="18"/>
  <c r="J790" i="18"/>
  <c r="G790" i="18"/>
  <c r="F790" i="18"/>
  <c r="M789" i="18"/>
  <c r="L789" i="18"/>
  <c r="N789" i="18" s="1"/>
  <c r="K789" i="18"/>
  <c r="J789" i="18"/>
  <c r="G789" i="18"/>
  <c r="F789" i="18"/>
  <c r="M788" i="18"/>
  <c r="L788" i="18"/>
  <c r="N788" i="18" s="1"/>
  <c r="K788" i="18"/>
  <c r="J788" i="18"/>
  <c r="G788" i="18"/>
  <c r="F788" i="18"/>
  <c r="M787" i="18"/>
  <c r="L787" i="18"/>
  <c r="N787" i="18" s="1"/>
  <c r="K787" i="18"/>
  <c r="J787" i="18"/>
  <c r="G787" i="18"/>
  <c r="F787" i="18"/>
  <c r="N786" i="18"/>
  <c r="M786" i="18"/>
  <c r="L786" i="18"/>
  <c r="K786" i="18"/>
  <c r="J786" i="18"/>
  <c r="G786" i="18"/>
  <c r="F786" i="18"/>
  <c r="N785" i="18"/>
  <c r="M785" i="18"/>
  <c r="L785" i="18"/>
  <c r="K785" i="18"/>
  <c r="J785" i="18"/>
  <c r="G785" i="18"/>
  <c r="F785" i="18"/>
  <c r="N784" i="18"/>
  <c r="M784" i="18"/>
  <c r="L784" i="18"/>
  <c r="K784" i="18"/>
  <c r="J784" i="18"/>
  <c r="G784" i="18"/>
  <c r="F784" i="18"/>
  <c r="N783" i="18"/>
  <c r="M783" i="18"/>
  <c r="L783" i="18"/>
  <c r="K783" i="18"/>
  <c r="J783" i="18"/>
  <c r="G783" i="18"/>
  <c r="F783" i="18"/>
  <c r="N782" i="18"/>
  <c r="M782" i="18"/>
  <c r="L782" i="18"/>
  <c r="K782" i="18"/>
  <c r="J782" i="18"/>
  <c r="G782" i="18"/>
  <c r="F782" i="18"/>
  <c r="M781" i="18"/>
  <c r="L781" i="18"/>
  <c r="N781" i="18" s="1"/>
  <c r="K781" i="18"/>
  <c r="J781" i="18"/>
  <c r="G781" i="18"/>
  <c r="F781" i="18"/>
  <c r="M780" i="18"/>
  <c r="L780" i="18"/>
  <c r="N780" i="18" s="1"/>
  <c r="K780" i="18"/>
  <c r="J780" i="18"/>
  <c r="G780" i="18"/>
  <c r="F780" i="18"/>
  <c r="M779" i="18"/>
  <c r="L779" i="18"/>
  <c r="N779" i="18" s="1"/>
  <c r="K779" i="18"/>
  <c r="J779" i="18"/>
  <c r="G779" i="18"/>
  <c r="F779" i="18"/>
  <c r="N778" i="18"/>
  <c r="M778" i="18"/>
  <c r="L778" i="18"/>
  <c r="K778" i="18"/>
  <c r="J778" i="18"/>
  <c r="G778" i="18"/>
  <c r="F778" i="18"/>
  <c r="N777" i="18"/>
  <c r="M777" i="18"/>
  <c r="L777" i="18"/>
  <c r="K777" i="18"/>
  <c r="J777" i="18"/>
  <c r="G777" i="18"/>
  <c r="F777" i="18"/>
  <c r="N776" i="18"/>
  <c r="M776" i="18"/>
  <c r="L776" i="18"/>
  <c r="K776" i="18"/>
  <c r="J776" i="18"/>
  <c r="G776" i="18"/>
  <c r="F776" i="18"/>
  <c r="N775" i="18"/>
  <c r="M775" i="18"/>
  <c r="L775" i="18"/>
  <c r="K775" i="18"/>
  <c r="J775" i="18"/>
  <c r="G775" i="18"/>
  <c r="F775" i="18"/>
  <c r="N774" i="18"/>
  <c r="M774" i="18"/>
  <c r="L774" i="18"/>
  <c r="K774" i="18"/>
  <c r="J774" i="18"/>
  <c r="G774" i="18"/>
  <c r="F774" i="18"/>
  <c r="M773" i="18"/>
  <c r="L773" i="18"/>
  <c r="N773" i="18" s="1"/>
  <c r="K773" i="18"/>
  <c r="J773" i="18"/>
  <c r="G773" i="18"/>
  <c r="F773" i="18"/>
  <c r="M772" i="18"/>
  <c r="L772" i="18"/>
  <c r="N772" i="18" s="1"/>
  <c r="K772" i="18"/>
  <c r="J772" i="18"/>
  <c r="G772" i="18"/>
  <c r="F772" i="18"/>
  <c r="M771" i="18"/>
  <c r="L771" i="18"/>
  <c r="N771" i="18" s="1"/>
  <c r="K771" i="18"/>
  <c r="J771" i="18"/>
  <c r="G771" i="18"/>
  <c r="F771" i="18"/>
  <c r="N770" i="18"/>
  <c r="M770" i="18"/>
  <c r="L770" i="18"/>
  <c r="K770" i="18"/>
  <c r="J770" i="18"/>
  <c r="G770" i="18"/>
  <c r="F770" i="18"/>
  <c r="N769" i="18"/>
  <c r="M769" i="18"/>
  <c r="L769" i="18"/>
  <c r="K769" i="18"/>
  <c r="J769" i="18"/>
  <c r="G769" i="18"/>
  <c r="F769" i="18"/>
  <c r="N768" i="18"/>
  <c r="M768" i="18"/>
  <c r="L768" i="18"/>
  <c r="K768" i="18"/>
  <c r="J768" i="18"/>
  <c r="G768" i="18"/>
  <c r="F768" i="18"/>
  <c r="N767" i="18"/>
  <c r="M767" i="18"/>
  <c r="L767" i="18"/>
  <c r="K767" i="18"/>
  <c r="J767" i="18"/>
  <c r="G767" i="18"/>
  <c r="F767" i="18"/>
  <c r="N766" i="18"/>
  <c r="M766" i="18"/>
  <c r="L766" i="18"/>
  <c r="K766" i="18"/>
  <c r="J766" i="18"/>
  <c r="G766" i="18"/>
  <c r="F766" i="18"/>
  <c r="M765" i="18"/>
  <c r="L765" i="18"/>
  <c r="N765" i="18" s="1"/>
  <c r="K765" i="18"/>
  <c r="J765" i="18"/>
  <c r="G765" i="18"/>
  <c r="F765" i="18"/>
  <c r="M764" i="18"/>
  <c r="L764" i="18"/>
  <c r="N764" i="18" s="1"/>
  <c r="K764" i="18"/>
  <c r="J764" i="18"/>
  <c r="G764" i="18"/>
  <c r="F764" i="18"/>
  <c r="M763" i="18"/>
  <c r="L763" i="18"/>
  <c r="N763" i="18" s="1"/>
  <c r="K763" i="18"/>
  <c r="J763" i="18"/>
  <c r="G763" i="18"/>
  <c r="F763" i="18"/>
  <c r="N762" i="18"/>
  <c r="M762" i="18"/>
  <c r="L762" i="18"/>
  <c r="K762" i="18"/>
  <c r="J762" i="18"/>
  <c r="G762" i="18"/>
  <c r="F762" i="18"/>
  <c r="N761" i="18"/>
  <c r="M761" i="18"/>
  <c r="L761" i="18"/>
  <c r="K761" i="18"/>
  <c r="J761" i="18"/>
  <c r="G761" i="18"/>
  <c r="F761" i="18"/>
  <c r="N760" i="18"/>
  <c r="M760" i="18"/>
  <c r="L760" i="18"/>
  <c r="K760" i="18"/>
  <c r="J760" i="18"/>
  <c r="G760" i="18"/>
  <c r="F760" i="18"/>
  <c r="N759" i="18"/>
  <c r="M759" i="18"/>
  <c r="L759" i="18"/>
  <c r="K759" i="18"/>
  <c r="J759" i="18"/>
  <c r="G759" i="18"/>
  <c r="F759" i="18"/>
  <c r="N758" i="18"/>
  <c r="M758" i="18"/>
  <c r="L758" i="18"/>
  <c r="K758" i="18"/>
  <c r="J758" i="18"/>
  <c r="G758" i="18"/>
  <c r="F758" i="18"/>
  <c r="M757" i="18"/>
  <c r="L757" i="18"/>
  <c r="N757" i="18" s="1"/>
  <c r="K757" i="18"/>
  <c r="J757" i="18"/>
  <c r="G757" i="18"/>
  <c r="F757" i="18"/>
  <c r="M756" i="18"/>
  <c r="L756" i="18"/>
  <c r="N756" i="18" s="1"/>
  <c r="K756" i="18"/>
  <c r="J756" i="18"/>
  <c r="G756" i="18"/>
  <c r="F756" i="18"/>
  <c r="M755" i="18"/>
  <c r="L755" i="18"/>
  <c r="N755" i="18" s="1"/>
  <c r="K755" i="18"/>
  <c r="J755" i="18"/>
  <c r="G755" i="18"/>
  <c r="F755" i="18"/>
  <c r="N754" i="18"/>
  <c r="M754" i="18"/>
  <c r="L754" i="18"/>
  <c r="K754" i="18"/>
  <c r="J754" i="18"/>
  <c r="G754" i="18"/>
  <c r="F754" i="18"/>
  <c r="N753" i="18"/>
  <c r="M753" i="18"/>
  <c r="L753" i="18"/>
  <c r="K753" i="18"/>
  <c r="J753" i="18"/>
  <c r="G753" i="18"/>
  <c r="F753" i="18"/>
  <c r="N752" i="18"/>
  <c r="M752" i="18"/>
  <c r="L752" i="18"/>
  <c r="K752" i="18"/>
  <c r="J752" i="18"/>
  <c r="G752" i="18"/>
  <c r="F752" i="18"/>
  <c r="N751" i="18"/>
  <c r="M751" i="18"/>
  <c r="L751" i="18"/>
  <c r="K751" i="18"/>
  <c r="J751" i="18"/>
  <c r="G751" i="18"/>
  <c r="F751" i="18"/>
  <c r="N750" i="18"/>
  <c r="M750" i="18"/>
  <c r="L750" i="18"/>
  <c r="K750" i="18"/>
  <c r="J750" i="18"/>
  <c r="G750" i="18"/>
  <c r="F750" i="18"/>
  <c r="M749" i="18"/>
  <c r="L749" i="18"/>
  <c r="N749" i="18" s="1"/>
  <c r="K749" i="18"/>
  <c r="J749" i="18"/>
  <c r="G749" i="18"/>
  <c r="F749" i="18"/>
  <c r="M748" i="18"/>
  <c r="L748" i="18"/>
  <c r="N748" i="18" s="1"/>
  <c r="K748" i="18"/>
  <c r="J748" i="18"/>
  <c r="G748" i="18"/>
  <c r="F748" i="18"/>
  <c r="M747" i="18"/>
  <c r="L747" i="18"/>
  <c r="N747" i="18" s="1"/>
  <c r="K747" i="18"/>
  <c r="J747" i="18"/>
  <c r="G747" i="18"/>
  <c r="F747" i="18"/>
  <c r="N746" i="18"/>
  <c r="M746" i="18"/>
  <c r="L746" i="18"/>
  <c r="K746" i="18"/>
  <c r="J746" i="18"/>
  <c r="G746" i="18"/>
  <c r="F746" i="18"/>
  <c r="N745" i="18"/>
  <c r="M745" i="18"/>
  <c r="L745" i="18"/>
  <c r="K745" i="18"/>
  <c r="J745" i="18"/>
  <c r="G745" i="18"/>
  <c r="F745" i="18"/>
  <c r="N744" i="18"/>
  <c r="M744" i="18"/>
  <c r="L744" i="18"/>
  <c r="K744" i="18"/>
  <c r="J744" i="18"/>
  <c r="G744" i="18"/>
  <c r="F744" i="18"/>
  <c r="N743" i="18"/>
  <c r="M743" i="18"/>
  <c r="L743" i="18"/>
  <c r="K743" i="18"/>
  <c r="J743" i="18"/>
  <c r="G743" i="18"/>
  <c r="F743" i="18"/>
  <c r="N742" i="18"/>
  <c r="M742" i="18"/>
  <c r="L742" i="18"/>
  <c r="K742" i="18"/>
  <c r="J742" i="18"/>
  <c r="G742" i="18"/>
  <c r="F742" i="18"/>
  <c r="M741" i="18"/>
  <c r="L741" i="18"/>
  <c r="N741" i="18" s="1"/>
  <c r="K741" i="18"/>
  <c r="J741" i="18"/>
  <c r="G741" i="18"/>
  <c r="F741" i="18"/>
  <c r="M740" i="18"/>
  <c r="L740" i="18"/>
  <c r="N740" i="18" s="1"/>
  <c r="K740" i="18"/>
  <c r="J740" i="18"/>
  <c r="G740" i="18"/>
  <c r="F740" i="18"/>
  <c r="M739" i="18"/>
  <c r="L739" i="18"/>
  <c r="N739" i="18" s="1"/>
  <c r="K739" i="18"/>
  <c r="J739" i="18"/>
  <c r="G739" i="18"/>
  <c r="F739" i="18"/>
  <c r="N738" i="18"/>
  <c r="M738" i="18"/>
  <c r="L738" i="18"/>
  <c r="K738" i="18"/>
  <c r="J738" i="18"/>
  <c r="G738" i="18"/>
  <c r="F738" i="18"/>
  <c r="N737" i="18"/>
  <c r="M737" i="18"/>
  <c r="L737" i="18"/>
  <c r="K737" i="18"/>
  <c r="J737" i="18"/>
  <c r="G737" i="18"/>
  <c r="F737" i="18"/>
  <c r="N736" i="18"/>
  <c r="M736" i="18"/>
  <c r="L736" i="18"/>
  <c r="K736" i="18"/>
  <c r="J736" i="18"/>
  <c r="G736" i="18"/>
  <c r="F736" i="18"/>
  <c r="N735" i="18"/>
  <c r="M735" i="18"/>
  <c r="L735" i="18"/>
  <c r="K735" i="18"/>
  <c r="J735" i="18"/>
  <c r="G735" i="18"/>
  <c r="F735" i="18"/>
  <c r="N734" i="18"/>
  <c r="M734" i="18"/>
  <c r="L734" i="18"/>
  <c r="K734" i="18"/>
  <c r="J734" i="18"/>
  <c r="G734" i="18"/>
  <c r="F734" i="18"/>
  <c r="M733" i="18"/>
  <c r="L733" i="18"/>
  <c r="N733" i="18" s="1"/>
  <c r="K733" i="18"/>
  <c r="J733" i="18"/>
  <c r="G733" i="18"/>
  <c r="F733" i="18"/>
  <c r="M732" i="18"/>
  <c r="L732" i="18"/>
  <c r="N732" i="18" s="1"/>
  <c r="K732" i="18"/>
  <c r="J732" i="18"/>
  <c r="G732" i="18"/>
  <c r="F732" i="18"/>
  <c r="M731" i="18"/>
  <c r="L731" i="18"/>
  <c r="N731" i="18" s="1"/>
  <c r="K731" i="18"/>
  <c r="J731" i="18"/>
  <c r="G731" i="18"/>
  <c r="F731" i="18"/>
  <c r="N730" i="18"/>
  <c r="M730" i="18"/>
  <c r="L730" i="18"/>
  <c r="K730" i="18"/>
  <c r="J730" i="18"/>
  <c r="G730" i="18"/>
  <c r="F730" i="18"/>
  <c r="N729" i="18"/>
  <c r="M729" i="18"/>
  <c r="L729" i="18"/>
  <c r="K729" i="18"/>
  <c r="J729" i="18"/>
  <c r="G729" i="18"/>
  <c r="F729" i="18"/>
  <c r="N728" i="18"/>
  <c r="M728" i="18"/>
  <c r="L728" i="18"/>
  <c r="K728" i="18"/>
  <c r="J728" i="18"/>
  <c r="G728" i="18"/>
  <c r="F728" i="18"/>
  <c r="N727" i="18"/>
  <c r="M727" i="18"/>
  <c r="L727" i="18"/>
  <c r="K727" i="18"/>
  <c r="J727" i="18"/>
  <c r="G727" i="18"/>
  <c r="F727" i="18"/>
  <c r="N726" i="18"/>
  <c r="M726" i="18"/>
  <c r="L726" i="18"/>
  <c r="K726" i="18"/>
  <c r="J726" i="18"/>
  <c r="G726" i="18"/>
  <c r="F726" i="18"/>
  <c r="M725" i="18"/>
  <c r="L725" i="18"/>
  <c r="N725" i="18" s="1"/>
  <c r="K725" i="18"/>
  <c r="J725" i="18"/>
  <c r="G725" i="18"/>
  <c r="F725" i="18"/>
  <c r="M724" i="18"/>
  <c r="L724" i="18"/>
  <c r="N724" i="18" s="1"/>
  <c r="K724" i="18"/>
  <c r="J724" i="18"/>
  <c r="G724" i="18"/>
  <c r="F724" i="18"/>
  <c r="M723" i="18"/>
  <c r="L723" i="18"/>
  <c r="N723" i="18" s="1"/>
  <c r="K723" i="18"/>
  <c r="J723" i="18"/>
  <c r="G723" i="18"/>
  <c r="F723" i="18"/>
  <c r="N722" i="18"/>
  <c r="M722" i="18"/>
  <c r="L722" i="18"/>
  <c r="K722" i="18"/>
  <c r="J722" i="18"/>
  <c r="G722" i="18"/>
  <c r="F722" i="18"/>
  <c r="N721" i="18"/>
  <c r="M721" i="18"/>
  <c r="L721" i="18"/>
  <c r="K721" i="18"/>
  <c r="J721" i="18"/>
  <c r="G721" i="18"/>
  <c r="F721" i="18"/>
  <c r="N720" i="18"/>
  <c r="M720" i="18"/>
  <c r="L720" i="18"/>
  <c r="K720" i="18"/>
  <c r="J720" i="18"/>
  <c r="G720" i="18"/>
  <c r="F720" i="18"/>
  <c r="N719" i="18"/>
  <c r="M719" i="18"/>
  <c r="L719" i="18"/>
  <c r="K719" i="18"/>
  <c r="J719" i="18"/>
  <c r="G719" i="18"/>
  <c r="F719" i="18"/>
  <c r="N718" i="18"/>
  <c r="M718" i="18"/>
  <c r="L718" i="18"/>
  <c r="K718" i="18"/>
  <c r="J718" i="18"/>
  <c r="G718" i="18"/>
  <c r="F718" i="18"/>
  <c r="M717" i="18"/>
  <c r="L717" i="18"/>
  <c r="N717" i="18" s="1"/>
  <c r="K717" i="18"/>
  <c r="J717" i="18"/>
  <c r="G717" i="18"/>
  <c r="F717" i="18"/>
  <c r="M716" i="18"/>
  <c r="L716" i="18"/>
  <c r="N716" i="18" s="1"/>
  <c r="K716" i="18"/>
  <c r="J716" i="18"/>
  <c r="G716" i="18"/>
  <c r="F716" i="18"/>
  <c r="M715" i="18"/>
  <c r="L715" i="18"/>
  <c r="N715" i="18" s="1"/>
  <c r="K715" i="18"/>
  <c r="J715" i="18"/>
  <c r="G715" i="18"/>
  <c r="F715" i="18"/>
  <c r="N714" i="18"/>
  <c r="M714" i="18"/>
  <c r="L714" i="18"/>
  <c r="K714" i="18"/>
  <c r="J714" i="18"/>
  <c r="G714" i="18"/>
  <c r="F714" i="18"/>
  <c r="N713" i="18"/>
  <c r="M713" i="18"/>
  <c r="L713" i="18"/>
  <c r="K713" i="18"/>
  <c r="J713" i="18"/>
  <c r="G713" i="18"/>
  <c r="F713" i="18"/>
  <c r="N712" i="18"/>
  <c r="M712" i="18"/>
  <c r="L712" i="18"/>
  <c r="K712" i="18"/>
  <c r="J712" i="18"/>
  <c r="G712" i="18"/>
  <c r="F712" i="18"/>
  <c r="N711" i="18"/>
  <c r="M711" i="18"/>
  <c r="L711" i="18"/>
  <c r="K711" i="18"/>
  <c r="J711" i="18"/>
  <c r="G711" i="18"/>
  <c r="F711" i="18"/>
  <c r="N710" i="18"/>
  <c r="M710" i="18"/>
  <c r="L710" i="18"/>
  <c r="K710" i="18"/>
  <c r="J710" i="18"/>
  <c r="G710" i="18"/>
  <c r="F710" i="18"/>
  <c r="M709" i="18"/>
  <c r="L709" i="18"/>
  <c r="N709" i="18" s="1"/>
  <c r="K709" i="18"/>
  <c r="J709" i="18"/>
  <c r="G709" i="18"/>
  <c r="F709" i="18"/>
  <c r="M708" i="18"/>
  <c r="L708" i="18"/>
  <c r="N708" i="18" s="1"/>
  <c r="K708" i="18"/>
  <c r="J708" i="18"/>
  <c r="G708" i="18"/>
  <c r="F708" i="18"/>
  <c r="M707" i="18"/>
  <c r="L707" i="18"/>
  <c r="N707" i="18" s="1"/>
  <c r="K707" i="18"/>
  <c r="J707" i="18"/>
  <c r="G707" i="18"/>
  <c r="F707" i="18"/>
  <c r="N706" i="18"/>
  <c r="M706" i="18"/>
  <c r="L706" i="18"/>
  <c r="K706" i="18"/>
  <c r="J706" i="18"/>
  <c r="G706" i="18"/>
  <c r="F706" i="18"/>
  <c r="N705" i="18"/>
  <c r="M705" i="18"/>
  <c r="L705" i="18"/>
  <c r="K705" i="18"/>
  <c r="J705" i="18"/>
  <c r="G705" i="18"/>
  <c r="F705" i="18"/>
  <c r="N704" i="18"/>
  <c r="M704" i="18"/>
  <c r="L704" i="18"/>
  <c r="K704" i="18"/>
  <c r="J704" i="18"/>
  <c r="G704" i="18"/>
  <c r="F704" i="18"/>
  <c r="N703" i="18"/>
  <c r="M703" i="18"/>
  <c r="L703" i="18"/>
  <c r="K703" i="18"/>
  <c r="J703" i="18"/>
  <c r="G703" i="18"/>
  <c r="F703" i="18"/>
  <c r="N702" i="18"/>
  <c r="M702" i="18"/>
  <c r="L702" i="18"/>
  <c r="K702" i="18"/>
  <c r="J702" i="18"/>
  <c r="G702" i="18"/>
  <c r="F702" i="18"/>
  <c r="M701" i="18"/>
  <c r="L701" i="18"/>
  <c r="N701" i="18" s="1"/>
  <c r="K701" i="18"/>
  <c r="J701" i="18"/>
  <c r="G701" i="18"/>
  <c r="F701" i="18"/>
  <c r="M700" i="18"/>
  <c r="L700" i="18"/>
  <c r="N700" i="18" s="1"/>
  <c r="K700" i="18"/>
  <c r="J700" i="18"/>
  <c r="G700" i="18"/>
  <c r="F700" i="18"/>
  <c r="M699" i="18"/>
  <c r="L699" i="18"/>
  <c r="N699" i="18" s="1"/>
  <c r="K699" i="18"/>
  <c r="J699" i="18"/>
  <c r="G699" i="18"/>
  <c r="F699" i="18"/>
  <c r="N698" i="18"/>
  <c r="M698" i="18"/>
  <c r="L698" i="18"/>
  <c r="K698" i="18"/>
  <c r="J698" i="18"/>
  <c r="G698" i="18"/>
  <c r="F698" i="18"/>
  <c r="N697" i="18"/>
  <c r="M697" i="18"/>
  <c r="L697" i="18"/>
  <c r="K697" i="18"/>
  <c r="J697" i="18"/>
  <c r="G697" i="18"/>
  <c r="F697" i="18"/>
  <c r="N696" i="18"/>
  <c r="M696" i="18"/>
  <c r="L696" i="18"/>
  <c r="K696" i="18"/>
  <c r="J696" i="18"/>
  <c r="G696" i="18"/>
  <c r="F696" i="18"/>
  <c r="N695" i="18"/>
  <c r="M695" i="18"/>
  <c r="L695" i="18"/>
  <c r="K695" i="18"/>
  <c r="J695" i="18"/>
  <c r="G695" i="18"/>
  <c r="F695" i="18"/>
  <c r="N694" i="18"/>
  <c r="M694" i="18"/>
  <c r="L694" i="18"/>
  <c r="K694" i="18"/>
  <c r="J694" i="18"/>
  <c r="G694" i="18"/>
  <c r="F694" i="18"/>
  <c r="M693" i="18"/>
  <c r="L693" i="18"/>
  <c r="N693" i="18" s="1"/>
  <c r="K693" i="18"/>
  <c r="J693" i="18"/>
  <c r="G693" i="18"/>
  <c r="F693" i="18"/>
  <c r="M692" i="18"/>
  <c r="L692" i="18"/>
  <c r="N692" i="18" s="1"/>
  <c r="K692" i="18"/>
  <c r="J692" i="18"/>
  <c r="G692" i="18"/>
  <c r="F692" i="18"/>
  <c r="M691" i="18"/>
  <c r="L691" i="18"/>
  <c r="N691" i="18" s="1"/>
  <c r="K691" i="18"/>
  <c r="J691" i="18"/>
  <c r="G691" i="18"/>
  <c r="F691" i="18"/>
  <c r="N690" i="18"/>
  <c r="M690" i="18"/>
  <c r="L690" i="18"/>
  <c r="K690" i="18"/>
  <c r="J690" i="18"/>
  <c r="G690" i="18"/>
  <c r="F690" i="18"/>
  <c r="N689" i="18"/>
  <c r="M689" i="18"/>
  <c r="L689" i="18"/>
  <c r="K689" i="18"/>
  <c r="J689" i="18"/>
  <c r="G689" i="18"/>
  <c r="F689" i="18"/>
  <c r="N688" i="18"/>
  <c r="M688" i="18"/>
  <c r="L688" i="18"/>
  <c r="K688" i="18"/>
  <c r="J688" i="18"/>
  <c r="G688" i="18"/>
  <c r="F688" i="18"/>
  <c r="N687" i="18"/>
  <c r="M687" i="18"/>
  <c r="L687" i="18"/>
  <c r="K687" i="18"/>
  <c r="J687" i="18"/>
  <c r="G687" i="18"/>
  <c r="F687" i="18"/>
  <c r="N686" i="18"/>
  <c r="M686" i="18"/>
  <c r="L686" i="18"/>
  <c r="K686" i="18"/>
  <c r="J686" i="18"/>
  <c r="G686" i="18"/>
  <c r="F686" i="18"/>
  <c r="M685" i="18"/>
  <c r="L685" i="18"/>
  <c r="N685" i="18" s="1"/>
  <c r="K685" i="18"/>
  <c r="J685" i="18"/>
  <c r="G685" i="18"/>
  <c r="F685" i="18"/>
  <c r="M684" i="18"/>
  <c r="L684" i="18"/>
  <c r="N684" i="18" s="1"/>
  <c r="K684" i="18"/>
  <c r="J684" i="18"/>
  <c r="G684" i="18"/>
  <c r="F684" i="18"/>
  <c r="M683" i="18"/>
  <c r="L683" i="18"/>
  <c r="N683" i="18" s="1"/>
  <c r="K683" i="18"/>
  <c r="J683" i="18"/>
  <c r="G683" i="18"/>
  <c r="F683" i="18"/>
  <c r="N682" i="18"/>
  <c r="M682" i="18"/>
  <c r="L682" i="18"/>
  <c r="K682" i="18"/>
  <c r="J682" i="18"/>
  <c r="G682" i="18"/>
  <c r="F682" i="18"/>
  <c r="N681" i="18"/>
  <c r="M681" i="18"/>
  <c r="L681" i="18"/>
  <c r="K681" i="18"/>
  <c r="J681" i="18"/>
  <c r="G681" i="18"/>
  <c r="F681" i="18"/>
  <c r="N680" i="18"/>
  <c r="M680" i="18"/>
  <c r="L680" i="18"/>
  <c r="K680" i="18"/>
  <c r="J680" i="18"/>
  <c r="G680" i="18"/>
  <c r="F680" i="18"/>
  <c r="N679" i="18"/>
  <c r="M679" i="18"/>
  <c r="L679" i="18"/>
  <c r="K679" i="18"/>
  <c r="J679" i="18"/>
  <c r="G679" i="18"/>
  <c r="F679" i="18"/>
  <c r="N678" i="18"/>
  <c r="M678" i="18"/>
  <c r="L678" i="18"/>
  <c r="K678" i="18"/>
  <c r="J678" i="18"/>
  <c r="G678" i="18"/>
  <c r="F678" i="18"/>
  <c r="M677" i="18"/>
  <c r="L677" i="18"/>
  <c r="N677" i="18" s="1"/>
  <c r="K677" i="18"/>
  <c r="J677" i="18"/>
  <c r="G677" i="18"/>
  <c r="F677" i="18"/>
  <c r="M676" i="18"/>
  <c r="L676" i="18"/>
  <c r="N676" i="18" s="1"/>
  <c r="K676" i="18"/>
  <c r="J676" i="18"/>
  <c r="G676" i="18"/>
  <c r="F676" i="18"/>
  <c r="M675" i="18"/>
  <c r="L675" i="18"/>
  <c r="N675" i="18" s="1"/>
  <c r="K675" i="18"/>
  <c r="J675" i="18"/>
  <c r="G675" i="18"/>
  <c r="F675" i="18"/>
  <c r="N674" i="18"/>
  <c r="M674" i="18"/>
  <c r="L674" i="18"/>
  <c r="K674" i="18"/>
  <c r="J674" i="18"/>
  <c r="G674" i="18"/>
  <c r="F674" i="18"/>
  <c r="N673" i="18"/>
  <c r="M673" i="18"/>
  <c r="L673" i="18"/>
  <c r="K673" i="18"/>
  <c r="J673" i="18"/>
  <c r="G673" i="18"/>
  <c r="F673" i="18"/>
  <c r="N672" i="18"/>
  <c r="M672" i="18"/>
  <c r="L672" i="18"/>
  <c r="K672" i="18"/>
  <c r="J672" i="18"/>
  <c r="G672" i="18"/>
  <c r="F672" i="18"/>
  <c r="N671" i="18"/>
  <c r="M671" i="18"/>
  <c r="L671" i="18"/>
  <c r="K671" i="18"/>
  <c r="J671" i="18"/>
  <c r="G671" i="18"/>
  <c r="F671" i="18"/>
  <c r="N670" i="18"/>
  <c r="M670" i="18"/>
  <c r="L670" i="18"/>
  <c r="K670" i="18"/>
  <c r="J670" i="18"/>
  <c r="G670" i="18"/>
  <c r="F670" i="18"/>
  <c r="M669" i="18"/>
  <c r="L669" i="18"/>
  <c r="N669" i="18" s="1"/>
  <c r="K669" i="18"/>
  <c r="J669" i="18"/>
  <c r="G669" i="18"/>
  <c r="F669" i="18"/>
  <c r="M668" i="18"/>
  <c r="L668" i="18"/>
  <c r="N668" i="18" s="1"/>
  <c r="K668" i="18"/>
  <c r="J668" i="18"/>
  <c r="G668" i="18"/>
  <c r="F668" i="18"/>
  <c r="M667" i="18"/>
  <c r="L667" i="18"/>
  <c r="N667" i="18" s="1"/>
  <c r="K667" i="18"/>
  <c r="J667" i="18"/>
  <c r="G667" i="18"/>
  <c r="F667" i="18"/>
  <c r="N666" i="18"/>
  <c r="M666" i="18"/>
  <c r="L666" i="18"/>
  <c r="K666" i="18"/>
  <c r="J666" i="18"/>
  <c r="G666" i="18"/>
  <c r="F666" i="18"/>
  <c r="N665" i="18"/>
  <c r="M665" i="18"/>
  <c r="L665" i="18"/>
  <c r="K665" i="18"/>
  <c r="J665" i="18"/>
  <c r="G665" i="18"/>
  <c r="F665" i="18"/>
  <c r="N664" i="18"/>
  <c r="M664" i="18"/>
  <c r="L664" i="18"/>
  <c r="K664" i="18"/>
  <c r="J664" i="18"/>
  <c r="G664" i="18"/>
  <c r="F664" i="18"/>
  <c r="N663" i="18"/>
  <c r="M663" i="18"/>
  <c r="L663" i="18"/>
  <c r="K663" i="18"/>
  <c r="J663" i="18"/>
  <c r="G663" i="18"/>
  <c r="F663" i="18"/>
  <c r="N662" i="18"/>
  <c r="M662" i="18"/>
  <c r="L662" i="18"/>
  <c r="K662" i="18"/>
  <c r="J662" i="18"/>
  <c r="G662" i="18"/>
  <c r="F662" i="18"/>
  <c r="M661" i="18"/>
  <c r="L661" i="18"/>
  <c r="N661" i="18" s="1"/>
  <c r="K661" i="18"/>
  <c r="J661" i="18"/>
  <c r="G661" i="18"/>
  <c r="F661" i="18"/>
  <c r="M660" i="18"/>
  <c r="L660" i="18"/>
  <c r="N660" i="18" s="1"/>
  <c r="K660" i="18"/>
  <c r="J660" i="18"/>
  <c r="G660" i="18"/>
  <c r="F660" i="18"/>
  <c r="M659" i="18"/>
  <c r="L659" i="18"/>
  <c r="N659" i="18" s="1"/>
  <c r="K659" i="18"/>
  <c r="J659" i="18"/>
  <c r="G659" i="18"/>
  <c r="F659" i="18"/>
  <c r="N658" i="18"/>
  <c r="M658" i="18"/>
  <c r="L658" i="18"/>
  <c r="K658" i="18"/>
  <c r="J658" i="18"/>
  <c r="G658" i="18"/>
  <c r="F658" i="18"/>
  <c r="N657" i="18"/>
  <c r="M657" i="18"/>
  <c r="L657" i="18"/>
  <c r="K657" i="18"/>
  <c r="J657" i="18"/>
  <c r="G657" i="18"/>
  <c r="F657" i="18"/>
  <c r="N656" i="18"/>
  <c r="M656" i="18"/>
  <c r="L656" i="18"/>
  <c r="K656" i="18"/>
  <c r="J656" i="18"/>
  <c r="G656" i="18"/>
  <c r="F656" i="18"/>
  <c r="N655" i="18"/>
  <c r="M655" i="18"/>
  <c r="L655" i="18"/>
  <c r="K655" i="18"/>
  <c r="J655" i="18"/>
  <c r="G655" i="18"/>
  <c r="F655" i="18"/>
  <c r="N654" i="18"/>
  <c r="M654" i="18"/>
  <c r="L654" i="18"/>
  <c r="K654" i="18"/>
  <c r="J654" i="18"/>
  <c r="G654" i="18"/>
  <c r="F654" i="18"/>
  <c r="M653" i="18"/>
  <c r="L653" i="18"/>
  <c r="N653" i="18" s="1"/>
  <c r="K653" i="18"/>
  <c r="J653" i="18"/>
  <c r="G653" i="18"/>
  <c r="F653" i="18"/>
  <c r="M652" i="18"/>
  <c r="L652" i="18"/>
  <c r="N652" i="18" s="1"/>
  <c r="K652" i="18"/>
  <c r="J652" i="18"/>
  <c r="G652" i="18"/>
  <c r="F652" i="18"/>
  <c r="M651" i="18"/>
  <c r="L651" i="18"/>
  <c r="N651" i="18" s="1"/>
  <c r="K651" i="18"/>
  <c r="J651" i="18"/>
  <c r="G651" i="18"/>
  <c r="F651" i="18"/>
  <c r="N650" i="18"/>
  <c r="M650" i="18"/>
  <c r="L650" i="18"/>
  <c r="K650" i="18"/>
  <c r="J650" i="18"/>
  <c r="G650" i="18"/>
  <c r="F650" i="18"/>
  <c r="N649" i="18"/>
  <c r="M649" i="18"/>
  <c r="L649" i="18"/>
  <c r="K649" i="18"/>
  <c r="J649" i="18"/>
  <c r="G649" i="18"/>
  <c r="F649" i="18"/>
  <c r="N648" i="18"/>
  <c r="M648" i="18"/>
  <c r="L648" i="18"/>
  <c r="K648" i="18"/>
  <c r="J648" i="18"/>
  <c r="G648" i="18"/>
  <c r="F648" i="18"/>
  <c r="N647" i="18"/>
  <c r="M647" i="18"/>
  <c r="L647" i="18"/>
  <c r="K647" i="18"/>
  <c r="J647" i="18"/>
  <c r="G647" i="18"/>
  <c r="F647" i="18"/>
  <c r="N646" i="18"/>
  <c r="M646" i="18"/>
  <c r="L646" i="18"/>
  <c r="K646" i="18"/>
  <c r="J646" i="18"/>
  <c r="G646" i="18"/>
  <c r="F646" i="18"/>
  <c r="M645" i="18"/>
  <c r="L645" i="18"/>
  <c r="N645" i="18" s="1"/>
  <c r="K645" i="18"/>
  <c r="J645" i="18"/>
  <c r="G645" i="18"/>
  <c r="F645" i="18"/>
  <c r="M644" i="18"/>
  <c r="L644" i="18"/>
  <c r="N644" i="18" s="1"/>
  <c r="K644" i="18"/>
  <c r="J644" i="18"/>
  <c r="G644" i="18"/>
  <c r="F644" i="18"/>
  <c r="M643" i="18"/>
  <c r="L643" i="18"/>
  <c r="N643" i="18" s="1"/>
  <c r="K643" i="18"/>
  <c r="J643" i="18"/>
  <c r="G643" i="18"/>
  <c r="F643" i="18"/>
  <c r="N642" i="18"/>
  <c r="M642" i="18"/>
  <c r="L642" i="18"/>
  <c r="K642" i="18"/>
  <c r="J642" i="18"/>
  <c r="G642" i="18"/>
  <c r="F642" i="18"/>
  <c r="N641" i="18"/>
  <c r="M641" i="18"/>
  <c r="L641" i="18"/>
  <c r="K641" i="18"/>
  <c r="J641" i="18"/>
  <c r="G641" i="18"/>
  <c r="F641" i="18"/>
  <c r="N640" i="18"/>
  <c r="M640" i="18"/>
  <c r="L640" i="18"/>
  <c r="K640" i="18"/>
  <c r="J640" i="18"/>
  <c r="G640" i="18"/>
  <c r="F640" i="18"/>
  <c r="N639" i="18"/>
  <c r="M639" i="18"/>
  <c r="L639" i="18"/>
  <c r="K639" i="18"/>
  <c r="J639" i="18"/>
  <c r="G639" i="18"/>
  <c r="F639" i="18"/>
  <c r="N638" i="18"/>
  <c r="M638" i="18"/>
  <c r="L638" i="18"/>
  <c r="K638" i="18"/>
  <c r="J638" i="18"/>
  <c r="G638" i="18"/>
  <c r="F638" i="18"/>
  <c r="M637" i="18"/>
  <c r="L637" i="18"/>
  <c r="N637" i="18" s="1"/>
  <c r="K637" i="18"/>
  <c r="J637" i="18"/>
  <c r="G637" i="18"/>
  <c r="F637" i="18"/>
  <c r="M636" i="18"/>
  <c r="L636" i="18"/>
  <c r="N636" i="18" s="1"/>
  <c r="K636" i="18"/>
  <c r="J636" i="18"/>
  <c r="G636" i="18"/>
  <c r="F636" i="18"/>
  <c r="M635" i="18"/>
  <c r="L635" i="18"/>
  <c r="N635" i="18" s="1"/>
  <c r="K635" i="18"/>
  <c r="J635" i="18"/>
  <c r="G635" i="18"/>
  <c r="F635" i="18"/>
  <c r="N634" i="18"/>
  <c r="M634" i="18"/>
  <c r="L634" i="18"/>
  <c r="K634" i="18"/>
  <c r="J634" i="18"/>
  <c r="G634" i="18"/>
  <c r="F634" i="18"/>
  <c r="N633" i="18"/>
  <c r="M633" i="18"/>
  <c r="L633" i="18"/>
  <c r="K633" i="18"/>
  <c r="J633" i="18"/>
  <c r="G633" i="18"/>
  <c r="F633" i="18"/>
  <c r="N632" i="18"/>
  <c r="M632" i="18"/>
  <c r="L632" i="18"/>
  <c r="K632" i="18"/>
  <c r="J632" i="18"/>
  <c r="G632" i="18"/>
  <c r="F632" i="18"/>
  <c r="N631" i="18"/>
  <c r="M631" i="18"/>
  <c r="L631" i="18"/>
  <c r="K631" i="18"/>
  <c r="J631" i="18"/>
  <c r="G631" i="18"/>
  <c r="F631" i="18"/>
  <c r="N630" i="18"/>
  <c r="M630" i="18"/>
  <c r="L630" i="18"/>
  <c r="K630" i="18"/>
  <c r="J630" i="18"/>
  <c r="G630" i="18"/>
  <c r="F630" i="18"/>
  <c r="M629" i="18"/>
  <c r="L629" i="18"/>
  <c r="N629" i="18" s="1"/>
  <c r="K629" i="18"/>
  <c r="J629" i="18"/>
  <c r="G629" i="18"/>
  <c r="F629" i="18"/>
  <c r="M628" i="18"/>
  <c r="L628" i="18"/>
  <c r="N628" i="18" s="1"/>
  <c r="K628" i="18"/>
  <c r="J628" i="18"/>
  <c r="G628" i="18"/>
  <c r="F628" i="18"/>
  <c r="M627" i="18"/>
  <c r="L627" i="18"/>
  <c r="N627" i="18" s="1"/>
  <c r="K627" i="18"/>
  <c r="J627" i="18"/>
  <c r="G627" i="18"/>
  <c r="F627" i="18"/>
  <c r="N626" i="18"/>
  <c r="M626" i="18"/>
  <c r="L626" i="18"/>
  <c r="K626" i="18"/>
  <c r="J626" i="18"/>
  <c r="G626" i="18"/>
  <c r="F626" i="18"/>
  <c r="N625" i="18"/>
  <c r="M625" i="18"/>
  <c r="L625" i="18"/>
  <c r="K625" i="18"/>
  <c r="J625" i="18"/>
  <c r="G625" i="18"/>
  <c r="F625" i="18"/>
  <c r="N624" i="18"/>
  <c r="M624" i="18"/>
  <c r="L624" i="18"/>
  <c r="K624" i="18"/>
  <c r="J624" i="18"/>
  <c r="G624" i="18"/>
  <c r="F624" i="18"/>
  <c r="N623" i="18"/>
  <c r="M623" i="18"/>
  <c r="L623" i="18"/>
  <c r="K623" i="18"/>
  <c r="J623" i="18"/>
  <c r="G623" i="18"/>
  <c r="F623" i="18"/>
  <c r="N622" i="18"/>
  <c r="M622" i="18"/>
  <c r="L622" i="18"/>
  <c r="K622" i="18"/>
  <c r="J622" i="18"/>
  <c r="G622" i="18"/>
  <c r="F622" i="18"/>
  <c r="M621" i="18"/>
  <c r="L621" i="18"/>
  <c r="N621" i="18" s="1"/>
  <c r="K621" i="18"/>
  <c r="J621" i="18"/>
  <c r="G621" i="18"/>
  <c r="F621" i="18"/>
  <c r="M620" i="18"/>
  <c r="L620" i="18"/>
  <c r="N620" i="18" s="1"/>
  <c r="K620" i="18"/>
  <c r="J620" i="18"/>
  <c r="G620" i="18"/>
  <c r="F620" i="18"/>
  <c r="M619" i="18"/>
  <c r="L619" i="18"/>
  <c r="N619" i="18" s="1"/>
  <c r="K619" i="18"/>
  <c r="J619" i="18"/>
  <c r="G619" i="18"/>
  <c r="F619" i="18"/>
  <c r="N618" i="18"/>
  <c r="M618" i="18"/>
  <c r="L618" i="18"/>
  <c r="K618" i="18"/>
  <c r="J618" i="18"/>
  <c r="G618" i="18"/>
  <c r="F618" i="18"/>
  <c r="N617" i="18"/>
  <c r="M617" i="18"/>
  <c r="L617" i="18"/>
  <c r="K617" i="18"/>
  <c r="J617" i="18"/>
  <c r="G617" i="18"/>
  <c r="F617" i="18"/>
  <c r="N616" i="18"/>
  <c r="M616" i="18"/>
  <c r="L616" i="18"/>
  <c r="K616" i="18"/>
  <c r="J616" i="18"/>
  <c r="G616" i="18"/>
  <c r="F616" i="18"/>
  <c r="N615" i="18"/>
  <c r="M615" i="18"/>
  <c r="L615" i="18"/>
  <c r="K615" i="18"/>
  <c r="J615" i="18"/>
  <c r="G615" i="18"/>
  <c r="F615" i="18"/>
  <c r="N614" i="18"/>
  <c r="M614" i="18"/>
  <c r="L614" i="18"/>
  <c r="K614" i="18"/>
  <c r="J614" i="18"/>
  <c r="G614" i="18"/>
  <c r="F614" i="18"/>
  <c r="M613" i="18"/>
  <c r="L613" i="18"/>
  <c r="N613" i="18" s="1"/>
  <c r="K613" i="18"/>
  <c r="J613" i="18"/>
  <c r="G613" i="18"/>
  <c r="F613" i="18"/>
  <c r="M612" i="18"/>
  <c r="L612" i="18"/>
  <c r="N612" i="18" s="1"/>
  <c r="K612" i="18"/>
  <c r="J612" i="18"/>
  <c r="G612" i="18"/>
  <c r="F612" i="18"/>
  <c r="M611" i="18"/>
  <c r="L611" i="18"/>
  <c r="N611" i="18" s="1"/>
  <c r="K611" i="18"/>
  <c r="J611" i="18"/>
  <c r="G611" i="18"/>
  <c r="F611" i="18"/>
  <c r="N610" i="18"/>
  <c r="M610" i="18"/>
  <c r="L610" i="18"/>
  <c r="K610" i="18"/>
  <c r="J610" i="18"/>
  <c r="G610" i="18"/>
  <c r="F610" i="18"/>
  <c r="N609" i="18"/>
  <c r="M609" i="18"/>
  <c r="L609" i="18"/>
  <c r="K609" i="18"/>
  <c r="J609" i="18"/>
  <c r="G609" i="18"/>
  <c r="F609" i="18"/>
  <c r="N608" i="18"/>
  <c r="M608" i="18"/>
  <c r="L608" i="18"/>
  <c r="K608" i="18"/>
  <c r="J608" i="18"/>
  <c r="G608" i="18"/>
  <c r="F608" i="18"/>
  <c r="N607" i="18"/>
  <c r="M607" i="18"/>
  <c r="L607" i="18"/>
  <c r="K607" i="18"/>
  <c r="J607" i="18"/>
  <c r="G607" i="18"/>
  <c r="F607" i="18"/>
  <c r="N606" i="18"/>
  <c r="M606" i="18"/>
  <c r="L606" i="18"/>
  <c r="K606" i="18"/>
  <c r="J606" i="18"/>
  <c r="G606" i="18"/>
  <c r="F606" i="18"/>
  <c r="M605" i="18"/>
  <c r="L605" i="18"/>
  <c r="N605" i="18" s="1"/>
  <c r="K605" i="18"/>
  <c r="J605" i="18"/>
  <c r="G605" i="18"/>
  <c r="F605" i="18"/>
  <c r="M604" i="18"/>
  <c r="L604" i="18"/>
  <c r="N604" i="18" s="1"/>
  <c r="K604" i="18"/>
  <c r="J604" i="18"/>
  <c r="G604" i="18"/>
  <c r="F604" i="18"/>
  <c r="M603" i="18"/>
  <c r="L603" i="18"/>
  <c r="N603" i="18" s="1"/>
  <c r="K603" i="18"/>
  <c r="J603" i="18"/>
  <c r="G603" i="18"/>
  <c r="F603" i="18"/>
  <c r="N602" i="18"/>
  <c r="M602" i="18"/>
  <c r="L602" i="18"/>
  <c r="K602" i="18"/>
  <c r="J602" i="18"/>
  <c r="G602" i="18"/>
  <c r="F602" i="18"/>
  <c r="N601" i="18"/>
  <c r="M601" i="18"/>
  <c r="L601" i="18"/>
  <c r="K601" i="18"/>
  <c r="J601" i="18"/>
  <c r="G601" i="18"/>
  <c r="F601" i="18"/>
  <c r="N600" i="18"/>
  <c r="M600" i="18"/>
  <c r="L600" i="18"/>
  <c r="K600" i="18"/>
  <c r="J600" i="18"/>
  <c r="G600" i="18"/>
  <c r="F600" i="18"/>
  <c r="N599" i="18"/>
  <c r="M599" i="18"/>
  <c r="L599" i="18"/>
  <c r="K599" i="18"/>
  <c r="J599" i="18"/>
  <c r="G599" i="18"/>
  <c r="F599" i="18"/>
  <c r="N598" i="18"/>
  <c r="M598" i="18"/>
  <c r="L598" i="18"/>
  <c r="K598" i="18"/>
  <c r="J598" i="18"/>
  <c r="G598" i="18"/>
  <c r="F598" i="18"/>
  <c r="M597" i="18"/>
  <c r="L597" i="18"/>
  <c r="N597" i="18" s="1"/>
  <c r="K597" i="18"/>
  <c r="J597" i="18"/>
  <c r="G597" i="18"/>
  <c r="F597" i="18"/>
  <c r="M596" i="18"/>
  <c r="L596" i="18"/>
  <c r="N596" i="18" s="1"/>
  <c r="K596" i="18"/>
  <c r="J596" i="18"/>
  <c r="G596" i="18"/>
  <c r="F596" i="18"/>
  <c r="M595" i="18"/>
  <c r="L595" i="18"/>
  <c r="N595" i="18" s="1"/>
  <c r="K595" i="18"/>
  <c r="J595" i="18"/>
  <c r="G595" i="18"/>
  <c r="F595" i="18"/>
  <c r="N594" i="18"/>
  <c r="M594" i="18"/>
  <c r="L594" i="18"/>
  <c r="K594" i="18"/>
  <c r="J594" i="18"/>
  <c r="G594" i="18"/>
  <c r="F594" i="18"/>
  <c r="N593" i="18"/>
  <c r="M593" i="18"/>
  <c r="L593" i="18"/>
  <c r="K593" i="18"/>
  <c r="J593" i="18"/>
  <c r="G593" i="18"/>
  <c r="F593" i="18"/>
  <c r="N592" i="18"/>
  <c r="M592" i="18"/>
  <c r="L592" i="18"/>
  <c r="K592" i="18"/>
  <c r="J592" i="18"/>
  <c r="G592" i="18"/>
  <c r="F592" i="18"/>
  <c r="N591" i="18"/>
  <c r="M591" i="18"/>
  <c r="L591" i="18"/>
  <c r="K591" i="18"/>
  <c r="J591" i="18"/>
  <c r="G591" i="18"/>
  <c r="F591" i="18"/>
  <c r="N590" i="18"/>
  <c r="M590" i="18"/>
  <c r="L590" i="18"/>
  <c r="K590" i="18"/>
  <c r="J590" i="18"/>
  <c r="G590" i="18"/>
  <c r="F590" i="18"/>
  <c r="M589" i="18"/>
  <c r="L589" i="18"/>
  <c r="N589" i="18" s="1"/>
  <c r="K589" i="18"/>
  <c r="J589" i="18"/>
  <c r="G589" i="18"/>
  <c r="F589" i="18"/>
  <c r="M588" i="18"/>
  <c r="L588" i="18"/>
  <c r="N588" i="18" s="1"/>
  <c r="K588" i="18"/>
  <c r="J588" i="18"/>
  <c r="G588" i="18"/>
  <c r="F588" i="18"/>
  <c r="M587" i="18"/>
  <c r="L587" i="18"/>
  <c r="N587" i="18" s="1"/>
  <c r="K587" i="18"/>
  <c r="J587" i="18"/>
  <c r="G587" i="18"/>
  <c r="F587" i="18"/>
  <c r="N586" i="18"/>
  <c r="M586" i="18"/>
  <c r="L586" i="18"/>
  <c r="K586" i="18"/>
  <c r="J586" i="18"/>
  <c r="G586" i="18"/>
  <c r="F586" i="18"/>
  <c r="N585" i="18"/>
  <c r="M585" i="18"/>
  <c r="L585" i="18"/>
  <c r="K585" i="18"/>
  <c r="J585" i="18"/>
  <c r="G585" i="18"/>
  <c r="F585" i="18"/>
  <c r="N584" i="18"/>
  <c r="M584" i="18"/>
  <c r="L584" i="18"/>
  <c r="K584" i="18"/>
  <c r="J584" i="18"/>
  <c r="G584" i="18"/>
  <c r="F584" i="18"/>
  <c r="N583" i="18"/>
  <c r="M583" i="18"/>
  <c r="L583" i="18"/>
  <c r="K583" i="18"/>
  <c r="J583" i="18"/>
  <c r="G583" i="18"/>
  <c r="F583" i="18"/>
  <c r="N582" i="18"/>
  <c r="M582" i="18"/>
  <c r="L582" i="18"/>
  <c r="K582" i="18"/>
  <c r="J582" i="18"/>
  <c r="G582" i="18"/>
  <c r="F582" i="18"/>
  <c r="M581" i="18"/>
  <c r="L581" i="18"/>
  <c r="N581" i="18" s="1"/>
  <c r="K581" i="18"/>
  <c r="J581" i="18"/>
  <c r="G581" i="18"/>
  <c r="F581" i="18"/>
  <c r="M580" i="18"/>
  <c r="L580" i="18"/>
  <c r="N580" i="18" s="1"/>
  <c r="K580" i="18"/>
  <c r="J580" i="18"/>
  <c r="G580" i="18"/>
  <c r="F580" i="18"/>
  <c r="M579" i="18"/>
  <c r="L579" i="18"/>
  <c r="N579" i="18" s="1"/>
  <c r="K579" i="18"/>
  <c r="J579" i="18"/>
  <c r="G579" i="18"/>
  <c r="F579" i="18"/>
  <c r="N578" i="18"/>
  <c r="M578" i="18"/>
  <c r="L578" i="18"/>
  <c r="K578" i="18"/>
  <c r="J578" i="18"/>
  <c r="G578" i="18"/>
  <c r="F578" i="18"/>
  <c r="N577" i="18"/>
  <c r="M577" i="18"/>
  <c r="L577" i="18"/>
  <c r="K577" i="18"/>
  <c r="J577" i="18"/>
  <c r="G577" i="18"/>
  <c r="F577" i="18"/>
  <c r="N576" i="18"/>
  <c r="M576" i="18"/>
  <c r="L576" i="18"/>
  <c r="K576" i="18"/>
  <c r="J576" i="18"/>
  <c r="G576" i="18"/>
  <c r="F576" i="18"/>
  <c r="N575" i="18"/>
  <c r="M575" i="18"/>
  <c r="L575" i="18"/>
  <c r="K575" i="18"/>
  <c r="J575" i="18"/>
  <c r="G575" i="18"/>
  <c r="F575" i="18"/>
  <c r="N574" i="18"/>
  <c r="M574" i="18"/>
  <c r="L574" i="18"/>
  <c r="K574" i="18"/>
  <c r="J574" i="18"/>
  <c r="G574" i="18"/>
  <c r="F574" i="18"/>
  <c r="M573" i="18"/>
  <c r="L573" i="18"/>
  <c r="N573" i="18" s="1"/>
  <c r="K573" i="18"/>
  <c r="J573" i="18"/>
  <c r="G573" i="18"/>
  <c r="F573" i="18"/>
  <c r="M572" i="18"/>
  <c r="L572" i="18"/>
  <c r="N572" i="18" s="1"/>
  <c r="K572" i="18"/>
  <c r="J572" i="18"/>
  <c r="G572" i="18"/>
  <c r="F572" i="18"/>
  <c r="M571" i="18"/>
  <c r="L571" i="18"/>
  <c r="N571" i="18" s="1"/>
  <c r="K571" i="18"/>
  <c r="J571" i="18"/>
  <c r="G571" i="18"/>
  <c r="F571" i="18"/>
  <c r="N570" i="18"/>
  <c r="M570" i="18"/>
  <c r="L570" i="18"/>
  <c r="K570" i="18"/>
  <c r="J570" i="18"/>
  <c r="G570" i="18"/>
  <c r="F570" i="18"/>
  <c r="N569" i="18"/>
  <c r="M569" i="18"/>
  <c r="L569" i="18"/>
  <c r="K569" i="18"/>
  <c r="J569" i="18"/>
  <c r="G569" i="18"/>
  <c r="F569" i="18"/>
  <c r="N568" i="18"/>
  <c r="M568" i="18"/>
  <c r="L568" i="18"/>
  <c r="K568" i="18"/>
  <c r="J568" i="18"/>
  <c r="G568" i="18"/>
  <c r="F568" i="18"/>
  <c r="N567" i="18"/>
  <c r="M567" i="18"/>
  <c r="L567" i="18"/>
  <c r="K567" i="18"/>
  <c r="J567" i="18"/>
  <c r="G567" i="18"/>
  <c r="F567" i="18"/>
  <c r="N566" i="18"/>
  <c r="M566" i="18"/>
  <c r="L566" i="18"/>
  <c r="K566" i="18"/>
  <c r="J566" i="18"/>
  <c r="G566" i="18"/>
  <c r="F566" i="18"/>
  <c r="M565" i="18"/>
  <c r="L565" i="18"/>
  <c r="N565" i="18" s="1"/>
  <c r="K565" i="18"/>
  <c r="J565" i="18"/>
  <c r="G565" i="18"/>
  <c r="F565" i="18"/>
  <c r="M564" i="18"/>
  <c r="L564" i="18"/>
  <c r="N564" i="18" s="1"/>
  <c r="K564" i="18"/>
  <c r="J564" i="18"/>
  <c r="G564" i="18"/>
  <c r="F564" i="18"/>
  <c r="M563" i="18"/>
  <c r="L563" i="18"/>
  <c r="N563" i="18" s="1"/>
  <c r="K563" i="18"/>
  <c r="J563" i="18"/>
  <c r="G563" i="18"/>
  <c r="F563" i="18"/>
  <c r="N562" i="18"/>
  <c r="M562" i="18"/>
  <c r="L562" i="18"/>
  <c r="K562" i="18"/>
  <c r="J562" i="18"/>
  <c r="G562" i="18"/>
  <c r="F562" i="18"/>
  <c r="N561" i="18"/>
  <c r="M561" i="18"/>
  <c r="L561" i="18"/>
  <c r="K561" i="18"/>
  <c r="J561" i="18"/>
  <c r="G561" i="18"/>
  <c r="F561" i="18"/>
  <c r="N560" i="18"/>
  <c r="M560" i="18"/>
  <c r="L560" i="18"/>
  <c r="K560" i="18"/>
  <c r="J560" i="18"/>
  <c r="G560" i="18"/>
  <c r="F560" i="18"/>
  <c r="N559" i="18"/>
  <c r="M559" i="18"/>
  <c r="L559" i="18"/>
  <c r="K559" i="18"/>
  <c r="J559" i="18"/>
  <c r="G559" i="18"/>
  <c r="F559" i="18"/>
  <c r="N558" i="18"/>
  <c r="M558" i="18"/>
  <c r="L558" i="18"/>
  <c r="K558" i="18"/>
  <c r="J558" i="18"/>
  <c r="G558" i="18"/>
  <c r="F558" i="18"/>
  <c r="M557" i="18"/>
  <c r="L557" i="18"/>
  <c r="N557" i="18" s="1"/>
  <c r="K557" i="18"/>
  <c r="J557" i="18"/>
  <c r="G557" i="18"/>
  <c r="F557" i="18"/>
  <c r="M556" i="18"/>
  <c r="L556" i="18"/>
  <c r="N556" i="18" s="1"/>
  <c r="K556" i="18"/>
  <c r="J556" i="18"/>
  <c r="G556" i="18"/>
  <c r="F556" i="18"/>
  <c r="M555" i="18"/>
  <c r="L555" i="18"/>
  <c r="N555" i="18" s="1"/>
  <c r="K555" i="18"/>
  <c r="J555" i="18"/>
  <c r="G555" i="18"/>
  <c r="F555" i="18"/>
  <c r="N554" i="18"/>
  <c r="M554" i="18"/>
  <c r="L554" i="18"/>
  <c r="K554" i="18"/>
  <c r="J554" i="18"/>
  <c r="G554" i="18"/>
  <c r="F554" i="18"/>
  <c r="N553" i="18"/>
  <c r="M553" i="18"/>
  <c r="L553" i="18"/>
  <c r="K553" i="18"/>
  <c r="J553" i="18"/>
  <c r="G553" i="18"/>
  <c r="F553" i="18"/>
  <c r="N552" i="18"/>
  <c r="M552" i="18"/>
  <c r="L552" i="18"/>
  <c r="K552" i="18"/>
  <c r="J552" i="18"/>
  <c r="G552" i="18"/>
  <c r="F552" i="18"/>
  <c r="N551" i="18"/>
  <c r="M551" i="18"/>
  <c r="L551" i="18"/>
  <c r="K551" i="18"/>
  <c r="J551" i="18"/>
  <c r="G551" i="18"/>
  <c r="F551" i="18"/>
  <c r="N550" i="18"/>
  <c r="M550" i="18"/>
  <c r="L550" i="18"/>
  <c r="K550" i="18"/>
  <c r="J550" i="18"/>
  <c r="G550" i="18"/>
  <c r="F550" i="18"/>
  <c r="M549" i="18"/>
  <c r="L549" i="18"/>
  <c r="N549" i="18" s="1"/>
  <c r="K549" i="18"/>
  <c r="J549" i="18"/>
  <c r="G549" i="18"/>
  <c r="F549" i="18"/>
  <c r="M548" i="18"/>
  <c r="L548" i="18"/>
  <c r="N548" i="18" s="1"/>
  <c r="K548" i="18"/>
  <c r="J548" i="18"/>
  <c r="G548" i="18"/>
  <c r="F548" i="18"/>
  <c r="M547" i="18"/>
  <c r="L547" i="18"/>
  <c r="N547" i="18" s="1"/>
  <c r="K547" i="18"/>
  <c r="J547" i="18"/>
  <c r="G547" i="18"/>
  <c r="F547" i="18"/>
  <c r="N546" i="18"/>
  <c r="M546" i="18"/>
  <c r="L546" i="18"/>
  <c r="K546" i="18"/>
  <c r="J546" i="18"/>
  <c r="G546" i="18"/>
  <c r="F546" i="18"/>
  <c r="N545" i="18"/>
  <c r="M545" i="18"/>
  <c r="L545" i="18"/>
  <c r="K545" i="18"/>
  <c r="J545" i="18"/>
  <c r="G545" i="18"/>
  <c r="F545" i="18"/>
  <c r="N544" i="18"/>
  <c r="M544" i="18"/>
  <c r="L544" i="18"/>
  <c r="K544" i="18"/>
  <c r="J544" i="18"/>
  <c r="G544" i="18"/>
  <c r="F544" i="18"/>
  <c r="N543" i="18"/>
  <c r="M543" i="18"/>
  <c r="L543" i="18"/>
  <c r="K543" i="18"/>
  <c r="J543" i="18"/>
  <c r="G543" i="18"/>
  <c r="F543" i="18"/>
  <c r="N542" i="18"/>
  <c r="M542" i="18"/>
  <c r="L542" i="18"/>
  <c r="K542" i="18"/>
  <c r="J542" i="18"/>
  <c r="G542" i="18"/>
  <c r="F542" i="18"/>
  <c r="M541" i="18"/>
  <c r="L541" i="18"/>
  <c r="N541" i="18" s="1"/>
  <c r="K541" i="18"/>
  <c r="J541" i="18"/>
  <c r="G541" i="18"/>
  <c r="F541" i="18"/>
  <c r="M540" i="18"/>
  <c r="L540" i="18"/>
  <c r="N540" i="18" s="1"/>
  <c r="K540" i="18"/>
  <c r="J540" i="18"/>
  <c r="G540" i="18"/>
  <c r="F540" i="18"/>
  <c r="M539" i="18"/>
  <c r="L539" i="18"/>
  <c r="N539" i="18" s="1"/>
  <c r="K539" i="18"/>
  <c r="J539" i="18"/>
  <c r="G539" i="18"/>
  <c r="F539" i="18"/>
  <c r="N538" i="18"/>
  <c r="M538" i="18"/>
  <c r="L538" i="18"/>
  <c r="K538" i="18"/>
  <c r="J538" i="18"/>
  <c r="G538" i="18"/>
  <c r="F538" i="18"/>
  <c r="N537" i="18"/>
  <c r="M537" i="18"/>
  <c r="L537" i="18"/>
  <c r="K537" i="18"/>
  <c r="J537" i="18"/>
  <c r="G537" i="18"/>
  <c r="F537" i="18"/>
  <c r="N536" i="18"/>
  <c r="M536" i="18"/>
  <c r="L536" i="18"/>
  <c r="K536" i="18"/>
  <c r="J536" i="18"/>
  <c r="G536" i="18"/>
  <c r="F536" i="18"/>
  <c r="N535" i="18"/>
  <c r="M535" i="18"/>
  <c r="L535" i="18"/>
  <c r="K535" i="18"/>
  <c r="J535" i="18"/>
  <c r="G535" i="18"/>
  <c r="F535" i="18"/>
  <c r="N534" i="18"/>
  <c r="M534" i="18"/>
  <c r="L534" i="18"/>
  <c r="K534" i="18"/>
  <c r="J534" i="18"/>
  <c r="G534" i="18"/>
  <c r="F534" i="18"/>
  <c r="M533" i="18"/>
  <c r="L533" i="18"/>
  <c r="N533" i="18" s="1"/>
  <c r="K533" i="18"/>
  <c r="J533" i="18"/>
  <c r="G533" i="18"/>
  <c r="F533" i="18"/>
  <c r="M532" i="18"/>
  <c r="L532" i="18"/>
  <c r="N532" i="18" s="1"/>
  <c r="K532" i="18"/>
  <c r="J532" i="18"/>
  <c r="G532" i="18"/>
  <c r="F532" i="18"/>
  <c r="M531" i="18"/>
  <c r="L531" i="18"/>
  <c r="N531" i="18" s="1"/>
  <c r="K531" i="18"/>
  <c r="J531" i="18"/>
  <c r="G531" i="18"/>
  <c r="F531" i="18"/>
  <c r="N530" i="18"/>
  <c r="M530" i="18"/>
  <c r="L530" i="18"/>
  <c r="K530" i="18"/>
  <c r="J530" i="18"/>
  <c r="G530" i="18"/>
  <c r="F530" i="18"/>
  <c r="N529" i="18"/>
  <c r="M529" i="18"/>
  <c r="L529" i="18"/>
  <c r="K529" i="18"/>
  <c r="J529" i="18"/>
  <c r="G529" i="18"/>
  <c r="F529" i="18"/>
  <c r="N528" i="18"/>
  <c r="M528" i="18"/>
  <c r="L528" i="18"/>
  <c r="K528" i="18"/>
  <c r="J528" i="18"/>
  <c r="G528" i="18"/>
  <c r="F528" i="18"/>
  <c r="N527" i="18"/>
  <c r="M527" i="18"/>
  <c r="L527" i="18"/>
  <c r="K527" i="18"/>
  <c r="J527" i="18"/>
  <c r="G527" i="18"/>
  <c r="F527" i="18"/>
  <c r="N526" i="18"/>
  <c r="M526" i="18"/>
  <c r="L526" i="18"/>
  <c r="K526" i="18"/>
  <c r="J526" i="18"/>
  <c r="G526" i="18"/>
  <c r="F526" i="18"/>
  <c r="M525" i="18"/>
  <c r="L525" i="18"/>
  <c r="N525" i="18" s="1"/>
  <c r="K525" i="18"/>
  <c r="J525" i="18"/>
  <c r="G525" i="18"/>
  <c r="F525" i="18"/>
  <c r="M524" i="18"/>
  <c r="L524" i="18"/>
  <c r="N524" i="18" s="1"/>
  <c r="K524" i="18"/>
  <c r="J524" i="18"/>
  <c r="G524" i="18"/>
  <c r="F524" i="18"/>
  <c r="M523" i="18"/>
  <c r="L523" i="18"/>
  <c r="N523" i="18" s="1"/>
  <c r="K523" i="18"/>
  <c r="J523" i="18"/>
  <c r="G523" i="18"/>
  <c r="F523" i="18"/>
  <c r="N522" i="18"/>
  <c r="M522" i="18"/>
  <c r="L522" i="18"/>
  <c r="K522" i="18"/>
  <c r="J522" i="18"/>
  <c r="G522" i="18"/>
  <c r="F522" i="18"/>
  <c r="N521" i="18"/>
  <c r="M521" i="18"/>
  <c r="L521" i="18"/>
  <c r="K521" i="18"/>
  <c r="J521" i="18"/>
  <c r="G521" i="18"/>
  <c r="F521" i="18"/>
  <c r="N520" i="18"/>
  <c r="M520" i="18"/>
  <c r="L520" i="18"/>
  <c r="K520" i="18"/>
  <c r="J520" i="18"/>
  <c r="G520" i="18"/>
  <c r="F520" i="18"/>
  <c r="N519" i="18"/>
  <c r="M519" i="18"/>
  <c r="L519" i="18"/>
  <c r="K519" i="18"/>
  <c r="J519" i="18"/>
  <c r="G519" i="18"/>
  <c r="F519" i="18"/>
  <c r="N518" i="18"/>
  <c r="M518" i="18"/>
  <c r="L518" i="18"/>
  <c r="K518" i="18"/>
  <c r="J518" i="18"/>
  <c r="G518" i="18"/>
  <c r="F518" i="18"/>
  <c r="M517" i="18"/>
  <c r="L517" i="18"/>
  <c r="N517" i="18" s="1"/>
  <c r="K517" i="18"/>
  <c r="J517" i="18"/>
  <c r="G517" i="18"/>
  <c r="F517" i="18"/>
  <c r="M516" i="18"/>
  <c r="L516" i="18"/>
  <c r="N516" i="18" s="1"/>
  <c r="K516" i="18"/>
  <c r="J516" i="18"/>
  <c r="G516" i="18"/>
  <c r="F516" i="18"/>
  <c r="M515" i="18"/>
  <c r="L515" i="18"/>
  <c r="N515" i="18" s="1"/>
  <c r="K515" i="18"/>
  <c r="J515" i="18"/>
  <c r="G515" i="18"/>
  <c r="F515" i="18"/>
  <c r="N514" i="18"/>
  <c r="M514" i="18"/>
  <c r="L514" i="18"/>
  <c r="K514" i="18"/>
  <c r="J514" i="18"/>
  <c r="G514" i="18"/>
  <c r="F514" i="18"/>
  <c r="N513" i="18"/>
  <c r="M513" i="18"/>
  <c r="L513" i="18"/>
  <c r="K513" i="18"/>
  <c r="J513" i="18"/>
  <c r="G513" i="18"/>
  <c r="F513" i="18"/>
  <c r="N512" i="18"/>
  <c r="M512" i="18"/>
  <c r="L512" i="18"/>
  <c r="K512" i="18"/>
  <c r="J512" i="18"/>
  <c r="G512" i="18"/>
  <c r="F512" i="18"/>
  <c r="N511" i="18"/>
  <c r="M511" i="18"/>
  <c r="L511" i="18"/>
  <c r="K511" i="18"/>
  <c r="J511" i="18"/>
  <c r="G511" i="18"/>
  <c r="F511" i="18"/>
  <c r="N510" i="18"/>
  <c r="M510" i="18"/>
  <c r="L510" i="18"/>
  <c r="K510" i="18"/>
  <c r="J510" i="18"/>
  <c r="G510" i="18"/>
  <c r="F510" i="18"/>
  <c r="M509" i="18"/>
  <c r="L509" i="18"/>
  <c r="N509" i="18" s="1"/>
  <c r="K509" i="18"/>
  <c r="J509" i="18"/>
  <c r="G509" i="18"/>
  <c r="F509" i="18"/>
  <c r="M508" i="18"/>
  <c r="L508" i="18"/>
  <c r="N508" i="18" s="1"/>
  <c r="K508" i="18"/>
  <c r="J508" i="18"/>
  <c r="G508" i="18"/>
  <c r="F508" i="18"/>
  <c r="M507" i="18"/>
  <c r="L507" i="18"/>
  <c r="N507" i="18" s="1"/>
  <c r="K507" i="18"/>
  <c r="J507" i="18"/>
  <c r="G507" i="18"/>
  <c r="F507" i="18"/>
  <c r="N506" i="18"/>
  <c r="M506" i="18"/>
  <c r="L506" i="18"/>
  <c r="K506" i="18"/>
  <c r="J506" i="18"/>
  <c r="G506" i="18"/>
  <c r="F506" i="18"/>
  <c r="N505" i="18"/>
  <c r="M505" i="18"/>
  <c r="L505" i="18"/>
  <c r="K505" i="18"/>
  <c r="J505" i="18"/>
  <c r="G505" i="18"/>
  <c r="F505" i="18"/>
  <c r="N504" i="18"/>
  <c r="M504" i="18"/>
  <c r="L504" i="18"/>
  <c r="K504" i="18"/>
  <c r="J504" i="18"/>
  <c r="G504" i="18"/>
  <c r="F504" i="18"/>
  <c r="N503" i="18"/>
  <c r="M503" i="18"/>
  <c r="L503" i="18"/>
  <c r="K503" i="18"/>
  <c r="J503" i="18"/>
  <c r="G503" i="18"/>
  <c r="F503" i="18"/>
  <c r="N502" i="18"/>
  <c r="M502" i="18"/>
  <c r="L502" i="18"/>
  <c r="K502" i="18"/>
  <c r="J502" i="18"/>
  <c r="G502" i="18"/>
  <c r="F502" i="18"/>
  <c r="M501" i="18"/>
  <c r="L501" i="18"/>
  <c r="N501" i="18" s="1"/>
  <c r="K501" i="18"/>
  <c r="J501" i="18"/>
  <c r="G501" i="18"/>
  <c r="F501" i="18"/>
  <c r="M500" i="18"/>
  <c r="L500" i="18"/>
  <c r="N500" i="18" s="1"/>
  <c r="K500" i="18"/>
  <c r="J500" i="18"/>
  <c r="G500" i="18"/>
  <c r="F500" i="18"/>
  <c r="M499" i="18"/>
  <c r="L499" i="18"/>
  <c r="N499" i="18" s="1"/>
  <c r="K499" i="18"/>
  <c r="J499" i="18"/>
  <c r="G499" i="18"/>
  <c r="F499" i="18"/>
  <c r="N498" i="18"/>
  <c r="M498" i="18"/>
  <c r="L498" i="18"/>
  <c r="K498" i="18"/>
  <c r="J498" i="18"/>
  <c r="G498" i="18"/>
  <c r="F498" i="18"/>
  <c r="N497" i="18"/>
  <c r="M497" i="18"/>
  <c r="L497" i="18"/>
  <c r="K497" i="18"/>
  <c r="J497" i="18"/>
  <c r="G497" i="18"/>
  <c r="F497" i="18"/>
  <c r="N496" i="18"/>
  <c r="M496" i="18"/>
  <c r="L496" i="18"/>
  <c r="K496" i="18"/>
  <c r="J496" i="18"/>
  <c r="G496" i="18"/>
  <c r="F496" i="18"/>
  <c r="N495" i="18"/>
  <c r="M495" i="18"/>
  <c r="L495" i="18"/>
  <c r="K495" i="18"/>
  <c r="J495" i="18"/>
  <c r="G495" i="18"/>
  <c r="F495" i="18"/>
  <c r="N494" i="18"/>
  <c r="M494" i="18"/>
  <c r="L494" i="18"/>
  <c r="K494" i="18"/>
  <c r="J494" i="18"/>
  <c r="G494" i="18"/>
  <c r="F494" i="18"/>
  <c r="M493" i="18"/>
  <c r="L493" i="18"/>
  <c r="N493" i="18" s="1"/>
  <c r="K493" i="18"/>
  <c r="J493" i="18"/>
  <c r="G493" i="18"/>
  <c r="F493" i="18"/>
  <c r="M492" i="18"/>
  <c r="L492" i="18"/>
  <c r="N492" i="18" s="1"/>
  <c r="K492" i="18"/>
  <c r="J492" i="18"/>
  <c r="G492" i="18"/>
  <c r="F492" i="18"/>
  <c r="M491" i="18"/>
  <c r="L491" i="18"/>
  <c r="N491" i="18" s="1"/>
  <c r="K491" i="18"/>
  <c r="J491" i="18"/>
  <c r="G491" i="18"/>
  <c r="F491" i="18"/>
  <c r="N490" i="18"/>
  <c r="M490" i="18"/>
  <c r="L490" i="18"/>
  <c r="K490" i="18"/>
  <c r="J490" i="18"/>
  <c r="G490" i="18"/>
  <c r="F490" i="18"/>
  <c r="N489" i="18"/>
  <c r="M489" i="18"/>
  <c r="L489" i="18"/>
  <c r="K489" i="18"/>
  <c r="J489" i="18"/>
  <c r="G489" i="18"/>
  <c r="F489" i="18"/>
  <c r="N488" i="18"/>
  <c r="M488" i="18"/>
  <c r="L488" i="18"/>
  <c r="K488" i="18"/>
  <c r="J488" i="18"/>
  <c r="G488" i="18"/>
  <c r="F488" i="18"/>
  <c r="N487" i="18"/>
  <c r="M487" i="18"/>
  <c r="L487" i="18"/>
  <c r="K487" i="18"/>
  <c r="J487" i="18"/>
  <c r="G487" i="18"/>
  <c r="F487" i="18"/>
  <c r="N486" i="18"/>
  <c r="M486" i="18"/>
  <c r="L486" i="18"/>
  <c r="K486" i="18"/>
  <c r="J486" i="18"/>
  <c r="G486" i="18"/>
  <c r="F486" i="18"/>
  <c r="M485" i="18"/>
  <c r="L485" i="18"/>
  <c r="N485" i="18" s="1"/>
  <c r="K485" i="18"/>
  <c r="J485" i="18"/>
  <c r="G485" i="18"/>
  <c r="F485" i="18"/>
  <c r="M484" i="18"/>
  <c r="L484" i="18"/>
  <c r="N484" i="18" s="1"/>
  <c r="K484" i="18"/>
  <c r="J484" i="18"/>
  <c r="G484" i="18"/>
  <c r="F484" i="18"/>
  <c r="M483" i="18"/>
  <c r="L483" i="18"/>
  <c r="N483" i="18" s="1"/>
  <c r="K483" i="18"/>
  <c r="J483" i="18"/>
  <c r="G483" i="18"/>
  <c r="F483" i="18"/>
  <c r="N482" i="18"/>
  <c r="M482" i="18"/>
  <c r="L482" i="18"/>
  <c r="K482" i="18"/>
  <c r="J482" i="18"/>
  <c r="G482" i="18"/>
  <c r="F482" i="18"/>
  <c r="N481" i="18"/>
  <c r="M481" i="18"/>
  <c r="L481" i="18"/>
  <c r="K481" i="18"/>
  <c r="J481" i="18"/>
  <c r="G481" i="18"/>
  <c r="F481" i="18"/>
  <c r="N480" i="18"/>
  <c r="M480" i="18"/>
  <c r="L480" i="18"/>
  <c r="K480" i="18"/>
  <c r="J480" i="18"/>
  <c r="G480" i="18"/>
  <c r="F480" i="18"/>
  <c r="N479" i="18"/>
  <c r="M479" i="18"/>
  <c r="L479" i="18"/>
  <c r="K479" i="18"/>
  <c r="J479" i="18"/>
  <c r="G479" i="18"/>
  <c r="F479" i="18"/>
  <c r="N478" i="18"/>
  <c r="M478" i="18"/>
  <c r="L478" i="18"/>
  <c r="K478" i="18"/>
  <c r="J478" i="18"/>
  <c r="G478" i="18"/>
  <c r="F478" i="18"/>
  <c r="M477" i="18"/>
  <c r="L477" i="18"/>
  <c r="N477" i="18" s="1"/>
  <c r="K477" i="18"/>
  <c r="J477" i="18"/>
  <c r="G477" i="18"/>
  <c r="F477" i="18"/>
  <c r="M476" i="18"/>
  <c r="L476" i="18"/>
  <c r="N476" i="18" s="1"/>
  <c r="K476" i="18"/>
  <c r="J476" i="18"/>
  <c r="G476" i="18"/>
  <c r="F476" i="18"/>
  <c r="M475" i="18"/>
  <c r="L475" i="18"/>
  <c r="N475" i="18" s="1"/>
  <c r="K475" i="18"/>
  <c r="J475" i="18"/>
  <c r="G475" i="18"/>
  <c r="F475" i="18"/>
  <c r="N474" i="18"/>
  <c r="M474" i="18"/>
  <c r="L474" i="18"/>
  <c r="K474" i="18"/>
  <c r="J474" i="18"/>
  <c r="G474" i="18"/>
  <c r="F474" i="18"/>
  <c r="N473" i="18"/>
  <c r="M473" i="18"/>
  <c r="L473" i="18"/>
  <c r="K473" i="18"/>
  <c r="J473" i="18"/>
  <c r="G473" i="18"/>
  <c r="F473" i="18"/>
  <c r="N472" i="18"/>
  <c r="M472" i="18"/>
  <c r="L472" i="18"/>
  <c r="K472" i="18"/>
  <c r="J472" i="18"/>
  <c r="G472" i="18"/>
  <c r="F472" i="18"/>
  <c r="N471" i="18"/>
  <c r="M471" i="18"/>
  <c r="L471" i="18"/>
  <c r="K471" i="18"/>
  <c r="J471" i="18"/>
  <c r="G471" i="18"/>
  <c r="F471" i="18"/>
  <c r="N470" i="18"/>
  <c r="M470" i="18"/>
  <c r="L470" i="18"/>
  <c r="K470" i="18"/>
  <c r="J470" i="18"/>
  <c r="G470" i="18"/>
  <c r="F470" i="18"/>
  <c r="M469" i="18"/>
  <c r="L469" i="18"/>
  <c r="N469" i="18" s="1"/>
  <c r="K469" i="18"/>
  <c r="J469" i="18"/>
  <c r="G469" i="18"/>
  <c r="F469" i="18"/>
  <c r="M468" i="18"/>
  <c r="L468" i="18"/>
  <c r="N468" i="18" s="1"/>
  <c r="K468" i="18"/>
  <c r="J468" i="18"/>
  <c r="G468" i="18"/>
  <c r="F468" i="18"/>
  <c r="M467" i="18"/>
  <c r="L467" i="18"/>
  <c r="N467" i="18" s="1"/>
  <c r="K467" i="18"/>
  <c r="J467" i="18"/>
  <c r="G467" i="18"/>
  <c r="F467" i="18"/>
  <c r="N466" i="18"/>
  <c r="M466" i="18"/>
  <c r="L466" i="18"/>
  <c r="K466" i="18"/>
  <c r="J466" i="18"/>
  <c r="G466" i="18"/>
  <c r="F466" i="18"/>
  <c r="N465" i="18"/>
  <c r="M465" i="18"/>
  <c r="L465" i="18"/>
  <c r="K465" i="18"/>
  <c r="J465" i="18"/>
  <c r="G465" i="18"/>
  <c r="F465" i="18"/>
  <c r="N464" i="18"/>
  <c r="M464" i="18"/>
  <c r="L464" i="18"/>
  <c r="K464" i="18"/>
  <c r="J464" i="18"/>
  <c r="G464" i="18"/>
  <c r="F464" i="18"/>
  <c r="N463" i="18"/>
  <c r="M463" i="18"/>
  <c r="L463" i="18"/>
  <c r="K463" i="18"/>
  <c r="J463" i="18"/>
  <c r="G463" i="18"/>
  <c r="F463" i="18"/>
  <c r="N462" i="18"/>
  <c r="M462" i="18"/>
  <c r="L462" i="18"/>
  <c r="K462" i="18"/>
  <c r="J462" i="18"/>
  <c r="G462" i="18"/>
  <c r="F462" i="18"/>
  <c r="M461" i="18"/>
  <c r="L461" i="18"/>
  <c r="N461" i="18" s="1"/>
  <c r="K461" i="18"/>
  <c r="J461" i="18"/>
  <c r="G461" i="18"/>
  <c r="F461" i="18"/>
  <c r="M460" i="18"/>
  <c r="L460" i="18"/>
  <c r="N460" i="18" s="1"/>
  <c r="K460" i="18"/>
  <c r="J460" i="18"/>
  <c r="G460" i="18"/>
  <c r="F460" i="18"/>
  <c r="M459" i="18"/>
  <c r="L459" i="18"/>
  <c r="N459" i="18" s="1"/>
  <c r="K459" i="18"/>
  <c r="J459" i="18"/>
  <c r="G459" i="18"/>
  <c r="F459" i="18"/>
  <c r="N458" i="18"/>
  <c r="M458" i="18"/>
  <c r="L458" i="18"/>
  <c r="K458" i="18"/>
  <c r="J458" i="18"/>
  <c r="G458" i="18"/>
  <c r="F458" i="18"/>
  <c r="N457" i="18"/>
  <c r="M457" i="18"/>
  <c r="L457" i="18"/>
  <c r="K457" i="18"/>
  <c r="J457" i="18"/>
  <c r="G457" i="18"/>
  <c r="F457" i="18"/>
  <c r="N456" i="18"/>
  <c r="M456" i="18"/>
  <c r="L456" i="18"/>
  <c r="K456" i="18"/>
  <c r="J456" i="18"/>
  <c r="G456" i="18"/>
  <c r="F456" i="18"/>
  <c r="N455" i="18"/>
  <c r="M455" i="18"/>
  <c r="L455" i="18"/>
  <c r="K455" i="18"/>
  <c r="J455" i="18"/>
  <c r="G455" i="18"/>
  <c r="F455" i="18"/>
  <c r="N454" i="18"/>
  <c r="M454" i="18"/>
  <c r="L454" i="18"/>
  <c r="K454" i="18"/>
  <c r="J454" i="18"/>
  <c r="G454" i="18"/>
  <c r="F454" i="18"/>
  <c r="M453" i="18"/>
  <c r="L453" i="18"/>
  <c r="N453" i="18" s="1"/>
  <c r="K453" i="18"/>
  <c r="J453" i="18"/>
  <c r="G453" i="18"/>
  <c r="F453" i="18"/>
  <c r="M452" i="18"/>
  <c r="L452" i="18"/>
  <c r="N452" i="18" s="1"/>
  <c r="K452" i="18"/>
  <c r="J452" i="18"/>
  <c r="G452" i="18"/>
  <c r="F452" i="18"/>
  <c r="M451" i="18"/>
  <c r="L451" i="18"/>
  <c r="N451" i="18" s="1"/>
  <c r="K451" i="18"/>
  <c r="J451" i="18"/>
  <c r="G451" i="18"/>
  <c r="F451" i="18"/>
  <c r="N450" i="18"/>
  <c r="M450" i="18"/>
  <c r="L450" i="18"/>
  <c r="K450" i="18"/>
  <c r="J450" i="18"/>
  <c r="G450" i="18"/>
  <c r="F450" i="18"/>
  <c r="N449" i="18"/>
  <c r="M449" i="18"/>
  <c r="L449" i="18"/>
  <c r="K449" i="18"/>
  <c r="J449" i="18"/>
  <c r="G449" i="18"/>
  <c r="F449" i="18"/>
  <c r="N448" i="18"/>
  <c r="M448" i="18"/>
  <c r="L448" i="18"/>
  <c r="K448" i="18"/>
  <c r="J448" i="18"/>
  <c r="G448" i="18"/>
  <c r="F448" i="18"/>
  <c r="N447" i="18"/>
  <c r="M447" i="18"/>
  <c r="L447" i="18"/>
  <c r="K447" i="18"/>
  <c r="J447" i="18"/>
  <c r="G447" i="18"/>
  <c r="F447" i="18"/>
  <c r="N446" i="18"/>
  <c r="M446" i="18"/>
  <c r="L446" i="18"/>
  <c r="K446" i="18"/>
  <c r="J446" i="18"/>
  <c r="G446" i="18"/>
  <c r="F446" i="18"/>
  <c r="M445" i="18"/>
  <c r="L445" i="18"/>
  <c r="N445" i="18" s="1"/>
  <c r="K445" i="18"/>
  <c r="J445" i="18"/>
  <c r="G445" i="18"/>
  <c r="F445" i="18"/>
  <c r="M444" i="18"/>
  <c r="L444" i="18"/>
  <c r="N444" i="18" s="1"/>
  <c r="K444" i="18"/>
  <c r="J444" i="18"/>
  <c r="G444" i="18"/>
  <c r="F444" i="18"/>
  <c r="M443" i="18"/>
  <c r="L443" i="18"/>
  <c r="N443" i="18" s="1"/>
  <c r="K443" i="18"/>
  <c r="J443" i="18"/>
  <c r="G443" i="18"/>
  <c r="F443" i="18"/>
  <c r="N442" i="18"/>
  <c r="M442" i="18"/>
  <c r="L442" i="18"/>
  <c r="K442" i="18"/>
  <c r="J442" i="18"/>
  <c r="G442" i="18"/>
  <c r="F442" i="18"/>
  <c r="N441" i="18"/>
  <c r="M441" i="18"/>
  <c r="L441" i="18"/>
  <c r="K441" i="18"/>
  <c r="J441" i="18"/>
  <c r="G441" i="18"/>
  <c r="F441" i="18"/>
  <c r="N440" i="18"/>
  <c r="M440" i="18"/>
  <c r="L440" i="18"/>
  <c r="K440" i="18"/>
  <c r="J440" i="18"/>
  <c r="G440" i="18"/>
  <c r="F440" i="18"/>
  <c r="N439" i="18"/>
  <c r="M439" i="18"/>
  <c r="L439" i="18"/>
  <c r="K439" i="18"/>
  <c r="J439" i="18"/>
  <c r="G439" i="18"/>
  <c r="F439" i="18"/>
  <c r="N438" i="18"/>
  <c r="M438" i="18"/>
  <c r="L438" i="18"/>
  <c r="K438" i="18"/>
  <c r="J438" i="18"/>
  <c r="G438" i="18"/>
  <c r="F438" i="18"/>
  <c r="M437" i="18"/>
  <c r="L437" i="18"/>
  <c r="N437" i="18" s="1"/>
  <c r="K437" i="18"/>
  <c r="J437" i="18"/>
  <c r="G437" i="18"/>
  <c r="F437" i="18"/>
  <c r="M436" i="18"/>
  <c r="L436" i="18"/>
  <c r="N436" i="18" s="1"/>
  <c r="K436" i="18"/>
  <c r="J436" i="18"/>
  <c r="G436" i="18"/>
  <c r="F436" i="18"/>
  <c r="M435" i="18"/>
  <c r="L435" i="18"/>
  <c r="N435" i="18" s="1"/>
  <c r="K435" i="18"/>
  <c r="J435" i="18"/>
  <c r="G435" i="18"/>
  <c r="F435" i="18"/>
  <c r="N434" i="18"/>
  <c r="M434" i="18"/>
  <c r="L434" i="18"/>
  <c r="K434" i="18"/>
  <c r="J434" i="18"/>
  <c r="G434" i="18"/>
  <c r="F434" i="18"/>
  <c r="N433" i="18"/>
  <c r="M433" i="18"/>
  <c r="L433" i="18"/>
  <c r="K433" i="18"/>
  <c r="J433" i="18"/>
  <c r="G433" i="18"/>
  <c r="F433" i="18"/>
  <c r="N432" i="18"/>
  <c r="M432" i="18"/>
  <c r="L432" i="18"/>
  <c r="K432" i="18"/>
  <c r="J432" i="18"/>
  <c r="G432" i="18"/>
  <c r="F432" i="18"/>
  <c r="N431" i="18"/>
  <c r="M431" i="18"/>
  <c r="L431" i="18"/>
  <c r="K431" i="18"/>
  <c r="J431" i="18"/>
  <c r="G431" i="18"/>
  <c r="F431" i="18"/>
  <c r="N430" i="18"/>
  <c r="M430" i="18"/>
  <c r="L430" i="18"/>
  <c r="K430" i="18"/>
  <c r="J430" i="18"/>
  <c r="G430" i="18"/>
  <c r="F430" i="18"/>
  <c r="M429" i="18"/>
  <c r="L429" i="18"/>
  <c r="N429" i="18" s="1"/>
  <c r="K429" i="18"/>
  <c r="J429" i="18"/>
  <c r="G429" i="18"/>
  <c r="F429" i="18"/>
  <c r="M428" i="18"/>
  <c r="L428" i="18"/>
  <c r="N428" i="18" s="1"/>
  <c r="K428" i="18"/>
  <c r="J428" i="18"/>
  <c r="G428" i="18"/>
  <c r="F428" i="18"/>
  <c r="M427" i="18"/>
  <c r="L427" i="18"/>
  <c r="N427" i="18" s="1"/>
  <c r="K427" i="18"/>
  <c r="J427" i="18"/>
  <c r="G427" i="18"/>
  <c r="F427" i="18"/>
  <c r="N426" i="18"/>
  <c r="M426" i="18"/>
  <c r="L426" i="18"/>
  <c r="K426" i="18"/>
  <c r="J426" i="18"/>
  <c r="G426" i="18"/>
  <c r="F426" i="18"/>
  <c r="N425" i="18"/>
  <c r="M425" i="18"/>
  <c r="L425" i="18"/>
  <c r="K425" i="18"/>
  <c r="J425" i="18"/>
  <c r="G425" i="18"/>
  <c r="F425" i="18"/>
  <c r="N424" i="18"/>
  <c r="M424" i="18"/>
  <c r="L424" i="18"/>
  <c r="K424" i="18"/>
  <c r="J424" i="18"/>
  <c r="G424" i="18"/>
  <c r="F424" i="18"/>
  <c r="N423" i="18"/>
  <c r="M423" i="18"/>
  <c r="L423" i="18"/>
  <c r="K423" i="18"/>
  <c r="J423" i="18"/>
  <c r="G423" i="18"/>
  <c r="F423" i="18"/>
  <c r="N422" i="18"/>
  <c r="M422" i="18"/>
  <c r="L422" i="18"/>
  <c r="K422" i="18"/>
  <c r="J422" i="18"/>
  <c r="G422" i="18"/>
  <c r="F422" i="18"/>
  <c r="M421" i="18"/>
  <c r="L421" i="18"/>
  <c r="N421" i="18" s="1"/>
  <c r="K421" i="18"/>
  <c r="J421" i="18"/>
  <c r="G421" i="18"/>
  <c r="F421" i="18"/>
  <c r="M420" i="18"/>
  <c r="L420" i="18"/>
  <c r="N420" i="18" s="1"/>
  <c r="K420" i="18"/>
  <c r="J420" i="18"/>
  <c r="G420" i="18"/>
  <c r="F420" i="18"/>
  <c r="M419" i="18"/>
  <c r="L419" i="18"/>
  <c r="N419" i="18" s="1"/>
  <c r="K419" i="18"/>
  <c r="J419" i="18"/>
  <c r="G419" i="18"/>
  <c r="F419" i="18"/>
  <c r="N418" i="18"/>
  <c r="M418" i="18"/>
  <c r="L418" i="18"/>
  <c r="K418" i="18"/>
  <c r="J418" i="18"/>
  <c r="G418" i="18"/>
  <c r="F418" i="18"/>
  <c r="N417" i="18"/>
  <c r="M417" i="18"/>
  <c r="L417" i="18"/>
  <c r="K417" i="18"/>
  <c r="J417" i="18"/>
  <c r="G417" i="18"/>
  <c r="F417" i="18"/>
  <c r="N416" i="18"/>
  <c r="M416" i="18"/>
  <c r="L416" i="18"/>
  <c r="K416" i="18"/>
  <c r="J416" i="18"/>
  <c r="G416" i="18"/>
  <c r="F416" i="18"/>
  <c r="N415" i="18"/>
  <c r="M415" i="18"/>
  <c r="L415" i="18"/>
  <c r="K415" i="18"/>
  <c r="J415" i="18"/>
  <c r="G415" i="18"/>
  <c r="F415" i="18"/>
  <c r="N414" i="18"/>
  <c r="M414" i="18"/>
  <c r="L414" i="18"/>
  <c r="K414" i="18"/>
  <c r="J414" i="18"/>
  <c r="G414" i="18"/>
  <c r="F414" i="18"/>
  <c r="M413" i="18"/>
  <c r="L413" i="18"/>
  <c r="N413" i="18" s="1"/>
  <c r="K413" i="18"/>
  <c r="J413" i="18"/>
  <c r="G413" i="18"/>
  <c r="F413" i="18"/>
  <c r="M412" i="18"/>
  <c r="L412" i="18"/>
  <c r="N412" i="18" s="1"/>
  <c r="K412" i="18"/>
  <c r="J412" i="18"/>
  <c r="G412" i="18"/>
  <c r="F412" i="18"/>
  <c r="M411" i="18"/>
  <c r="L411" i="18"/>
  <c r="N411" i="18" s="1"/>
  <c r="K411" i="18"/>
  <c r="J411" i="18"/>
  <c r="G411" i="18"/>
  <c r="F411" i="18"/>
  <c r="N410" i="18"/>
  <c r="M410" i="18"/>
  <c r="L410" i="18"/>
  <c r="K410" i="18"/>
  <c r="J410" i="18"/>
  <c r="G410" i="18"/>
  <c r="F410" i="18"/>
  <c r="N409" i="18"/>
  <c r="M409" i="18"/>
  <c r="L409" i="18"/>
  <c r="K409" i="18"/>
  <c r="J409" i="18"/>
  <c r="G409" i="18"/>
  <c r="F409" i="18"/>
  <c r="N408" i="18"/>
  <c r="M408" i="18"/>
  <c r="L408" i="18"/>
  <c r="K408" i="18"/>
  <c r="J408" i="18"/>
  <c r="G408" i="18"/>
  <c r="F408" i="18"/>
  <c r="N407" i="18"/>
  <c r="M407" i="18"/>
  <c r="L407" i="18"/>
  <c r="K407" i="18"/>
  <c r="J407" i="18"/>
  <c r="G407" i="18"/>
  <c r="F407" i="18"/>
  <c r="N406" i="18"/>
  <c r="M406" i="18"/>
  <c r="L406" i="18"/>
  <c r="K406" i="18"/>
  <c r="J406" i="18"/>
  <c r="G406" i="18"/>
  <c r="F406" i="18"/>
  <c r="M405" i="18"/>
  <c r="L405" i="18"/>
  <c r="N405" i="18" s="1"/>
  <c r="K405" i="18"/>
  <c r="J405" i="18"/>
  <c r="G405" i="18"/>
  <c r="F405" i="18"/>
  <c r="M404" i="18"/>
  <c r="L404" i="18"/>
  <c r="N404" i="18" s="1"/>
  <c r="K404" i="18"/>
  <c r="J404" i="18"/>
  <c r="G404" i="18"/>
  <c r="F404" i="18"/>
  <c r="M403" i="18"/>
  <c r="L403" i="18"/>
  <c r="N403" i="18" s="1"/>
  <c r="K403" i="18"/>
  <c r="J403" i="18"/>
  <c r="G403" i="18"/>
  <c r="F403" i="18"/>
  <c r="N402" i="18"/>
  <c r="M402" i="18"/>
  <c r="L402" i="18"/>
  <c r="K402" i="18"/>
  <c r="J402" i="18"/>
  <c r="G402" i="18"/>
  <c r="F402" i="18"/>
  <c r="N401" i="18"/>
  <c r="M401" i="18"/>
  <c r="L401" i="18"/>
  <c r="K401" i="18"/>
  <c r="J401" i="18"/>
  <c r="G401" i="18"/>
  <c r="F401" i="18"/>
  <c r="N400" i="18"/>
  <c r="M400" i="18"/>
  <c r="L400" i="18"/>
  <c r="K400" i="18"/>
  <c r="J400" i="18"/>
  <c r="G400" i="18"/>
  <c r="F400" i="18"/>
  <c r="N399" i="18"/>
  <c r="M399" i="18"/>
  <c r="L399" i="18"/>
  <c r="K399" i="18"/>
  <c r="J399" i="18"/>
  <c r="G399" i="18"/>
  <c r="F399" i="18"/>
  <c r="N398" i="18"/>
  <c r="M398" i="18"/>
  <c r="L398" i="18"/>
  <c r="K398" i="18"/>
  <c r="J398" i="18"/>
  <c r="G398" i="18"/>
  <c r="F398" i="18"/>
  <c r="M397" i="18"/>
  <c r="L397" i="18"/>
  <c r="N397" i="18" s="1"/>
  <c r="K397" i="18"/>
  <c r="J397" i="18"/>
  <c r="G397" i="18"/>
  <c r="F397" i="18"/>
  <c r="M396" i="18"/>
  <c r="L396" i="18"/>
  <c r="N396" i="18" s="1"/>
  <c r="K396" i="18"/>
  <c r="J396" i="18"/>
  <c r="G396" i="18"/>
  <c r="F396" i="18"/>
  <c r="M395" i="18"/>
  <c r="L395" i="18"/>
  <c r="N395" i="18" s="1"/>
  <c r="K395" i="18"/>
  <c r="J395" i="18"/>
  <c r="G395" i="18"/>
  <c r="F395" i="18"/>
  <c r="N394" i="18"/>
  <c r="M394" i="18"/>
  <c r="L394" i="18"/>
  <c r="K394" i="18"/>
  <c r="J394" i="18"/>
  <c r="G394" i="18"/>
  <c r="F394" i="18"/>
  <c r="N393" i="18"/>
  <c r="M393" i="18"/>
  <c r="L393" i="18"/>
  <c r="K393" i="18"/>
  <c r="J393" i="18"/>
  <c r="G393" i="18"/>
  <c r="F393" i="18"/>
  <c r="N392" i="18"/>
  <c r="M392" i="18"/>
  <c r="L392" i="18"/>
  <c r="K392" i="18"/>
  <c r="J392" i="18"/>
  <c r="G392" i="18"/>
  <c r="F392" i="18"/>
  <c r="N391" i="18"/>
  <c r="M391" i="18"/>
  <c r="L391" i="18"/>
  <c r="K391" i="18"/>
  <c r="J391" i="18"/>
  <c r="G391" i="18"/>
  <c r="F391" i="18"/>
  <c r="N390" i="18"/>
  <c r="M390" i="18"/>
  <c r="L390" i="18"/>
  <c r="K390" i="18"/>
  <c r="J390" i="18"/>
  <c r="G390" i="18"/>
  <c r="F390" i="18"/>
  <c r="M389" i="18"/>
  <c r="L389" i="18"/>
  <c r="N389" i="18" s="1"/>
  <c r="K389" i="18"/>
  <c r="J389" i="18"/>
  <c r="G389" i="18"/>
  <c r="F389" i="18"/>
  <c r="M388" i="18"/>
  <c r="L388" i="18"/>
  <c r="N388" i="18" s="1"/>
  <c r="K388" i="18"/>
  <c r="J388" i="18"/>
  <c r="G388" i="18"/>
  <c r="F388" i="18"/>
  <c r="M387" i="18"/>
  <c r="L387" i="18"/>
  <c r="N387" i="18" s="1"/>
  <c r="K387" i="18"/>
  <c r="J387" i="18"/>
  <c r="G387" i="18"/>
  <c r="F387" i="18"/>
  <c r="N386" i="18"/>
  <c r="M386" i="18"/>
  <c r="L386" i="18"/>
  <c r="K386" i="18"/>
  <c r="J386" i="18"/>
  <c r="G386" i="18"/>
  <c r="F386" i="18"/>
  <c r="N385" i="18"/>
  <c r="M385" i="18"/>
  <c r="L385" i="18"/>
  <c r="K385" i="18"/>
  <c r="J385" i="18"/>
  <c r="G385" i="18"/>
  <c r="F385" i="18"/>
  <c r="N384" i="18"/>
  <c r="M384" i="18"/>
  <c r="L384" i="18"/>
  <c r="K384" i="18"/>
  <c r="J384" i="18"/>
  <c r="G384" i="18"/>
  <c r="F384" i="18"/>
  <c r="N383" i="18"/>
  <c r="M383" i="18"/>
  <c r="L383" i="18"/>
  <c r="K383" i="18"/>
  <c r="J383" i="18"/>
  <c r="G383" i="18"/>
  <c r="F383" i="18"/>
  <c r="N382" i="18"/>
  <c r="M382" i="18"/>
  <c r="L382" i="18"/>
  <c r="K382" i="18"/>
  <c r="J382" i="18"/>
  <c r="G382" i="18"/>
  <c r="F382" i="18"/>
  <c r="M381" i="18"/>
  <c r="L381" i="18"/>
  <c r="N381" i="18" s="1"/>
  <c r="K381" i="18"/>
  <c r="J381" i="18"/>
  <c r="G381" i="18"/>
  <c r="F381" i="18"/>
  <c r="M380" i="18"/>
  <c r="L380" i="18"/>
  <c r="N380" i="18" s="1"/>
  <c r="K380" i="18"/>
  <c r="J380" i="18"/>
  <c r="G380" i="18"/>
  <c r="F380" i="18"/>
  <c r="M379" i="18"/>
  <c r="L379" i="18"/>
  <c r="N379" i="18" s="1"/>
  <c r="K379" i="18"/>
  <c r="J379" i="18"/>
  <c r="G379" i="18"/>
  <c r="F379" i="18"/>
  <c r="N378" i="18"/>
  <c r="M378" i="18"/>
  <c r="L378" i="18"/>
  <c r="K378" i="18"/>
  <c r="J378" i="18"/>
  <c r="G378" i="18"/>
  <c r="F378" i="18"/>
  <c r="N377" i="18"/>
  <c r="M377" i="18"/>
  <c r="L377" i="18"/>
  <c r="K377" i="18"/>
  <c r="J377" i="18"/>
  <c r="G377" i="18"/>
  <c r="F377" i="18"/>
  <c r="N376" i="18"/>
  <c r="M376" i="18"/>
  <c r="L376" i="18"/>
  <c r="K376" i="18"/>
  <c r="J376" i="18"/>
  <c r="G376" i="18"/>
  <c r="F376" i="18"/>
  <c r="N375" i="18"/>
  <c r="M375" i="18"/>
  <c r="L375" i="18"/>
  <c r="K375" i="18"/>
  <c r="J375" i="18"/>
  <c r="G375" i="18"/>
  <c r="F375" i="18"/>
  <c r="N374" i="18"/>
  <c r="M374" i="18"/>
  <c r="L374" i="18"/>
  <c r="K374" i="18"/>
  <c r="J374" i="18"/>
  <c r="G374" i="18"/>
  <c r="F374" i="18"/>
  <c r="M373" i="18"/>
  <c r="L373" i="18"/>
  <c r="N373" i="18" s="1"/>
  <c r="K373" i="18"/>
  <c r="J373" i="18"/>
  <c r="G373" i="18"/>
  <c r="F373" i="18"/>
  <c r="M372" i="18"/>
  <c r="L372" i="18"/>
  <c r="N372" i="18" s="1"/>
  <c r="K372" i="18"/>
  <c r="J372" i="18"/>
  <c r="G372" i="18"/>
  <c r="F372" i="18"/>
  <c r="M371" i="18"/>
  <c r="L371" i="18"/>
  <c r="N371" i="18" s="1"/>
  <c r="K371" i="18"/>
  <c r="J371" i="18"/>
  <c r="G371" i="18"/>
  <c r="F371" i="18"/>
  <c r="N370" i="18"/>
  <c r="M370" i="18"/>
  <c r="L370" i="18"/>
  <c r="K370" i="18"/>
  <c r="J370" i="18"/>
  <c r="G370" i="18"/>
  <c r="F370" i="18"/>
  <c r="N369" i="18"/>
  <c r="M369" i="18"/>
  <c r="L369" i="18"/>
  <c r="K369" i="18"/>
  <c r="J369" i="18"/>
  <c r="G369" i="18"/>
  <c r="F369" i="18"/>
  <c r="N368" i="18"/>
  <c r="M368" i="18"/>
  <c r="L368" i="18"/>
  <c r="K368" i="18"/>
  <c r="J368" i="18"/>
  <c r="G368" i="18"/>
  <c r="F368" i="18"/>
  <c r="N367" i="18"/>
  <c r="M367" i="18"/>
  <c r="L367" i="18"/>
  <c r="K367" i="18"/>
  <c r="J367" i="18"/>
  <c r="G367" i="18"/>
  <c r="F367" i="18"/>
  <c r="N366" i="18"/>
  <c r="M366" i="18"/>
  <c r="L366" i="18"/>
  <c r="K366" i="18"/>
  <c r="J366" i="18"/>
  <c r="G366" i="18"/>
  <c r="F366" i="18"/>
  <c r="M365" i="18"/>
  <c r="L365" i="18"/>
  <c r="N365" i="18" s="1"/>
  <c r="K365" i="18"/>
  <c r="J365" i="18"/>
  <c r="G365" i="18"/>
  <c r="F365" i="18"/>
  <c r="M364" i="18"/>
  <c r="L364" i="18"/>
  <c r="N364" i="18" s="1"/>
  <c r="K364" i="18"/>
  <c r="J364" i="18"/>
  <c r="G364" i="18"/>
  <c r="F364" i="18"/>
  <c r="M363" i="18"/>
  <c r="L363" i="18"/>
  <c r="N363" i="18" s="1"/>
  <c r="K363" i="18"/>
  <c r="J363" i="18"/>
  <c r="G363" i="18"/>
  <c r="F363" i="18"/>
  <c r="N362" i="18"/>
  <c r="M362" i="18"/>
  <c r="L362" i="18"/>
  <c r="K362" i="18"/>
  <c r="J362" i="18"/>
  <c r="G362" i="18"/>
  <c r="F362" i="18"/>
  <c r="N361" i="18"/>
  <c r="M361" i="18"/>
  <c r="L361" i="18"/>
  <c r="K361" i="18"/>
  <c r="J361" i="18"/>
  <c r="G361" i="18"/>
  <c r="F361" i="18"/>
  <c r="N360" i="18"/>
  <c r="M360" i="18"/>
  <c r="L360" i="18"/>
  <c r="K360" i="18"/>
  <c r="J360" i="18"/>
  <c r="G360" i="18"/>
  <c r="F360" i="18"/>
  <c r="N359" i="18"/>
  <c r="M359" i="18"/>
  <c r="L359" i="18"/>
  <c r="K359" i="18"/>
  <c r="J359" i="18"/>
  <c r="G359" i="18"/>
  <c r="F359" i="18"/>
  <c r="N358" i="18"/>
  <c r="M358" i="18"/>
  <c r="L358" i="18"/>
  <c r="K358" i="18"/>
  <c r="J358" i="18"/>
  <c r="G358" i="18"/>
  <c r="F358" i="18"/>
  <c r="M357" i="18"/>
  <c r="L357" i="18"/>
  <c r="N357" i="18" s="1"/>
  <c r="K357" i="18"/>
  <c r="J357" i="18"/>
  <c r="G357" i="18"/>
  <c r="F357" i="18"/>
  <c r="M356" i="18"/>
  <c r="L356" i="18"/>
  <c r="N356" i="18" s="1"/>
  <c r="K356" i="18"/>
  <c r="J356" i="18"/>
  <c r="G356" i="18"/>
  <c r="F356" i="18"/>
  <c r="M355" i="18"/>
  <c r="L355" i="18"/>
  <c r="N355" i="18" s="1"/>
  <c r="K355" i="18"/>
  <c r="J355" i="18"/>
  <c r="G355" i="18"/>
  <c r="F355" i="18"/>
  <c r="N354" i="18"/>
  <c r="M354" i="18"/>
  <c r="L354" i="18"/>
  <c r="K354" i="18"/>
  <c r="J354" i="18"/>
  <c r="G354" i="18"/>
  <c r="F354" i="18"/>
  <c r="N353" i="18"/>
  <c r="M353" i="18"/>
  <c r="L353" i="18"/>
  <c r="K353" i="18"/>
  <c r="J353" i="18"/>
  <c r="G353" i="18"/>
  <c r="F353" i="18"/>
  <c r="N352" i="18"/>
  <c r="M352" i="18"/>
  <c r="L352" i="18"/>
  <c r="K352" i="18"/>
  <c r="J352" i="18"/>
  <c r="G352" i="18"/>
  <c r="F352" i="18"/>
  <c r="N351" i="18"/>
  <c r="M351" i="18"/>
  <c r="L351" i="18"/>
  <c r="K351" i="18"/>
  <c r="J351" i="18"/>
  <c r="G351" i="18"/>
  <c r="F351" i="18"/>
  <c r="N350" i="18"/>
  <c r="M350" i="18"/>
  <c r="L350" i="18"/>
  <c r="K350" i="18"/>
  <c r="J350" i="18"/>
  <c r="G350" i="18"/>
  <c r="F350" i="18"/>
  <c r="M349" i="18"/>
  <c r="L349" i="18"/>
  <c r="N349" i="18" s="1"/>
  <c r="K349" i="18"/>
  <c r="J349" i="18"/>
  <c r="G349" i="18"/>
  <c r="F349" i="18"/>
  <c r="M348" i="18"/>
  <c r="L348" i="18"/>
  <c r="N348" i="18" s="1"/>
  <c r="K348" i="18"/>
  <c r="J348" i="18"/>
  <c r="G348" i="18"/>
  <c r="F348" i="18"/>
  <c r="M347" i="18"/>
  <c r="L347" i="18"/>
  <c r="N347" i="18" s="1"/>
  <c r="K347" i="18"/>
  <c r="J347" i="18"/>
  <c r="G347" i="18"/>
  <c r="F347" i="18"/>
  <c r="N346" i="18"/>
  <c r="M346" i="18"/>
  <c r="L346" i="18"/>
  <c r="K346" i="18"/>
  <c r="J346" i="18"/>
  <c r="G346" i="18"/>
  <c r="F346" i="18"/>
  <c r="N345" i="18"/>
  <c r="M345" i="18"/>
  <c r="L345" i="18"/>
  <c r="K345" i="18"/>
  <c r="J345" i="18"/>
  <c r="G345" i="18"/>
  <c r="F345" i="18"/>
  <c r="N344" i="18"/>
  <c r="M344" i="18"/>
  <c r="L344" i="18"/>
  <c r="K344" i="18"/>
  <c r="J344" i="18"/>
  <c r="G344" i="18"/>
  <c r="F344" i="18"/>
  <c r="N343" i="18"/>
  <c r="M343" i="18"/>
  <c r="L343" i="18"/>
  <c r="K343" i="18"/>
  <c r="J343" i="18"/>
  <c r="G343" i="18"/>
  <c r="F343" i="18"/>
  <c r="N342" i="18"/>
  <c r="M342" i="18"/>
  <c r="L342" i="18"/>
  <c r="K342" i="18"/>
  <c r="J342" i="18"/>
  <c r="G342" i="18"/>
  <c r="F342" i="18"/>
  <c r="M341" i="18"/>
  <c r="L341" i="18"/>
  <c r="N341" i="18" s="1"/>
  <c r="K341" i="18"/>
  <c r="J341" i="18"/>
  <c r="G341" i="18"/>
  <c r="F341" i="18"/>
  <c r="M340" i="18"/>
  <c r="L340" i="18"/>
  <c r="N340" i="18" s="1"/>
  <c r="K340" i="18"/>
  <c r="J340" i="18"/>
  <c r="G340" i="18"/>
  <c r="F340" i="18"/>
  <c r="M339" i="18"/>
  <c r="L339" i="18"/>
  <c r="N339" i="18" s="1"/>
  <c r="K339" i="18"/>
  <c r="J339" i="18"/>
  <c r="G339" i="18"/>
  <c r="F339" i="18"/>
  <c r="N338" i="18"/>
  <c r="M338" i="18"/>
  <c r="L338" i="18"/>
  <c r="K338" i="18"/>
  <c r="J338" i="18"/>
  <c r="G338" i="18"/>
  <c r="F338" i="18"/>
  <c r="N337" i="18"/>
  <c r="M337" i="18"/>
  <c r="L337" i="18"/>
  <c r="K337" i="18"/>
  <c r="J337" i="18"/>
  <c r="G337" i="18"/>
  <c r="F337" i="18"/>
  <c r="N336" i="18"/>
  <c r="M336" i="18"/>
  <c r="L336" i="18"/>
  <c r="K336" i="18"/>
  <c r="J336" i="18"/>
  <c r="G336" i="18"/>
  <c r="F336" i="18"/>
  <c r="N335" i="18"/>
  <c r="M335" i="18"/>
  <c r="L335" i="18"/>
  <c r="K335" i="18"/>
  <c r="J335" i="18"/>
  <c r="G335" i="18"/>
  <c r="F335" i="18"/>
  <c r="N334" i="18"/>
  <c r="M334" i="18"/>
  <c r="L334" i="18"/>
  <c r="K334" i="18"/>
  <c r="J334" i="18"/>
  <c r="G334" i="18"/>
  <c r="F334" i="18"/>
  <c r="M333" i="18"/>
  <c r="L333" i="18"/>
  <c r="N333" i="18" s="1"/>
  <c r="K333" i="18"/>
  <c r="J333" i="18"/>
  <c r="G333" i="18"/>
  <c r="F333" i="18"/>
  <c r="M332" i="18"/>
  <c r="L332" i="18"/>
  <c r="N332" i="18" s="1"/>
  <c r="K332" i="18"/>
  <c r="J332" i="18"/>
  <c r="G332" i="18"/>
  <c r="F332" i="18"/>
  <c r="M331" i="18"/>
  <c r="L331" i="18"/>
  <c r="N331" i="18" s="1"/>
  <c r="K331" i="18"/>
  <c r="J331" i="18"/>
  <c r="G331" i="18"/>
  <c r="F331" i="18"/>
  <c r="N330" i="18"/>
  <c r="M330" i="18"/>
  <c r="L330" i="18"/>
  <c r="K330" i="18"/>
  <c r="J330" i="18"/>
  <c r="G330" i="18"/>
  <c r="F330" i="18"/>
  <c r="N329" i="18"/>
  <c r="M329" i="18"/>
  <c r="L329" i="18"/>
  <c r="K329" i="18"/>
  <c r="J329" i="18"/>
  <c r="G329" i="18"/>
  <c r="F329" i="18"/>
  <c r="N328" i="18"/>
  <c r="M328" i="18"/>
  <c r="L328" i="18"/>
  <c r="K328" i="18"/>
  <c r="J328" i="18"/>
  <c r="G328" i="18"/>
  <c r="F328" i="18"/>
  <c r="N327" i="18"/>
  <c r="M327" i="18"/>
  <c r="L327" i="18"/>
  <c r="K327" i="18"/>
  <c r="J327" i="18"/>
  <c r="G327" i="18"/>
  <c r="F327" i="18"/>
  <c r="N326" i="18"/>
  <c r="M326" i="18"/>
  <c r="L326" i="18"/>
  <c r="K326" i="18"/>
  <c r="J326" i="18"/>
  <c r="G326" i="18"/>
  <c r="F326" i="18"/>
  <c r="M325" i="18"/>
  <c r="L325" i="18"/>
  <c r="N325" i="18" s="1"/>
  <c r="K325" i="18"/>
  <c r="J325" i="18"/>
  <c r="G325" i="18"/>
  <c r="F325" i="18"/>
  <c r="M324" i="18"/>
  <c r="L324" i="18"/>
  <c r="N324" i="18" s="1"/>
  <c r="K324" i="18"/>
  <c r="J324" i="18"/>
  <c r="G324" i="18"/>
  <c r="F324" i="18"/>
  <c r="M323" i="18"/>
  <c r="L323" i="18"/>
  <c r="N323" i="18" s="1"/>
  <c r="K323" i="18"/>
  <c r="J323" i="18"/>
  <c r="G323" i="18"/>
  <c r="F323" i="18"/>
  <c r="N322" i="18"/>
  <c r="M322" i="18"/>
  <c r="L322" i="18"/>
  <c r="K322" i="18"/>
  <c r="J322" i="18"/>
  <c r="G322" i="18"/>
  <c r="F322" i="18"/>
  <c r="N321" i="18"/>
  <c r="M321" i="18"/>
  <c r="L321" i="18"/>
  <c r="K321" i="18"/>
  <c r="J321" i="18"/>
  <c r="G321" i="18"/>
  <c r="F321" i="18"/>
  <c r="N320" i="18"/>
  <c r="M320" i="18"/>
  <c r="L320" i="18"/>
  <c r="K320" i="18"/>
  <c r="J320" i="18"/>
  <c r="G320" i="18"/>
  <c r="F320" i="18"/>
  <c r="N319" i="18"/>
  <c r="M319" i="18"/>
  <c r="L319" i="18"/>
  <c r="K319" i="18"/>
  <c r="J319" i="18"/>
  <c r="G319" i="18"/>
  <c r="F319" i="18"/>
  <c r="N318" i="18"/>
  <c r="M318" i="18"/>
  <c r="L318" i="18"/>
  <c r="K318" i="18"/>
  <c r="J318" i="18"/>
  <c r="G318" i="18"/>
  <c r="F318" i="18"/>
  <c r="M317" i="18"/>
  <c r="L317" i="18"/>
  <c r="N317" i="18" s="1"/>
  <c r="K317" i="18"/>
  <c r="J317" i="18"/>
  <c r="G317" i="18"/>
  <c r="F317" i="18"/>
  <c r="M316" i="18"/>
  <c r="L316" i="18"/>
  <c r="N316" i="18" s="1"/>
  <c r="K316" i="18"/>
  <c r="J316" i="18"/>
  <c r="G316" i="18"/>
  <c r="F316" i="18"/>
  <c r="M315" i="18"/>
  <c r="L315" i="18"/>
  <c r="N315" i="18" s="1"/>
  <c r="K315" i="18"/>
  <c r="J315" i="18"/>
  <c r="G315" i="18"/>
  <c r="F315" i="18"/>
  <c r="N314" i="18"/>
  <c r="M314" i="18"/>
  <c r="L314" i="18"/>
  <c r="K314" i="18"/>
  <c r="J314" i="18"/>
  <c r="G314" i="18"/>
  <c r="F314" i="18"/>
  <c r="N313" i="18"/>
  <c r="M313" i="18"/>
  <c r="L313" i="18"/>
  <c r="K313" i="18"/>
  <c r="J313" i="18"/>
  <c r="G313" i="18"/>
  <c r="F313" i="18"/>
  <c r="N312" i="18"/>
  <c r="M312" i="18"/>
  <c r="L312" i="18"/>
  <c r="K312" i="18"/>
  <c r="J312" i="18"/>
  <c r="G312" i="18"/>
  <c r="F312" i="18"/>
  <c r="N311" i="18"/>
  <c r="M311" i="18"/>
  <c r="L311" i="18"/>
  <c r="K311" i="18"/>
  <c r="J311" i="18"/>
  <c r="G311" i="18"/>
  <c r="F311" i="18"/>
  <c r="N310" i="18"/>
  <c r="M310" i="18"/>
  <c r="L310" i="18"/>
  <c r="K310" i="18"/>
  <c r="J310" i="18"/>
  <c r="G310" i="18"/>
  <c r="F310" i="18"/>
  <c r="M309" i="18"/>
  <c r="L309" i="18"/>
  <c r="N309" i="18" s="1"/>
  <c r="K309" i="18"/>
  <c r="J309" i="18"/>
  <c r="G309" i="18"/>
  <c r="F309" i="18"/>
  <c r="M308" i="18"/>
  <c r="L308" i="18"/>
  <c r="N308" i="18" s="1"/>
  <c r="K308" i="18"/>
  <c r="J308" i="18"/>
  <c r="G308" i="18"/>
  <c r="F308" i="18"/>
  <c r="M307" i="18"/>
  <c r="L307" i="18"/>
  <c r="N307" i="18" s="1"/>
  <c r="K307" i="18"/>
  <c r="J307" i="18"/>
  <c r="G307" i="18"/>
  <c r="F307" i="18"/>
  <c r="N306" i="18"/>
  <c r="M306" i="18"/>
  <c r="L306" i="18"/>
  <c r="K306" i="18"/>
  <c r="J306" i="18"/>
  <c r="G306" i="18"/>
  <c r="F306" i="18"/>
  <c r="N305" i="18"/>
  <c r="M305" i="18"/>
  <c r="L305" i="18"/>
  <c r="K305" i="18"/>
  <c r="J305" i="18"/>
  <c r="G305" i="18"/>
  <c r="F305" i="18"/>
  <c r="N304" i="18"/>
  <c r="M304" i="18"/>
  <c r="L304" i="18"/>
  <c r="K304" i="18"/>
  <c r="J304" i="18"/>
  <c r="G304" i="18"/>
  <c r="F304" i="18"/>
  <c r="N303" i="18"/>
  <c r="M303" i="18"/>
  <c r="L303" i="18"/>
  <c r="K303" i="18"/>
  <c r="J303" i="18"/>
  <c r="G303" i="18"/>
  <c r="F303" i="18"/>
  <c r="N302" i="18"/>
  <c r="M302" i="18"/>
  <c r="L302" i="18"/>
  <c r="K302" i="18"/>
  <c r="J302" i="18"/>
  <c r="G302" i="18"/>
  <c r="F302" i="18"/>
  <c r="M301" i="18"/>
  <c r="L301" i="18"/>
  <c r="N301" i="18" s="1"/>
  <c r="K301" i="18"/>
  <c r="J301" i="18"/>
  <c r="G301" i="18"/>
  <c r="F301" i="18"/>
  <c r="M300" i="18"/>
  <c r="L300" i="18"/>
  <c r="N300" i="18" s="1"/>
  <c r="K300" i="18"/>
  <c r="J300" i="18"/>
  <c r="G300" i="18"/>
  <c r="F300" i="18"/>
  <c r="M299" i="18"/>
  <c r="L299" i="18"/>
  <c r="N299" i="18" s="1"/>
  <c r="K299" i="18"/>
  <c r="J299" i="18"/>
  <c r="G299" i="18"/>
  <c r="F299" i="18"/>
  <c r="N298" i="18"/>
  <c r="M298" i="18"/>
  <c r="L298" i="18"/>
  <c r="K298" i="18"/>
  <c r="J298" i="18"/>
  <c r="G298" i="18"/>
  <c r="F298" i="18"/>
  <c r="N297" i="18"/>
  <c r="M297" i="18"/>
  <c r="L297" i="18"/>
  <c r="K297" i="18"/>
  <c r="J297" i="18"/>
  <c r="G297" i="18"/>
  <c r="F297" i="18"/>
  <c r="N296" i="18"/>
  <c r="M296" i="18"/>
  <c r="L296" i="18"/>
  <c r="K296" i="18"/>
  <c r="J296" i="18"/>
  <c r="G296" i="18"/>
  <c r="F296" i="18"/>
  <c r="N295" i="18"/>
  <c r="M295" i="18"/>
  <c r="L295" i="18"/>
  <c r="K295" i="18"/>
  <c r="J295" i="18"/>
  <c r="G295" i="18"/>
  <c r="F295" i="18"/>
  <c r="N294" i="18"/>
  <c r="M294" i="18"/>
  <c r="L294" i="18"/>
  <c r="K294" i="18"/>
  <c r="J294" i="18"/>
  <c r="G294" i="18"/>
  <c r="F294" i="18"/>
  <c r="M293" i="18"/>
  <c r="L293" i="18"/>
  <c r="N293" i="18" s="1"/>
  <c r="K293" i="18"/>
  <c r="J293" i="18"/>
  <c r="G293" i="18"/>
  <c r="F293" i="18"/>
  <c r="M292" i="18"/>
  <c r="L292" i="18"/>
  <c r="N292" i="18" s="1"/>
  <c r="K292" i="18"/>
  <c r="J292" i="18"/>
  <c r="G292" i="18"/>
  <c r="F292" i="18"/>
  <c r="M291" i="18"/>
  <c r="L291" i="18"/>
  <c r="N291" i="18" s="1"/>
  <c r="K291" i="18"/>
  <c r="J291" i="18"/>
  <c r="G291" i="18"/>
  <c r="F291" i="18"/>
  <c r="N290" i="18"/>
  <c r="M290" i="18"/>
  <c r="L290" i="18"/>
  <c r="K290" i="18"/>
  <c r="J290" i="18"/>
  <c r="G290" i="18"/>
  <c r="F290" i="18"/>
  <c r="N289" i="18"/>
  <c r="M289" i="18"/>
  <c r="L289" i="18"/>
  <c r="K289" i="18"/>
  <c r="J289" i="18"/>
  <c r="G289" i="18"/>
  <c r="F289" i="18"/>
  <c r="N288" i="18"/>
  <c r="M288" i="18"/>
  <c r="L288" i="18"/>
  <c r="K288" i="18"/>
  <c r="J288" i="18"/>
  <c r="G288" i="18"/>
  <c r="F288" i="18"/>
  <c r="N287" i="18"/>
  <c r="M287" i="18"/>
  <c r="L287" i="18"/>
  <c r="K287" i="18"/>
  <c r="J287" i="18"/>
  <c r="G287" i="18"/>
  <c r="F287" i="18"/>
  <c r="N286" i="18"/>
  <c r="M286" i="18"/>
  <c r="L286" i="18"/>
  <c r="K286" i="18"/>
  <c r="J286" i="18"/>
  <c r="G286" i="18"/>
  <c r="F286" i="18"/>
  <c r="M285" i="18"/>
  <c r="L285" i="18"/>
  <c r="N285" i="18" s="1"/>
  <c r="K285" i="18"/>
  <c r="J285" i="18"/>
  <c r="G285" i="18"/>
  <c r="F285" i="18"/>
  <c r="M284" i="18"/>
  <c r="L284" i="18"/>
  <c r="N284" i="18" s="1"/>
  <c r="K284" i="18"/>
  <c r="J284" i="18"/>
  <c r="G284" i="18"/>
  <c r="F284" i="18"/>
  <c r="M283" i="18"/>
  <c r="L283" i="18"/>
  <c r="N283" i="18" s="1"/>
  <c r="K283" i="18"/>
  <c r="J283" i="18"/>
  <c r="G283" i="18"/>
  <c r="F283" i="18"/>
  <c r="N282" i="18"/>
  <c r="M282" i="18"/>
  <c r="L282" i="18"/>
  <c r="K282" i="18"/>
  <c r="J282" i="18"/>
  <c r="G282" i="18"/>
  <c r="F282" i="18"/>
  <c r="N281" i="18"/>
  <c r="M281" i="18"/>
  <c r="L281" i="18"/>
  <c r="K281" i="18"/>
  <c r="J281" i="18"/>
  <c r="G281" i="18"/>
  <c r="F281" i="18"/>
  <c r="N280" i="18"/>
  <c r="M280" i="18"/>
  <c r="L280" i="18"/>
  <c r="K280" i="18"/>
  <c r="J280" i="18"/>
  <c r="G280" i="18"/>
  <c r="F280" i="18"/>
  <c r="N279" i="18"/>
  <c r="M279" i="18"/>
  <c r="L279" i="18"/>
  <c r="K279" i="18"/>
  <c r="J279" i="18"/>
  <c r="G279" i="18"/>
  <c r="F279" i="18"/>
  <c r="N278" i="18"/>
  <c r="M278" i="18"/>
  <c r="L278" i="18"/>
  <c r="K278" i="18"/>
  <c r="J278" i="18"/>
  <c r="G278" i="18"/>
  <c r="F278" i="18"/>
  <c r="M277" i="18"/>
  <c r="L277" i="18"/>
  <c r="N277" i="18" s="1"/>
  <c r="K277" i="18"/>
  <c r="J277" i="18"/>
  <c r="G277" i="18"/>
  <c r="F277" i="18"/>
  <c r="M276" i="18"/>
  <c r="L276" i="18"/>
  <c r="N276" i="18" s="1"/>
  <c r="K276" i="18"/>
  <c r="J276" i="18"/>
  <c r="G276" i="18"/>
  <c r="F276" i="18"/>
  <c r="M275" i="18"/>
  <c r="L275" i="18"/>
  <c r="N275" i="18" s="1"/>
  <c r="K275" i="18"/>
  <c r="J275" i="18"/>
  <c r="G275" i="18"/>
  <c r="F275" i="18"/>
  <c r="N274" i="18"/>
  <c r="M274" i="18"/>
  <c r="L274" i="18"/>
  <c r="K274" i="18"/>
  <c r="J274" i="18"/>
  <c r="G274" i="18"/>
  <c r="F274" i="18"/>
  <c r="N273" i="18"/>
  <c r="M273" i="18"/>
  <c r="L273" i="18"/>
  <c r="K273" i="18"/>
  <c r="J273" i="18"/>
  <c r="G273" i="18"/>
  <c r="F273" i="18"/>
  <c r="M272" i="18"/>
  <c r="L272" i="18"/>
  <c r="N272" i="18" s="1"/>
  <c r="K272" i="18"/>
  <c r="J272" i="18"/>
  <c r="G272" i="18"/>
  <c r="F272" i="18"/>
  <c r="N271" i="18"/>
  <c r="M271" i="18"/>
  <c r="L271" i="18"/>
  <c r="K271" i="18"/>
  <c r="J271" i="18"/>
  <c r="G271" i="18"/>
  <c r="F271" i="18"/>
  <c r="N270" i="18"/>
  <c r="M270" i="18"/>
  <c r="L270" i="18"/>
  <c r="K270" i="18"/>
  <c r="J270" i="18"/>
  <c r="G270" i="18"/>
  <c r="F270" i="18"/>
  <c r="M269" i="18"/>
  <c r="L269" i="18"/>
  <c r="N269" i="18" s="1"/>
  <c r="K269" i="18"/>
  <c r="J269" i="18"/>
  <c r="G269" i="18"/>
  <c r="F269" i="18"/>
  <c r="M268" i="18"/>
  <c r="L268" i="18"/>
  <c r="N268" i="18" s="1"/>
  <c r="K268" i="18"/>
  <c r="J268" i="18"/>
  <c r="G268" i="18"/>
  <c r="F268" i="18"/>
  <c r="M267" i="18"/>
  <c r="L267" i="18"/>
  <c r="N267" i="18" s="1"/>
  <c r="K267" i="18"/>
  <c r="J267" i="18"/>
  <c r="G267" i="18"/>
  <c r="F267" i="18"/>
  <c r="N266" i="18"/>
  <c r="M266" i="18"/>
  <c r="L266" i="18"/>
  <c r="K266" i="18"/>
  <c r="J266" i="18"/>
  <c r="G266" i="18"/>
  <c r="F266" i="18"/>
  <c r="N265" i="18"/>
  <c r="M265" i="18"/>
  <c r="L265" i="18"/>
  <c r="K265" i="18"/>
  <c r="J265" i="18"/>
  <c r="G265" i="18"/>
  <c r="F265" i="18"/>
  <c r="M264" i="18"/>
  <c r="L264" i="18"/>
  <c r="N264" i="18" s="1"/>
  <c r="K264" i="18"/>
  <c r="J264" i="18"/>
  <c r="G264" i="18"/>
  <c r="F264" i="18"/>
  <c r="N263" i="18"/>
  <c r="M263" i="18"/>
  <c r="L263" i="18"/>
  <c r="K263" i="18"/>
  <c r="J263" i="18"/>
  <c r="G263" i="18"/>
  <c r="F263" i="18"/>
  <c r="N262" i="18"/>
  <c r="M262" i="18"/>
  <c r="L262" i="18"/>
  <c r="K262" i="18"/>
  <c r="J262" i="18"/>
  <c r="G262" i="18"/>
  <c r="F262" i="18"/>
  <c r="M261" i="18"/>
  <c r="L261" i="18"/>
  <c r="N261" i="18" s="1"/>
  <c r="K261" i="18"/>
  <c r="J261" i="18"/>
  <c r="G261" i="18"/>
  <c r="F261" i="18"/>
  <c r="M260" i="18"/>
  <c r="L260" i="18"/>
  <c r="N260" i="18" s="1"/>
  <c r="K260" i="18"/>
  <c r="J260" i="18"/>
  <c r="G260" i="18"/>
  <c r="F260" i="18"/>
  <c r="M259" i="18"/>
  <c r="L259" i="18"/>
  <c r="N259" i="18" s="1"/>
  <c r="K259" i="18"/>
  <c r="J259" i="18"/>
  <c r="G259" i="18"/>
  <c r="F259" i="18"/>
  <c r="N258" i="18"/>
  <c r="M258" i="18"/>
  <c r="L258" i="18"/>
  <c r="K258" i="18"/>
  <c r="J258" i="18"/>
  <c r="G258" i="18"/>
  <c r="F258" i="18"/>
  <c r="N257" i="18"/>
  <c r="M257" i="18"/>
  <c r="L257" i="18"/>
  <c r="K257" i="18"/>
  <c r="J257" i="18"/>
  <c r="G257" i="18"/>
  <c r="F257" i="18"/>
  <c r="M256" i="18"/>
  <c r="L256" i="18"/>
  <c r="N256" i="18" s="1"/>
  <c r="K256" i="18"/>
  <c r="J256" i="18"/>
  <c r="G256" i="18"/>
  <c r="F256" i="18"/>
  <c r="N255" i="18"/>
  <c r="M255" i="18"/>
  <c r="L255" i="18"/>
  <c r="K255" i="18"/>
  <c r="J255" i="18"/>
  <c r="G255" i="18"/>
  <c r="F255" i="18"/>
  <c r="N254" i="18"/>
  <c r="M254" i="18"/>
  <c r="L254" i="18"/>
  <c r="K254" i="18"/>
  <c r="J254" i="18"/>
  <c r="G254" i="18"/>
  <c r="F254" i="18"/>
  <c r="M253" i="18"/>
  <c r="L253" i="18"/>
  <c r="N253" i="18" s="1"/>
  <c r="K253" i="18"/>
  <c r="J253" i="18"/>
  <c r="G253" i="18"/>
  <c r="F253" i="18"/>
  <c r="M252" i="18"/>
  <c r="L252" i="18"/>
  <c r="N252" i="18" s="1"/>
  <c r="K252" i="18"/>
  <c r="J252" i="18"/>
  <c r="G252" i="18"/>
  <c r="F252" i="18"/>
  <c r="M251" i="18"/>
  <c r="L251" i="18"/>
  <c r="N251" i="18" s="1"/>
  <c r="K251" i="18"/>
  <c r="J251" i="18"/>
  <c r="G251" i="18"/>
  <c r="F251" i="18"/>
  <c r="N250" i="18"/>
  <c r="M250" i="18"/>
  <c r="L250" i="18"/>
  <c r="K250" i="18"/>
  <c r="J250" i="18"/>
  <c r="G250" i="18"/>
  <c r="F250" i="18"/>
  <c r="N249" i="18"/>
  <c r="M249" i="18"/>
  <c r="L249" i="18"/>
  <c r="K249" i="18"/>
  <c r="J249" i="18"/>
  <c r="G249" i="18"/>
  <c r="F249" i="18"/>
  <c r="M248" i="18"/>
  <c r="L248" i="18"/>
  <c r="N248" i="18" s="1"/>
  <c r="K248" i="18"/>
  <c r="J248" i="18"/>
  <c r="G248" i="18"/>
  <c r="F248" i="18"/>
  <c r="N247" i="18"/>
  <c r="M247" i="18"/>
  <c r="L247" i="18"/>
  <c r="K247" i="18"/>
  <c r="J247" i="18"/>
  <c r="G247" i="18"/>
  <c r="F247" i="18"/>
  <c r="N246" i="18"/>
  <c r="M246" i="18"/>
  <c r="L246" i="18"/>
  <c r="K246" i="18"/>
  <c r="J246" i="18"/>
  <c r="G246" i="18"/>
  <c r="F246" i="18"/>
  <c r="M245" i="18"/>
  <c r="L245" i="18"/>
  <c r="N245" i="18" s="1"/>
  <c r="K245" i="18"/>
  <c r="J245" i="18"/>
  <c r="G245" i="18"/>
  <c r="F245" i="18"/>
  <c r="M244" i="18"/>
  <c r="L244" i="18"/>
  <c r="N244" i="18" s="1"/>
  <c r="K244" i="18"/>
  <c r="J244" i="18"/>
  <c r="G244" i="18"/>
  <c r="F244" i="18"/>
  <c r="M243" i="18"/>
  <c r="L243" i="18"/>
  <c r="N243" i="18" s="1"/>
  <c r="K243" i="18"/>
  <c r="J243" i="18"/>
  <c r="G243" i="18"/>
  <c r="F243" i="18"/>
  <c r="N242" i="18"/>
  <c r="M242" i="18"/>
  <c r="L242" i="18"/>
  <c r="K242" i="18"/>
  <c r="J242" i="18"/>
  <c r="G242" i="18"/>
  <c r="F242" i="18"/>
  <c r="N241" i="18"/>
  <c r="M241" i="18"/>
  <c r="L241" i="18"/>
  <c r="K241" i="18"/>
  <c r="J241" i="18"/>
  <c r="G241" i="18"/>
  <c r="F241" i="18"/>
  <c r="M240" i="18"/>
  <c r="L240" i="18"/>
  <c r="N240" i="18" s="1"/>
  <c r="K240" i="18"/>
  <c r="J240" i="18"/>
  <c r="G240" i="18"/>
  <c r="F240" i="18"/>
  <c r="N239" i="18"/>
  <c r="M239" i="18"/>
  <c r="L239" i="18"/>
  <c r="K239" i="18"/>
  <c r="J239" i="18"/>
  <c r="G239" i="18"/>
  <c r="F239" i="18"/>
  <c r="N238" i="18"/>
  <c r="M238" i="18"/>
  <c r="L238" i="18"/>
  <c r="K238" i="18"/>
  <c r="J238" i="18"/>
  <c r="G238" i="18"/>
  <c r="F238" i="18"/>
  <c r="M237" i="18"/>
  <c r="L237" i="18"/>
  <c r="N237" i="18" s="1"/>
  <c r="K237" i="18"/>
  <c r="J237" i="18"/>
  <c r="G237" i="18"/>
  <c r="F237" i="18"/>
  <c r="M236" i="18"/>
  <c r="L236" i="18"/>
  <c r="N236" i="18" s="1"/>
  <c r="K236" i="18"/>
  <c r="J236" i="18"/>
  <c r="G236" i="18"/>
  <c r="F236" i="18"/>
  <c r="M235" i="18"/>
  <c r="L235" i="18"/>
  <c r="N235" i="18" s="1"/>
  <c r="K235" i="18"/>
  <c r="J235" i="18"/>
  <c r="G235" i="18"/>
  <c r="F235" i="18"/>
  <c r="N234" i="18"/>
  <c r="M234" i="18"/>
  <c r="L234" i="18"/>
  <c r="K234" i="18"/>
  <c r="J234" i="18"/>
  <c r="G234" i="18"/>
  <c r="F234" i="18"/>
  <c r="N233" i="18"/>
  <c r="M233" i="18"/>
  <c r="L233" i="18"/>
  <c r="K233" i="18"/>
  <c r="J233" i="18"/>
  <c r="G233" i="18"/>
  <c r="F233" i="18"/>
  <c r="M232" i="18"/>
  <c r="L232" i="18"/>
  <c r="N232" i="18" s="1"/>
  <c r="K232" i="18"/>
  <c r="J232" i="18"/>
  <c r="G232" i="18"/>
  <c r="F232" i="18"/>
  <c r="N231" i="18"/>
  <c r="M231" i="18"/>
  <c r="L231" i="18"/>
  <c r="K231" i="18"/>
  <c r="J231" i="18"/>
  <c r="G231" i="18"/>
  <c r="F231" i="18"/>
  <c r="N230" i="18"/>
  <c r="M230" i="18"/>
  <c r="L230" i="18"/>
  <c r="K230" i="18"/>
  <c r="J230" i="18"/>
  <c r="G230" i="18"/>
  <c r="F230" i="18"/>
  <c r="M229" i="18"/>
  <c r="L229" i="18"/>
  <c r="N229" i="18" s="1"/>
  <c r="K229" i="18"/>
  <c r="J229" i="18"/>
  <c r="G229" i="18"/>
  <c r="F229" i="18"/>
  <c r="M228" i="18"/>
  <c r="L228" i="18"/>
  <c r="N228" i="18" s="1"/>
  <c r="K228" i="18"/>
  <c r="J228" i="18"/>
  <c r="G228" i="18"/>
  <c r="F228" i="18"/>
  <c r="M227" i="18"/>
  <c r="L227" i="18"/>
  <c r="N227" i="18" s="1"/>
  <c r="K227" i="18"/>
  <c r="J227" i="18"/>
  <c r="G227" i="18"/>
  <c r="F227" i="18"/>
  <c r="N226" i="18"/>
  <c r="M226" i="18"/>
  <c r="L226" i="18"/>
  <c r="K226" i="18"/>
  <c r="J226" i="18"/>
  <c r="G226" i="18"/>
  <c r="F226" i="18"/>
  <c r="N225" i="18"/>
  <c r="M225" i="18"/>
  <c r="L225" i="18"/>
  <c r="K225" i="18"/>
  <c r="J225" i="18"/>
  <c r="G225" i="18"/>
  <c r="F225" i="18"/>
  <c r="M224" i="18"/>
  <c r="L224" i="18"/>
  <c r="N224" i="18" s="1"/>
  <c r="K224" i="18"/>
  <c r="J224" i="18"/>
  <c r="G224" i="18"/>
  <c r="F224" i="18"/>
  <c r="N223" i="18"/>
  <c r="M223" i="18"/>
  <c r="L223" i="18"/>
  <c r="K223" i="18"/>
  <c r="J223" i="18"/>
  <c r="G223" i="18"/>
  <c r="F223" i="18"/>
  <c r="N222" i="18"/>
  <c r="M222" i="18"/>
  <c r="L222" i="18"/>
  <c r="K222" i="18"/>
  <c r="J222" i="18"/>
  <c r="G222" i="18"/>
  <c r="F222" i="18"/>
  <c r="M221" i="18"/>
  <c r="L221" i="18"/>
  <c r="N221" i="18" s="1"/>
  <c r="K221" i="18"/>
  <c r="J221" i="18"/>
  <c r="G221" i="18"/>
  <c r="F221" i="18"/>
  <c r="M220" i="18"/>
  <c r="L220" i="18"/>
  <c r="N220" i="18" s="1"/>
  <c r="K220" i="18"/>
  <c r="J220" i="18"/>
  <c r="G220" i="18"/>
  <c r="F220" i="18"/>
  <c r="M219" i="18"/>
  <c r="L219" i="18"/>
  <c r="N219" i="18" s="1"/>
  <c r="K219" i="18"/>
  <c r="J219" i="18"/>
  <c r="G219" i="18"/>
  <c r="F219" i="18"/>
  <c r="N218" i="18"/>
  <c r="M218" i="18"/>
  <c r="L218" i="18"/>
  <c r="K218" i="18"/>
  <c r="J218" i="18"/>
  <c r="G218" i="18"/>
  <c r="F218" i="18"/>
  <c r="N217" i="18"/>
  <c r="M217" i="18"/>
  <c r="L217" i="18"/>
  <c r="K217" i="18"/>
  <c r="J217" i="18"/>
  <c r="G217" i="18"/>
  <c r="F217" i="18"/>
  <c r="M216" i="18"/>
  <c r="L216" i="18"/>
  <c r="N216" i="18" s="1"/>
  <c r="K216" i="18"/>
  <c r="J216" i="18"/>
  <c r="G216" i="18"/>
  <c r="F216" i="18"/>
  <c r="N215" i="18"/>
  <c r="M215" i="18"/>
  <c r="L215" i="18"/>
  <c r="K215" i="18"/>
  <c r="J215" i="18"/>
  <c r="G215" i="18"/>
  <c r="F215" i="18"/>
  <c r="N214" i="18"/>
  <c r="M214" i="18"/>
  <c r="L214" i="18"/>
  <c r="K214" i="18"/>
  <c r="J214" i="18"/>
  <c r="G214" i="18"/>
  <c r="F214" i="18"/>
  <c r="M213" i="18"/>
  <c r="L213" i="18"/>
  <c r="N213" i="18" s="1"/>
  <c r="K213" i="18"/>
  <c r="J213" i="18"/>
  <c r="G213" i="18"/>
  <c r="F213" i="18"/>
  <c r="M212" i="18"/>
  <c r="L212" i="18"/>
  <c r="N212" i="18" s="1"/>
  <c r="K212" i="18"/>
  <c r="J212" i="18"/>
  <c r="G212" i="18"/>
  <c r="F212" i="18"/>
  <c r="M211" i="18"/>
  <c r="L211" i="18"/>
  <c r="N211" i="18" s="1"/>
  <c r="K211" i="18"/>
  <c r="J211" i="18"/>
  <c r="G211" i="18"/>
  <c r="F211" i="18"/>
  <c r="N210" i="18"/>
  <c r="M210" i="18"/>
  <c r="L210" i="18"/>
  <c r="K210" i="18"/>
  <c r="J210" i="18"/>
  <c r="G210" i="18"/>
  <c r="F210" i="18"/>
  <c r="N209" i="18"/>
  <c r="M209" i="18"/>
  <c r="L209" i="18"/>
  <c r="K209" i="18"/>
  <c r="J209" i="18"/>
  <c r="G209" i="18"/>
  <c r="F209" i="18"/>
  <c r="M208" i="18"/>
  <c r="L208" i="18"/>
  <c r="N208" i="18" s="1"/>
  <c r="K208" i="18"/>
  <c r="J208" i="18"/>
  <c r="G208" i="18"/>
  <c r="F208" i="18"/>
  <c r="N207" i="18"/>
  <c r="M207" i="18"/>
  <c r="L207" i="18"/>
  <c r="K207" i="18"/>
  <c r="J207" i="18"/>
  <c r="G207" i="18"/>
  <c r="F207" i="18"/>
  <c r="N206" i="18"/>
  <c r="M206" i="18"/>
  <c r="L206" i="18"/>
  <c r="K206" i="18"/>
  <c r="J206" i="18"/>
  <c r="G206" i="18"/>
  <c r="F206" i="18"/>
  <c r="M205" i="18"/>
  <c r="L205" i="18"/>
  <c r="N205" i="18" s="1"/>
  <c r="K205" i="18"/>
  <c r="J205" i="18"/>
  <c r="G205" i="18"/>
  <c r="F205" i="18"/>
  <c r="M204" i="18"/>
  <c r="L204" i="18"/>
  <c r="N204" i="18" s="1"/>
  <c r="K204" i="18"/>
  <c r="J204" i="18"/>
  <c r="G204" i="18"/>
  <c r="F204" i="18"/>
  <c r="M203" i="18"/>
  <c r="L203" i="18"/>
  <c r="N203" i="18" s="1"/>
  <c r="K203" i="18"/>
  <c r="J203" i="18"/>
  <c r="G203" i="18"/>
  <c r="F203" i="18"/>
  <c r="N202" i="18"/>
  <c r="M202" i="18"/>
  <c r="L202" i="18"/>
  <c r="K202" i="18"/>
  <c r="J202" i="18"/>
  <c r="G202" i="18"/>
  <c r="F202" i="18"/>
  <c r="N201" i="18"/>
  <c r="M201" i="18"/>
  <c r="L201" i="18"/>
  <c r="K201" i="18"/>
  <c r="J201" i="18"/>
  <c r="G201" i="18"/>
  <c r="F201" i="18"/>
  <c r="M200" i="18"/>
  <c r="L200" i="18"/>
  <c r="N200" i="18" s="1"/>
  <c r="K200" i="18"/>
  <c r="J200" i="18"/>
  <c r="G200" i="18"/>
  <c r="F200" i="18"/>
  <c r="N199" i="18"/>
  <c r="M199" i="18"/>
  <c r="L199" i="18"/>
  <c r="K199" i="18"/>
  <c r="J199" i="18"/>
  <c r="G199" i="18"/>
  <c r="F199" i="18"/>
  <c r="N198" i="18"/>
  <c r="M198" i="18"/>
  <c r="L198" i="18"/>
  <c r="K198" i="18"/>
  <c r="J198" i="18"/>
  <c r="G198" i="18"/>
  <c r="F198" i="18"/>
  <c r="M197" i="18"/>
  <c r="L197" i="18"/>
  <c r="N197" i="18" s="1"/>
  <c r="K197" i="18"/>
  <c r="J197" i="18"/>
  <c r="G197" i="18"/>
  <c r="F197" i="18"/>
  <c r="M196" i="18"/>
  <c r="L196" i="18"/>
  <c r="N196" i="18" s="1"/>
  <c r="K196" i="18"/>
  <c r="J196" i="18"/>
  <c r="G196" i="18"/>
  <c r="F196" i="18"/>
  <c r="M195" i="18"/>
  <c r="L195" i="18"/>
  <c r="N195" i="18" s="1"/>
  <c r="K195" i="18"/>
  <c r="J195" i="18"/>
  <c r="G195" i="18"/>
  <c r="F195" i="18"/>
  <c r="N194" i="18"/>
  <c r="M194" i="18"/>
  <c r="L194" i="18"/>
  <c r="K194" i="18"/>
  <c r="J194" i="18"/>
  <c r="G194" i="18"/>
  <c r="F194" i="18"/>
  <c r="N193" i="18"/>
  <c r="M193" i="18"/>
  <c r="L193" i="18"/>
  <c r="K193" i="18"/>
  <c r="J193" i="18"/>
  <c r="G193" i="18"/>
  <c r="F193" i="18"/>
  <c r="M192" i="18"/>
  <c r="L192" i="18"/>
  <c r="N192" i="18" s="1"/>
  <c r="K192" i="18"/>
  <c r="J192" i="18"/>
  <c r="G192" i="18"/>
  <c r="F192" i="18"/>
  <c r="N191" i="18"/>
  <c r="M191" i="18"/>
  <c r="L191" i="18"/>
  <c r="K191" i="18"/>
  <c r="J191" i="18"/>
  <c r="G191" i="18"/>
  <c r="F191" i="18"/>
  <c r="N190" i="18"/>
  <c r="M190" i="18"/>
  <c r="L190" i="18"/>
  <c r="K190" i="18"/>
  <c r="J190" i="18"/>
  <c r="G190" i="18"/>
  <c r="F190" i="18"/>
  <c r="M189" i="18"/>
  <c r="L189" i="18"/>
  <c r="N189" i="18" s="1"/>
  <c r="K189" i="18"/>
  <c r="J189" i="18"/>
  <c r="G189" i="18"/>
  <c r="F189" i="18"/>
  <c r="M188" i="18"/>
  <c r="L188" i="18"/>
  <c r="N188" i="18" s="1"/>
  <c r="K188" i="18"/>
  <c r="J188" i="18"/>
  <c r="G188" i="18"/>
  <c r="F188" i="18"/>
  <c r="M187" i="18"/>
  <c r="L187" i="18"/>
  <c r="N187" i="18" s="1"/>
  <c r="K187" i="18"/>
  <c r="J187" i="18"/>
  <c r="G187" i="18"/>
  <c r="F187" i="18"/>
  <c r="N186" i="18"/>
  <c r="M186" i="18"/>
  <c r="L186" i="18"/>
  <c r="K186" i="18"/>
  <c r="J186" i="18"/>
  <c r="G186" i="18"/>
  <c r="F186" i="18"/>
  <c r="N185" i="18"/>
  <c r="M185" i="18"/>
  <c r="L185" i="18"/>
  <c r="K185" i="18"/>
  <c r="J185" i="18"/>
  <c r="G185" i="18"/>
  <c r="F185" i="18"/>
  <c r="M184" i="18"/>
  <c r="L184" i="18"/>
  <c r="N184" i="18" s="1"/>
  <c r="K184" i="18"/>
  <c r="J184" i="18"/>
  <c r="G184" i="18"/>
  <c r="F184" i="18"/>
  <c r="N183" i="18"/>
  <c r="M183" i="18"/>
  <c r="L183" i="18"/>
  <c r="K183" i="18"/>
  <c r="J183" i="18"/>
  <c r="G183" i="18"/>
  <c r="F183" i="18"/>
  <c r="N182" i="18"/>
  <c r="M182" i="18"/>
  <c r="L182" i="18"/>
  <c r="K182" i="18"/>
  <c r="J182" i="18"/>
  <c r="G182" i="18"/>
  <c r="F182" i="18"/>
  <c r="M181" i="18"/>
  <c r="L181" i="18"/>
  <c r="N181" i="18" s="1"/>
  <c r="K181" i="18"/>
  <c r="J181" i="18"/>
  <c r="G181" i="18"/>
  <c r="F181" i="18"/>
  <c r="M180" i="18"/>
  <c r="L180" i="18"/>
  <c r="N180" i="18" s="1"/>
  <c r="K180" i="18"/>
  <c r="J180" i="18"/>
  <c r="G180" i="18"/>
  <c r="F180" i="18"/>
  <c r="M179" i="18"/>
  <c r="L179" i="18"/>
  <c r="N179" i="18" s="1"/>
  <c r="K179" i="18"/>
  <c r="J179" i="18"/>
  <c r="G179" i="18"/>
  <c r="F179" i="18"/>
  <c r="N178" i="18"/>
  <c r="M178" i="18"/>
  <c r="L178" i="18"/>
  <c r="K178" i="18"/>
  <c r="J178" i="18"/>
  <c r="G178" i="18"/>
  <c r="F178" i="18"/>
  <c r="N177" i="18"/>
  <c r="M177" i="18"/>
  <c r="L177" i="18"/>
  <c r="K177" i="18"/>
  <c r="J177" i="18"/>
  <c r="G177" i="18"/>
  <c r="F177" i="18"/>
  <c r="M176" i="18"/>
  <c r="L176" i="18"/>
  <c r="N176" i="18" s="1"/>
  <c r="K176" i="18"/>
  <c r="J176" i="18"/>
  <c r="G176" i="18"/>
  <c r="F176" i="18"/>
  <c r="N175" i="18"/>
  <c r="M175" i="18"/>
  <c r="L175" i="18"/>
  <c r="K175" i="18"/>
  <c r="J175" i="18"/>
  <c r="G175" i="18"/>
  <c r="F175" i="18"/>
  <c r="N174" i="18"/>
  <c r="M174" i="18"/>
  <c r="L174" i="18"/>
  <c r="K174" i="18"/>
  <c r="J174" i="18"/>
  <c r="G174" i="18"/>
  <c r="F174" i="18"/>
  <c r="M173" i="18"/>
  <c r="L173" i="18"/>
  <c r="N173" i="18" s="1"/>
  <c r="K173" i="18"/>
  <c r="J173" i="18"/>
  <c r="G173" i="18"/>
  <c r="F173" i="18"/>
  <c r="M172" i="18"/>
  <c r="L172" i="18"/>
  <c r="N172" i="18" s="1"/>
  <c r="K172" i="18"/>
  <c r="J172" i="18"/>
  <c r="G172" i="18"/>
  <c r="F172" i="18"/>
  <c r="M171" i="18"/>
  <c r="L171" i="18"/>
  <c r="N171" i="18" s="1"/>
  <c r="K171" i="18"/>
  <c r="J171" i="18"/>
  <c r="G171" i="18"/>
  <c r="F171" i="18"/>
  <c r="N170" i="18"/>
  <c r="M170" i="18"/>
  <c r="L170" i="18"/>
  <c r="K170" i="18"/>
  <c r="J170" i="18"/>
  <c r="G170" i="18"/>
  <c r="F170" i="18"/>
  <c r="N169" i="18"/>
  <c r="M169" i="18"/>
  <c r="L169" i="18"/>
  <c r="K169" i="18"/>
  <c r="J169" i="18"/>
  <c r="G169" i="18"/>
  <c r="F169" i="18"/>
  <c r="M168" i="18"/>
  <c r="L168" i="18"/>
  <c r="N168" i="18" s="1"/>
  <c r="K168" i="18"/>
  <c r="J168" i="18"/>
  <c r="G168" i="18"/>
  <c r="F168" i="18"/>
  <c r="N167" i="18"/>
  <c r="M167" i="18"/>
  <c r="L167" i="18"/>
  <c r="K167" i="18"/>
  <c r="J167" i="18"/>
  <c r="G167" i="18"/>
  <c r="F167" i="18"/>
  <c r="N166" i="18"/>
  <c r="M166" i="18"/>
  <c r="L166" i="18"/>
  <c r="K166" i="18"/>
  <c r="J166" i="18"/>
  <c r="G166" i="18"/>
  <c r="F166" i="18"/>
  <c r="M165" i="18"/>
  <c r="L165" i="18"/>
  <c r="N165" i="18" s="1"/>
  <c r="K165" i="18"/>
  <c r="J165" i="18"/>
  <c r="G165" i="18"/>
  <c r="F165" i="18"/>
  <c r="M164" i="18"/>
  <c r="L164" i="18"/>
  <c r="N164" i="18" s="1"/>
  <c r="K164" i="18"/>
  <c r="J164" i="18"/>
  <c r="G164" i="18"/>
  <c r="F164" i="18"/>
  <c r="M163" i="18"/>
  <c r="L163" i="18"/>
  <c r="N163" i="18" s="1"/>
  <c r="K163" i="18"/>
  <c r="J163" i="18"/>
  <c r="G163" i="18"/>
  <c r="F163" i="18"/>
  <c r="N162" i="18"/>
  <c r="M162" i="18"/>
  <c r="L162" i="18"/>
  <c r="K162" i="18"/>
  <c r="J162" i="18"/>
  <c r="G162" i="18"/>
  <c r="F162" i="18"/>
  <c r="N161" i="18"/>
  <c r="M161" i="18"/>
  <c r="L161" i="18"/>
  <c r="K161" i="18"/>
  <c r="J161" i="18"/>
  <c r="G161" i="18"/>
  <c r="F161" i="18"/>
  <c r="M160" i="18"/>
  <c r="L160" i="18"/>
  <c r="N160" i="18" s="1"/>
  <c r="K160" i="18"/>
  <c r="J160" i="18"/>
  <c r="G160" i="18"/>
  <c r="F160" i="18"/>
  <c r="N159" i="18"/>
  <c r="M159" i="18"/>
  <c r="L159" i="18"/>
  <c r="K159" i="18"/>
  <c r="J159" i="18"/>
  <c r="G159" i="18"/>
  <c r="F159" i="18"/>
  <c r="N158" i="18"/>
  <c r="M158" i="18"/>
  <c r="L158" i="18"/>
  <c r="K158" i="18"/>
  <c r="J158" i="18"/>
  <c r="G158" i="18"/>
  <c r="F158" i="18"/>
  <c r="M157" i="18"/>
  <c r="L157" i="18"/>
  <c r="N157" i="18" s="1"/>
  <c r="K157" i="18"/>
  <c r="J157" i="18"/>
  <c r="G157" i="18"/>
  <c r="F157" i="18"/>
  <c r="M156" i="18"/>
  <c r="L156" i="18"/>
  <c r="N156" i="18" s="1"/>
  <c r="K156" i="18"/>
  <c r="J156" i="18"/>
  <c r="G156" i="18"/>
  <c r="F156" i="18"/>
  <c r="M155" i="18"/>
  <c r="L155" i="18"/>
  <c r="N155" i="18" s="1"/>
  <c r="K155" i="18"/>
  <c r="J155" i="18"/>
  <c r="G155" i="18"/>
  <c r="F155" i="18"/>
  <c r="N154" i="18"/>
  <c r="M154" i="18"/>
  <c r="L154" i="18"/>
  <c r="K154" i="18"/>
  <c r="J154" i="18"/>
  <c r="G154" i="18"/>
  <c r="F154" i="18"/>
  <c r="N153" i="18"/>
  <c r="M153" i="18"/>
  <c r="L153" i="18"/>
  <c r="K153" i="18"/>
  <c r="J153" i="18"/>
  <c r="G153" i="18"/>
  <c r="F153" i="18"/>
  <c r="M152" i="18"/>
  <c r="L152" i="18"/>
  <c r="N152" i="18" s="1"/>
  <c r="K152" i="18"/>
  <c r="J152" i="18"/>
  <c r="G152" i="18"/>
  <c r="F152" i="18"/>
  <c r="N151" i="18"/>
  <c r="M151" i="18"/>
  <c r="L151" i="18"/>
  <c r="K151" i="18"/>
  <c r="J151" i="18"/>
  <c r="G151" i="18"/>
  <c r="F151" i="18"/>
  <c r="N150" i="18"/>
  <c r="M150" i="18"/>
  <c r="L150" i="18"/>
  <c r="K150" i="18"/>
  <c r="J150" i="18"/>
  <c r="G150" i="18"/>
  <c r="F150" i="18"/>
  <c r="N149" i="18"/>
  <c r="M149" i="18"/>
  <c r="L149" i="18"/>
  <c r="K149" i="18"/>
  <c r="J149" i="18"/>
  <c r="G149" i="18"/>
  <c r="F149" i="18"/>
  <c r="M148" i="18"/>
  <c r="L148" i="18"/>
  <c r="N148" i="18" s="1"/>
  <c r="K148" i="18"/>
  <c r="J148" i="18"/>
  <c r="G148" i="18"/>
  <c r="F148" i="18"/>
  <c r="M147" i="18"/>
  <c r="L147" i="18"/>
  <c r="N147" i="18" s="1"/>
  <c r="K147" i="18"/>
  <c r="J147" i="18"/>
  <c r="G147" i="18"/>
  <c r="F147" i="18"/>
  <c r="N146" i="18"/>
  <c r="M146" i="18"/>
  <c r="L146" i="18"/>
  <c r="K146" i="18"/>
  <c r="J146" i="18"/>
  <c r="G146" i="18"/>
  <c r="F146" i="18"/>
  <c r="N145" i="18"/>
  <c r="M145" i="18"/>
  <c r="L145" i="18"/>
  <c r="K145" i="18"/>
  <c r="J145" i="18"/>
  <c r="G145" i="18"/>
  <c r="F145" i="18"/>
  <c r="M144" i="18"/>
  <c r="L144" i="18"/>
  <c r="N144" i="18" s="1"/>
  <c r="K144" i="18"/>
  <c r="J144" i="18"/>
  <c r="G144" i="18"/>
  <c r="F144" i="18"/>
  <c r="N143" i="18"/>
  <c r="M143" i="18"/>
  <c r="L143" i="18"/>
  <c r="K143" i="18"/>
  <c r="J143" i="18"/>
  <c r="G143" i="18"/>
  <c r="F143" i="18"/>
  <c r="N142" i="18"/>
  <c r="M142" i="18"/>
  <c r="L142" i="18"/>
  <c r="K142" i="18"/>
  <c r="J142" i="18"/>
  <c r="G142" i="18"/>
  <c r="F142" i="18"/>
  <c r="N141" i="18"/>
  <c r="M141" i="18"/>
  <c r="L141" i="18"/>
  <c r="K141" i="18"/>
  <c r="J141" i="18"/>
  <c r="G141" i="18"/>
  <c r="F141" i="18"/>
  <c r="M140" i="18"/>
  <c r="L140" i="18"/>
  <c r="N140" i="18" s="1"/>
  <c r="K140" i="18"/>
  <c r="J140" i="18"/>
  <c r="G140" i="18"/>
  <c r="F140" i="18"/>
  <c r="M139" i="18"/>
  <c r="L139" i="18"/>
  <c r="N139" i="18" s="1"/>
  <c r="K139" i="18"/>
  <c r="J139" i="18"/>
  <c r="G139" i="18"/>
  <c r="F139" i="18"/>
  <c r="N138" i="18"/>
  <c r="M138" i="18"/>
  <c r="L138" i="18"/>
  <c r="K138" i="18"/>
  <c r="J138" i="18"/>
  <c r="G138" i="18"/>
  <c r="F138" i="18"/>
  <c r="N137" i="18"/>
  <c r="M137" i="18"/>
  <c r="L137" i="18"/>
  <c r="K137" i="18"/>
  <c r="J137" i="18"/>
  <c r="G137" i="18"/>
  <c r="F137" i="18"/>
  <c r="M136" i="18"/>
  <c r="L136" i="18"/>
  <c r="N136" i="18" s="1"/>
  <c r="K136" i="18"/>
  <c r="J136" i="18"/>
  <c r="G136" i="18"/>
  <c r="F136" i="18"/>
  <c r="N135" i="18"/>
  <c r="M135" i="18"/>
  <c r="L135" i="18"/>
  <c r="K135" i="18"/>
  <c r="J135" i="18"/>
  <c r="G135" i="18"/>
  <c r="F135" i="18"/>
  <c r="N134" i="18"/>
  <c r="M134" i="18"/>
  <c r="L134" i="18"/>
  <c r="K134" i="18"/>
  <c r="J134" i="18"/>
  <c r="G134" i="18"/>
  <c r="F134" i="18"/>
  <c r="M133" i="18"/>
  <c r="L133" i="18"/>
  <c r="N133" i="18" s="1"/>
  <c r="K133" i="18"/>
  <c r="J133" i="18"/>
  <c r="G133" i="18"/>
  <c r="F133" i="18"/>
  <c r="M132" i="18"/>
  <c r="L132" i="18"/>
  <c r="N132" i="18" s="1"/>
  <c r="K132" i="18"/>
  <c r="J132" i="18"/>
  <c r="G132" i="18"/>
  <c r="F132" i="18"/>
  <c r="M131" i="18"/>
  <c r="L131" i="18"/>
  <c r="N131" i="18" s="1"/>
  <c r="K131" i="18"/>
  <c r="J131" i="18"/>
  <c r="G131" i="18"/>
  <c r="F131" i="18"/>
  <c r="N130" i="18"/>
  <c r="M130" i="18"/>
  <c r="L130" i="18"/>
  <c r="K130" i="18"/>
  <c r="J130" i="18"/>
  <c r="G130" i="18"/>
  <c r="F130" i="18"/>
  <c r="N129" i="18"/>
  <c r="M129" i="18"/>
  <c r="L129" i="18"/>
  <c r="K129" i="18"/>
  <c r="J129" i="18"/>
  <c r="G129" i="18"/>
  <c r="F129" i="18"/>
  <c r="M128" i="18"/>
  <c r="L128" i="18"/>
  <c r="N128" i="18" s="1"/>
  <c r="K128" i="18"/>
  <c r="J128" i="18"/>
  <c r="G128" i="18"/>
  <c r="F128" i="18"/>
  <c r="N127" i="18"/>
  <c r="M127" i="18"/>
  <c r="L127" i="18"/>
  <c r="K127" i="18"/>
  <c r="J127" i="18"/>
  <c r="G127" i="18"/>
  <c r="F127" i="18"/>
  <c r="N126" i="18"/>
  <c r="M126" i="18"/>
  <c r="L126" i="18"/>
  <c r="K126" i="18"/>
  <c r="J126" i="18"/>
  <c r="G126" i="18"/>
  <c r="F126" i="18"/>
  <c r="M125" i="18"/>
  <c r="L125" i="18"/>
  <c r="N125" i="18" s="1"/>
  <c r="K125" i="18"/>
  <c r="J125" i="18"/>
  <c r="G125" i="18"/>
  <c r="F125" i="18"/>
  <c r="M124" i="18"/>
  <c r="L124" i="18"/>
  <c r="N124" i="18" s="1"/>
  <c r="K124" i="18"/>
  <c r="J124" i="18"/>
  <c r="G124" i="18"/>
  <c r="F124" i="18"/>
  <c r="M123" i="18"/>
  <c r="L123" i="18"/>
  <c r="N123" i="18" s="1"/>
  <c r="K123" i="18"/>
  <c r="J123" i="18"/>
  <c r="G123" i="18"/>
  <c r="F123" i="18"/>
  <c r="N122" i="18"/>
  <c r="M122" i="18"/>
  <c r="L122" i="18"/>
  <c r="K122" i="18"/>
  <c r="J122" i="18"/>
  <c r="G122" i="18"/>
  <c r="F122" i="18"/>
  <c r="N121" i="18"/>
  <c r="M121" i="18"/>
  <c r="L121" i="18"/>
  <c r="K121" i="18"/>
  <c r="J121" i="18"/>
  <c r="G121" i="18"/>
  <c r="F121" i="18"/>
  <c r="M120" i="18"/>
  <c r="L120" i="18"/>
  <c r="N120" i="18" s="1"/>
  <c r="K120" i="18"/>
  <c r="J120" i="18"/>
  <c r="G120" i="18"/>
  <c r="F120" i="18"/>
  <c r="N119" i="18"/>
  <c r="M119" i="18"/>
  <c r="L119" i="18"/>
  <c r="K119" i="18"/>
  <c r="J119" i="18"/>
  <c r="G119" i="18"/>
  <c r="F119" i="18"/>
  <c r="N118" i="18"/>
  <c r="M118" i="18"/>
  <c r="L118" i="18"/>
  <c r="K118" i="18"/>
  <c r="J118" i="18"/>
  <c r="G118" i="18"/>
  <c r="F118" i="18"/>
  <c r="N117" i="18"/>
  <c r="M117" i="18"/>
  <c r="L117" i="18"/>
  <c r="K117" i="18"/>
  <c r="J117" i="18"/>
  <c r="G117" i="18"/>
  <c r="F117" i="18"/>
  <c r="M116" i="18"/>
  <c r="L116" i="18"/>
  <c r="N116" i="18" s="1"/>
  <c r="K116" i="18"/>
  <c r="J116" i="18"/>
  <c r="G116" i="18"/>
  <c r="F116" i="18"/>
  <c r="M115" i="18"/>
  <c r="L115" i="18"/>
  <c r="N115" i="18" s="1"/>
  <c r="K115" i="18"/>
  <c r="J115" i="18"/>
  <c r="G115" i="18"/>
  <c r="F115" i="18"/>
  <c r="N114" i="18"/>
  <c r="M114" i="18"/>
  <c r="L114" i="18"/>
  <c r="K114" i="18"/>
  <c r="J114" i="18"/>
  <c r="G114" i="18"/>
  <c r="F114" i="18"/>
  <c r="N113" i="18"/>
  <c r="M113" i="18"/>
  <c r="L113" i="18"/>
  <c r="K113" i="18"/>
  <c r="J113" i="18"/>
  <c r="G113" i="18"/>
  <c r="F113" i="18"/>
  <c r="M112" i="18"/>
  <c r="L112" i="18"/>
  <c r="N112" i="18" s="1"/>
  <c r="K112" i="18"/>
  <c r="J112" i="18"/>
  <c r="G112" i="18"/>
  <c r="F112" i="18"/>
  <c r="N111" i="18"/>
  <c r="M111" i="18"/>
  <c r="L111" i="18"/>
  <c r="K111" i="18"/>
  <c r="J111" i="18"/>
  <c r="G111" i="18"/>
  <c r="F111" i="18"/>
  <c r="N110" i="18"/>
  <c r="M110" i="18"/>
  <c r="L110" i="18"/>
  <c r="K110" i="18"/>
  <c r="J110" i="18"/>
  <c r="G110" i="18"/>
  <c r="F110" i="18"/>
  <c r="N109" i="18"/>
  <c r="M109" i="18"/>
  <c r="L109" i="18"/>
  <c r="K109" i="18"/>
  <c r="J109" i="18"/>
  <c r="G109" i="18"/>
  <c r="F109" i="18"/>
  <c r="M108" i="18"/>
  <c r="L108" i="18"/>
  <c r="N108" i="18" s="1"/>
  <c r="K108" i="18"/>
  <c r="J108" i="18"/>
  <c r="G108" i="18"/>
  <c r="F108" i="18"/>
  <c r="M107" i="18"/>
  <c r="L107" i="18"/>
  <c r="N107" i="18" s="1"/>
  <c r="K107" i="18"/>
  <c r="J107" i="18"/>
  <c r="G107" i="18"/>
  <c r="F107" i="18"/>
  <c r="N106" i="18"/>
  <c r="M106" i="18"/>
  <c r="L106" i="18"/>
  <c r="K106" i="18"/>
  <c r="J106" i="18"/>
  <c r="G106" i="18"/>
  <c r="F106" i="18"/>
  <c r="N105" i="18"/>
  <c r="M105" i="18"/>
  <c r="L105" i="18"/>
  <c r="K105" i="18"/>
  <c r="J105" i="18"/>
  <c r="G105" i="18"/>
  <c r="F105" i="18"/>
  <c r="M104" i="18"/>
  <c r="L104" i="18"/>
  <c r="N104" i="18" s="1"/>
  <c r="K104" i="18"/>
  <c r="J104" i="18"/>
  <c r="G104" i="18"/>
  <c r="F104" i="18"/>
  <c r="N103" i="18"/>
  <c r="M103" i="18"/>
  <c r="N102" i="23" s="1"/>
  <c r="L103" i="18"/>
  <c r="K102" i="23" s="1"/>
  <c r="E103" i="24" s="1"/>
  <c r="K103" i="18"/>
  <c r="L102" i="23" s="1"/>
  <c r="J103" i="18"/>
  <c r="G103" i="18"/>
  <c r="F103" i="18"/>
  <c r="N102" i="18"/>
  <c r="M102" i="18"/>
  <c r="N101" i="23" s="1"/>
  <c r="L102" i="18"/>
  <c r="K101" i="23" s="1"/>
  <c r="E102" i="24" s="1"/>
  <c r="K102" i="18"/>
  <c r="L101" i="23" s="1"/>
  <c r="J102" i="18"/>
  <c r="G102" i="18"/>
  <c r="F102" i="18"/>
  <c r="M101" i="18"/>
  <c r="N100" i="23" s="1"/>
  <c r="L101" i="18"/>
  <c r="K100" i="23" s="1"/>
  <c r="E101" i="24" s="1"/>
  <c r="K101" i="18"/>
  <c r="L100" i="23" s="1"/>
  <c r="J101" i="18"/>
  <c r="G101" i="18"/>
  <c r="F101" i="18"/>
  <c r="M100" i="18"/>
  <c r="N99" i="23" s="1"/>
  <c r="L100" i="18"/>
  <c r="K100" i="18"/>
  <c r="L99" i="23" s="1"/>
  <c r="J100" i="18"/>
  <c r="G100" i="18"/>
  <c r="F100" i="18"/>
  <c r="M99" i="18"/>
  <c r="N98" i="23" s="1"/>
  <c r="L99" i="18"/>
  <c r="K99" i="18"/>
  <c r="L98" i="23" s="1"/>
  <c r="J99" i="18"/>
  <c r="G99" i="18"/>
  <c r="F99" i="18"/>
  <c r="N98" i="18"/>
  <c r="M98" i="18"/>
  <c r="N97" i="23" s="1"/>
  <c r="L98" i="18"/>
  <c r="K97" i="23" s="1"/>
  <c r="E98" i="24" s="1"/>
  <c r="K98" i="18"/>
  <c r="L97" i="23" s="1"/>
  <c r="J98" i="18"/>
  <c r="G98" i="18"/>
  <c r="F98" i="18"/>
  <c r="N97" i="18"/>
  <c r="M97" i="18"/>
  <c r="N96" i="23" s="1"/>
  <c r="L97" i="18"/>
  <c r="K96" i="23" s="1"/>
  <c r="E97" i="24" s="1"/>
  <c r="K97" i="18"/>
  <c r="L96" i="23" s="1"/>
  <c r="J97" i="18"/>
  <c r="G97" i="18"/>
  <c r="F97" i="18"/>
  <c r="M96" i="18"/>
  <c r="N95" i="23" s="1"/>
  <c r="L96" i="18"/>
  <c r="K95" i="23" s="1"/>
  <c r="E96" i="24" s="1"/>
  <c r="K96" i="18"/>
  <c r="L95" i="23" s="1"/>
  <c r="J96" i="18"/>
  <c r="G96" i="18"/>
  <c r="F96" i="18"/>
  <c r="N95" i="18"/>
  <c r="M95" i="18"/>
  <c r="N94" i="23" s="1"/>
  <c r="L95" i="18"/>
  <c r="K94" i="23" s="1"/>
  <c r="E95" i="24" s="1"/>
  <c r="K95" i="18"/>
  <c r="L94" i="23" s="1"/>
  <c r="J95" i="18"/>
  <c r="G95" i="18"/>
  <c r="F95" i="18"/>
  <c r="N94" i="18"/>
  <c r="M94" i="18"/>
  <c r="N93" i="23" s="1"/>
  <c r="L94" i="18"/>
  <c r="K93" i="23" s="1"/>
  <c r="E94" i="24" s="1"/>
  <c r="K94" i="18"/>
  <c r="L93" i="23" s="1"/>
  <c r="J94" i="18"/>
  <c r="G94" i="18"/>
  <c r="F94" i="18"/>
  <c r="M93" i="18"/>
  <c r="N92" i="23" s="1"/>
  <c r="L93" i="18"/>
  <c r="K92" i="23" s="1"/>
  <c r="E93" i="24" s="1"/>
  <c r="K93" i="18"/>
  <c r="L92" i="23" s="1"/>
  <c r="J93" i="18"/>
  <c r="G93" i="18"/>
  <c r="F93" i="18"/>
  <c r="M92" i="18"/>
  <c r="N91" i="23" s="1"/>
  <c r="L92" i="18"/>
  <c r="K92" i="18"/>
  <c r="L91" i="23" s="1"/>
  <c r="J92" i="18"/>
  <c r="G92" i="18"/>
  <c r="F92" i="18"/>
  <c r="M91" i="18"/>
  <c r="N90" i="23" s="1"/>
  <c r="L91" i="18"/>
  <c r="K91" i="18"/>
  <c r="L90" i="23" s="1"/>
  <c r="J91" i="18"/>
  <c r="G91" i="18"/>
  <c r="F91" i="18"/>
  <c r="N90" i="18"/>
  <c r="M90" i="18"/>
  <c r="N89" i="23" s="1"/>
  <c r="L90" i="18"/>
  <c r="K89" i="23" s="1"/>
  <c r="E90" i="24" s="1"/>
  <c r="K90" i="18"/>
  <c r="L89" i="23" s="1"/>
  <c r="J90" i="18"/>
  <c r="G90" i="18"/>
  <c r="F90" i="18"/>
  <c r="N89" i="18"/>
  <c r="M89" i="18"/>
  <c r="N88" i="23" s="1"/>
  <c r="L89" i="18"/>
  <c r="K88" i="23" s="1"/>
  <c r="E89" i="24" s="1"/>
  <c r="K89" i="18"/>
  <c r="L88" i="23" s="1"/>
  <c r="J89" i="18"/>
  <c r="G89" i="18"/>
  <c r="F89" i="18"/>
  <c r="M88" i="18"/>
  <c r="N87" i="23" s="1"/>
  <c r="L88" i="18"/>
  <c r="K87" i="23" s="1"/>
  <c r="E88" i="24" s="1"/>
  <c r="K88" i="18"/>
  <c r="L87" i="23" s="1"/>
  <c r="J88" i="18"/>
  <c r="G88" i="18"/>
  <c r="F88" i="18"/>
  <c r="N87" i="18"/>
  <c r="M87" i="18"/>
  <c r="N86" i="23" s="1"/>
  <c r="L87" i="18"/>
  <c r="K86" i="23" s="1"/>
  <c r="E87" i="24" s="1"/>
  <c r="K87" i="18"/>
  <c r="L86" i="23" s="1"/>
  <c r="J87" i="18"/>
  <c r="G87" i="18"/>
  <c r="F87" i="18"/>
  <c r="N86" i="18"/>
  <c r="M86" i="18"/>
  <c r="N85" i="23" s="1"/>
  <c r="L86" i="18"/>
  <c r="K85" i="23" s="1"/>
  <c r="E86" i="24" s="1"/>
  <c r="K86" i="18"/>
  <c r="L85" i="23" s="1"/>
  <c r="J86" i="18"/>
  <c r="G86" i="18"/>
  <c r="F86" i="18"/>
  <c r="N85" i="18"/>
  <c r="M85" i="18"/>
  <c r="N84" i="23" s="1"/>
  <c r="L85" i="18"/>
  <c r="K84" i="23" s="1"/>
  <c r="E85" i="24" s="1"/>
  <c r="K85" i="18"/>
  <c r="L84" i="23" s="1"/>
  <c r="J85" i="18"/>
  <c r="G85" i="18"/>
  <c r="F85" i="18"/>
  <c r="M84" i="18"/>
  <c r="N83" i="23" s="1"/>
  <c r="L84" i="18"/>
  <c r="K84" i="18"/>
  <c r="L83" i="23" s="1"/>
  <c r="J84" i="18"/>
  <c r="G84" i="18"/>
  <c r="F84" i="18"/>
  <c r="M83" i="18"/>
  <c r="N82" i="23" s="1"/>
  <c r="L83" i="18"/>
  <c r="K83" i="18"/>
  <c r="L82" i="23" s="1"/>
  <c r="J83" i="18"/>
  <c r="G83" i="18"/>
  <c r="F83" i="18"/>
  <c r="N82" i="18"/>
  <c r="M82" i="18"/>
  <c r="N81" i="23" s="1"/>
  <c r="L82" i="18"/>
  <c r="K81" i="23" s="1"/>
  <c r="E82" i="24" s="1"/>
  <c r="K82" i="18"/>
  <c r="L81" i="23" s="1"/>
  <c r="J82" i="18"/>
  <c r="G82" i="18"/>
  <c r="F82" i="18"/>
  <c r="N81" i="18"/>
  <c r="M81" i="18"/>
  <c r="N80" i="23" s="1"/>
  <c r="L81" i="18"/>
  <c r="K80" i="23" s="1"/>
  <c r="E81" i="24" s="1"/>
  <c r="K81" i="18"/>
  <c r="L80" i="23" s="1"/>
  <c r="J81" i="18"/>
  <c r="G81" i="18"/>
  <c r="F81" i="18"/>
  <c r="M80" i="18"/>
  <c r="N79" i="23" s="1"/>
  <c r="L80" i="18"/>
  <c r="K79" i="23" s="1"/>
  <c r="E80" i="24" s="1"/>
  <c r="K80" i="18"/>
  <c r="L79" i="23" s="1"/>
  <c r="J80" i="18"/>
  <c r="G80" i="18"/>
  <c r="F80" i="18"/>
  <c r="N79" i="18"/>
  <c r="M79" i="18"/>
  <c r="N78" i="23" s="1"/>
  <c r="L79" i="18"/>
  <c r="K78" i="23" s="1"/>
  <c r="E79" i="24" s="1"/>
  <c r="K79" i="18"/>
  <c r="L78" i="23" s="1"/>
  <c r="J79" i="18"/>
  <c r="G79" i="18"/>
  <c r="F79" i="18"/>
  <c r="N78" i="18"/>
  <c r="M78" i="18"/>
  <c r="N77" i="23" s="1"/>
  <c r="L78" i="18"/>
  <c r="K77" i="23" s="1"/>
  <c r="E78" i="24" s="1"/>
  <c r="K78" i="18"/>
  <c r="L77" i="23" s="1"/>
  <c r="J78" i="18"/>
  <c r="G78" i="18"/>
  <c r="F78" i="18"/>
  <c r="N77" i="18"/>
  <c r="M77" i="18"/>
  <c r="N76" i="23" s="1"/>
  <c r="L77" i="18"/>
  <c r="K76" i="23" s="1"/>
  <c r="E77" i="24" s="1"/>
  <c r="K77" i="18"/>
  <c r="L76" i="23" s="1"/>
  <c r="J77" i="18"/>
  <c r="G77" i="18"/>
  <c r="F77" i="18"/>
  <c r="M76" i="18"/>
  <c r="N75" i="23" s="1"/>
  <c r="L76" i="18"/>
  <c r="K76" i="18"/>
  <c r="L75" i="23" s="1"/>
  <c r="J76" i="18"/>
  <c r="G76" i="18"/>
  <c r="F76" i="18"/>
  <c r="M75" i="18"/>
  <c r="N74" i="23" s="1"/>
  <c r="L75" i="18"/>
  <c r="K75" i="18"/>
  <c r="L74" i="23" s="1"/>
  <c r="J75" i="18"/>
  <c r="G75" i="18"/>
  <c r="F75" i="18"/>
  <c r="N74" i="18"/>
  <c r="M74" i="18"/>
  <c r="N73" i="23" s="1"/>
  <c r="L74" i="18"/>
  <c r="K73" i="23" s="1"/>
  <c r="E74" i="24" s="1"/>
  <c r="K74" i="18"/>
  <c r="L73" i="23" s="1"/>
  <c r="J74" i="18"/>
  <c r="G74" i="18"/>
  <c r="F74" i="18"/>
  <c r="N73" i="18"/>
  <c r="M73" i="18"/>
  <c r="N72" i="23" s="1"/>
  <c r="L73" i="18"/>
  <c r="K72" i="23" s="1"/>
  <c r="E73" i="24" s="1"/>
  <c r="K73" i="18"/>
  <c r="L72" i="23" s="1"/>
  <c r="J73" i="18"/>
  <c r="G73" i="18"/>
  <c r="F73" i="18"/>
  <c r="M72" i="18"/>
  <c r="N71" i="23" s="1"/>
  <c r="L72" i="18"/>
  <c r="K71" i="23" s="1"/>
  <c r="E72" i="24" s="1"/>
  <c r="K72" i="18"/>
  <c r="L71" i="23" s="1"/>
  <c r="J72" i="18"/>
  <c r="G72" i="18"/>
  <c r="F72" i="18"/>
  <c r="N71" i="18"/>
  <c r="M71" i="18"/>
  <c r="N70" i="23" s="1"/>
  <c r="L71" i="18"/>
  <c r="K70" i="23" s="1"/>
  <c r="E71" i="24" s="1"/>
  <c r="K71" i="18"/>
  <c r="L70" i="23" s="1"/>
  <c r="J71" i="18"/>
  <c r="G71" i="18"/>
  <c r="F71" i="18"/>
  <c r="N70" i="18"/>
  <c r="M70" i="18"/>
  <c r="N69" i="23" s="1"/>
  <c r="L70" i="18"/>
  <c r="K69" i="23" s="1"/>
  <c r="E70" i="24" s="1"/>
  <c r="K70" i="18"/>
  <c r="L69" i="23" s="1"/>
  <c r="J70" i="18"/>
  <c r="G70" i="18"/>
  <c r="F70" i="18"/>
  <c r="M69" i="18"/>
  <c r="N68" i="23" s="1"/>
  <c r="L69" i="18"/>
  <c r="K68" i="23" s="1"/>
  <c r="E69" i="24" s="1"/>
  <c r="K69" i="18"/>
  <c r="L68" i="23" s="1"/>
  <c r="J69" i="18"/>
  <c r="G69" i="18"/>
  <c r="F69" i="18"/>
  <c r="M68" i="18"/>
  <c r="N67" i="23" s="1"/>
  <c r="L68" i="18"/>
  <c r="K68" i="18"/>
  <c r="L67" i="23" s="1"/>
  <c r="J68" i="18"/>
  <c r="G68" i="18"/>
  <c r="F68" i="18"/>
  <c r="M67" i="18"/>
  <c r="N66" i="23" s="1"/>
  <c r="L67" i="18"/>
  <c r="K67" i="18"/>
  <c r="L66" i="23" s="1"/>
  <c r="J67" i="18"/>
  <c r="G67" i="18"/>
  <c r="F67" i="18"/>
  <c r="N66" i="18"/>
  <c r="M66" i="18"/>
  <c r="N65" i="23" s="1"/>
  <c r="L66" i="18"/>
  <c r="K65" i="23" s="1"/>
  <c r="E66" i="24" s="1"/>
  <c r="K66" i="18"/>
  <c r="L65" i="23" s="1"/>
  <c r="J66" i="18"/>
  <c r="G66" i="18"/>
  <c r="F66" i="18"/>
  <c r="N65" i="18"/>
  <c r="M65" i="18"/>
  <c r="N64" i="23" s="1"/>
  <c r="L65" i="18"/>
  <c r="K64" i="23" s="1"/>
  <c r="E65" i="24" s="1"/>
  <c r="K65" i="18"/>
  <c r="L64" i="23" s="1"/>
  <c r="J65" i="18"/>
  <c r="G65" i="18"/>
  <c r="F65" i="18"/>
  <c r="M64" i="18"/>
  <c r="N63" i="23" s="1"/>
  <c r="L64" i="18"/>
  <c r="K63" i="23" s="1"/>
  <c r="E64" i="24" s="1"/>
  <c r="K64" i="18"/>
  <c r="L63" i="23" s="1"/>
  <c r="J64" i="18"/>
  <c r="G64" i="18"/>
  <c r="F64" i="18"/>
  <c r="N63" i="18"/>
  <c r="M63" i="18"/>
  <c r="N62" i="23" s="1"/>
  <c r="L63" i="18"/>
  <c r="K62" i="23" s="1"/>
  <c r="E63" i="24" s="1"/>
  <c r="K63" i="18"/>
  <c r="L62" i="23" s="1"/>
  <c r="J63" i="18"/>
  <c r="G63" i="18"/>
  <c r="F63" i="18"/>
  <c r="N62" i="18"/>
  <c r="M62" i="18"/>
  <c r="N61" i="23" s="1"/>
  <c r="L62" i="18"/>
  <c r="K61" i="23" s="1"/>
  <c r="E62" i="24" s="1"/>
  <c r="K62" i="18"/>
  <c r="L61" i="23" s="1"/>
  <c r="J62" i="18"/>
  <c r="G62" i="18"/>
  <c r="F62" i="18"/>
  <c r="M61" i="18"/>
  <c r="N60" i="23" s="1"/>
  <c r="L61" i="18"/>
  <c r="K60" i="23" s="1"/>
  <c r="E61" i="24" s="1"/>
  <c r="K61" i="18"/>
  <c r="L60" i="23" s="1"/>
  <c r="J61" i="18"/>
  <c r="G61" i="18"/>
  <c r="F61" i="18"/>
  <c r="M60" i="18"/>
  <c r="N59" i="23" s="1"/>
  <c r="L60" i="18"/>
  <c r="K60" i="18"/>
  <c r="L59" i="23" s="1"/>
  <c r="J60" i="18"/>
  <c r="G60" i="18"/>
  <c r="F60" i="18"/>
  <c r="M59" i="18"/>
  <c r="N58" i="23" s="1"/>
  <c r="L59" i="18"/>
  <c r="K59" i="18"/>
  <c r="L58" i="23" s="1"/>
  <c r="J59" i="18"/>
  <c r="G59" i="18"/>
  <c r="F59" i="18"/>
  <c r="N58" i="18"/>
  <c r="M58" i="18"/>
  <c r="N57" i="23" s="1"/>
  <c r="L58" i="18"/>
  <c r="K57" i="23" s="1"/>
  <c r="E58" i="24" s="1"/>
  <c r="K58" i="18"/>
  <c r="L57" i="23" s="1"/>
  <c r="J58" i="18"/>
  <c r="G58" i="18"/>
  <c r="F58" i="18"/>
  <c r="N57" i="18"/>
  <c r="M57" i="18"/>
  <c r="N56" i="23" s="1"/>
  <c r="L57" i="18"/>
  <c r="K56" i="23" s="1"/>
  <c r="E57" i="24" s="1"/>
  <c r="K57" i="18"/>
  <c r="L56" i="23" s="1"/>
  <c r="J57" i="18"/>
  <c r="G57" i="18"/>
  <c r="F57" i="18"/>
  <c r="M56" i="18"/>
  <c r="N55" i="23" s="1"/>
  <c r="L56" i="18"/>
  <c r="K55" i="23" s="1"/>
  <c r="E56" i="24" s="1"/>
  <c r="K56" i="18"/>
  <c r="L55" i="23" s="1"/>
  <c r="J56" i="18"/>
  <c r="G56" i="18"/>
  <c r="F56" i="18"/>
  <c r="N55" i="18"/>
  <c r="M55" i="18"/>
  <c r="N54" i="23" s="1"/>
  <c r="L55" i="18"/>
  <c r="K54" i="23" s="1"/>
  <c r="E55" i="24" s="1"/>
  <c r="K55" i="18"/>
  <c r="L54" i="23" s="1"/>
  <c r="J55" i="18"/>
  <c r="G55" i="18"/>
  <c r="F55" i="18"/>
  <c r="N54" i="18"/>
  <c r="M54" i="18"/>
  <c r="N53" i="23" s="1"/>
  <c r="L54" i="18"/>
  <c r="K53" i="23" s="1"/>
  <c r="E54" i="24" s="1"/>
  <c r="K54" i="18"/>
  <c r="L53" i="23" s="1"/>
  <c r="J54" i="18"/>
  <c r="G54" i="18"/>
  <c r="F54" i="18"/>
  <c r="N53" i="18"/>
  <c r="M53" i="18"/>
  <c r="N52" i="23" s="1"/>
  <c r="L53" i="18"/>
  <c r="K52" i="23" s="1"/>
  <c r="E53" i="24" s="1"/>
  <c r="K53" i="18"/>
  <c r="L52" i="23" s="1"/>
  <c r="J53" i="18"/>
  <c r="G53" i="18"/>
  <c r="F53" i="18"/>
  <c r="M52" i="18"/>
  <c r="N51" i="23" s="1"/>
  <c r="L52" i="18"/>
  <c r="K52" i="18"/>
  <c r="L51" i="23" s="1"/>
  <c r="J52" i="18"/>
  <c r="G52" i="18"/>
  <c r="F52" i="18"/>
  <c r="M51" i="18"/>
  <c r="N50" i="23" s="1"/>
  <c r="L51" i="18"/>
  <c r="K51" i="18"/>
  <c r="L50" i="23" s="1"/>
  <c r="J51" i="18"/>
  <c r="G51" i="18"/>
  <c r="F51" i="18"/>
  <c r="N50" i="18"/>
  <c r="M50" i="18"/>
  <c r="N49" i="23" s="1"/>
  <c r="L50" i="18"/>
  <c r="K49" i="23" s="1"/>
  <c r="E50" i="24" s="1"/>
  <c r="K50" i="18"/>
  <c r="L49" i="23" s="1"/>
  <c r="J50" i="18"/>
  <c r="G50" i="18"/>
  <c r="F50" i="18"/>
  <c r="N49" i="18"/>
  <c r="M49" i="18"/>
  <c r="N48" i="23" s="1"/>
  <c r="L49" i="18"/>
  <c r="K48" i="23" s="1"/>
  <c r="E49" i="24" s="1"/>
  <c r="K49" i="18"/>
  <c r="L48" i="23" s="1"/>
  <c r="J49" i="18"/>
  <c r="G49" i="18"/>
  <c r="F49" i="18"/>
  <c r="M48" i="18"/>
  <c r="N47" i="23" s="1"/>
  <c r="L48" i="18"/>
  <c r="K47" i="23" s="1"/>
  <c r="E48" i="24" s="1"/>
  <c r="K48" i="18"/>
  <c r="L47" i="23" s="1"/>
  <c r="J48" i="18"/>
  <c r="G48" i="18"/>
  <c r="F48" i="18"/>
  <c r="M47" i="18"/>
  <c r="N46" i="23" s="1"/>
  <c r="L47" i="18"/>
  <c r="K46" i="23" s="1"/>
  <c r="E47" i="24" s="1"/>
  <c r="K47" i="18"/>
  <c r="L46" i="23" s="1"/>
  <c r="J47" i="18"/>
  <c r="G47" i="18"/>
  <c r="F47" i="18"/>
  <c r="N46" i="18"/>
  <c r="M46" i="18"/>
  <c r="N45" i="23" s="1"/>
  <c r="L46" i="18"/>
  <c r="K45" i="23" s="1"/>
  <c r="E46" i="24" s="1"/>
  <c r="K46" i="18"/>
  <c r="L45" i="23" s="1"/>
  <c r="J46" i="18"/>
  <c r="G46" i="18"/>
  <c r="F46" i="18"/>
  <c r="N45" i="18"/>
  <c r="M45" i="18"/>
  <c r="N44" i="23" s="1"/>
  <c r="L45" i="18"/>
  <c r="K44" i="23" s="1"/>
  <c r="E45" i="24" s="1"/>
  <c r="K45" i="18"/>
  <c r="L44" i="23" s="1"/>
  <c r="J45" i="18"/>
  <c r="G45" i="18"/>
  <c r="F45" i="18"/>
  <c r="M44" i="18"/>
  <c r="N43" i="23" s="1"/>
  <c r="L44" i="18"/>
  <c r="K44" i="18"/>
  <c r="L43" i="23" s="1"/>
  <c r="J44" i="18"/>
  <c r="G44" i="18"/>
  <c r="F44" i="18"/>
  <c r="M43" i="18"/>
  <c r="N42" i="23" s="1"/>
  <c r="L43" i="18"/>
  <c r="K43" i="18"/>
  <c r="L42" i="23" s="1"/>
  <c r="J43" i="18"/>
  <c r="G43" i="18"/>
  <c r="F43" i="18"/>
  <c r="N42" i="18"/>
  <c r="M42" i="18"/>
  <c r="N41" i="23" s="1"/>
  <c r="L42" i="18"/>
  <c r="K41" i="23" s="1"/>
  <c r="E42" i="24" s="1"/>
  <c r="K42" i="18"/>
  <c r="L41" i="23" s="1"/>
  <c r="J42" i="18"/>
  <c r="G42" i="18"/>
  <c r="F42" i="18"/>
  <c r="N41" i="18"/>
  <c r="M41" i="18"/>
  <c r="N40" i="23" s="1"/>
  <c r="L41" i="18"/>
  <c r="K40" i="23" s="1"/>
  <c r="E41" i="24" s="1"/>
  <c r="K41" i="18"/>
  <c r="L40" i="23" s="1"/>
  <c r="J41" i="18"/>
  <c r="G41" i="18"/>
  <c r="F41" i="18"/>
  <c r="M40" i="18"/>
  <c r="N39" i="23" s="1"/>
  <c r="L40" i="18"/>
  <c r="K39" i="23" s="1"/>
  <c r="E40" i="24" s="1"/>
  <c r="K40" i="18"/>
  <c r="L39" i="23" s="1"/>
  <c r="J40" i="18"/>
  <c r="G40" i="18"/>
  <c r="F40" i="18"/>
  <c r="N39" i="18"/>
  <c r="M39" i="18"/>
  <c r="N38" i="23" s="1"/>
  <c r="L39" i="18"/>
  <c r="K38" i="23" s="1"/>
  <c r="E39" i="24" s="1"/>
  <c r="K39" i="18"/>
  <c r="L38" i="23" s="1"/>
  <c r="J39" i="18"/>
  <c r="G39" i="18"/>
  <c r="F39" i="18"/>
  <c r="N38" i="18"/>
  <c r="M38" i="18"/>
  <c r="N37" i="23" s="1"/>
  <c r="L38" i="18"/>
  <c r="K37" i="23" s="1"/>
  <c r="E38" i="24" s="1"/>
  <c r="K38" i="18"/>
  <c r="L37" i="23" s="1"/>
  <c r="J38" i="18"/>
  <c r="G38" i="18"/>
  <c r="F38" i="18"/>
  <c r="M37" i="18"/>
  <c r="N36" i="23" s="1"/>
  <c r="L37" i="18"/>
  <c r="K36" i="23" s="1"/>
  <c r="E37" i="24" s="1"/>
  <c r="K37" i="18"/>
  <c r="L36" i="23" s="1"/>
  <c r="J37" i="18"/>
  <c r="G37" i="18"/>
  <c r="F37" i="18"/>
  <c r="M36" i="18"/>
  <c r="N35" i="23" s="1"/>
  <c r="L36" i="18"/>
  <c r="K36" i="18"/>
  <c r="L35" i="23" s="1"/>
  <c r="J36" i="18"/>
  <c r="G36" i="18"/>
  <c r="F36" i="18"/>
  <c r="M35" i="18"/>
  <c r="N34" i="23" s="1"/>
  <c r="L35" i="18"/>
  <c r="K35" i="18"/>
  <c r="L34" i="23" s="1"/>
  <c r="J35" i="18"/>
  <c r="G35" i="18"/>
  <c r="F35" i="18"/>
  <c r="N34" i="18"/>
  <c r="M34" i="18"/>
  <c r="N33" i="23" s="1"/>
  <c r="L34" i="18"/>
  <c r="K33" i="23" s="1"/>
  <c r="E34" i="24" s="1"/>
  <c r="K34" i="18"/>
  <c r="L33" i="23" s="1"/>
  <c r="J34" i="18"/>
  <c r="G34" i="18"/>
  <c r="F34" i="18"/>
  <c r="N33" i="18"/>
  <c r="M33" i="18"/>
  <c r="N32" i="23" s="1"/>
  <c r="L33" i="18"/>
  <c r="K32" i="23" s="1"/>
  <c r="E33" i="24" s="1"/>
  <c r="K33" i="18"/>
  <c r="L32" i="23" s="1"/>
  <c r="J33" i="18"/>
  <c r="G33" i="18"/>
  <c r="F33" i="18"/>
  <c r="M32" i="18"/>
  <c r="N31" i="23" s="1"/>
  <c r="L32" i="18"/>
  <c r="K31" i="23" s="1"/>
  <c r="E32" i="24" s="1"/>
  <c r="K32" i="18"/>
  <c r="L31" i="23" s="1"/>
  <c r="J32" i="18"/>
  <c r="G32" i="18"/>
  <c r="F32" i="18"/>
  <c r="N31" i="18"/>
  <c r="M31" i="18"/>
  <c r="N30" i="23" s="1"/>
  <c r="L31" i="18"/>
  <c r="K30" i="23" s="1"/>
  <c r="E31" i="24" s="1"/>
  <c r="K31" i="18"/>
  <c r="L30" i="23" s="1"/>
  <c r="J31" i="18"/>
  <c r="G31" i="18"/>
  <c r="F31" i="18"/>
  <c r="N30" i="18"/>
  <c r="M30" i="18"/>
  <c r="N29" i="23" s="1"/>
  <c r="L30" i="18"/>
  <c r="K29" i="23" s="1"/>
  <c r="E30" i="24" s="1"/>
  <c r="K30" i="18"/>
  <c r="L29" i="23" s="1"/>
  <c r="J30" i="18"/>
  <c r="G30" i="18"/>
  <c r="F30" i="18"/>
  <c r="M29" i="18"/>
  <c r="N28" i="23" s="1"/>
  <c r="L29" i="18"/>
  <c r="K28" i="23" s="1"/>
  <c r="E29" i="24" s="1"/>
  <c r="K29" i="18"/>
  <c r="L28" i="23" s="1"/>
  <c r="J29" i="18"/>
  <c r="G29" i="18"/>
  <c r="F29" i="18"/>
  <c r="M28" i="18"/>
  <c r="N27" i="23" s="1"/>
  <c r="L28" i="18"/>
  <c r="K28" i="18"/>
  <c r="L27" i="23" s="1"/>
  <c r="J28" i="18"/>
  <c r="G28" i="18"/>
  <c r="F28" i="18"/>
  <c r="M27" i="18"/>
  <c r="N26" i="23" s="1"/>
  <c r="L27" i="18"/>
  <c r="K27" i="18"/>
  <c r="L26" i="23" s="1"/>
  <c r="J27" i="18"/>
  <c r="G27" i="18"/>
  <c r="F27" i="18"/>
  <c r="N26" i="18"/>
  <c r="M26" i="18"/>
  <c r="N25" i="23" s="1"/>
  <c r="L26" i="18"/>
  <c r="K25" i="23" s="1"/>
  <c r="E26" i="24" s="1"/>
  <c r="K26" i="18"/>
  <c r="L25" i="23" s="1"/>
  <c r="J26" i="18"/>
  <c r="G26" i="18"/>
  <c r="F26" i="18"/>
  <c r="N25" i="18"/>
  <c r="M25" i="18"/>
  <c r="N24" i="23" s="1"/>
  <c r="L25" i="18"/>
  <c r="K24" i="23" s="1"/>
  <c r="E25" i="24" s="1"/>
  <c r="K25" i="18"/>
  <c r="L24" i="23" s="1"/>
  <c r="J25" i="18"/>
  <c r="G25" i="18"/>
  <c r="F25" i="18"/>
  <c r="M24" i="18"/>
  <c r="N23" i="23" s="1"/>
  <c r="L24" i="18"/>
  <c r="K23" i="23" s="1"/>
  <c r="E24" i="24" s="1"/>
  <c r="K24" i="18"/>
  <c r="L23" i="23" s="1"/>
  <c r="J24" i="18"/>
  <c r="G24" i="18"/>
  <c r="F24" i="18"/>
  <c r="M23" i="18"/>
  <c r="N22" i="23" s="1"/>
  <c r="L23" i="18"/>
  <c r="K22" i="23" s="1"/>
  <c r="E23" i="24" s="1"/>
  <c r="K23" i="18"/>
  <c r="L22" i="23" s="1"/>
  <c r="J23" i="18"/>
  <c r="G23" i="18"/>
  <c r="F23" i="18"/>
  <c r="N22" i="18"/>
  <c r="M22" i="18"/>
  <c r="N21" i="23" s="1"/>
  <c r="L22" i="18"/>
  <c r="K21" i="23" s="1"/>
  <c r="E22" i="24" s="1"/>
  <c r="K22" i="18"/>
  <c r="L21" i="23" s="1"/>
  <c r="J22" i="18"/>
  <c r="G22" i="18"/>
  <c r="F22" i="18"/>
  <c r="N21" i="18"/>
  <c r="M21" i="18"/>
  <c r="N20" i="23" s="1"/>
  <c r="L21" i="18"/>
  <c r="K20" i="23" s="1"/>
  <c r="E21" i="24" s="1"/>
  <c r="K21" i="18"/>
  <c r="L20" i="23" s="1"/>
  <c r="J21" i="18"/>
  <c r="G21" i="18"/>
  <c r="F21" i="18"/>
  <c r="M20" i="18"/>
  <c r="N19" i="23" s="1"/>
  <c r="L20" i="18"/>
  <c r="K20" i="18"/>
  <c r="L19" i="23" s="1"/>
  <c r="J20" i="18"/>
  <c r="G20" i="18"/>
  <c r="F20" i="18"/>
  <c r="M19" i="18"/>
  <c r="N18" i="23" s="1"/>
  <c r="L19" i="18"/>
  <c r="K19" i="18"/>
  <c r="L18" i="23" s="1"/>
  <c r="J19" i="18"/>
  <c r="G19" i="18"/>
  <c r="F19" i="18"/>
  <c r="N18" i="18"/>
  <c r="M18" i="18"/>
  <c r="N17" i="23" s="1"/>
  <c r="L18" i="18"/>
  <c r="K17" i="23" s="1"/>
  <c r="E18" i="24" s="1"/>
  <c r="K18" i="18"/>
  <c r="L17" i="23" s="1"/>
  <c r="J18" i="18"/>
  <c r="G18" i="18"/>
  <c r="F18" i="18"/>
  <c r="N17" i="18"/>
  <c r="M17" i="18"/>
  <c r="N16" i="23" s="1"/>
  <c r="L17" i="18"/>
  <c r="K16" i="23" s="1"/>
  <c r="E17" i="24" s="1"/>
  <c r="K17" i="18"/>
  <c r="L16" i="23" s="1"/>
  <c r="J17" i="18"/>
  <c r="G17" i="18"/>
  <c r="F17" i="18"/>
  <c r="M16" i="18"/>
  <c r="N15" i="23" s="1"/>
  <c r="L16" i="18"/>
  <c r="K15" i="23" s="1"/>
  <c r="E16" i="24" s="1"/>
  <c r="K16" i="18"/>
  <c r="L15" i="23" s="1"/>
  <c r="J16" i="18"/>
  <c r="G16" i="18"/>
  <c r="F16" i="18"/>
  <c r="M15" i="18"/>
  <c r="N14" i="23" s="1"/>
  <c r="L15" i="18"/>
  <c r="K14" i="23" s="1"/>
  <c r="E15" i="24" s="1"/>
  <c r="K15" i="18"/>
  <c r="L14" i="23" s="1"/>
  <c r="J15" i="18"/>
  <c r="G15" i="18"/>
  <c r="F15" i="18"/>
  <c r="N14" i="18"/>
  <c r="M14" i="18"/>
  <c r="N13" i="23" s="1"/>
  <c r="L14" i="18"/>
  <c r="K13" i="23" s="1"/>
  <c r="E14" i="24" s="1"/>
  <c r="K14" i="18"/>
  <c r="L13" i="23" s="1"/>
  <c r="J14" i="18"/>
  <c r="G14" i="18"/>
  <c r="F14" i="18"/>
  <c r="N13" i="18"/>
  <c r="M13" i="18"/>
  <c r="N12" i="23" s="1"/>
  <c r="L13" i="18"/>
  <c r="K12" i="23" s="1"/>
  <c r="E13" i="24" s="1"/>
  <c r="K13" i="18"/>
  <c r="L12" i="23" s="1"/>
  <c r="J13" i="18"/>
  <c r="G13" i="18"/>
  <c r="F13" i="18"/>
  <c r="M12" i="18"/>
  <c r="N11" i="23" s="1"/>
  <c r="L12" i="18"/>
  <c r="K12" i="18"/>
  <c r="L11" i="23" s="1"/>
  <c r="J12" i="18"/>
  <c r="G12" i="18"/>
  <c r="F12" i="18"/>
  <c r="M11" i="18"/>
  <c r="N10" i="23" s="1"/>
  <c r="L11" i="18"/>
  <c r="K11" i="18"/>
  <c r="L10" i="23" s="1"/>
  <c r="J11" i="18"/>
  <c r="G11" i="18"/>
  <c r="F11" i="18"/>
  <c r="N10" i="18"/>
  <c r="M10" i="18"/>
  <c r="N9" i="23" s="1"/>
  <c r="L10" i="18"/>
  <c r="K9" i="23" s="1"/>
  <c r="E10" i="24" s="1"/>
  <c r="K10" i="18"/>
  <c r="L9" i="23" s="1"/>
  <c r="J10" i="18"/>
  <c r="G10" i="18"/>
  <c r="F10" i="18"/>
  <c r="N9" i="18"/>
  <c r="M9" i="18"/>
  <c r="N8" i="23" s="1"/>
  <c r="L9" i="18"/>
  <c r="K8" i="23" s="1"/>
  <c r="E9" i="24" s="1"/>
  <c r="K9" i="18"/>
  <c r="L8" i="23" s="1"/>
  <c r="J9" i="18"/>
  <c r="G9" i="18"/>
  <c r="F9" i="18"/>
  <c r="M8" i="18"/>
  <c r="N7" i="23" s="1"/>
  <c r="L8" i="18"/>
  <c r="K7" i="23" s="1"/>
  <c r="E8" i="24" s="1"/>
  <c r="K8" i="18"/>
  <c r="L7" i="23" s="1"/>
  <c r="J8" i="18"/>
  <c r="G8" i="18"/>
  <c r="F8" i="18"/>
  <c r="N7" i="18"/>
  <c r="M7" i="18"/>
  <c r="N6" i="23" s="1"/>
  <c r="L7" i="18"/>
  <c r="K6" i="23" s="1"/>
  <c r="E7" i="24" s="1"/>
  <c r="K7" i="18"/>
  <c r="L6" i="23" s="1"/>
  <c r="J7" i="18"/>
  <c r="G7" i="18"/>
  <c r="F7" i="18"/>
  <c r="N6" i="18"/>
  <c r="M6" i="18"/>
  <c r="N5" i="23" s="1"/>
  <c r="L6" i="18"/>
  <c r="K5" i="23" s="1"/>
  <c r="E6" i="24" s="1"/>
  <c r="K6" i="18"/>
  <c r="L5" i="23" s="1"/>
  <c r="J6" i="18"/>
  <c r="G6" i="18"/>
  <c r="F6" i="18"/>
  <c r="M5" i="18"/>
  <c r="N4" i="23" s="1"/>
  <c r="L5" i="18"/>
  <c r="K4" i="23" s="1"/>
  <c r="E5" i="24" s="1"/>
  <c r="K5" i="18"/>
  <c r="L4" i="23" s="1"/>
  <c r="J5" i="18"/>
  <c r="G5" i="18"/>
  <c r="F5" i="18"/>
  <c r="M4" i="18"/>
  <c r="N3" i="23" s="1"/>
  <c r="L4" i="18"/>
  <c r="K4" i="18"/>
  <c r="L3" i="23" s="1"/>
  <c r="J4" i="18"/>
  <c r="G4" i="18"/>
  <c r="F4" i="18"/>
  <c r="I1003" i="17"/>
  <c r="H1003" i="17"/>
  <c r="G1003" i="17"/>
  <c r="I1002" i="17"/>
  <c r="H1002" i="17"/>
  <c r="G1002" i="17"/>
  <c r="I1001" i="17"/>
  <c r="H1001" i="17"/>
  <c r="G1001" i="17"/>
  <c r="I1000" i="17"/>
  <c r="H1000" i="17"/>
  <c r="G1000" i="17"/>
  <c r="I999" i="17"/>
  <c r="H999" i="17"/>
  <c r="G999" i="17"/>
  <c r="I998" i="17"/>
  <c r="H998" i="17"/>
  <c r="G998" i="17"/>
  <c r="I997" i="17"/>
  <c r="H997" i="17"/>
  <c r="G997" i="17"/>
  <c r="I996" i="17"/>
  <c r="H996" i="17"/>
  <c r="G996" i="17"/>
  <c r="I995" i="17"/>
  <c r="H995" i="17"/>
  <c r="G995" i="17"/>
  <c r="I994" i="17"/>
  <c r="H994" i="17"/>
  <c r="G994" i="17"/>
  <c r="I993" i="17"/>
  <c r="H993" i="17"/>
  <c r="G993" i="17"/>
  <c r="I992" i="17"/>
  <c r="H992" i="17"/>
  <c r="G992" i="17"/>
  <c r="I991" i="17"/>
  <c r="H991" i="17"/>
  <c r="G991" i="17"/>
  <c r="I990" i="17"/>
  <c r="H990" i="17"/>
  <c r="G990" i="17"/>
  <c r="I989" i="17"/>
  <c r="H989" i="17"/>
  <c r="G989" i="17"/>
  <c r="I988" i="17"/>
  <c r="H988" i="17"/>
  <c r="G988" i="17"/>
  <c r="I987" i="17"/>
  <c r="H987" i="17"/>
  <c r="G987" i="17"/>
  <c r="I986" i="17"/>
  <c r="H986" i="17"/>
  <c r="G986" i="17"/>
  <c r="I985" i="17"/>
  <c r="H985" i="17"/>
  <c r="G985" i="17"/>
  <c r="I984" i="17"/>
  <c r="H984" i="17"/>
  <c r="G984" i="17"/>
  <c r="I983" i="17"/>
  <c r="H983" i="17"/>
  <c r="G983" i="17"/>
  <c r="I982" i="17"/>
  <c r="H982" i="17"/>
  <c r="G982" i="17"/>
  <c r="I981" i="17"/>
  <c r="H981" i="17"/>
  <c r="G981" i="17"/>
  <c r="I980" i="17"/>
  <c r="H980" i="17"/>
  <c r="G980" i="17"/>
  <c r="I979" i="17"/>
  <c r="H979" i="17"/>
  <c r="G979" i="17"/>
  <c r="I978" i="17"/>
  <c r="H978" i="17"/>
  <c r="G978" i="17"/>
  <c r="I977" i="17"/>
  <c r="H977" i="17"/>
  <c r="G977" i="17"/>
  <c r="I976" i="17"/>
  <c r="H976" i="17"/>
  <c r="G976" i="17"/>
  <c r="I975" i="17"/>
  <c r="H975" i="17"/>
  <c r="G975" i="17"/>
  <c r="I974" i="17"/>
  <c r="H974" i="17"/>
  <c r="G974" i="17"/>
  <c r="I973" i="17"/>
  <c r="H973" i="17"/>
  <c r="G973" i="17"/>
  <c r="I972" i="17"/>
  <c r="H972" i="17"/>
  <c r="G972" i="17"/>
  <c r="I971" i="17"/>
  <c r="H971" i="17"/>
  <c r="G971" i="17"/>
  <c r="I970" i="17"/>
  <c r="H970" i="17"/>
  <c r="G970" i="17"/>
  <c r="I969" i="17"/>
  <c r="H969" i="17"/>
  <c r="G969" i="17"/>
  <c r="I968" i="17"/>
  <c r="H968" i="17"/>
  <c r="G968" i="17"/>
  <c r="I967" i="17"/>
  <c r="H967" i="17"/>
  <c r="G967" i="17"/>
  <c r="I966" i="17"/>
  <c r="H966" i="17"/>
  <c r="G966" i="17"/>
  <c r="I965" i="17"/>
  <c r="H965" i="17"/>
  <c r="G965" i="17"/>
  <c r="I964" i="17"/>
  <c r="H964" i="17"/>
  <c r="G964" i="17"/>
  <c r="I963" i="17"/>
  <c r="H963" i="17"/>
  <c r="G963" i="17"/>
  <c r="I962" i="17"/>
  <c r="H962" i="17"/>
  <c r="G962" i="17"/>
  <c r="I961" i="17"/>
  <c r="H961" i="17"/>
  <c r="G961" i="17"/>
  <c r="I960" i="17"/>
  <c r="H960" i="17"/>
  <c r="G960" i="17"/>
  <c r="I959" i="17"/>
  <c r="H959" i="17"/>
  <c r="G959" i="17"/>
  <c r="I958" i="17"/>
  <c r="H958" i="17"/>
  <c r="G958" i="17"/>
  <c r="I957" i="17"/>
  <c r="H957" i="17"/>
  <c r="G957" i="17"/>
  <c r="I956" i="17"/>
  <c r="H956" i="17"/>
  <c r="G956" i="17"/>
  <c r="I955" i="17"/>
  <c r="H955" i="17"/>
  <c r="G955" i="17"/>
  <c r="I954" i="17"/>
  <c r="H954" i="17"/>
  <c r="G954" i="17"/>
  <c r="I953" i="17"/>
  <c r="H953" i="17"/>
  <c r="G953" i="17"/>
  <c r="I952" i="17"/>
  <c r="H952" i="17"/>
  <c r="G952" i="17"/>
  <c r="I951" i="17"/>
  <c r="H951" i="17"/>
  <c r="G951" i="17"/>
  <c r="I950" i="17"/>
  <c r="H950" i="17"/>
  <c r="G950" i="17"/>
  <c r="I949" i="17"/>
  <c r="H949" i="17"/>
  <c r="G949" i="17"/>
  <c r="I948" i="17"/>
  <c r="H948" i="17"/>
  <c r="G948" i="17"/>
  <c r="I947" i="17"/>
  <c r="H947" i="17"/>
  <c r="G947" i="17"/>
  <c r="I946" i="17"/>
  <c r="H946" i="17"/>
  <c r="G946" i="17"/>
  <c r="I945" i="17"/>
  <c r="H945" i="17"/>
  <c r="G945" i="17"/>
  <c r="I944" i="17"/>
  <c r="H944" i="17"/>
  <c r="G944" i="17"/>
  <c r="I943" i="17"/>
  <c r="H943" i="17"/>
  <c r="G943" i="17"/>
  <c r="I942" i="17"/>
  <c r="H942" i="17"/>
  <c r="G942" i="17"/>
  <c r="I941" i="17"/>
  <c r="H941" i="17"/>
  <c r="G941" i="17"/>
  <c r="I940" i="17"/>
  <c r="H940" i="17"/>
  <c r="G940" i="17"/>
  <c r="I939" i="17"/>
  <c r="H939" i="17"/>
  <c r="G939" i="17"/>
  <c r="I938" i="17"/>
  <c r="H938" i="17"/>
  <c r="G938" i="17"/>
  <c r="I937" i="17"/>
  <c r="H937" i="17"/>
  <c r="G937" i="17"/>
  <c r="I936" i="17"/>
  <c r="H936" i="17"/>
  <c r="G936" i="17"/>
  <c r="I935" i="17"/>
  <c r="H935" i="17"/>
  <c r="G935" i="17"/>
  <c r="I934" i="17"/>
  <c r="H934" i="17"/>
  <c r="G934" i="17"/>
  <c r="I933" i="17"/>
  <c r="H933" i="17"/>
  <c r="G933" i="17"/>
  <c r="I932" i="17"/>
  <c r="H932" i="17"/>
  <c r="G932" i="17"/>
  <c r="I931" i="17"/>
  <c r="H931" i="17"/>
  <c r="G931" i="17"/>
  <c r="I930" i="17"/>
  <c r="H930" i="17"/>
  <c r="G930" i="17"/>
  <c r="I929" i="17"/>
  <c r="H929" i="17"/>
  <c r="G929" i="17"/>
  <c r="I928" i="17"/>
  <c r="H928" i="17"/>
  <c r="G928" i="17"/>
  <c r="I927" i="17"/>
  <c r="H927" i="17"/>
  <c r="G927" i="17"/>
  <c r="I926" i="17"/>
  <c r="H926" i="17"/>
  <c r="G926" i="17"/>
  <c r="I925" i="17"/>
  <c r="H925" i="17"/>
  <c r="G925" i="17"/>
  <c r="I924" i="17"/>
  <c r="H924" i="17"/>
  <c r="G924" i="17"/>
  <c r="I923" i="17"/>
  <c r="H923" i="17"/>
  <c r="G923" i="17"/>
  <c r="I922" i="17"/>
  <c r="H922" i="17"/>
  <c r="G922" i="17"/>
  <c r="I921" i="17"/>
  <c r="H921" i="17"/>
  <c r="G921" i="17"/>
  <c r="I920" i="17"/>
  <c r="H920" i="17"/>
  <c r="G920" i="17"/>
  <c r="I919" i="17"/>
  <c r="H919" i="17"/>
  <c r="G919" i="17"/>
  <c r="I918" i="17"/>
  <c r="H918" i="17"/>
  <c r="G918" i="17"/>
  <c r="I917" i="17"/>
  <c r="H917" i="17"/>
  <c r="G917" i="17"/>
  <c r="I916" i="17"/>
  <c r="H916" i="17"/>
  <c r="G916" i="17"/>
  <c r="I915" i="17"/>
  <c r="H915" i="17"/>
  <c r="G915" i="17"/>
  <c r="I914" i="17"/>
  <c r="H914" i="17"/>
  <c r="G914" i="17"/>
  <c r="I913" i="17"/>
  <c r="H913" i="17"/>
  <c r="G913" i="17"/>
  <c r="I912" i="17"/>
  <c r="H912" i="17"/>
  <c r="G912" i="17"/>
  <c r="I911" i="17"/>
  <c r="H911" i="17"/>
  <c r="G911" i="17"/>
  <c r="I910" i="17"/>
  <c r="H910" i="17"/>
  <c r="G910" i="17"/>
  <c r="I909" i="17"/>
  <c r="H909" i="17"/>
  <c r="G909" i="17"/>
  <c r="I908" i="17"/>
  <c r="H908" i="17"/>
  <c r="G908" i="17"/>
  <c r="I907" i="17"/>
  <c r="H907" i="17"/>
  <c r="G907" i="17"/>
  <c r="I906" i="17"/>
  <c r="H906" i="17"/>
  <c r="G906" i="17"/>
  <c r="I905" i="17"/>
  <c r="H905" i="17"/>
  <c r="G905" i="17"/>
  <c r="I904" i="17"/>
  <c r="H904" i="17"/>
  <c r="G904" i="17"/>
  <c r="I903" i="17"/>
  <c r="H903" i="17"/>
  <c r="G903" i="17"/>
  <c r="I902" i="17"/>
  <c r="H902" i="17"/>
  <c r="G902" i="17"/>
  <c r="I901" i="17"/>
  <c r="H901" i="17"/>
  <c r="G901" i="17"/>
  <c r="I900" i="17"/>
  <c r="H900" i="17"/>
  <c r="G900" i="17"/>
  <c r="I899" i="17"/>
  <c r="H899" i="17"/>
  <c r="G899" i="17"/>
  <c r="I898" i="17"/>
  <c r="H898" i="17"/>
  <c r="G898" i="17"/>
  <c r="I897" i="17"/>
  <c r="H897" i="17"/>
  <c r="G897" i="17"/>
  <c r="I896" i="17"/>
  <c r="H896" i="17"/>
  <c r="G896" i="17"/>
  <c r="I895" i="17"/>
  <c r="H895" i="17"/>
  <c r="G895" i="17"/>
  <c r="I894" i="17"/>
  <c r="H894" i="17"/>
  <c r="G894" i="17"/>
  <c r="I893" i="17"/>
  <c r="H893" i="17"/>
  <c r="G893" i="17"/>
  <c r="I892" i="17"/>
  <c r="H892" i="17"/>
  <c r="G892" i="17"/>
  <c r="I891" i="17"/>
  <c r="H891" i="17"/>
  <c r="G891" i="17"/>
  <c r="I890" i="17"/>
  <c r="H890" i="17"/>
  <c r="G890" i="17"/>
  <c r="I889" i="17"/>
  <c r="H889" i="17"/>
  <c r="G889" i="17"/>
  <c r="I888" i="17"/>
  <c r="H888" i="17"/>
  <c r="G888" i="17"/>
  <c r="I887" i="17"/>
  <c r="H887" i="17"/>
  <c r="G887" i="17"/>
  <c r="I886" i="17"/>
  <c r="H886" i="17"/>
  <c r="G886" i="17"/>
  <c r="I885" i="17"/>
  <c r="H885" i="17"/>
  <c r="G885" i="17"/>
  <c r="I884" i="17"/>
  <c r="H884" i="17"/>
  <c r="G884" i="17"/>
  <c r="I883" i="17"/>
  <c r="H883" i="17"/>
  <c r="G883" i="17"/>
  <c r="I882" i="17"/>
  <c r="H882" i="17"/>
  <c r="G882" i="17"/>
  <c r="I881" i="17"/>
  <c r="H881" i="17"/>
  <c r="G881" i="17"/>
  <c r="I880" i="17"/>
  <c r="H880" i="17"/>
  <c r="G880" i="17"/>
  <c r="I879" i="17"/>
  <c r="H879" i="17"/>
  <c r="G879" i="17"/>
  <c r="I878" i="17"/>
  <c r="H878" i="17"/>
  <c r="G878" i="17"/>
  <c r="I877" i="17"/>
  <c r="H877" i="17"/>
  <c r="G877" i="17"/>
  <c r="I876" i="17"/>
  <c r="H876" i="17"/>
  <c r="G876" i="17"/>
  <c r="I875" i="17"/>
  <c r="H875" i="17"/>
  <c r="G875" i="17"/>
  <c r="I874" i="17"/>
  <c r="H874" i="17"/>
  <c r="G874" i="17"/>
  <c r="I873" i="17"/>
  <c r="H873" i="17"/>
  <c r="G873" i="17"/>
  <c r="I872" i="17"/>
  <c r="H872" i="17"/>
  <c r="G872" i="17"/>
  <c r="I871" i="17"/>
  <c r="H871" i="17"/>
  <c r="G871" i="17"/>
  <c r="I870" i="17"/>
  <c r="H870" i="17"/>
  <c r="G870" i="17"/>
  <c r="I869" i="17"/>
  <c r="H869" i="17"/>
  <c r="G869" i="17"/>
  <c r="I868" i="17"/>
  <c r="H868" i="17"/>
  <c r="G868" i="17"/>
  <c r="I867" i="17"/>
  <c r="H867" i="17"/>
  <c r="G867" i="17"/>
  <c r="I866" i="17"/>
  <c r="H866" i="17"/>
  <c r="G866" i="17"/>
  <c r="I865" i="17"/>
  <c r="H865" i="17"/>
  <c r="G865" i="17"/>
  <c r="I864" i="17"/>
  <c r="H864" i="17"/>
  <c r="G864" i="17"/>
  <c r="I863" i="17"/>
  <c r="H863" i="17"/>
  <c r="G863" i="17"/>
  <c r="I862" i="17"/>
  <c r="H862" i="17"/>
  <c r="G862" i="17"/>
  <c r="I861" i="17"/>
  <c r="H861" i="17"/>
  <c r="G861" i="17"/>
  <c r="I860" i="17"/>
  <c r="H860" i="17"/>
  <c r="G860" i="17"/>
  <c r="I859" i="17"/>
  <c r="H859" i="17"/>
  <c r="G859" i="17"/>
  <c r="I858" i="17"/>
  <c r="H858" i="17"/>
  <c r="G858" i="17"/>
  <c r="I857" i="17"/>
  <c r="H857" i="17"/>
  <c r="G857" i="17"/>
  <c r="I856" i="17"/>
  <c r="H856" i="17"/>
  <c r="G856" i="17"/>
  <c r="I855" i="17"/>
  <c r="H855" i="17"/>
  <c r="G855" i="17"/>
  <c r="I854" i="17"/>
  <c r="H854" i="17"/>
  <c r="G854" i="17"/>
  <c r="I853" i="17"/>
  <c r="H853" i="17"/>
  <c r="G853" i="17"/>
  <c r="I852" i="17"/>
  <c r="H852" i="17"/>
  <c r="G852" i="17"/>
  <c r="I851" i="17"/>
  <c r="H851" i="17"/>
  <c r="G851" i="17"/>
  <c r="I850" i="17"/>
  <c r="H850" i="17"/>
  <c r="G850" i="17"/>
  <c r="I849" i="17"/>
  <c r="H849" i="17"/>
  <c r="G849" i="17"/>
  <c r="I848" i="17"/>
  <c r="H848" i="17"/>
  <c r="G848" i="17"/>
  <c r="I847" i="17"/>
  <c r="H847" i="17"/>
  <c r="G847" i="17"/>
  <c r="I846" i="17"/>
  <c r="H846" i="17"/>
  <c r="G846" i="17"/>
  <c r="I845" i="17"/>
  <c r="H845" i="17"/>
  <c r="G845" i="17"/>
  <c r="I844" i="17"/>
  <c r="H844" i="17"/>
  <c r="G844" i="17"/>
  <c r="I843" i="17"/>
  <c r="H843" i="17"/>
  <c r="G843" i="17"/>
  <c r="I842" i="17"/>
  <c r="H842" i="17"/>
  <c r="G842" i="17"/>
  <c r="I841" i="17"/>
  <c r="H841" i="17"/>
  <c r="G841" i="17"/>
  <c r="I840" i="17"/>
  <c r="H840" i="17"/>
  <c r="G840" i="17"/>
  <c r="I839" i="17"/>
  <c r="H839" i="17"/>
  <c r="G839" i="17"/>
  <c r="I838" i="17"/>
  <c r="H838" i="17"/>
  <c r="G838" i="17"/>
  <c r="I837" i="17"/>
  <c r="H837" i="17"/>
  <c r="G837" i="17"/>
  <c r="I836" i="17"/>
  <c r="H836" i="17"/>
  <c r="G836" i="17"/>
  <c r="I835" i="17"/>
  <c r="H835" i="17"/>
  <c r="G835" i="17"/>
  <c r="I834" i="17"/>
  <c r="H834" i="17"/>
  <c r="G834" i="17"/>
  <c r="I833" i="17"/>
  <c r="H833" i="17"/>
  <c r="G833" i="17"/>
  <c r="I832" i="17"/>
  <c r="H832" i="17"/>
  <c r="G832" i="17"/>
  <c r="I831" i="17"/>
  <c r="H831" i="17"/>
  <c r="G831" i="17"/>
  <c r="I830" i="17"/>
  <c r="H830" i="17"/>
  <c r="G830" i="17"/>
  <c r="I829" i="17"/>
  <c r="H829" i="17"/>
  <c r="G829" i="17"/>
  <c r="I828" i="17"/>
  <c r="H828" i="17"/>
  <c r="G828" i="17"/>
  <c r="I827" i="17"/>
  <c r="H827" i="17"/>
  <c r="G827" i="17"/>
  <c r="I826" i="17"/>
  <c r="H826" i="17"/>
  <c r="G826" i="17"/>
  <c r="I825" i="17"/>
  <c r="H825" i="17"/>
  <c r="G825" i="17"/>
  <c r="I824" i="17"/>
  <c r="H824" i="17"/>
  <c r="G824" i="17"/>
  <c r="I823" i="17"/>
  <c r="H823" i="17"/>
  <c r="G823" i="17"/>
  <c r="I822" i="17"/>
  <c r="H822" i="17"/>
  <c r="G822" i="17"/>
  <c r="I821" i="17"/>
  <c r="H821" i="17"/>
  <c r="G821" i="17"/>
  <c r="I820" i="17"/>
  <c r="H820" i="17"/>
  <c r="G820" i="17"/>
  <c r="I819" i="17"/>
  <c r="H819" i="17"/>
  <c r="G819" i="17"/>
  <c r="I818" i="17"/>
  <c r="H818" i="17"/>
  <c r="G818" i="17"/>
  <c r="I817" i="17"/>
  <c r="H817" i="17"/>
  <c r="G817" i="17"/>
  <c r="I816" i="17"/>
  <c r="H816" i="17"/>
  <c r="G816" i="17"/>
  <c r="I815" i="17"/>
  <c r="H815" i="17"/>
  <c r="G815" i="17"/>
  <c r="I814" i="17"/>
  <c r="H814" i="17"/>
  <c r="G814" i="17"/>
  <c r="I813" i="17"/>
  <c r="H813" i="17"/>
  <c r="G813" i="17"/>
  <c r="I812" i="17"/>
  <c r="H812" i="17"/>
  <c r="G812" i="17"/>
  <c r="I811" i="17"/>
  <c r="H811" i="17"/>
  <c r="G811" i="17"/>
  <c r="I810" i="17"/>
  <c r="H810" i="17"/>
  <c r="G810" i="17"/>
  <c r="I809" i="17"/>
  <c r="H809" i="17"/>
  <c r="G809" i="17"/>
  <c r="I808" i="17"/>
  <c r="H808" i="17"/>
  <c r="G808" i="17"/>
  <c r="I807" i="17"/>
  <c r="H807" i="17"/>
  <c r="G807" i="17"/>
  <c r="I806" i="17"/>
  <c r="H806" i="17"/>
  <c r="G806" i="17"/>
  <c r="I805" i="17"/>
  <c r="H805" i="17"/>
  <c r="G805" i="17"/>
  <c r="I804" i="17"/>
  <c r="H804" i="17"/>
  <c r="G804" i="17"/>
  <c r="I803" i="17"/>
  <c r="H803" i="17"/>
  <c r="G803" i="17"/>
  <c r="I802" i="17"/>
  <c r="H802" i="17"/>
  <c r="G802" i="17"/>
  <c r="I801" i="17"/>
  <c r="H801" i="17"/>
  <c r="G801" i="17"/>
  <c r="I800" i="17"/>
  <c r="H800" i="17"/>
  <c r="G800" i="17"/>
  <c r="I799" i="17"/>
  <c r="H799" i="17"/>
  <c r="G799" i="17"/>
  <c r="I798" i="17"/>
  <c r="H798" i="17"/>
  <c r="G798" i="17"/>
  <c r="I797" i="17"/>
  <c r="H797" i="17"/>
  <c r="G797" i="17"/>
  <c r="I796" i="17"/>
  <c r="H796" i="17"/>
  <c r="G796" i="17"/>
  <c r="I795" i="17"/>
  <c r="H795" i="17"/>
  <c r="G795" i="17"/>
  <c r="I794" i="17"/>
  <c r="H794" i="17"/>
  <c r="G794" i="17"/>
  <c r="I793" i="17"/>
  <c r="H793" i="17"/>
  <c r="G793" i="17"/>
  <c r="I792" i="17"/>
  <c r="H792" i="17"/>
  <c r="G792" i="17"/>
  <c r="I791" i="17"/>
  <c r="H791" i="17"/>
  <c r="G791" i="17"/>
  <c r="I790" i="17"/>
  <c r="H790" i="17"/>
  <c r="G790" i="17"/>
  <c r="I789" i="17"/>
  <c r="H789" i="17"/>
  <c r="G789" i="17"/>
  <c r="I788" i="17"/>
  <c r="H788" i="17"/>
  <c r="G788" i="17"/>
  <c r="I787" i="17"/>
  <c r="H787" i="17"/>
  <c r="G787" i="17"/>
  <c r="I786" i="17"/>
  <c r="H786" i="17"/>
  <c r="G786" i="17"/>
  <c r="I785" i="17"/>
  <c r="H785" i="17"/>
  <c r="G785" i="17"/>
  <c r="I784" i="17"/>
  <c r="H784" i="17"/>
  <c r="G784" i="17"/>
  <c r="I783" i="17"/>
  <c r="H783" i="17"/>
  <c r="G783" i="17"/>
  <c r="I782" i="17"/>
  <c r="H782" i="17"/>
  <c r="G782" i="17"/>
  <c r="I781" i="17"/>
  <c r="H781" i="17"/>
  <c r="G781" i="17"/>
  <c r="I780" i="17"/>
  <c r="H780" i="17"/>
  <c r="G780" i="17"/>
  <c r="I779" i="17"/>
  <c r="H779" i="17"/>
  <c r="G779" i="17"/>
  <c r="I778" i="17"/>
  <c r="H778" i="17"/>
  <c r="G778" i="17"/>
  <c r="I777" i="17"/>
  <c r="H777" i="17"/>
  <c r="G777" i="17"/>
  <c r="I776" i="17"/>
  <c r="H776" i="17"/>
  <c r="G776" i="17"/>
  <c r="I775" i="17"/>
  <c r="H775" i="17"/>
  <c r="G775" i="17"/>
  <c r="I774" i="17"/>
  <c r="H774" i="17"/>
  <c r="G774" i="17"/>
  <c r="I773" i="17"/>
  <c r="H773" i="17"/>
  <c r="G773" i="17"/>
  <c r="I772" i="17"/>
  <c r="H772" i="17"/>
  <c r="G772" i="17"/>
  <c r="I771" i="17"/>
  <c r="H771" i="17"/>
  <c r="G771" i="17"/>
  <c r="I770" i="17"/>
  <c r="H770" i="17"/>
  <c r="G770" i="17"/>
  <c r="I769" i="17"/>
  <c r="H769" i="17"/>
  <c r="G769" i="17"/>
  <c r="I768" i="17"/>
  <c r="H768" i="17"/>
  <c r="G768" i="17"/>
  <c r="I767" i="17"/>
  <c r="H767" i="17"/>
  <c r="G767" i="17"/>
  <c r="I766" i="17"/>
  <c r="H766" i="17"/>
  <c r="G766" i="17"/>
  <c r="I765" i="17"/>
  <c r="H765" i="17"/>
  <c r="G765" i="17"/>
  <c r="I764" i="17"/>
  <c r="H764" i="17"/>
  <c r="G764" i="17"/>
  <c r="I763" i="17"/>
  <c r="H763" i="17"/>
  <c r="G763" i="17"/>
  <c r="I762" i="17"/>
  <c r="H762" i="17"/>
  <c r="G762" i="17"/>
  <c r="I761" i="17"/>
  <c r="H761" i="17"/>
  <c r="G761" i="17"/>
  <c r="I760" i="17"/>
  <c r="H760" i="17"/>
  <c r="G760" i="17"/>
  <c r="I759" i="17"/>
  <c r="H759" i="17"/>
  <c r="G759" i="17"/>
  <c r="I758" i="17"/>
  <c r="H758" i="17"/>
  <c r="G758" i="17"/>
  <c r="I757" i="17"/>
  <c r="H757" i="17"/>
  <c r="G757" i="17"/>
  <c r="I756" i="17"/>
  <c r="H756" i="17"/>
  <c r="G756" i="17"/>
  <c r="I755" i="17"/>
  <c r="H755" i="17"/>
  <c r="G755" i="17"/>
  <c r="I754" i="17"/>
  <c r="H754" i="17"/>
  <c r="G754" i="17"/>
  <c r="I753" i="17"/>
  <c r="H753" i="17"/>
  <c r="G753" i="17"/>
  <c r="I752" i="17"/>
  <c r="H752" i="17"/>
  <c r="G752" i="17"/>
  <c r="I751" i="17"/>
  <c r="H751" i="17"/>
  <c r="G751" i="17"/>
  <c r="I750" i="17"/>
  <c r="H750" i="17"/>
  <c r="G750" i="17"/>
  <c r="I749" i="17"/>
  <c r="H749" i="17"/>
  <c r="G749" i="17"/>
  <c r="I748" i="17"/>
  <c r="H748" i="17"/>
  <c r="G748" i="17"/>
  <c r="I747" i="17"/>
  <c r="H747" i="17"/>
  <c r="G747" i="17"/>
  <c r="I746" i="17"/>
  <c r="H746" i="17"/>
  <c r="G746" i="17"/>
  <c r="I745" i="17"/>
  <c r="H745" i="17"/>
  <c r="G745" i="17"/>
  <c r="I744" i="17"/>
  <c r="H744" i="17"/>
  <c r="G744" i="17"/>
  <c r="I743" i="17"/>
  <c r="H743" i="17"/>
  <c r="G743" i="17"/>
  <c r="I742" i="17"/>
  <c r="H742" i="17"/>
  <c r="G742" i="17"/>
  <c r="I741" i="17"/>
  <c r="H741" i="17"/>
  <c r="G741" i="17"/>
  <c r="I740" i="17"/>
  <c r="H740" i="17"/>
  <c r="G740" i="17"/>
  <c r="I739" i="17"/>
  <c r="H739" i="17"/>
  <c r="G739" i="17"/>
  <c r="I738" i="17"/>
  <c r="H738" i="17"/>
  <c r="G738" i="17"/>
  <c r="I737" i="17"/>
  <c r="H737" i="17"/>
  <c r="G737" i="17"/>
  <c r="I736" i="17"/>
  <c r="H736" i="17"/>
  <c r="G736" i="17"/>
  <c r="I735" i="17"/>
  <c r="H735" i="17"/>
  <c r="G735" i="17"/>
  <c r="I734" i="17"/>
  <c r="H734" i="17"/>
  <c r="G734" i="17"/>
  <c r="I733" i="17"/>
  <c r="H733" i="17"/>
  <c r="G733" i="17"/>
  <c r="I732" i="17"/>
  <c r="H732" i="17"/>
  <c r="G732" i="17"/>
  <c r="I731" i="17"/>
  <c r="H731" i="17"/>
  <c r="G731" i="17"/>
  <c r="I730" i="17"/>
  <c r="H730" i="17"/>
  <c r="G730" i="17"/>
  <c r="I729" i="17"/>
  <c r="H729" i="17"/>
  <c r="G729" i="17"/>
  <c r="I728" i="17"/>
  <c r="H728" i="17"/>
  <c r="G728" i="17"/>
  <c r="I727" i="17"/>
  <c r="H727" i="17"/>
  <c r="G727" i="17"/>
  <c r="I726" i="17"/>
  <c r="H726" i="17"/>
  <c r="G726" i="17"/>
  <c r="I725" i="17"/>
  <c r="H725" i="17"/>
  <c r="G725" i="17"/>
  <c r="I724" i="17"/>
  <c r="H724" i="17"/>
  <c r="G724" i="17"/>
  <c r="I723" i="17"/>
  <c r="H723" i="17"/>
  <c r="G723" i="17"/>
  <c r="I722" i="17"/>
  <c r="H722" i="17"/>
  <c r="G722" i="17"/>
  <c r="I721" i="17"/>
  <c r="H721" i="17"/>
  <c r="G721" i="17"/>
  <c r="I720" i="17"/>
  <c r="H720" i="17"/>
  <c r="G720" i="17"/>
  <c r="I719" i="17"/>
  <c r="H719" i="17"/>
  <c r="G719" i="17"/>
  <c r="I718" i="17"/>
  <c r="H718" i="17"/>
  <c r="G718" i="17"/>
  <c r="I717" i="17"/>
  <c r="H717" i="17"/>
  <c r="G717" i="17"/>
  <c r="I716" i="17"/>
  <c r="H716" i="17"/>
  <c r="G716" i="17"/>
  <c r="I715" i="17"/>
  <c r="H715" i="17"/>
  <c r="G715" i="17"/>
  <c r="I714" i="17"/>
  <c r="H714" i="17"/>
  <c r="G714" i="17"/>
  <c r="I713" i="17"/>
  <c r="H713" i="17"/>
  <c r="G713" i="17"/>
  <c r="I712" i="17"/>
  <c r="H712" i="17"/>
  <c r="G712" i="17"/>
  <c r="I711" i="17"/>
  <c r="H711" i="17"/>
  <c r="G711" i="17"/>
  <c r="I710" i="17"/>
  <c r="H710" i="17"/>
  <c r="G710" i="17"/>
  <c r="I709" i="17"/>
  <c r="H709" i="17"/>
  <c r="G709" i="17"/>
  <c r="I708" i="17"/>
  <c r="H708" i="17"/>
  <c r="G708" i="17"/>
  <c r="I707" i="17"/>
  <c r="H707" i="17"/>
  <c r="G707" i="17"/>
  <c r="I706" i="17"/>
  <c r="H706" i="17"/>
  <c r="G706" i="17"/>
  <c r="I705" i="17"/>
  <c r="H705" i="17"/>
  <c r="G705" i="17"/>
  <c r="I704" i="17"/>
  <c r="H704" i="17"/>
  <c r="G704" i="17"/>
  <c r="I703" i="17"/>
  <c r="H703" i="17"/>
  <c r="G703" i="17"/>
  <c r="I702" i="17"/>
  <c r="H702" i="17"/>
  <c r="G702" i="17"/>
  <c r="I701" i="17"/>
  <c r="H701" i="17"/>
  <c r="G701" i="17"/>
  <c r="I700" i="17"/>
  <c r="H700" i="17"/>
  <c r="G700" i="17"/>
  <c r="I699" i="17"/>
  <c r="H699" i="17"/>
  <c r="G699" i="17"/>
  <c r="I698" i="17"/>
  <c r="H698" i="17"/>
  <c r="G698" i="17"/>
  <c r="I697" i="17"/>
  <c r="H697" i="17"/>
  <c r="G697" i="17"/>
  <c r="I696" i="17"/>
  <c r="H696" i="17"/>
  <c r="G696" i="17"/>
  <c r="I695" i="17"/>
  <c r="H695" i="17"/>
  <c r="G695" i="17"/>
  <c r="I694" i="17"/>
  <c r="H694" i="17"/>
  <c r="G694" i="17"/>
  <c r="I693" i="17"/>
  <c r="H693" i="17"/>
  <c r="G693" i="17"/>
  <c r="I692" i="17"/>
  <c r="H692" i="17"/>
  <c r="G692" i="17"/>
  <c r="I691" i="17"/>
  <c r="H691" i="17"/>
  <c r="G691" i="17"/>
  <c r="I690" i="17"/>
  <c r="H690" i="17"/>
  <c r="G690" i="17"/>
  <c r="I689" i="17"/>
  <c r="H689" i="17"/>
  <c r="G689" i="17"/>
  <c r="I688" i="17"/>
  <c r="H688" i="17"/>
  <c r="G688" i="17"/>
  <c r="I687" i="17"/>
  <c r="H687" i="17"/>
  <c r="G687" i="17"/>
  <c r="I686" i="17"/>
  <c r="H686" i="17"/>
  <c r="G686" i="17"/>
  <c r="I685" i="17"/>
  <c r="H685" i="17"/>
  <c r="G685" i="17"/>
  <c r="I684" i="17"/>
  <c r="H684" i="17"/>
  <c r="G684" i="17"/>
  <c r="I683" i="17"/>
  <c r="H683" i="17"/>
  <c r="G683" i="17"/>
  <c r="I682" i="17"/>
  <c r="H682" i="17"/>
  <c r="G682" i="17"/>
  <c r="I681" i="17"/>
  <c r="H681" i="17"/>
  <c r="G681" i="17"/>
  <c r="I680" i="17"/>
  <c r="H680" i="17"/>
  <c r="G680" i="17"/>
  <c r="I679" i="17"/>
  <c r="H679" i="17"/>
  <c r="G679" i="17"/>
  <c r="I678" i="17"/>
  <c r="H678" i="17"/>
  <c r="G678" i="17"/>
  <c r="I677" i="17"/>
  <c r="H677" i="17"/>
  <c r="G677" i="17"/>
  <c r="I676" i="17"/>
  <c r="H676" i="17"/>
  <c r="G676" i="17"/>
  <c r="I675" i="17"/>
  <c r="H675" i="17"/>
  <c r="G675" i="17"/>
  <c r="I674" i="17"/>
  <c r="H674" i="17"/>
  <c r="G674" i="17"/>
  <c r="I673" i="17"/>
  <c r="H673" i="17"/>
  <c r="G673" i="17"/>
  <c r="I672" i="17"/>
  <c r="H672" i="17"/>
  <c r="G672" i="17"/>
  <c r="I671" i="17"/>
  <c r="H671" i="17"/>
  <c r="G671" i="17"/>
  <c r="I670" i="17"/>
  <c r="H670" i="17"/>
  <c r="G670" i="17"/>
  <c r="I669" i="17"/>
  <c r="H669" i="17"/>
  <c r="G669" i="17"/>
  <c r="I668" i="17"/>
  <c r="H668" i="17"/>
  <c r="G668" i="17"/>
  <c r="I667" i="17"/>
  <c r="H667" i="17"/>
  <c r="G667" i="17"/>
  <c r="I666" i="17"/>
  <c r="H666" i="17"/>
  <c r="G666" i="17"/>
  <c r="I665" i="17"/>
  <c r="H665" i="17"/>
  <c r="G665" i="17"/>
  <c r="I664" i="17"/>
  <c r="H664" i="17"/>
  <c r="G664" i="17"/>
  <c r="I663" i="17"/>
  <c r="H663" i="17"/>
  <c r="G663" i="17"/>
  <c r="I662" i="17"/>
  <c r="H662" i="17"/>
  <c r="G662" i="17"/>
  <c r="I661" i="17"/>
  <c r="H661" i="17"/>
  <c r="G661" i="17"/>
  <c r="I660" i="17"/>
  <c r="H660" i="17"/>
  <c r="G660" i="17"/>
  <c r="I659" i="17"/>
  <c r="H659" i="17"/>
  <c r="G659" i="17"/>
  <c r="I658" i="17"/>
  <c r="H658" i="17"/>
  <c r="G658" i="17"/>
  <c r="I657" i="17"/>
  <c r="H657" i="17"/>
  <c r="G657" i="17"/>
  <c r="I656" i="17"/>
  <c r="H656" i="17"/>
  <c r="G656" i="17"/>
  <c r="I655" i="17"/>
  <c r="H655" i="17"/>
  <c r="G655" i="17"/>
  <c r="I654" i="17"/>
  <c r="H654" i="17"/>
  <c r="G654" i="17"/>
  <c r="I653" i="17"/>
  <c r="H653" i="17"/>
  <c r="G653" i="17"/>
  <c r="I652" i="17"/>
  <c r="H652" i="17"/>
  <c r="G652" i="17"/>
  <c r="I651" i="17"/>
  <c r="H651" i="17"/>
  <c r="G651" i="17"/>
  <c r="I650" i="17"/>
  <c r="H650" i="17"/>
  <c r="G650" i="17"/>
  <c r="I649" i="17"/>
  <c r="H649" i="17"/>
  <c r="G649" i="17"/>
  <c r="I648" i="17"/>
  <c r="H648" i="17"/>
  <c r="G648" i="17"/>
  <c r="I647" i="17"/>
  <c r="H647" i="17"/>
  <c r="G647" i="17"/>
  <c r="I646" i="17"/>
  <c r="H646" i="17"/>
  <c r="G646" i="17"/>
  <c r="I645" i="17"/>
  <c r="H645" i="17"/>
  <c r="G645" i="17"/>
  <c r="I644" i="17"/>
  <c r="H644" i="17"/>
  <c r="G644" i="17"/>
  <c r="I643" i="17"/>
  <c r="H643" i="17"/>
  <c r="G643" i="17"/>
  <c r="I642" i="17"/>
  <c r="H642" i="17"/>
  <c r="G642" i="17"/>
  <c r="I641" i="17"/>
  <c r="H641" i="17"/>
  <c r="G641" i="17"/>
  <c r="I640" i="17"/>
  <c r="H640" i="17"/>
  <c r="G640" i="17"/>
  <c r="I639" i="17"/>
  <c r="H639" i="17"/>
  <c r="G639" i="17"/>
  <c r="I638" i="17"/>
  <c r="H638" i="17"/>
  <c r="G638" i="17"/>
  <c r="I637" i="17"/>
  <c r="H637" i="17"/>
  <c r="G637" i="17"/>
  <c r="I636" i="17"/>
  <c r="H636" i="17"/>
  <c r="G636" i="17"/>
  <c r="I635" i="17"/>
  <c r="H635" i="17"/>
  <c r="G635" i="17"/>
  <c r="I634" i="17"/>
  <c r="H634" i="17"/>
  <c r="G634" i="17"/>
  <c r="I633" i="17"/>
  <c r="H633" i="17"/>
  <c r="G633" i="17"/>
  <c r="I632" i="17"/>
  <c r="H632" i="17"/>
  <c r="G632" i="17"/>
  <c r="I631" i="17"/>
  <c r="H631" i="17"/>
  <c r="G631" i="17"/>
  <c r="I630" i="17"/>
  <c r="H630" i="17"/>
  <c r="G630" i="17"/>
  <c r="I629" i="17"/>
  <c r="H629" i="17"/>
  <c r="G629" i="17"/>
  <c r="I628" i="17"/>
  <c r="H628" i="17"/>
  <c r="G628" i="17"/>
  <c r="I627" i="17"/>
  <c r="H627" i="17"/>
  <c r="G627" i="17"/>
  <c r="I626" i="17"/>
  <c r="H626" i="17"/>
  <c r="G626" i="17"/>
  <c r="I625" i="17"/>
  <c r="H625" i="17"/>
  <c r="G625" i="17"/>
  <c r="I624" i="17"/>
  <c r="H624" i="17"/>
  <c r="G624" i="17"/>
  <c r="I623" i="17"/>
  <c r="H623" i="17"/>
  <c r="G623" i="17"/>
  <c r="I622" i="17"/>
  <c r="H622" i="17"/>
  <c r="G622" i="17"/>
  <c r="I621" i="17"/>
  <c r="H621" i="17"/>
  <c r="G621" i="17"/>
  <c r="I620" i="17"/>
  <c r="H620" i="17"/>
  <c r="G620" i="17"/>
  <c r="I619" i="17"/>
  <c r="H619" i="17"/>
  <c r="G619" i="17"/>
  <c r="I618" i="17"/>
  <c r="H618" i="17"/>
  <c r="G618" i="17"/>
  <c r="I617" i="17"/>
  <c r="H617" i="17"/>
  <c r="G617" i="17"/>
  <c r="I616" i="17"/>
  <c r="H616" i="17"/>
  <c r="G616" i="17"/>
  <c r="I615" i="17"/>
  <c r="H615" i="17"/>
  <c r="G615" i="17"/>
  <c r="I614" i="17"/>
  <c r="H614" i="17"/>
  <c r="G614" i="17"/>
  <c r="I613" i="17"/>
  <c r="H613" i="17"/>
  <c r="G613" i="17"/>
  <c r="I612" i="17"/>
  <c r="H612" i="17"/>
  <c r="G612" i="17"/>
  <c r="I611" i="17"/>
  <c r="H611" i="17"/>
  <c r="G611" i="17"/>
  <c r="I610" i="17"/>
  <c r="H610" i="17"/>
  <c r="G610" i="17"/>
  <c r="I609" i="17"/>
  <c r="H609" i="17"/>
  <c r="G609" i="17"/>
  <c r="I608" i="17"/>
  <c r="H608" i="17"/>
  <c r="G608" i="17"/>
  <c r="I607" i="17"/>
  <c r="H607" i="17"/>
  <c r="G607" i="17"/>
  <c r="I606" i="17"/>
  <c r="H606" i="17"/>
  <c r="G606" i="17"/>
  <c r="I605" i="17"/>
  <c r="H605" i="17"/>
  <c r="G605" i="17"/>
  <c r="I604" i="17"/>
  <c r="H604" i="17"/>
  <c r="G604" i="17"/>
  <c r="I603" i="17"/>
  <c r="H603" i="17"/>
  <c r="G603" i="17"/>
  <c r="I602" i="17"/>
  <c r="H602" i="17"/>
  <c r="G602" i="17"/>
  <c r="I601" i="17"/>
  <c r="H601" i="17"/>
  <c r="G601" i="17"/>
  <c r="I600" i="17"/>
  <c r="H600" i="17"/>
  <c r="G600" i="17"/>
  <c r="I599" i="17"/>
  <c r="H599" i="17"/>
  <c r="G599" i="17"/>
  <c r="I598" i="17"/>
  <c r="H598" i="17"/>
  <c r="G598" i="17"/>
  <c r="I597" i="17"/>
  <c r="H597" i="17"/>
  <c r="G597" i="17"/>
  <c r="I596" i="17"/>
  <c r="H596" i="17"/>
  <c r="G596" i="17"/>
  <c r="I595" i="17"/>
  <c r="H595" i="17"/>
  <c r="G595" i="17"/>
  <c r="I594" i="17"/>
  <c r="H594" i="17"/>
  <c r="G594" i="17"/>
  <c r="I593" i="17"/>
  <c r="H593" i="17"/>
  <c r="G593" i="17"/>
  <c r="I592" i="17"/>
  <c r="H592" i="17"/>
  <c r="G592" i="17"/>
  <c r="I591" i="17"/>
  <c r="H591" i="17"/>
  <c r="G591" i="17"/>
  <c r="I590" i="17"/>
  <c r="H590" i="17"/>
  <c r="G590" i="17"/>
  <c r="I589" i="17"/>
  <c r="H589" i="17"/>
  <c r="G589" i="17"/>
  <c r="I588" i="17"/>
  <c r="H588" i="17"/>
  <c r="G588" i="17"/>
  <c r="I587" i="17"/>
  <c r="H587" i="17"/>
  <c r="G587" i="17"/>
  <c r="I586" i="17"/>
  <c r="H586" i="17"/>
  <c r="G586" i="17"/>
  <c r="I585" i="17"/>
  <c r="H585" i="17"/>
  <c r="G585" i="17"/>
  <c r="I584" i="17"/>
  <c r="H584" i="17"/>
  <c r="G584" i="17"/>
  <c r="I583" i="17"/>
  <c r="H583" i="17"/>
  <c r="G583" i="17"/>
  <c r="I582" i="17"/>
  <c r="H582" i="17"/>
  <c r="G582" i="17"/>
  <c r="I581" i="17"/>
  <c r="H581" i="17"/>
  <c r="G581" i="17"/>
  <c r="I580" i="17"/>
  <c r="H580" i="17"/>
  <c r="G580" i="17"/>
  <c r="I579" i="17"/>
  <c r="H579" i="17"/>
  <c r="G579" i="17"/>
  <c r="I578" i="17"/>
  <c r="H578" i="17"/>
  <c r="G578" i="17"/>
  <c r="I577" i="17"/>
  <c r="H577" i="17"/>
  <c r="G577" i="17"/>
  <c r="I576" i="17"/>
  <c r="H576" i="17"/>
  <c r="G576" i="17"/>
  <c r="I575" i="17"/>
  <c r="H575" i="17"/>
  <c r="G575" i="17"/>
  <c r="I574" i="17"/>
  <c r="H574" i="17"/>
  <c r="G574" i="17"/>
  <c r="I573" i="17"/>
  <c r="H573" i="17"/>
  <c r="G573" i="17"/>
  <c r="I572" i="17"/>
  <c r="H572" i="17"/>
  <c r="G572" i="17"/>
  <c r="I571" i="17"/>
  <c r="H571" i="17"/>
  <c r="G571" i="17"/>
  <c r="I570" i="17"/>
  <c r="H570" i="17"/>
  <c r="G570" i="17"/>
  <c r="I569" i="17"/>
  <c r="H569" i="17"/>
  <c r="G569" i="17"/>
  <c r="I568" i="17"/>
  <c r="H568" i="17"/>
  <c r="G568" i="17"/>
  <c r="I567" i="17"/>
  <c r="H567" i="17"/>
  <c r="G567" i="17"/>
  <c r="I566" i="17"/>
  <c r="H566" i="17"/>
  <c r="G566" i="17"/>
  <c r="I565" i="17"/>
  <c r="H565" i="17"/>
  <c r="G565" i="17"/>
  <c r="I564" i="17"/>
  <c r="H564" i="17"/>
  <c r="G564" i="17"/>
  <c r="I563" i="17"/>
  <c r="H563" i="17"/>
  <c r="G563" i="17"/>
  <c r="I562" i="17"/>
  <c r="H562" i="17"/>
  <c r="G562" i="17"/>
  <c r="I561" i="17"/>
  <c r="H561" i="17"/>
  <c r="G561" i="17"/>
  <c r="I560" i="17"/>
  <c r="H560" i="17"/>
  <c r="G560" i="17"/>
  <c r="I559" i="17"/>
  <c r="H559" i="17"/>
  <c r="G559" i="17"/>
  <c r="I558" i="17"/>
  <c r="H558" i="17"/>
  <c r="G558" i="17"/>
  <c r="I557" i="17"/>
  <c r="H557" i="17"/>
  <c r="G557" i="17"/>
  <c r="I556" i="17"/>
  <c r="H556" i="17"/>
  <c r="G556" i="17"/>
  <c r="I555" i="17"/>
  <c r="H555" i="17"/>
  <c r="G555" i="17"/>
  <c r="I554" i="17"/>
  <c r="H554" i="17"/>
  <c r="G554" i="17"/>
  <c r="I553" i="17"/>
  <c r="H553" i="17"/>
  <c r="G553" i="17"/>
  <c r="I552" i="17"/>
  <c r="H552" i="17"/>
  <c r="G552" i="17"/>
  <c r="I551" i="17"/>
  <c r="H551" i="17"/>
  <c r="G551" i="17"/>
  <c r="I550" i="17"/>
  <c r="H550" i="17"/>
  <c r="G550" i="17"/>
  <c r="I549" i="17"/>
  <c r="H549" i="17"/>
  <c r="G549" i="17"/>
  <c r="I548" i="17"/>
  <c r="H548" i="17"/>
  <c r="G548" i="17"/>
  <c r="I547" i="17"/>
  <c r="H547" i="17"/>
  <c r="G547" i="17"/>
  <c r="I546" i="17"/>
  <c r="H546" i="17"/>
  <c r="G546" i="17"/>
  <c r="I545" i="17"/>
  <c r="H545" i="17"/>
  <c r="G545" i="17"/>
  <c r="I544" i="17"/>
  <c r="H544" i="17"/>
  <c r="G544" i="17"/>
  <c r="I543" i="17"/>
  <c r="H543" i="17"/>
  <c r="G543" i="17"/>
  <c r="I542" i="17"/>
  <c r="H542" i="17"/>
  <c r="G542" i="17"/>
  <c r="I541" i="17"/>
  <c r="H541" i="17"/>
  <c r="G541" i="17"/>
  <c r="I540" i="17"/>
  <c r="H540" i="17"/>
  <c r="G540" i="17"/>
  <c r="I539" i="17"/>
  <c r="H539" i="17"/>
  <c r="G539" i="17"/>
  <c r="I538" i="17"/>
  <c r="H538" i="17"/>
  <c r="G538" i="17"/>
  <c r="I537" i="17"/>
  <c r="H537" i="17"/>
  <c r="G537" i="17"/>
  <c r="I536" i="17"/>
  <c r="H536" i="17"/>
  <c r="G536" i="17"/>
  <c r="I535" i="17"/>
  <c r="H535" i="17"/>
  <c r="G535" i="17"/>
  <c r="I534" i="17"/>
  <c r="H534" i="17"/>
  <c r="G534" i="17"/>
  <c r="I533" i="17"/>
  <c r="H533" i="17"/>
  <c r="G533" i="17"/>
  <c r="I532" i="17"/>
  <c r="H532" i="17"/>
  <c r="G532" i="17"/>
  <c r="I531" i="17"/>
  <c r="H531" i="17"/>
  <c r="G531" i="17"/>
  <c r="I530" i="17"/>
  <c r="H530" i="17"/>
  <c r="G530" i="17"/>
  <c r="I529" i="17"/>
  <c r="H529" i="17"/>
  <c r="G529" i="17"/>
  <c r="I528" i="17"/>
  <c r="H528" i="17"/>
  <c r="G528" i="17"/>
  <c r="I527" i="17"/>
  <c r="H527" i="17"/>
  <c r="G527" i="17"/>
  <c r="I526" i="17"/>
  <c r="H526" i="17"/>
  <c r="G526" i="17"/>
  <c r="I525" i="17"/>
  <c r="H525" i="17"/>
  <c r="G525" i="17"/>
  <c r="I524" i="17"/>
  <c r="H524" i="17"/>
  <c r="G524" i="17"/>
  <c r="I523" i="17"/>
  <c r="H523" i="17"/>
  <c r="G523" i="17"/>
  <c r="I522" i="17"/>
  <c r="H522" i="17"/>
  <c r="G522" i="17"/>
  <c r="I521" i="17"/>
  <c r="H521" i="17"/>
  <c r="G521" i="17"/>
  <c r="I520" i="17"/>
  <c r="H520" i="17"/>
  <c r="G520" i="17"/>
  <c r="I519" i="17"/>
  <c r="H519" i="17"/>
  <c r="G519" i="17"/>
  <c r="I518" i="17"/>
  <c r="H518" i="17"/>
  <c r="G518" i="17"/>
  <c r="I517" i="17"/>
  <c r="H517" i="17"/>
  <c r="G517" i="17"/>
  <c r="I516" i="17"/>
  <c r="H516" i="17"/>
  <c r="G516" i="17"/>
  <c r="I515" i="17"/>
  <c r="H515" i="17"/>
  <c r="G515" i="17"/>
  <c r="I514" i="17"/>
  <c r="H514" i="17"/>
  <c r="G514" i="17"/>
  <c r="I513" i="17"/>
  <c r="H513" i="17"/>
  <c r="G513" i="17"/>
  <c r="I512" i="17"/>
  <c r="H512" i="17"/>
  <c r="G512" i="17"/>
  <c r="I511" i="17"/>
  <c r="H511" i="17"/>
  <c r="G511" i="17"/>
  <c r="I510" i="17"/>
  <c r="H510" i="17"/>
  <c r="G510" i="17"/>
  <c r="I509" i="17"/>
  <c r="H509" i="17"/>
  <c r="G509" i="17"/>
  <c r="I508" i="17"/>
  <c r="H508" i="17"/>
  <c r="G508" i="17"/>
  <c r="I507" i="17"/>
  <c r="H507" i="17"/>
  <c r="G507" i="17"/>
  <c r="I506" i="17"/>
  <c r="H506" i="17"/>
  <c r="G506" i="17"/>
  <c r="I505" i="17"/>
  <c r="H505" i="17"/>
  <c r="G505" i="17"/>
  <c r="I504" i="17"/>
  <c r="H504" i="17"/>
  <c r="G504" i="17"/>
  <c r="I503" i="17"/>
  <c r="H503" i="17"/>
  <c r="G503" i="17"/>
  <c r="I502" i="17"/>
  <c r="H502" i="17"/>
  <c r="G502" i="17"/>
  <c r="I501" i="17"/>
  <c r="H501" i="17"/>
  <c r="G501" i="17"/>
  <c r="I500" i="17"/>
  <c r="H500" i="17"/>
  <c r="G500" i="17"/>
  <c r="I499" i="17"/>
  <c r="H499" i="17"/>
  <c r="G499" i="17"/>
  <c r="I498" i="17"/>
  <c r="H498" i="17"/>
  <c r="G498" i="17"/>
  <c r="I497" i="17"/>
  <c r="H497" i="17"/>
  <c r="G497" i="17"/>
  <c r="I496" i="17"/>
  <c r="H496" i="17"/>
  <c r="G496" i="17"/>
  <c r="I495" i="17"/>
  <c r="H495" i="17"/>
  <c r="G495" i="17"/>
  <c r="I494" i="17"/>
  <c r="H494" i="17"/>
  <c r="G494" i="17"/>
  <c r="I493" i="17"/>
  <c r="H493" i="17"/>
  <c r="G493" i="17"/>
  <c r="I492" i="17"/>
  <c r="H492" i="17"/>
  <c r="G492" i="17"/>
  <c r="I491" i="17"/>
  <c r="H491" i="17"/>
  <c r="G491" i="17"/>
  <c r="I490" i="17"/>
  <c r="H490" i="17"/>
  <c r="G490" i="17"/>
  <c r="I489" i="17"/>
  <c r="H489" i="17"/>
  <c r="G489" i="17"/>
  <c r="I488" i="17"/>
  <c r="H488" i="17"/>
  <c r="G488" i="17"/>
  <c r="I487" i="17"/>
  <c r="H487" i="17"/>
  <c r="G487" i="17"/>
  <c r="I486" i="17"/>
  <c r="H486" i="17"/>
  <c r="G486" i="17"/>
  <c r="I485" i="17"/>
  <c r="H485" i="17"/>
  <c r="G485" i="17"/>
  <c r="I484" i="17"/>
  <c r="H484" i="17"/>
  <c r="G484" i="17"/>
  <c r="I483" i="17"/>
  <c r="H483" i="17"/>
  <c r="G483" i="17"/>
  <c r="I482" i="17"/>
  <c r="H482" i="17"/>
  <c r="G482" i="17"/>
  <c r="I481" i="17"/>
  <c r="H481" i="17"/>
  <c r="G481" i="17"/>
  <c r="I480" i="17"/>
  <c r="H480" i="17"/>
  <c r="G480" i="17"/>
  <c r="I479" i="17"/>
  <c r="H479" i="17"/>
  <c r="G479" i="17"/>
  <c r="I478" i="17"/>
  <c r="H478" i="17"/>
  <c r="G478" i="17"/>
  <c r="I477" i="17"/>
  <c r="H477" i="17"/>
  <c r="G477" i="17"/>
  <c r="I476" i="17"/>
  <c r="H476" i="17"/>
  <c r="G476" i="17"/>
  <c r="I475" i="17"/>
  <c r="H475" i="17"/>
  <c r="G475" i="17"/>
  <c r="I474" i="17"/>
  <c r="H474" i="17"/>
  <c r="G474" i="17"/>
  <c r="I473" i="17"/>
  <c r="H473" i="17"/>
  <c r="G473" i="17"/>
  <c r="I472" i="17"/>
  <c r="H472" i="17"/>
  <c r="G472" i="17"/>
  <c r="I471" i="17"/>
  <c r="H471" i="17"/>
  <c r="G471" i="17"/>
  <c r="I470" i="17"/>
  <c r="H470" i="17"/>
  <c r="G470" i="17"/>
  <c r="I469" i="17"/>
  <c r="H469" i="17"/>
  <c r="G469" i="17"/>
  <c r="I468" i="17"/>
  <c r="H468" i="17"/>
  <c r="G468" i="17"/>
  <c r="I467" i="17"/>
  <c r="H467" i="17"/>
  <c r="G467" i="17"/>
  <c r="I466" i="17"/>
  <c r="H466" i="17"/>
  <c r="G466" i="17"/>
  <c r="I465" i="17"/>
  <c r="H465" i="17"/>
  <c r="G465" i="17"/>
  <c r="I464" i="17"/>
  <c r="H464" i="17"/>
  <c r="G464" i="17"/>
  <c r="I463" i="17"/>
  <c r="H463" i="17"/>
  <c r="G463" i="17"/>
  <c r="I462" i="17"/>
  <c r="H462" i="17"/>
  <c r="G462" i="17"/>
  <c r="I461" i="17"/>
  <c r="H461" i="17"/>
  <c r="G461" i="17"/>
  <c r="I460" i="17"/>
  <c r="H460" i="17"/>
  <c r="G460" i="17"/>
  <c r="I459" i="17"/>
  <c r="H459" i="17"/>
  <c r="G459" i="17"/>
  <c r="I458" i="17"/>
  <c r="H458" i="17"/>
  <c r="G458" i="17"/>
  <c r="I457" i="17"/>
  <c r="H457" i="17"/>
  <c r="G457" i="17"/>
  <c r="I456" i="17"/>
  <c r="H456" i="17"/>
  <c r="G456" i="17"/>
  <c r="I455" i="17"/>
  <c r="H455" i="17"/>
  <c r="G455" i="17"/>
  <c r="I454" i="17"/>
  <c r="H454" i="17"/>
  <c r="G454" i="17"/>
  <c r="I453" i="17"/>
  <c r="H453" i="17"/>
  <c r="G453" i="17"/>
  <c r="I452" i="17"/>
  <c r="H452" i="17"/>
  <c r="G452" i="17"/>
  <c r="I451" i="17"/>
  <c r="H451" i="17"/>
  <c r="G451" i="17"/>
  <c r="I450" i="17"/>
  <c r="H450" i="17"/>
  <c r="G450" i="17"/>
  <c r="I449" i="17"/>
  <c r="H449" i="17"/>
  <c r="G449" i="17"/>
  <c r="I448" i="17"/>
  <c r="H448" i="17"/>
  <c r="G448" i="17"/>
  <c r="I447" i="17"/>
  <c r="H447" i="17"/>
  <c r="G447" i="17"/>
  <c r="I446" i="17"/>
  <c r="H446" i="17"/>
  <c r="G446" i="17"/>
  <c r="I445" i="17"/>
  <c r="H445" i="17"/>
  <c r="G445" i="17"/>
  <c r="I444" i="17"/>
  <c r="H444" i="17"/>
  <c r="G444" i="17"/>
  <c r="I443" i="17"/>
  <c r="H443" i="17"/>
  <c r="G443" i="17"/>
  <c r="I442" i="17"/>
  <c r="H442" i="17"/>
  <c r="G442" i="17"/>
  <c r="I441" i="17"/>
  <c r="H441" i="17"/>
  <c r="G441" i="17"/>
  <c r="I440" i="17"/>
  <c r="H440" i="17"/>
  <c r="G440" i="17"/>
  <c r="I439" i="17"/>
  <c r="H439" i="17"/>
  <c r="G439" i="17"/>
  <c r="I438" i="17"/>
  <c r="H438" i="17"/>
  <c r="G438" i="17"/>
  <c r="I437" i="17"/>
  <c r="H437" i="17"/>
  <c r="G437" i="17"/>
  <c r="I436" i="17"/>
  <c r="H436" i="17"/>
  <c r="G436" i="17"/>
  <c r="I435" i="17"/>
  <c r="H435" i="17"/>
  <c r="G435" i="17"/>
  <c r="I434" i="17"/>
  <c r="H434" i="17"/>
  <c r="G434" i="17"/>
  <c r="I433" i="17"/>
  <c r="H433" i="17"/>
  <c r="G433" i="17"/>
  <c r="I432" i="17"/>
  <c r="H432" i="17"/>
  <c r="G432" i="17"/>
  <c r="I431" i="17"/>
  <c r="H431" i="17"/>
  <c r="G431" i="17"/>
  <c r="I430" i="17"/>
  <c r="H430" i="17"/>
  <c r="G430" i="17"/>
  <c r="I429" i="17"/>
  <c r="H429" i="17"/>
  <c r="G429" i="17"/>
  <c r="I428" i="17"/>
  <c r="H428" i="17"/>
  <c r="G428" i="17"/>
  <c r="I427" i="17"/>
  <c r="H427" i="17"/>
  <c r="G427" i="17"/>
  <c r="I426" i="17"/>
  <c r="H426" i="17"/>
  <c r="G426" i="17"/>
  <c r="I425" i="17"/>
  <c r="H425" i="17"/>
  <c r="G425" i="17"/>
  <c r="I424" i="17"/>
  <c r="H424" i="17"/>
  <c r="G424" i="17"/>
  <c r="I423" i="17"/>
  <c r="H423" i="17"/>
  <c r="G423" i="17"/>
  <c r="I422" i="17"/>
  <c r="H422" i="17"/>
  <c r="G422" i="17"/>
  <c r="I421" i="17"/>
  <c r="H421" i="17"/>
  <c r="G421" i="17"/>
  <c r="I420" i="17"/>
  <c r="H420" i="17"/>
  <c r="G420" i="17"/>
  <c r="I419" i="17"/>
  <c r="H419" i="17"/>
  <c r="G419" i="17"/>
  <c r="I418" i="17"/>
  <c r="H418" i="17"/>
  <c r="G418" i="17"/>
  <c r="I417" i="17"/>
  <c r="H417" i="17"/>
  <c r="G417" i="17"/>
  <c r="I416" i="17"/>
  <c r="H416" i="17"/>
  <c r="G416" i="17"/>
  <c r="I415" i="17"/>
  <c r="H415" i="17"/>
  <c r="G415" i="17"/>
  <c r="I414" i="17"/>
  <c r="H414" i="17"/>
  <c r="G414" i="17"/>
  <c r="I413" i="17"/>
  <c r="H413" i="17"/>
  <c r="G413" i="17"/>
  <c r="I412" i="17"/>
  <c r="H412" i="17"/>
  <c r="G412" i="17"/>
  <c r="I411" i="17"/>
  <c r="H411" i="17"/>
  <c r="G411" i="17"/>
  <c r="I410" i="17"/>
  <c r="H410" i="17"/>
  <c r="G410" i="17"/>
  <c r="I409" i="17"/>
  <c r="H409" i="17"/>
  <c r="G409" i="17"/>
  <c r="I408" i="17"/>
  <c r="H408" i="17"/>
  <c r="G408" i="17"/>
  <c r="I407" i="17"/>
  <c r="H407" i="17"/>
  <c r="G407" i="17"/>
  <c r="I406" i="17"/>
  <c r="H406" i="17"/>
  <c r="G406" i="17"/>
  <c r="I405" i="17"/>
  <c r="H405" i="17"/>
  <c r="G405" i="17"/>
  <c r="I404" i="17"/>
  <c r="H404" i="17"/>
  <c r="G404" i="17"/>
  <c r="I403" i="17"/>
  <c r="H403" i="17"/>
  <c r="G403" i="17"/>
  <c r="I402" i="17"/>
  <c r="H402" i="17"/>
  <c r="G402" i="17"/>
  <c r="I401" i="17"/>
  <c r="H401" i="17"/>
  <c r="G401" i="17"/>
  <c r="I400" i="17"/>
  <c r="H400" i="17"/>
  <c r="G400" i="17"/>
  <c r="I399" i="17"/>
  <c r="H399" i="17"/>
  <c r="G399" i="17"/>
  <c r="I398" i="17"/>
  <c r="H398" i="17"/>
  <c r="G398" i="17"/>
  <c r="I397" i="17"/>
  <c r="H397" i="17"/>
  <c r="G397" i="17"/>
  <c r="I396" i="17"/>
  <c r="H396" i="17"/>
  <c r="G396" i="17"/>
  <c r="I395" i="17"/>
  <c r="H395" i="17"/>
  <c r="G395" i="17"/>
  <c r="I394" i="17"/>
  <c r="H394" i="17"/>
  <c r="G394" i="17"/>
  <c r="I393" i="17"/>
  <c r="H393" i="17"/>
  <c r="G393" i="17"/>
  <c r="I392" i="17"/>
  <c r="H392" i="17"/>
  <c r="G392" i="17"/>
  <c r="I391" i="17"/>
  <c r="H391" i="17"/>
  <c r="G391" i="17"/>
  <c r="I390" i="17"/>
  <c r="H390" i="17"/>
  <c r="G390" i="17"/>
  <c r="I389" i="17"/>
  <c r="H389" i="17"/>
  <c r="G389" i="17"/>
  <c r="I388" i="17"/>
  <c r="H388" i="17"/>
  <c r="G388" i="17"/>
  <c r="I387" i="17"/>
  <c r="H387" i="17"/>
  <c r="G387" i="17"/>
  <c r="I386" i="17"/>
  <c r="H386" i="17"/>
  <c r="G386" i="17"/>
  <c r="I385" i="17"/>
  <c r="H385" i="17"/>
  <c r="G385" i="17"/>
  <c r="I384" i="17"/>
  <c r="H384" i="17"/>
  <c r="G384" i="17"/>
  <c r="I383" i="17"/>
  <c r="H383" i="17"/>
  <c r="G383" i="17"/>
  <c r="I382" i="17"/>
  <c r="H382" i="17"/>
  <c r="G382" i="17"/>
  <c r="I381" i="17"/>
  <c r="H381" i="17"/>
  <c r="G381" i="17"/>
  <c r="I380" i="17"/>
  <c r="H380" i="17"/>
  <c r="G380" i="17"/>
  <c r="I379" i="17"/>
  <c r="H379" i="17"/>
  <c r="G379" i="17"/>
  <c r="I378" i="17"/>
  <c r="H378" i="17"/>
  <c r="G378" i="17"/>
  <c r="I377" i="17"/>
  <c r="H377" i="17"/>
  <c r="G377" i="17"/>
  <c r="I376" i="17"/>
  <c r="H376" i="17"/>
  <c r="G376" i="17"/>
  <c r="I375" i="17"/>
  <c r="H375" i="17"/>
  <c r="G375" i="17"/>
  <c r="I374" i="17"/>
  <c r="H374" i="17"/>
  <c r="G374" i="17"/>
  <c r="I373" i="17"/>
  <c r="H373" i="17"/>
  <c r="G373" i="17"/>
  <c r="I372" i="17"/>
  <c r="H372" i="17"/>
  <c r="G372" i="17"/>
  <c r="I371" i="17"/>
  <c r="H371" i="17"/>
  <c r="G371" i="17"/>
  <c r="I370" i="17"/>
  <c r="H370" i="17"/>
  <c r="G370" i="17"/>
  <c r="I369" i="17"/>
  <c r="H369" i="17"/>
  <c r="G369" i="17"/>
  <c r="I368" i="17"/>
  <c r="H368" i="17"/>
  <c r="G368" i="17"/>
  <c r="I367" i="17"/>
  <c r="H367" i="17"/>
  <c r="G367" i="17"/>
  <c r="I366" i="17"/>
  <c r="H366" i="17"/>
  <c r="G366" i="17"/>
  <c r="I365" i="17"/>
  <c r="H365" i="17"/>
  <c r="G365" i="17"/>
  <c r="I364" i="17"/>
  <c r="H364" i="17"/>
  <c r="G364" i="17"/>
  <c r="I363" i="17"/>
  <c r="H363" i="17"/>
  <c r="G363" i="17"/>
  <c r="I362" i="17"/>
  <c r="H362" i="17"/>
  <c r="G362" i="17"/>
  <c r="I361" i="17"/>
  <c r="H361" i="17"/>
  <c r="G361" i="17"/>
  <c r="I360" i="17"/>
  <c r="H360" i="17"/>
  <c r="G360" i="17"/>
  <c r="I359" i="17"/>
  <c r="H359" i="17"/>
  <c r="G359" i="17"/>
  <c r="I358" i="17"/>
  <c r="H358" i="17"/>
  <c r="G358" i="17"/>
  <c r="I357" i="17"/>
  <c r="H357" i="17"/>
  <c r="G357" i="17"/>
  <c r="I356" i="17"/>
  <c r="H356" i="17"/>
  <c r="G356" i="17"/>
  <c r="I355" i="17"/>
  <c r="H355" i="17"/>
  <c r="G355" i="17"/>
  <c r="I354" i="17"/>
  <c r="H354" i="17"/>
  <c r="G354" i="17"/>
  <c r="I353" i="17"/>
  <c r="H353" i="17"/>
  <c r="G353" i="17"/>
  <c r="I352" i="17"/>
  <c r="H352" i="17"/>
  <c r="G352" i="17"/>
  <c r="I351" i="17"/>
  <c r="H351" i="17"/>
  <c r="G351" i="17"/>
  <c r="I350" i="17"/>
  <c r="H350" i="17"/>
  <c r="G350" i="17"/>
  <c r="I349" i="17"/>
  <c r="H349" i="17"/>
  <c r="G349" i="17"/>
  <c r="I348" i="17"/>
  <c r="H348" i="17"/>
  <c r="G348" i="17"/>
  <c r="I347" i="17"/>
  <c r="H347" i="17"/>
  <c r="G347" i="17"/>
  <c r="I346" i="17"/>
  <c r="H346" i="17"/>
  <c r="G346" i="17"/>
  <c r="I345" i="17"/>
  <c r="H345" i="17"/>
  <c r="G345" i="17"/>
  <c r="I344" i="17"/>
  <c r="H344" i="17"/>
  <c r="G344" i="17"/>
  <c r="I343" i="17"/>
  <c r="H343" i="17"/>
  <c r="G343" i="17"/>
  <c r="I342" i="17"/>
  <c r="H342" i="17"/>
  <c r="G342" i="17"/>
  <c r="I341" i="17"/>
  <c r="H341" i="17"/>
  <c r="G341" i="17"/>
  <c r="I340" i="17"/>
  <c r="H340" i="17"/>
  <c r="G340" i="17"/>
  <c r="I339" i="17"/>
  <c r="H339" i="17"/>
  <c r="G339" i="17"/>
  <c r="I338" i="17"/>
  <c r="H338" i="17"/>
  <c r="G338" i="17"/>
  <c r="I337" i="17"/>
  <c r="H337" i="17"/>
  <c r="G337" i="17"/>
  <c r="I336" i="17"/>
  <c r="H336" i="17"/>
  <c r="G336" i="17"/>
  <c r="I335" i="17"/>
  <c r="H335" i="17"/>
  <c r="G335" i="17"/>
  <c r="I334" i="17"/>
  <c r="H334" i="17"/>
  <c r="G334" i="17"/>
  <c r="I333" i="17"/>
  <c r="H333" i="17"/>
  <c r="G333" i="17"/>
  <c r="I332" i="17"/>
  <c r="H332" i="17"/>
  <c r="G332" i="17"/>
  <c r="I331" i="17"/>
  <c r="H331" i="17"/>
  <c r="G331" i="17"/>
  <c r="I330" i="17"/>
  <c r="H330" i="17"/>
  <c r="G330" i="17"/>
  <c r="I329" i="17"/>
  <c r="H329" i="17"/>
  <c r="G329" i="17"/>
  <c r="I328" i="17"/>
  <c r="H328" i="17"/>
  <c r="G328" i="17"/>
  <c r="I327" i="17"/>
  <c r="H327" i="17"/>
  <c r="G327" i="17"/>
  <c r="I326" i="17"/>
  <c r="H326" i="17"/>
  <c r="G326" i="17"/>
  <c r="I325" i="17"/>
  <c r="H325" i="17"/>
  <c r="G325" i="17"/>
  <c r="I324" i="17"/>
  <c r="H324" i="17"/>
  <c r="G324" i="17"/>
  <c r="I323" i="17"/>
  <c r="H323" i="17"/>
  <c r="G323" i="17"/>
  <c r="I322" i="17"/>
  <c r="H322" i="17"/>
  <c r="G322" i="17"/>
  <c r="I321" i="17"/>
  <c r="H321" i="17"/>
  <c r="G321" i="17"/>
  <c r="I320" i="17"/>
  <c r="H320" i="17"/>
  <c r="G320" i="17"/>
  <c r="I319" i="17"/>
  <c r="H319" i="17"/>
  <c r="G319" i="17"/>
  <c r="I318" i="17"/>
  <c r="H318" i="17"/>
  <c r="G318" i="17"/>
  <c r="I317" i="17"/>
  <c r="H317" i="17"/>
  <c r="G317" i="17"/>
  <c r="I316" i="17"/>
  <c r="H316" i="17"/>
  <c r="G316" i="17"/>
  <c r="I315" i="17"/>
  <c r="H315" i="17"/>
  <c r="G315" i="17"/>
  <c r="I314" i="17"/>
  <c r="H314" i="17"/>
  <c r="G314" i="17"/>
  <c r="I313" i="17"/>
  <c r="H313" i="17"/>
  <c r="G313" i="17"/>
  <c r="I312" i="17"/>
  <c r="H312" i="17"/>
  <c r="G312" i="17"/>
  <c r="I311" i="17"/>
  <c r="H311" i="17"/>
  <c r="G311" i="17"/>
  <c r="I310" i="17"/>
  <c r="H310" i="17"/>
  <c r="G310" i="17"/>
  <c r="I309" i="17"/>
  <c r="H309" i="17"/>
  <c r="G309" i="17"/>
  <c r="I308" i="17"/>
  <c r="H308" i="17"/>
  <c r="G308" i="17"/>
  <c r="I307" i="17"/>
  <c r="H307" i="17"/>
  <c r="G307" i="17"/>
  <c r="I306" i="17"/>
  <c r="H306" i="17"/>
  <c r="G306" i="17"/>
  <c r="I305" i="17"/>
  <c r="H305" i="17"/>
  <c r="G305" i="17"/>
  <c r="I304" i="17"/>
  <c r="H304" i="17"/>
  <c r="G304" i="17"/>
  <c r="I303" i="17"/>
  <c r="H303" i="17"/>
  <c r="G303" i="17"/>
  <c r="I302" i="17"/>
  <c r="H302" i="17"/>
  <c r="G302" i="17"/>
  <c r="I301" i="17"/>
  <c r="H301" i="17"/>
  <c r="G301" i="17"/>
  <c r="I300" i="17"/>
  <c r="H300" i="17"/>
  <c r="G300" i="17"/>
  <c r="I299" i="17"/>
  <c r="H299" i="17"/>
  <c r="G299" i="17"/>
  <c r="I298" i="17"/>
  <c r="H298" i="17"/>
  <c r="G298" i="17"/>
  <c r="I297" i="17"/>
  <c r="H297" i="17"/>
  <c r="G297" i="17"/>
  <c r="I296" i="17"/>
  <c r="H296" i="17"/>
  <c r="G296" i="17"/>
  <c r="I295" i="17"/>
  <c r="H295" i="17"/>
  <c r="G295" i="17"/>
  <c r="I294" i="17"/>
  <c r="H294" i="17"/>
  <c r="G294" i="17"/>
  <c r="I293" i="17"/>
  <c r="H293" i="17"/>
  <c r="G293" i="17"/>
  <c r="I292" i="17"/>
  <c r="H292" i="17"/>
  <c r="G292" i="17"/>
  <c r="I291" i="17"/>
  <c r="H291" i="17"/>
  <c r="G291" i="17"/>
  <c r="I290" i="17"/>
  <c r="H290" i="17"/>
  <c r="G290" i="17"/>
  <c r="I289" i="17"/>
  <c r="H289" i="17"/>
  <c r="G289" i="17"/>
  <c r="I288" i="17"/>
  <c r="H288" i="17"/>
  <c r="G288" i="17"/>
  <c r="I287" i="17"/>
  <c r="H287" i="17"/>
  <c r="G287" i="17"/>
  <c r="I286" i="17"/>
  <c r="H286" i="17"/>
  <c r="G286" i="17"/>
  <c r="I285" i="17"/>
  <c r="H285" i="17"/>
  <c r="G285" i="17"/>
  <c r="I284" i="17"/>
  <c r="H284" i="17"/>
  <c r="G284" i="17"/>
  <c r="I283" i="17"/>
  <c r="H283" i="17"/>
  <c r="G283" i="17"/>
  <c r="I282" i="17"/>
  <c r="H282" i="17"/>
  <c r="G282" i="17"/>
  <c r="I281" i="17"/>
  <c r="H281" i="17"/>
  <c r="G281" i="17"/>
  <c r="I280" i="17"/>
  <c r="H280" i="17"/>
  <c r="G280" i="17"/>
  <c r="I279" i="17"/>
  <c r="H279" i="17"/>
  <c r="G279" i="17"/>
  <c r="I278" i="17"/>
  <c r="H278" i="17"/>
  <c r="G278" i="17"/>
  <c r="I277" i="17"/>
  <c r="H277" i="17"/>
  <c r="G277" i="17"/>
  <c r="I276" i="17"/>
  <c r="H276" i="17"/>
  <c r="G276" i="17"/>
  <c r="I275" i="17"/>
  <c r="H275" i="17"/>
  <c r="G275" i="17"/>
  <c r="I274" i="17"/>
  <c r="H274" i="17"/>
  <c r="G274" i="17"/>
  <c r="I273" i="17"/>
  <c r="H273" i="17"/>
  <c r="G273" i="17"/>
  <c r="I272" i="17"/>
  <c r="H272" i="17"/>
  <c r="G272" i="17"/>
  <c r="I271" i="17"/>
  <c r="H271" i="17"/>
  <c r="G271" i="17"/>
  <c r="I270" i="17"/>
  <c r="H270" i="17"/>
  <c r="G270" i="17"/>
  <c r="I269" i="17"/>
  <c r="H269" i="17"/>
  <c r="G269" i="17"/>
  <c r="I268" i="17"/>
  <c r="H268" i="17"/>
  <c r="G268" i="17"/>
  <c r="I267" i="17"/>
  <c r="H267" i="17"/>
  <c r="G267" i="17"/>
  <c r="I266" i="17"/>
  <c r="H266" i="17"/>
  <c r="G266" i="17"/>
  <c r="I265" i="17"/>
  <c r="H265" i="17"/>
  <c r="G265" i="17"/>
  <c r="I264" i="17"/>
  <c r="H264" i="17"/>
  <c r="G264" i="17"/>
  <c r="I263" i="17"/>
  <c r="H263" i="17"/>
  <c r="G263" i="17"/>
  <c r="I262" i="17"/>
  <c r="H262" i="17"/>
  <c r="G262" i="17"/>
  <c r="I261" i="17"/>
  <c r="H261" i="17"/>
  <c r="G261" i="17"/>
  <c r="I260" i="17"/>
  <c r="H260" i="17"/>
  <c r="G260" i="17"/>
  <c r="I259" i="17"/>
  <c r="H259" i="17"/>
  <c r="G259" i="17"/>
  <c r="I258" i="17"/>
  <c r="H258" i="17"/>
  <c r="G258" i="17"/>
  <c r="I257" i="17"/>
  <c r="H257" i="17"/>
  <c r="G257" i="17"/>
  <c r="I256" i="17"/>
  <c r="H256" i="17"/>
  <c r="G256" i="17"/>
  <c r="I255" i="17"/>
  <c r="H255" i="17"/>
  <c r="G255" i="17"/>
  <c r="I254" i="17"/>
  <c r="H254" i="17"/>
  <c r="G254" i="17"/>
  <c r="I253" i="17"/>
  <c r="H253" i="17"/>
  <c r="G253" i="17"/>
  <c r="I252" i="17"/>
  <c r="H252" i="17"/>
  <c r="G252" i="17"/>
  <c r="I251" i="17"/>
  <c r="H251" i="17"/>
  <c r="G251" i="17"/>
  <c r="I250" i="17"/>
  <c r="H250" i="17"/>
  <c r="G250" i="17"/>
  <c r="I249" i="17"/>
  <c r="H249" i="17"/>
  <c r="G249" i="17"/>
  <c r="I248" i="17"/>
  <c r="H248" i="17"/>
  <c r="G248" i="17"/>
  <c r="I247" i="17"/>
  <c r="H247" i="17"/>
  <c r="G247" i="17"/>
  <c r="I246" i="17"/>
  <c r="H246" i="17"/>
  <c r="G246" i="17"/>
  <c r="I245" i="17"/>
  <c r="H245" i="17"/>
  <c r="G245" i="17"/>
  <c r="I244" i="17"/>
  <c r="H244" i="17"/>
  <c r="G244" i="17"/>
  <c r="I243" i="17"/>
  <c r="H243" i="17"/>
  <c r="G243" i="17"/>
  <c r="I242" i="17"/>
  <c r="H242" i="17"/>
  <c r="G242" i="17"/>
  <c r="I241" i="17"/>
  <c r="H241" i="17"/>
  <c r="G241" i="17"/>
  <c r="I240" i="17"/>
  <c r="H240" i="17"/>
  <c r="G240" i="17"/>
  <c r="I239" i="17"/>
  <c r="H239" i="17"/>
  <c r="G239" i="17"/>
  <c r="I238" i="17"/>
  <c r="H238" i="17"/>
  <c r="G238" i="17"/>
  <c r="I237" i="17"/>
  <c r="H237" i="17"/>
  <c r="G237" i="17"/>
  <c r="I236" i="17"/>
  <c r="H236" i="17"/>
  <c r="G236" i="17"/>
  <c r="I235" i="17"/>
  <c r="H235" i="17"/>
  <c r="G235" i="17"/>
  <c r="I234" i="17"/>
  <c r="H234" i="17"/>
  <c r="G234" i="17"/>
  <c r="I233" i="17"/>
  <c r="H233" i="17"/>
  <c r="G233" i="17"/>
  <c r="I232" i="17"/>
  <c r="H232" i="17"/>
  <c r="G232" i="17"/>
  <c r="I231" i="17"/>
  <c r="H231" i="17"/>
  <c r="G231" i="17"/>
  <c r="I230" i="17"/>
  <c r="H230" i="17"/>
  <c r="G230" i="17"/>
  <c r="I229" i="17"/>
  <c r="H229" i="17"/>
  <c r="G229" i="17"/>
  <c r="I228" i="17"/>
  <c r="H228" i="17"/>
  <c r="G228" i="17"/>
  <c r="I227" i="17"/>
  <c r="H227" i="17"/>
  <c r="G227" i="17"/>
  <c r="I226" i="17"/>
  <c r="H226" i="17"/>
  <c r="G226" i="17"/>
  <c r="I225" i="17"/>
  <c r="H225" i="17"/>
  <c r="G225" i="17"/>
  <c r="I224" i="17"/>
  <c r="H224" i="17"/>
  <c r="G224" i="17"/>
  <c r="I223" i="17"/>
  <c r="H223" i="17"/>
  <c r="G223" i="17"/>
  <c r="I222" i="17"/>
  <c r="H222" i="17"/>
  <c r="G222" i="17"/>
  <c r="I221" i="17"/>
  <c r="H221" i="17"/>
  <c r="G221" i="17"/>
  <c r="I220" i="17"/>
  <c r="H220" i="17"/>
  <c r="G220" i="17"/>
  <c r="I219" i="17"/>
  <c r="H219" i="17"/>
  <c r="G219" i="17"/>
  <c r="I218" i="17"/>
  <c r="H218" i="17"/>
  <c r="G218" i="17"/>
  <c r="I217" i="17"/>
  <c r="H217" i="17"/>
  <c r="G217" i="17"/>
  <c r="I216" i="17"/>
  <c r="H216" i="17"/>
  <c r="G216" i="17"/>
  <c r="I215" i="17"/>
  <c r="H215" i="17"/>
  <c r="G215" i="17"/>
  <c r="I214" i="17"/>
  <c r="H214" i="17"/>
  <c r="G214" i="17"/>
  <c r="I213" i="17"/>
  <c r="H213" i="17"/>
  <c r="G213" i="17"/>
  <c r="I212" i="17"/>
  <c r="H212" i="17"/>
  <c r="G212" i="17"/>
  <c r="I211" i="17"/>
  <c r="H211" i="17"/>
  <c r="G211" i="17"/>
  <c r="I210" i="17"/>
  <c r="H210" i="17"/>
  <c r="G210" i="17"/>
  <c r="I209" i="17"/>
  <c r="H209" i="17"/>
  <c r="G209" i="17"/>
  <c r="I208" i="17"/>
  <c r="H208" i="17"/>
  <c r="G208" i="17"/>
  <c r="I207" i="17"/>
  <c r="H207" i="17"/>
  <c r="G207" i="17"/>
  <c r="I206" i="17"/>
  <c r="H206" i="17"/>
  <c r="G206" i="17"/>
  <c r="I205" i="17"/>
  <c r="H205" i="17"/>
  <c r="G205" i="17"/>
  <c r="I204" i="17"/>
  <c r="H204" i="17"/>
  <c r="G204" i="17"/>
  <c r="I203" i="17"/>
  <c r="H203" i="17"/>
  <c r="G203" i="17"/>
  <c r="I202" i="17"/>
  <c r="H202" i="17"/>
  <c r="G202" i="17"/>
  <c r="I201" i="17"/>
  <c r="H201" i="17"/>
  <c r="G201" i="17"/>
  <c r="I200" i="17"/>
  <c r="H200" i="17"/>
  <c r="G200" i="17"/>
  <c r="I199" i="17"/>
  <c r="H199" i="17"/>
  <c r="G199" i="17"/>
  <c r="I198" i="17"/>
  <c r="H198" i="17"/>
  <c r="G198" i="17"/>
  <c r="I197" i="17"/>
  <c r="H197" i="17"/>
  <c r="G197" i="17"/>
  <c r="I196" i="17"/>
  <c r="H196" i="17"/>
  <c r="G196" i="17"/>
  <c r="I195" i="17"/>
  <c r="H195" i="17"/>
  <c r="G195" i="17"/>
  <c r="I194" i="17"/>
  <c r="H194" i="17"/>
  <c r="G194" i="17"/>
  <c r="I193" i="17"/>
  <c r="H193" i="17"/>
  <c r="G193" i="17"/>
  <c r="I192" i="17"/>
  <c r="H192" i="17"/>
  <c r="G192" i="17"/>
  <c r="I191" i="17"/>
  <c r="H191" i="17"/>
  <c r="G191" i="17"/>
  <c r="I190" i="17"/>
  <c r="H190" i="17"/>
  <c r="G190" i="17"/>
  <c r="I189" i="17"/>
  <c r="H189" i="17"/>
  <c r="G189" i="17"/>
  <c r="I188" i="17"/>
  <c r="H188" i="17"/>
  <c r="G188" i="17"/>
  <c r="I187" i="17"/>
  <c r="H187" i="17"/>
  <c r="G187" i="17"/>
  <c r="I186" i="17"/>
  <c r="H186" i="17"/>
  <c r="G186" i="17"/>
  <c r="I185" i="17"/>
  <c r="H185" i="17"/>
  <c r="G185" i="17"/>
  <c r="I184" i="17"/>
  <c r="H184" i="17"/>
  <c r="G184" i="17"/>
  <c r="I183" i="17"/>
  <c r="H183" i="17"/>
  <c r="G183" i="17"/>
  <c r="I182" i="17"/>
  <c r="H182" i="17"/>
  <c r="G182" i="17"/>
  <c r="I181" i="17"/>
  <c r="H181" i="17"/>
  <c r="G181" i="17"/>
  <c r="I180" i="17"/>
  <c r="H180" i="17"/>
  <c r="G180" i="17"/>
  <c r="I179" i="17"/>
  <c r="H179" i="17"/>
  <c r="G179" i="17"/>
  <c r="I178" i="17"/>
  <c r="H178" i="17"/>
  <c r="G178" i="17"/>
  <c r="I177" i="17"/>
  <c r="H177" i="17"/>
  <c r="G177" i="17"/>
  <c r="I176" i="17"/>
  <c r="H176" i="17"/>
  <c r="G176" i="17"/>
  <c r="I175" i="17"/>
  <c r="H175" i="17"/>
  <c r="G175" i="17"/>
  <c r="I174" i="17"/>
  <c r="H174" i="17"/>
  <c r="G174" i="17"/>
  <c r="I173" i="17"/>
  <c r="H173" i="17"/>
  <c r="G173" i="17"/>
  <c r="I172" i="17"/>
  <c r="H172" i="17"/>
  <c r="G172" i="17"/>
  <c r="I171" i="17"/>
  <c r="H171" i="17"/>
  <c r="G171" i="17"/>
  <c r="I170" i="17"/>
  <c r="H170" i="17"/>
  <c r="G170" i="17"/>
  <c r="I169" i="17"/>
  <c r="H169" i="17"/>
  <c r="G169" i="17"/>
  <c r="I168" i="17"/>
  <c r="H168" i="17"/>
  <c r="G168" i="17"/>
  <c r="I167" i="17"/>
  <c r="H167" i="17"/>
  <c r="G167" i="17"/>
  <c r="I166" i="17"/>
  <c r="H166" i="17"/>
  <c r="G166" i="17"/>
  <c r="I165" i="17"/>
  <c r="H165" i="17"/>
  <c r="G165" i="17"/>
  <c r="I164" i="17"/>
  <c r="H164" i="17"/>
  <c r="G164" i="17"/>
  <c r="I163" i="17"/>
  <c r="H163" i="17"/>
  <c r="G163" i="17"/>
  <c r="I162" i="17"/>
  <c r="H162" i="17"/>
  <c r="G162" i="17"/>
  <c r="I161" i="17"/>
  <c r="H161" i="17"/>
  <c r="G161" i="17"/>
  <c r="I160" i="17"/>
  <c r="H160" i="17"/>
  <c r="G160" i="17"/>
  <c r="I159" i="17"/>
  <c r="H159" i="17"/>
  <c r="G159" i="17"/>
  <c r="I158" i="17"/>
  <c r="H158" i="17"/>
  <c r="G158" i="17"/>
  <c r="I157" i="17"/>
  <c r="H157" i="17"/>
  <c r="G157" i="17"/>
  <c r="I156" i="17"/>
  <c r="H156" i="17"/>
  <c r="G156" i="17"/>
  <c r="I155" i="17"/>
  <c r="H155" i="17"/>
  <c r="G155" i="17"/>
  <c r="I154" i="17"/>
  <c r="H154" i="17"/>
  <c r="G154" i="17"/>
  <c r="I153" i="17"/>
  <c r="H153" i="17"/>
  <c r="G153" i="17"/>
  <c r="I152" i="17"/>
  <c r="H152" i="17"/>
  <c r="G152" i="17"/>
  <c r="I151" i="17"/>
  <c r="H151" i="17"/>
  <c r="G151" i="17"/>
  <c r="I150" i="17"/>
  <c r="H150" i="17"/>
  <c r="G150" i="17"/>
  <c r="I149" i="17"/>
  <c r="H149" i="17"/>
  <c r="G149" i="17"/>
  <c r="I148" i="17"/>
  <c r="H148" i="17"/>
  <c r="G148" i="17"/>
  <c r="I147" i="17"/>
  <c r="H147" i="17"/>
  <c r="G147" i="17"/>
  <c r="I146" i="17"/>
  <c r="H146" i="17"/>
  <c r="G146" i="17"/>
  <c r="I145" i="17"/>
  <c r="H145" i="17"/>
  <c r="G145" i="17"/>
  <c r="I144" i="17"/>
  <c r="H144" i="17"/>
  <c r="G144" i="17"/>
  <c r="I143" i="17"/>
  <c r="H143" i="17"/>
  <c r="G143" i="17"/>
  <c r="I142" i="17"/>
  <c r="H142" i="17"/>
  <c r="G142" i="17"/>
  <c r="I141" i="17"/>
  <c r="H141" i="17"/>
  <c r="G141" i="17"/>
  <c r="I140" i="17"/>
  <c r="H140" i="17"/>
  <c r="G140" i="17"/>
  <c r="I139" i="17"/>
  <c r="H139" i="17"/>
  <c r="G139" i="17"/>
  <c r="I138" i="17"/>
  <c r="H138" i="17"/>
  <c r="G138" i="17"/>
  <c r="I137" i="17"/>
  <c r="H137" i="17"/>
  <c r="G137" i="17"/>
  <c r="I136" i="17"/>
  <c r="H136" i="17"/>
  <c r="G136" i="17"/>
  <c r="I135" i="17"/>
  <c r="H135" i="17"/>
  <c r="G135" i="17"/>
  <c r="I134" i="17"/>
  <c r="H134" i="17"/>
  <c r="G134" i="17"/>
  <c r="I133" i="17"/>
  <c r="H133" i="17"/>
  <c r="G133" i="17"/>
  <c r="I132" i="17"/>
  <c r="H132" i="17"/>
  <c r="G132" i="17"/>
  <c r="I131" i="17"/>
  <c r="H131" i="17"/>
  <c r="G131" i="17"/>
  <c r="I130" i="17"/>
  <c r="H130" i="17"/>
  <c r="G130" i="17"/>
  <c r="I129" i="17"/>
  <c r="H129" i="17"/>
  <c r="G129" i="17"/>
  <c r="I128" i="17"/>
  <c r="H128" i="17"/>
  <c r="G128" i="17"/>
  <c r="I127" i="17"/>
  <c r="H127" i="17"/>
  <c r="G127" i="17"/>
  <c r="I126" i="17"/>
  <c r="H126" i="17"/>
  <c r="G126" i="17"/>
  <c r="I125" i="17"/>
  <c r="H125" i="17"/>
  <c r="G125" i="17"/>
  <c r="I124" i="17"/>
  <c r="H124" i="17"/>
  <c r="G124" i="17"/>
  <c r="I123" i="17"/>
  <c r="H123" i="17"/>
  <c r="G123" i="17"/>
  <c r="I122" i="17"/>
  <c r="H122" i="17"/>
  <c r="G122" i="17"/>
  <c r="I121" i="17"/>
  <c r="H121" i="17"/>
  <c r="G121" i="17"/>
  <c r="I120" i="17"/>
  <c r="H120" i="17"/>
  <c r="G120" i="17"/>
  <c r="I119" i="17"/>
  <c r="H119" i="17"/>
  <c r="G119" i="17"/>
  <c r="I118" i="17"/>
  <c r="H118" i="17"/>
  <c r="G118" i="17"/>
  <c r="I117" i="17"/>
  <c r="H117" i="17"/>
  <c r="G117" i="17"/>
  <c r="I116" i="17"/>
  <c r="H116" i="17"/>
  <c r="G116" i="17"/>
  <c r="I115" i="17"/>
  <c r="H115" i="17"/>
  <c r="G115" i="17"/>
  <c r="I114" i="17"/>
  <c r="H114" i="17"/>
  <c r="G114" i="17"/>
  <c r="I113" i="17"/>
  <c r="H113" i="17"/>
  <c r="G113" i="17"/>
  <c r="I112" i="17"/>
  <c r="H112" i="17"/>
  <c r="G112" i="17"/>
  <c r="I111" i="17"/>
  <c r="H111" i="17"/>
  <c r="G111" i="17"/>
  <c r="I110" i="17"/>
  <c r="H110" i="17"/>
  <c r="G110" i="17"/>
  <c r="I109" i="17"/>
  <c r="H109" i="17"/>
  <c r="G109" i="17"/>
  <c r="I108" i="17"/>
  <c r="H108" i="17"/>
  <c r="G108" i="17"/>
  <c r="I107" i="17"/>
  <c r="H107" i="17"/>
  <c r="G107" i="17"/>
  <c r="I106" i="17"/>
  <c r="H106" i="17"/>
  <c r="G106" i="17"/>
  <c r="I105" i="17"/>
  <c r="H105" i="17"/>
  <c r="G105" i="17"/>
  <c r="I104" i="17"/>
  <c r="H104" i="17"/>
  <c r="G104" i="17"/>
  <c r="I103" i="17"/>
  <c r="H103" i="17"/>
  <c r="G103" i="17"/>
  <c r="I102" i="17"/>
  <c r="H102" i="17"/>
  <c r="G102" i="17"/>
  <c r="I101" i="17"/>
  <c r="H101" i="17"/>
  <c r="G101" i="17"/>
  <c r="I100" i="17"/>
  <c r="H100" i="17"/>
  <c r="G100" i="17"/>
  <c r="I99" i="17"/>
  <c r="H99" i="17"/>
  <c r="G99" i="17"/>
  <c r="I98" i="17"/>
  <c r="H98" i="17"/>
  <c r="G98" i="17"/>
  <c r="I97" i="17"/>
  <c r="H97" i="17"/>
  <c r="G97" i="17"/>
  <c r="I96" i="17"/>
  <c r="H96" i="17"/>
  <c r="G96" i="17"/>
  <c r="I95" i="17"/>
  <c r="H95" i="17"/>
  <c r="G95" i="17"/>
  <c r="I94" i="17"/>
  <c r="H94" i="17"/>
  <c r="G94" i="17"/>
  <c r="I93" i="17"/>
  <c r="H93" i="17"/>
  <c r="G93" i="17"/>
  <c r="I92" i="17"/>
  <c r="H92" i="17"/>
  <c r="G92" i="17"/>
  <c r="I91" i="17"/>
  <c r="H91" i="17"/>
  <c r="G91" i="17"/>
  <c r="I90" i="17"/>
  <c r="H90" i="17"/>
  <c r="G90" i="17"/>
  <c r="I89" i="17"/>
  <c r="H89" i="17"/>
  <c r="G89" i="17"/>
  <c r="I88" i="17"/>
  <c r="H88" i="17"/>
  <c r="G88" i="17"/>
  <c r="I87" i="17"/>
  <c r="H87" i="17"/>
  <c r="G87" i="17"/>
  <c r="I86" i="17"/>
  <c r="H86" i="17"/>
  <c r="G86" i="17"/>
  <c r="I85" i="17"/>
  <c r="H85" i="17"/>
  <c r="G85" i="17"/>
  <c r="I84" i="17"/>
  <c r="H84" i="17"/>
  <c r="G84" i="17"/>
  <c r="I83" i="17"/>
  <c r="H83" i="17"/>
  <c r="G83" i="17"/>
  <c r="I82" i="17"/>
  <c r="H82" i="17"/>
  <c r="G82" i="17"/>
  <c r="I81" i="17"/>
  <c r="H81" i="17"/>
  <c r="G81" i="17"/>
  <c r="I80" i="17"/>
  <c r="H80" i="17"/>
  <c r="G80" i="17"/>
  <c r="I79" i="17"/>
  <c r="H79" i="17"/>
  <c r="G79" i="17"/>
  <c r="I78" i="17"/>
  <c r="H78" i="17"/>
  <c r="G78" i="17"/>
  <c r="I77" i="17"/>
  <c r="H77" i="17"/>
  <c r="G77" i="17"/>
  <c r="I76" i="17"/>
  <c r="H76" i="17"/>
  <c r="G76" i="17"/>
  <c r="I75" i="17"/>
  <c r="H75" i="17"/>
  <c r="G75" i="17"/>
  <c r="I74" i="17"/>
  <c r="H74" i="17"/>
  <c r="G74" i="17"/>
  <c r="I73" i="17"/>
  <c r="H73" i="17"/>
  <c r="G73" i="17"/>
  <c r="I72" i="17"/>
  <c r="H72" i="17"/>
  <c r="G72" i="17"/>
  <c r="I71" i="17"/>
  <c r="H71" i="17"/>
  <c r="G71" i="17"/>
  <c r="I70" i="17"/>
  <c r="H70" i="17"/>
  <c r="G70" i="17"/>
  <c r="I69" i="17"/>
  <c r="H69" i="17"/>
  <c r="G69" i="17"/>
  <c r="I68" i="17"/>
  <c r="H68" i="17"/>
  <c r="G68" i="17"/>
  <c r="I67" i="17"/>
  <c r="H67" i="17"/>
  <c r="G67" i="17"/>
  <c r="I66" i="17"/>
  <c r="H66" i="17"/>
  <c r="G66" i="17"/>
  <c r="I65" i="17"/>
  <c r="H65" i="17"/>
  <c r="G65" i="17"/>
  <c r="I64" i="17"/>
  <c r="H64" i="17"/>
  <c r="G64" i="17"/>
  <c r="I63" i="17"/>
  <c r="H63" i="17"/>
  <c r="G63" i="17"/>
  <c r="I62" i="17"/>
  <c r="H62" i="17"/>
  <c r="G62" i="17"/>
  <c r="I61" i="17"/>
  <c r="H61" i="17"/>
  <c r="G61" i="17"/>
  <c r="I60" i="17"/>
  <c r="H60" i="17"/>
  <c r="G60" i="17"/>
  <c r="I59" i="17"/>
  <c r="H59" i="17"/>
  <c r="G59" i="17"/>
  <c r="I58" i="17"/>
  <c r="H58" i="17"/>
  <c r="G58" i="17"/>
  <c r="I57" i="17"/>
  <c r="H57" i="17"/>
  <c r="G57" i="17"/>
  <c r="I56" i="17"/>
  <c r="H56" i="17"/>
  <c r="G56" i="17"/>
  <c r="I55" i="17"/>
  <c r="H55" i="17"/>
  <c r="G55" i="17"/>
  <c r="I54" i="17"/>
  <c r="H54" i="17"/>
  <c r="G54" i="17"/>
  <c r="I53" i="17"/>
  <c r="H53" i="17"/>
  <c r="G53" i="17"/>
  <c r="I52" i="17"/>
  <c r="H52" i="17"/>
  <c r="G52" i="17"/>
  <c r="I51" i="17"/>
  <c r="H51" i="17"/>
  <c r="G51" i="17"/>
  <c r="I50" i="17"/>
  <c r="H50" i="17"/>
  <c r="G50" i="17"/>
  <c r="I49" i="17"/>
  <c r="H49" i="17"/>
  <c r="G49" i="17"/>
  <c r="I48" i="17"/>
  <c r="H48" i="17"/>
  <c r="G48" i="17"/>
  <c r="I47" i="17"/>
  <c r="H47" i="17"/>
  <c r="G47" i="17"/>
  <c r="I46" i="17"/>
  <c r="H46" i="17"/>
  <c r="G46" i="17"/>
  <c r="I45" i="17"/>
  <c r="H45" i="17"/>
  <c r="G45" i="17"/>
  <c r="I44" i="17"/>
  <c r="H44" i="17"/>
  <c r="G44" i="17"/>
  <c r="I43" i="17"/>
  <c r="H43" i="17"/>
  <c r="G43" i="17"/>
  <c r="I42" i="17"/>
  <c r="H42" i="17"/>
  <c r="G42" i="17"/>
  <c r="I41" i="17"/>
  <c r="H41" i="17"/>
  <c r="G41" i="17"/>
  <c r="I40" i="17"/>
  <c r="H40" i="17"/>
  <c r="G40" i="17"/>
  <c r="I39" i="17"/>
  <c r="H39" i="17"/>
  <c r="G39" i="17"/>
  <c r="I38" i="17"/>
  <c r="H38" i="17"/>
  <c r="G38" i="17"/>
  <c r="I37" i="17"/>
  <c r="H37" i="17"/>
  <c r="G37" i="17"/>
  <c r="I36" i="17"/>
  <c r="H36" i="17"/>
  <c r="G36" i="17"/>
  <c r="I35" i="17"/>
  <c r="H35" i="17"/>
  <c r="G35" i="17"/>
  <c r="I34" i="17"/>
  <c r="H34" i="17"/>
  <c r="G34" i="17"/>
  <c r="I33" i="17"/>
  <c r="H33" i="17"/>
  <c r="G33" i="17"/>
  <c r="I32" i="17"/>
  <c r="H32" i="17"/>
  <c r="G32" i="17"/>
  <c r="I31" i="17"/>
  <c r="H31" i="17"/>
  <c r="G31" i="17"/>
  <c r="I30" i="17"/>
  <c r="H30" i="17"/>
  <c r="G30" i="17"/>
  <c r="I29" i="17"/>
  <c r="H29" i="17"/>
  <c r="G29" i="17"/>
  <c r="I28" i="17"/>
  <c r="H28" i="17"/>
  <c r="G28" i="17"/>
  <c r="I27" i="17"/>
  <c r="H27" i="17"/>
  <c r="G27" i="17"/>
  <c r="I26" i="17"/>
  <c r="H26" i="17"/>
  <c r="G26" i="17"/>
  <c r="I25" i="17"/>
  <c r="H25" i="17"/>
  <c r="G25" i="17"/>
  <c r="I24" i="17"/>
  <c r="H24" i="17"/>
  <c r="G24" i="17"/>
  <c r="I23" i="17"/>
  <c r="H23" i="17"/>
  <c r="G23" i="17"/>
  <c r="I22" i="17"/>
  <c r="H22" i="17"/>
  <c r="G22" i="17"/>
  <c r="I21" i="17"/>
  <c r="H21" i="17"/>
  <c r="G21" i="17"/>
  <c r="I20" i="17"/>
  <c r="H20" i="17"/>
  <c r="G20" i="17"/>
  <c r="I19" i="17"/>
  <c r="H19" i="17"/>
  <c r="G19" i="17"/>
  <c r="I18" i="17"/>
  <c r="H18" i="17"/>
  <c r="G18" i="17"/>
  <c r="I17" i="17"/>
  <c r="H17" i="17"/>
  <c r="G17" i="17"/>
  <c r="I16" i="17"/>
  <c r="H16" i="17"/>
  <c r="G16" i="17"/>
  <c r="I15" i="17"/>
  <c r="H15" i="17"/>
  <c r="G15" i="17"/>
  <c r="I14" i="17"/>
  <c r="H14" i="17"/>
  <c r="G14" i="17"/>
  <c r="I13" i="17"/>
  <c r="H13" i="17"/>
  <c r="G13" i="17"/>
  <c r="I12" i="17"/>
  <c r="H12" i="17"/>
  <c r="G12" i="17"/>
  <c r="I11" i="17"/>
  <c r="H11" i="17"/>
  <c r="G11" i="17"/>
  <c r="I10" i="17"/>
  <c r="H10" i="17"/>
  <c r="G10" i="17"/>
  <c r="I9" i="17"/>
  <c r="H9" i="17"/>
  <c r="G9" i="17"/>
  <c r="I8" i="17"/>
  <c r="H8" i="17"/>
  <c r="G8" i="17"/>
  <c r="I7" i="17"/>
  <c r="H7" i="17"/>
  <c r="G7" i="17"/>
  <c r="I6" i="17"/>
  <c r="H6" i="17"/>
  <c r="G6" i="17"/>
  <c r="I5" i="17"/>
  <c r="H5" i="17"/>
  <c r="G5" i="17"/>
  <c r="I4" i="17"/>
  <c r="H4" i="17"/>
  <c r="G4" i="17"/>
  <c r="O103" i="16"/>
  <c r="N103" i="16"/>
  <c r="M103" i="16"/>
  <c r="L103" i="16"/>
  <c r="O102" i="16"/>
  <c r="N102" i="16"/>
  <c r="M102" i="16"/>
  <c r="L102" i="16"/>
  <c r="O101" i="16"/>
  <c r="N101" i="16"/>
  <c r="M101" i="16"/>
  <c r="C100" i="29" s="1"/>
  <c r="L101" i="16"/>
  <c r="O100" i="16"/>
  <c r="N100" i="16"/>
  <c r="M100" i="16"/>
  <c r="L100" i="16"/>
  <c r="O99" i="16"/>
  <c r="N99" i="16"/>
  <c r="M99" i="16"/>
  <c r="L99" i="16"/>
  <c r="O98" i="16"/>
  <c r="N98" i="16"/>
  <c r="M98" i="16"/>
  <c r="L98" i="16"/>
  <c r="O97" i="16"/>
  <c r="N97" i="16"/>
  <c r="M97" i="16"/>
  <c r="L97" i="16"/>
  <c r="O96" i="16"/>
  <c r="N96" i="16"/>
  <c r="M96" i="16"/>
  <c r="C95" i="29" s="1"/>
  <c r="L96" i="16"/>
  <c r="O95" i="16"/>
  <c r="N95" i="16"/>
  <c r="M95" i="16"/>
  <c r="C94" i="29" s="1"/>
  <c r="L95" i="16"/>
  <c r="O94" i="16"/>
  <c r="N94" i="16"/>
  <c r="M94" i="16"/>
  <c r="C93" i="29" s="1"/>
  <c r="L94" i="16"/>
  <c r="O93" i="16"/>
  <c r="N93" i="16"/>
  <c r="M93" i="16"/>
  <c r="L93" i="16"/>
  <c r="O92" i="16"/>
  <c r="N92" i="16"/>
  <c r="M92" i="16"/>
  <c r="L92" i="16"/>
  <c r="O91" i="16"/>
  <c r="N91" i="16"/>
  <c r="M91" i="16"/>
  <c r="C90" i="29" s="1"/>
  <c r="L91" i="16"/>
  <c r="O90" i="16"/>
  <c r="N90" i="16"/>
  <c r="M90" i="16"/>
  <c r="L90" i="16"/>
  <c r="O89" i="16"/>
  <c r="N89" i="16"/>
  <c r="M89" i="16"/>
  <c r="L89" i="16"/>
  <c r="O88" i="16"/>
  <c r="N88" i="16"/>
  <c r="M88" i="16"/>
  <c r="C87" i="29" s="1"/>
  <c r="L88" i="16"/>
  <c r="O87" i="16"/>
  <c r="N87" i="16"/>
  <c r="M87" i="16"/>
  <c r="C86" i="29" s="1"/>
  <c r="L87" i="16"/>
  <c r="O86" i="16"/>
  <c r="N86" i="16"/>
  <c r="M86" i="16"/>
  <c r="L86" i="16"/>
  <c r="O85" i="16"/>
  <c r="N85" i="16"/>
  <c r="M85" i="16"/>
  <c r="L85" i="16"/>
  <c r="O84" i="16"/>
  <c r="N84" i="16"/>
  <c r="M84" i="16"/>
  <c r="L84" i="16"/>
  <c r="O83" i="16"/>
  <c r="N83" i="16"/>
  <c r="M83" i="16"/>
  <c r="C82" i="29" s="1"/>
  <c r="L83" i="16"/>
  <c r="O82" i="16"/>
  <c r="N82" i="16"/>
  <c r="M82" i="16"/>
  <c r="L82" i="16"/>
  <c r="O81" i="16"/>
  <c r="N81" i="16"/>
  <c r="M81" i="16"/>
  <c r="L81" i="16"/>
  <c r="O80" i="16"/>
  <c r="N80" i="16"/>
  <c r="M80" i="16"/>
  <c r="C79" i="29" s="1"/>
  <c r="L80" i="16"/>
  <c r="O79" i="16"/>
  <c r="N79" i="16"/>
  <c r="M79" i="16"/>
  <c r="C78" i="29" s="1"/>
  <c r="L79" i="16"/>
  <c r="O78" i="16"/>
  <c r="N78" i="16"/>
  <c r="M78" i="16"/>
  <c r="L78" i="16"/>
  <c r="O77" i="16"/>
  <c r="N77" i="16"/>
  <c r="M77" i="16"/>
  <c r="L77" i="16"/>
  <c r="O76" i="16"/>
  <c r="N76" i="16"/>
  <c r="M76" i="16"/>
  <c r="L76" i="16"/>
  <c r="O75" i="16"/>
  <c r="N75" i="16"/>
  <c r="M75" i="16"/>
  <c r="C74" i="29" s="1"/>
  <c r="L75" i="16"/>
  <c r="O74" i="16"/>
  <c r="N74" i="16"/>
  <c r="M74" i="16"/>
  <c r="L74" i="16"/>
  <c r="O73" i="16"/>
  <c r="N73" i="16"/>
  <c r="M73" i="16"/>
  <c r="L73" i="16"/>
  <c r="O72" i="16"/>
  <c r="N72" i="16"/>
  <c r="M72" i="16"/>
  <c r="C71" i="29" s="1"/>
  <c r="L72" i="16"/>
  <c r="O71" i="16"/>
  <c r="N71" i="16"/>
  <c r="M71" i="16"/>
  <c r="C70" i="29" s="1"/>
  <c r="L71" i="16"/>
  <c r="O70" i="16"/>
  <c r="N70" i="16"/>
  <c r="M70" i="16"/>
  <c r="L70" i="16"/>
  <c r="O69" i="16"/>
  <c r="N69" i="16"/>
  <c r="M69" i="16"/>
  <c r="L69" i="16"/>
  <c r="O68" i="16"/>
  <c r="N68" i="16"/>
  <c r="M68" i="16"/>
  <c r="L68" i="16"/>
  <c r="O67" i="16"/>
  <c r="N67" i="16"/>
  <c r="M67" i="16"/>
  <c r="L67" i="16"/>
  <c r="O66" i="16"/>
  <c r="N66" i="16"/>
  <c r="M66" i="16"/>
  <c r="L66" i="16"/>
  <c r="O65" i="16"/>
  <c r="N65" i="16"/>
  <c r="M65" i="16"/>
  <c r="L65" i="16"/>
  <c r="O64" i="16"/>
  <c r="N64" i="16"/>
  <c r="M64" i="16"/>
  <c r="C63" i="29" s="1"/>
  <c r="L64" i="16"/>
  <c r="O63" i="16"/>
  <c r="N63" i="16"/>
  <c r="M63" i="16"/>
  <c r="C62" i="29" s="1"/>
  <c r="L63" i="16"/>
  <c r="O62" i="16"/>
  <c r="N62" i="16"/>
  <c r="M62" i="16"/>
  <c r="L62" i="16"/>
  <c r="O61" i="16"/>
  <c r="N61" i="16"/>
  <c r="M61" i="16"/>
  <c r="L61" i="16"/>
  <c r="O60" i="16"/>
  <c r="N60" i="16"/>
  <c r="M60" i="16"/>
  <c r="C59" i="29" s="1"/>
  <c r="L60" i="16"/>
  <c r="O59" i="16"/>
  <c r="N59" i="16"/>
  <c r="M59" i="16"/>
  <c r="L59" i="16"/>
  <c r="O58" i="16"/>
  <c r="N58" i="16"/>
  <c r="M58" i="16"/>
  <c r="L58" i="16"/>
  <c r="O57" i="16"/>
  <c r="N57" i="16"/>
  <c r="M57" i="16"/>
  <c r="C56" i="29" s="1"/>
  <c r="L57" i="16"/>
  <c r="O56" i="16"/>
  <c r="N56" i="16"/>
  <c r="M56" i="16"/>
  <c r="C55" i="29" s="1"/>
  <c r="L56" i="16"/>
  <c r="O55" i="16"/>
  <c r="N55" i="16"/>
  <c r="M55" i="16"/>
  <c r="C54" i="29" s="1"/>
  <c r="L55" i="16"/>
  <c r="O54" i="16"/>
  <c r="N54" i="16"/>
  <c r="M54" i="16"/>
  <c r="L54" i="16"/>
  <c r="O53" i="16"/>
  <c r="N53" i="16"/>
  <c r="M53" i="16"/>
  <c r="L53" i="16"/>
  <c r="O52" i="16"/>
  <c r="N52" i="16"/>
  <c r="M52" i="16"/>
  <c r="C51" i="29" s="1"/>
  <c r="L52" i="16"/>
  <c r="O51" i="16"/>
  <c r="N51" i="16"/>
  <c r="M51" i="16"/>
  <c r="L51" i="16"/>
  <c r="O50" i="16"/>
  <c r="N50" i="16"/>
  <c r="M50" i="16"/>
  <c r="L50" i="16"/>
  <c r="O49" i="16"/>
  <c r="N49" i="16"/>
  <c r="M49" i="16"/>
  <c r="C48" i="29" s="1"/>
  <c r="L49" i="16"/>
  <c r="O48" i="16"/>
  <c r="N48" i="16"/>
  <c r="M48" i="16"/>
  <c r="C47" i="29" s="1"/>
  <c r="L48" i="16"/>
  <c r="O47" i="16"/>
  <c r="N47" i="16"/>
  <c r="M47" i="16"/>
  <c r="C46" i="29" s="1"/>
  <c r="L47" i="16"/>
  <c r="O46" i="16"/>
  <c r="N46" i="16"/>
  <c r="M46" i="16"/>
  <c r="L46" i="16"/>
  <c r="O45" i="16"/>
  <c r="N45" i="16"/>
  <c r="M45" i="16"/>
  <c r="L45" i="16"/>
  <c r="O44" i="16"/>
  <c r="N44" i="16"/>
  <c r="M44" i="16"/>
  <c r="C43" i="29" s="1"/>
  <c r="L44" i="16"/>
  <c r="O43" i="16"/>
  <c r="N43" i="16"/>
  <c r="M43" i="16"/>
  <c r="L43" i="16"/>
  <c r="O42" i="16"/>
  <c r="N42" i="16"/>
  <c r="M42" i="16"/>
  <c r="L42" i="16"/>
  <c r="O41" i="16"/>
  <c r="N41" i="16"/>
  <c r="M41" i="16"/>
  <c r="L41" i="16"/>
  <c r="O40" i="16"/>
  <c r="N40" i="16"/>
  <c r="M40" i="16"/>
  <c r="C39" i="29" s="1"/>
  <c r="L40" i="16"/>
  <c r="O39" i="16"/>
  <c r="N39" i="16"/>
  <c r="M39" i="16"/>
  <c r="C38" i="29" s="1"/>
  <c r="L39" i="16"/>
  <c r="O38" i="16"/>
  <c r="N38" i="16"/>
  <c r="M38" i="16"/>
  <c r="L38" i="16"/>
  <c r="O37" i="16"/>
  <c r="N37" i="16"/>
  <c r="M37" i="16"/>
  <c r="L37" i="16"/>
  <c r="O36" i="16"/>
  <c r="N36" i="16"/>
  <c r="M36" i="16"/>
  <c r="C35" i="29" s="1"/>
  <c r="L36" i="16"/>
  <c r="O35" i="16"/>
  <c r="N35" i="16"/>
  <c r="M35" i="16"/>
  <c r="L35" i="16"/>
  <c r="O34" i="16"/>
  <c r="N34" i="16"/>
  <c r="M34" i="16"/>
  <c r="L34" i="16"/>
  <c r="O33" i="16"/>
  <c r="N33" i="16"/>
  <c r="M33" i="16"/>
  <c r="L33" i="16"/>
  <c r="O32" i="16"/>
  <c r="N32" i="16"/>
  <c r="M32" i="16"/>
  <c r="C31" i="29" s="1"/>
  <c r="L32" i="16"/>
  <c r="O31" i="16"/>
  <c r="N31" i="16"/>
  <c r="M31" i="16"/>
  <c r="C30" i="29" s="1"/>
  <c r="L31" i="16"/>
  <c r="O30" i="16"/>
  <c r="N30" i="16"/>
  <c r="M30" i="16"/>
  <c r="L30" i="16"/>
  <c r="O29" i="16"/>
  <c r="N29" i="16"/>
  <c r="M29" i="16"/>
  <c r="L29" i="16"/>
  <c r="O28" i="16"/>
  <c r="N28" i="16"/>
  <c r="M28" i="16"/>
  <c r="C27" i="29" s="1"/>
  <c r="L28" i="16"/>
  <c r="O27" i="16"/>
  <c r="N27" i="16"/>
  <c r="M27" i="16"/>
  <c r="C26" i="29" s="1"/>
  <c r="L27" i="16"/>
  <c r="O26" i="16"/>
  <c r="N26" i="16"/>
  <c r="M26" i="16"/>
  <c r="L26" i="16"/>
  <c r="O25" i="16"/>
  <c r="N25" i="16"/>
  <c r="M25" i="16"/>
  <c r="L25" i="16"/>
  <c r="O24" i="16"/>
  <c r="N24" i="16"/>
  <c r="M24" i="16"/>
  <c r="C23" i="29" s="1"/>
  <c r="L24" i="16"/>
  <c r="O23" i="16"/>
  <c r="N23" i="16"/>
  <c r="M23" i="16"/>
  <c r="C22" i="29" s="1"/>
  <c r="L23" i="16"/>
  <c r="O22" i="16"/>
  <c r="N22" i="16"/>
  <c r="M22" i="16"/>
  <c r="L22" i="16"/>
  <c r="O21" i="16"/>
  <c r="N21" i="16"/>
  <c r="M21" i="16"/>
  <c r="L21" i="16"/>
  <c r="O20" i="16"/>
  <c r="N20" i="16"/>
  <c r="M20" i="16"/>
  <c r="C19" i="29" s="1"/>
  <c r="L20" i="16"/>
  <c r="O19" i="16"/>
  <c r="N19" i="16"/>
  <c r="M19" i="16"/>
  <c r="C18" i="29" s="1"/>
  <c r="L19" i="16"/>
  <c r="O18" i="16"/>
  <c r="N18" i="16"/>
  <c r="M18" i="16"/>
  <c r="L18" i="16"/>
  <c r="O17" i="16"/>
  <c r="N17" i="16"/>
  <c r="M17" i="16"/>
  <c r="L17" i="16"/>
  <c r="O16" i="16"/>
  <c r="N16" i="16"/>
  <c r="M16" i="16"/>
  <c r="C15" i="29" s="1"/>
  <c r="L16" i="16"/>
  <c r="O15" i="16"/>
  <c r="N15" i="16"/>
  <c r="M15" i="16"/>
  <c r="C14" i="29" s="1"/>
  <c r="L15" i="16"/>
  <c r="O14" i="16"/>
  <c r="N14" i="16"/>
  <c r="M14" i="16"/>
  <c r="L14" i="16"/>
  <c r="O13" i="16"/>
  <c r="N13" i="16"/>
  <c r="M13" i="16"/>
  <c r="C12" i="29" s="1"/>
  <c r="L13" i="16"/>
  <c r="O12" i="16"/>
  <c r="N12" i="16"/>
  <c r="M12" i="16"/>
  <c r="L12" i="16"/>
  <c r="O11" i="16"/>
  <c r="N11" i="16"/>
  <c r="M11" i="16"/>
  <c r="C10" i="29" s="1"/>
  <c r="L11" i="16"/>
  <c r="O10" i="16"/>
  <c r="N10" i="16"/>
  <c r="M10" i="16"/>
  <c r="C9" i="29" s="1"/>
  <c r="L10" i="16"/>
  <c r="O9" i="16"/>
  <c r="N9" i="16"/>
  <c r="M9" i="16"/>
  <c r="C8" i="29" s="1"/>
  <c r="L9" i="16"/>
  <c r="O8" i="16"/>
  <c r="N8" i="16"/>
  <c r="M8" i="16"/>
  <c r="C7" i="29" s="1"/>
  <c r="L8" i="16"/>
  <c r="O7" i="16"/>
  <c r="N7" i="16"/>
  <c r="M7" i="16"/>
  <c r="L7" i="16"/>
  <c r="O6" i="16"/>
  <c r="N6" i="16"/>
  <c r="M6" i="16"/>
  <c r="L6" i="16"/>
  <c r="O5" i="16"/>
  <c r="N5" i="16"/>
  <c r="M5" i="16"/>
  <c r="L5" i="16"/>
  <c r="O4" i="16"/>
  <c r="N4" i="16"/>
  <c r="M4" i="16"/>
  <c r="L4" i="16"/>
  <c r="H60" i="12"/>
  <c r="H59" i="12"/>
  <c r="H58" i="12"/>
  <c r="H57" i="12"/>
  <c r="L53" i="12"/>
  <c r="K53" i="12"/>
  <c r="J53" i="12"/>
  <c r="I53" i="12"/>
  <c r="H53" i="12"/>
  <c r="G53" i="12"/>
  <c r="F53" i="12"/>
  <c r="E53" i="12"/>
  <c r="D53" i="12"/>
  <c r="C53" i="12"/>
  <c r="B53" i="12"/>
  <c r="L52" i="12"/>
  <c r="K52" i="12"/>
  <c r="J52" i="12"/>
  <c r="I52" i="12"/>
  <c r="H52" i="12"/>
  <c r="G52" i="12"/>
  <c r="F52" i="12"/>
  <c r="E52" i="12"/>
  <c r="D52" i="12"/>
  <c r="C52" i="12"/>
  <c r="B52" i="12"/>
  <c r="L51" i="12"/>
  <c r="K51" i="12"/>
  <c r="J51" i="12"/>
  <c r="I51" i="12"/>
  <c r="H51" i="12"/>
  <c r="G51" i="12"/>
  <c r="F51" i="12"/>
  <c r="E51" i="12"/>
  <c r="D51" i="12"/>
  <c r="C51" i="12"/>
  <c r="B51" i="12"/>
  <c r="L50" i="12"/>
  <c r="K50" i="12"/>
  <c r="J50" i="12"/>
  <c r="I50" i="12"/>
  <c r="H50" i="12"/>
  <c r="G50" i="12"/>
  <c r="F50" i="12"/>
  <c r="E50" i="12"/>
  <c r="D50" i="12"/>
  <c r="C50" i="12"/>
  <c r="B50" i="12"/>
  <c r="L49" i="12"/>
  <c r="K49" i="12"/>
  <c r="J49" i="12"/>
  <c r="I49" i="12"/>
  <c r="H49" i="12"/>
  <c r="G49" i="12"/>
  <c r="F49" i="12"/>
  <c r="E49" i="12"/>
  <c r="D49" i="12"/>
  <c r="C49" i="12"/>
  <c r="B49" i="12"/>
  <c r="L48" i="12"/>
  <c r="K48" i="12"/>
  <c r="J48" i="12"/>
  <c r="I48" i="12"/>
  <c r="H48" i="12"/>
  <c r="G48" i="12"/>
  <c r="F48" i="12"/>
  <c r="E48" i="12"/>
  <c r="D48" i="12"/>
  <c r="C48" i="12"/>
  <c r="B48" i="12"/>
  <c r="L47" i="12"/>
  <c r="K47" i="12"/>
  <c r="J47" i="12"/>
  <c r="I47" i="12"/>
  <c r="H47" i="12"/>
  <c r="G47" i="12"/>
  <c r="F47" i="12"/>
  <c r="E47" i="12"/>
  <c r="D47" i="12"/>
  <c r="C47" i="12"/>
  <c r="B47" i="12"/>
  <c r="L46" i="12"/>
  <c r="K46" i="12"/>
  <c r="J46" i="12"/>
  <c r="I46" i="12"/>
  <c r="H46" i="12"/>
  <c r="G46" i="12"/>
  <c r="F46" i="12"/>
  <c r="E46" i="12"/>
  <c r="D46" i="12"/>
  <c r="C46" i="12"/>
  <c r="B46" i="12"/>
  <c r="L45" i="12"/>
  <c r="K45" i="12"/>
  <c r="J45" i="12"/>
  <c r="I45" i="12"/>
  <c r="H45" i="12"/>
  <c r="G45" i="12"/>
  <c r="F45" i="12"/>
  <c r="E45" i="12"/>
  <c r="D45" i="12"/>
  <c r="C45" i="12"/>
  <c r="B45" i="12"/>
  <c r="L44" i="12"/>
  <c r="K44" i="12"/>
  <c r="J44" i="12"/>
  <c r="I44" i="12"/>
  <c r="H44" i="12"/>
  <c r="G44" i="12"/>
  <c r="F44" i="12"/>
  <c r="E44" i="12"/>
  <c r="D44" i="12"/>
  <c r="C44" i="12"/>
  <c r="B44" i="12"/>
  <c r="L43" i="12"/>
  <c r="K43" i="12"/>
  <c r="J43" i="12"/>
  <c r="I43" i="12"/>
  <c r="H43" i="12"/>
  <c r="G43" i="12"/>
  <c r="F43" i="12"/>
  <c r="E43" i="12"/>
  <c r="D43" i="12"/>
  <c r="C43" i="12"/>
  <c r="B43" i="12"/>
  <c r="L42" i="12"/>
  <c r="K42" i="12"/>
  <c r="J42" i="12"/>
  <c r="I42" i="12"/>
  <c r="H42" i="12"/>
  <c r="G42" i="12"/>
  <c r="F42" i="12"/>
  <c r="E42" i="12"/>
  <c r="D42" i="12"/>
  <c r="C42" i="12"/>
  <c r="B42" i="12"/>
  <c r="L41" i="12"/>
  <c r="K41" i="12"/>
  <c r="J41" i="12"/>
  <c r="I41" i="12"/>
  <c r="H41" i="12"/>
  <c r="G41" i="12"/>
  <c r="F41" i="12"/>
  <c r="E41" i="12"/>
  <c r="D41" i="12"/>
  <c r="C41" i="12"/>
  <c r="B41" i="12"/>
  <c r="L40" i="12"/>
  <c r="K40" i="12"/>
  <c r="J40" i="12"/>
  <c r="I40" i="12"/>
  <c r="H40" i="12"/>
  <c r="G40" i="12"/>
  <c r="F40" i="12"/>
  <c r="E40" i="12"/>
  <c r="D40" i="12"/>
  <c r="C40" i="12"/>
  <c r="B40" i="12"/>
  <c r="L39" i="12"/>
  <c r="K39" i="12"/>
  <c r="J39" i="12"/>
  <c r="I39" i="12"/>
  <c r="H39" i="12"/>
  <c r="G39" i="12"/>
  <c r="F39" i="12"/>
  <c r="E39" i="12"/>
  <c r="D39" i="12"/>
  <c r="C39" i="12"/>
  <c r="B39" i="12"/>
  <c r="L38" i="12"/>
  <c r="K38" i="12"/>
  <c r="J38" i="12"/>
  <c r="I38" i="12"/>
  <c r="H38" i="12"/>
  <c r="G38" i="12"/>
  <c r="F38" i="12"/>
  <c r="E38" i="12"/>
  <c r="D38" i="12"/>
  <c r="C38" i="12"/>
  <c r="B38" i="12"/>
  <c r="L37" i="12"/>
  <c r="K37" i="12"/>
  <c r="J37" i="12"/>
  <c r="I37" i="12"/>
  <c r="H37" i="12"/>
  <c r="G37" i="12"/>
  <c r="F37" i="12"/>
  <c r="E37" i="12"/>
  <c r="D37" i="12"/>
  <c r="C37" i="12"/>
  <c r="B37" i="12"/>
  <c r="L36" i="12"/>
  <c r="K36" i="12"/>
  <c r="J36" i="12"/>
  <c r="I36" i="12"/>
  <c r="H36" i="12"/>
  <c r="G36" i="12"/>
  <c r="F36" i="12"/>
  <c r="E36" i="12"/>
  <c r="D36" i="12"/>
  <c r="C36" i="12"/>
  <c r="B36" i="12"/>
  <c r="L35" i="12"/>
  <c r="K35" i="12"/>
  <c r="J35" i="12"/>
  <c r="I35" i="12"/>
  <c r="H35" i="12"/>
  <c r="G35" i="12"/>
  <c r="F35" i="12"/>
  <c r="E35" i="12"/>
  <c r="D35" i="12"/>
  <c r="C35" i="12"/>
  <c r="B35" i="12"/>
  <c r="L34" i="12"/>
  <c r="K34" i="12"/>
  <c r="J34" i="12"/>
  <c r="I34" i="12"/>
  <c r="H34" i="12"/>
  <c r="G34" i="12"/>
  <c r="F34" i="12"/>
  <c r="E34" i="12"/>
  <c r="D34" i="12"/>
  <c r="C34" i="12"/>
  <c r="B34" i="12"/>
  <c r="L33" i="12"/>
  <c r="K33" i="12"/>
  <c r="J33" i="12"/>
  <c r="I33" i="12"/>
  <c r="H33" i="12"/>
  <c r="G33" i="12"/>
  <c r="F33" i="12"/>
  <c r="E33" i="12"/>
  <c r="D33" i="12"/>
  <c r="C33" i="12"/>
  <c r="B33" i="12"/>
  <c r="L32" i="12"/>
  <c r="K32" i="12"/>
  <c r="J32" i="12"/>
  <c r="I32" i="12"/>
  <c r="H32" i="12"/>
  <c r="G32" i="12"/>
  <c r="F32" i="12"/>
  <c r="E32" i="12"/>
  <c r="D32" i="12"/>
  <c r="C32" i="12"/>
  <c r="B32" i="12"/>
  <c r="L31" i="12"/>
  <c r="K31" i="12"/>
  <c r="J31" i="12"/>
  <c r="I31" i="12"/>
  <c r="H31" i="12"/>
  <c r="G31" i="12"/>
  <c r="F31" i="12"/>
  <c r="E31" i="12"/>
  <c r="D31" i="12"/>
  <c r="C31" i="12"/>
  <c r="B31" i="12"/>
  <c r="L30" i="12"/>
  <c r="K30" i="12"/>
  <c r="J30" i="12"/>
  <c r="I30" i="12"/>
  <c r="H30" i="12"/>
  <c r="G30" i="12"/>
  <c r="F30" i="12"/>
  <c r="E30" i="12"/>
  <c r="D30" i="12"/>
  <c r="C30" i="12"/>
  <c r="B30" i="12"/>
  <c r="L29" i="12"/>
  <c r="K29" i="12"/>
  <c r="J29" i="12"/>
  <c r="I29" i="12"/>
  <c r="H29" i="12"/>
  <c r="G29" i="12"/>
  <c r="F29" i="12"/>
  <c r="E29" i="12"/>
  <c r="D29" i="12"/>
  <c r="C29" i="12"/>
  <c r="B29" i="12"/>
  <c r="L28" i="12"/>
  <c r="K28" i="12"/>
  <c r="J28" i="12"/>
  <c r="I28" i="12"/>
  <c r="H28" i="12"/>
  <c r="G28" i="12"/>
  <c r="F28" i="12"/>
  <c r="E28" i="12"/>
  <c r="D28" i="12"/>
  <c r="C28" i="12"/>
  <c r="B28" i="12"/>
  <c r="L27" i="12"/>
  <c r="K27" i="12"/>
  <c r="J27" i="12"/>
  <c r="I27" i="12"/>
  <c r="H27" i="12"/>
  <c r="G27" i="12"/>
  <c r="F27" i="12"/>
  <c r="E27" i="12"/>
  <c r="D27" i="12"/>
  <c r="C27" i="12"/>
  <c r="B27" i="12"/>
  <c r="L26" i="12"/>
  <c r="K26" i="12"/>
  <c r="J26" i="12"/>
  <c r="I26" i="12"/>
  <c r="H26" i="12"/>
  <c r="G26" i="12"/>
  <c r="F26" i="12"/>
  <c r="E26" i="12"/>
  <c r="D26" i="12"/>
  <c r="C26" i="12"/>
  <c r="B26" i="12"/>
  <c r="L25" i="12"/>
  <c r="K25" i="12"/>
  <c r="J25" i="12"/>
  <c r="I25" i="12"/>
  <c r="H25" i="12"/>
  <c r="G25" i="12"/>
  <c r="F25" i="12"/>
  <c r="E25" i="12"/>
  <c r="D25" i="12"/>
  <c r="C25" i="12"/>
  <c r="B25" i="12"/>
  <c r="L24" i="12"/>
  <c r="K24" i="12"/>
  <c r="J24" i="12"/>
  <c r="I24" i="12"/>
  <c r="H24" i="12"/>
  <c r="G24" i="12"/>
  <c r="F24" i="12"/>
  <c r="E24" i="12"/>
  <c r="D24" i="12"/>
  <c r="C24" i="12"/>
  <c r="B24" i="12"/>
  <c r="K19" i="12"/>
  <c r="I19" i="12"/>
  <c r="I9" i="12"/>
  <c r="J6" i="12"/>
  <c r="F6" i="12"/>
  <c r="D6" i="12"/>
  <c r="B6" i="12"/>
  <c r="A2" i="12"/>
  <c r="H60" i="11"/>
  <c r="H59" i="11"/>
  <c r="H58" i="11"/>
  <c r="H57" i="11"/>
  <c r="L53" i="11"/>
  <c r="K53" i="11"/>
  <c r="J53" i="11"/>
  <c r="I53" i="11"/>
  <c r="H53" i="11"/>
  <c r="G53" i="11"/>
  <c r="F53" i="11"/>
  <c r="E53" i="11"/>
  <c r="D53" i="11"/>
  <c r="C53" i="11"/>
  <c r="B53" i="11"/>
  <c r="L52" i="11"/>
  <c r="K52" i="11"/>
  <c r="J52" i="11"/>
  <c r="I52" i="11"/>
  <c r="H52" i="11"/>
  <c r="G52" i="11"/>
  <c r="F52" i="11"/>
  <c r="E52" i="11"/>
  <c r="D52" i="11"/>
  <c r="C52" i="11"/>
  <c r="B52" i="11"/>
  <c r="L51" i="11"/>
  <c r="K51" i="11"/>
  <c r="J51" i="11"/>
  <c r="I51" i="11"/>
  <c r="H51" i="11"/>
  <c r="G51" i="11"/>
  <c r="F51" i="11"/>
  <c r="E51" i="11"/>
  <c r="D51" i="11"/>
  <c r="C51" i="11"/>
  <c r="B51" i="11"/>
  <c r="L50" i="11"/>
  <c r="K50" i="11"/>
  <c r="J50" i="11"/>
  <c r="I50" i="11"/>
  <c r="H50" i="11"/>
  <c r="G50" i="11"/>
  <c r="F50" i="11"/>
  <c r="E50" i="11"/>
  <c r="D50" i="11"/>
  <c r="C50" i="11"/>
  <c r="B50" i="11"/>
  <c r="L49" i="11"/>
  <c r="K49" i="11"/>
  <c r="J49" i="11"/>
  <c r="I49" i="11"/>
  <c r="H49" i="11"/>
  <c r="G49" i="11"/>
  <c r="F49" i="11"/>
  <c r="E49" i="11"/>
  <c r="D49" i="11"/>
  <c r="C49" i="11"/>
  <c r="B49" i="11"/>
  <c r="L48" i="11"/>
  <c r="K48" i="11"/>
  <c r="J48" i="11"/>
  <c r="I48" i="11"/>
  <c r="H48" i="11"/>
  <c r="G48" i="11"/>
  <c r="F48" i="11"/>
  <c r="E48" i="11"/>
  <c r="D48" i="11"/>
  <c r="C48" i="11"/>
  <c r="B48" i="11"/>
  <c r="L47" i="11"/>
  <c r="K47" i="11"/>
  <c r="J47" i="11"/>
  <c r="I47" i="11"/>
  <c r="H47" i="11"/>
  <c r="G47" i="11"/>
  <c r="F47" i="11"/>
  <c r="E47" i="11"/>
  <c r="D47" i="11"/>
  <c r="C47" i="11"/>
  <c r="B47" i="11"/>
  <c r="L46" i="11"/>
  <c r="K46" i="11"/>
  <c r="J46" i="11"/>
  <c r="I46" i="11"/>
  <c r="H46" i="11"/>
  <c r="G46" i="11"/>
  <c r="F46" i="11"/>
  <c r="E46" i="11"/>
  <c r="D46" i="11"/>
  <c r="C46" i="11"/>
  <c r="B46" i="11"/>
  <c r="L45" i="11"/>
  <c r="K45" i="11"/>
  <c r="J45" i="11"/>
  <c r="I45" i="11"/>
  <c r="H45" i="11"/>
  <c r="G45" i="11"/>
  <c r="F45" i="11"/>
  <c r="E45" i="11"/>
  <c r="D45" i="11"/>
  <c r="C45" i="11"/>
  <c r="B45" i="11"/>
  <c r="L44" i="11"/>
  <c r="K44" i="11"/>
  <c r="J44" i="11"/>
  <c r="I44" i="11"/>
  <c r="H44" i="11"/>
  <c r="G44" i="11"/>
  <c r="F44" i="11"/>
  <c r="E44" i="11"/>
  <c r="D44" i="11"/>
  <c r="C44" i="11"/>
  <c r="B44" i="11"/>
  <c r="L43" i="11"/>
  <c r="K43" i="11"/>
  <c r="J43" i="11"/>
  <c r="I43" i="11"/>
  <c r="H43" i="11"/>
  <c r="G43" i="11"/>
  <c r="F43" i="11"/>
  <c r="E43" i="11"/>
  <c r="D43" i="11"/>
  <c r="C43" i="11"/>
  <c r="B43" i="11"/>
  <c r="L42" i="11"/>
  <c r="K42" i="11"/>
  <c r="J42" i="11"/>
  <c r="I42" i="11"/>
  <c r="H42" i="11"/>
  <c r="G42" i="11"/>
  <c r="F42" i="11"/>
  <c r="E42" i="11"/>
  <c r="D42" i="11"/>
  <c r="C42" i="11"/>
  <c r="B42" i="11"/>
  <c r="L41" i="11"/>
  <c r="K41" i="11"/>
  <c r="J41" i="11"/>
  <c r="I41" i="11"/>
  <c r="H41" i="11"/>
  <c r="G41" i="11"/>
  <c r="F41" i="11"/>
  <c r="E41" i="11"/>
  <c r="D41" i="11"/>
  <c r="C41" i="11"/>
  <c r="B41" i="11"/>
  <c r="L40" i="11"/>
  <c r="K40" i="11"/>
  <c r="J40" i="11"/>
  <c r="I40" i="11"/>
  <c r="H40" i="11"/>
  <c r="G40" i="11"/>
  <c r="F40" i="11"/>
  <c r="E40" i="11"/>
  <c r="D40" i="11"/>
  <c r="C40" i="11"/>
  <c r="B40" i="11"/>
  <c r="L39" i="11"/>
  <c r="K39" i="11"/>
  <c r="J39" i="11"/>
  <c r="I39" i="11"/>
  <c r="H39" i="11"/>
  <c r="G39" i="11"/>
  <c r="F39" i="11"/>
  <c r="E39" i="11"/>
  <c r="D39" i="11"/>
  <c r="C39" i="11"/>
  <c r="B39" i="11"/>
  <c r="L38" i="11"/>
  <c r="K38" i="11"/>
  <c r="J38" i="11"/>
  <c r="I38" i="11"/>
  <c r="H38" i="11"/>
  <c r="G38" i="11"/>
  <c r="F38" i="11"/>
  <c r="E38" i="11"/>
  <c r="D38" i="11"/>
  <c r="C38" i="11"/>
  <c r="B38" i="11"/>
  <c r="L37" i="11"/>
  <c r="K37" i="11"/>
  <c r="J37" i="11"/>
  <c r="I37" i="11"/>
  <c r="H37" i="11"/>
  <c r="G37" i="11"/>
  <c r="F37" i="11"/>
  <c r="E37" i="11"/>
  <c r="D37" i="11"/>
  <c r="C37" i="11"/>
  <c r="B37" i="11"/>
  <c r="L36" i="11"/>
  <c r="K36" i="11"/>
  <c r="J36" i="11"/>
  <c r="I36" i="11"/>
  <c r="H36" i="11"/>
  <c r="G36" i="11"/>
  <c r="F36" i="11"/>
  <c r="E36" i="11"/>
  <c r="D36" i="11"/>
  <c r="C36" i="11"/>
  <c r="B36" i="11"/>
  <c r="L35" i="11"/>
  <c r="K35" i="11"/>
  <c r="J35" i="11"/>
  <c r="I35" i="11"/>
  <c r="H35" i="11"/>
  <c r="G35" i="11"/>
  <c r="F35" i="11"/>
  <c r="E35" i="11"/>
  <c r="D35" i="11"/>
  <c r="C35" i="11"/>
  <c r="B35" i="11"/>
  <c r="L34" i="11"/>
  <c r="K34" i="11"/>
  <c r="J34" i="11"/>
  <c r="I34" i="11"/>
  <c r="H34" i="11"/>
  <c r="G34" i="11"/>
  <c r="F34" i="11"/>
  <c r="E34" i="11"/>
  <c r="D34" i="11"/>
  <c r="C34" i="11"/>
  <c r="B34" i="11"/>
  <c r="L33" i="11"/>
  <c r="K33" i="11"/>
  <c r="J33" i="11"/>
  <c r="I33" i="11"/>
  <c r="H33" i="11"/>
  <c r="G33" i="11"/>
  <c r="F33" i="11"/>
  <c r="E33" i="11"/>
  <c r="D33" i="11"/>
  <c r="C33" i="11"/>
  <c r="B33" i="11"/>
  <c r="L32" i="11"/>
  <c r="K32" i="11"/>
  <c r="J32" i="11"/>
  <c r="I32" i="11"/>
  <c r="H32" i="11"/>
  <c r="G32" i="11"/>
  <c r="F32" i="11"/>
  <c r="E32" i="11"/>
  <c r="D32" i="11"/>
  <c r="C32" i="11"/>
  <c r="B32" i="11"/>
  <c r="L31" i="11"/>
  <c r="K31" i="11"/>
  <c r="J31" i="11"/>
  <c r="I31" i="11"/>
  <c r="H31" i="11"/>
  <c r="G31" i="11"/>
  <c r="F31" i="11"/>
  <c r="E31" i="11"/>
  <c r="D31" i="11"/>
  <c r="C31" i="11"/>
  <c r="B31" i="11"/>
  <c r="L30" i="11"/>
  <c r="K30" i="11"/>
  <c r="J30" i="11"/>
  <c r="I30" i="11"/>
  <c r="H30" i="11"/>
  <c r="G30" i="11"/>
  <c r="F30" i="11"/>
  <c r="E30" i="11"/>
  <c r="D30" i="11"/>
  <c r="C30" i="11"/>
  <c r="B30" i="11"/>
  <c r="L29" i="11"/>
  <c r="K29" i="11"/>
  <c r="J29" i="11"/>
  <c r="I29" i="11"/>
  <c r="H29" i="11"/>
  <c r="G29" i="11"/>
  <c r="F29" i="11"/>
  <c r="E29" i="11"/>
  <c r="D29" i="11"/>
  <c r="C29" i="11"/>
  <c r="B29" i="11"/>
  <c r="L28" i="11"/>
  <c r="K28" i="11"/>
  <c r="J28" i="11"/>
  <c r="I28" i="11"/>
  <c r="H28" i="11"/>
  <c r="G28" i="11"/>
  <c r="F28" i="11"/>
  <c r="E28" i="11"/>
  <c r="D28" i="11"/>
  <c r="C28" i="11"/>
  <c r="B28" i="11"/>
  <c r="L27" i="11"/>
  <c r="K27" i="11"/>
  <c r="J27" i="11"/>
  <c r="I27" i="11"/>
  <c r="H27" i="11"/>
  <c r="G27" i="11"/>
  <c r="F27" i="11"/>
  <c r="E27" i="11"/>
  <c r="D27" i="11"/>
  <c r="C27" i="11"/>
  <c r="B27" i="11"/>
  <c r="L26" i="11"/>
  <c r="K26" i="11"/>
  <c r="J26" i="11"/>
  <c r="I26" i="11"/>
  <c r="H26" i="11"/>
  <c r="G26" i="11"/>
  <c r="F26" i="11"/>
  <c r="E26" i="11"/>
  <c r="D26" i="11"/>
  <c r="C26" i="11"/>
  <c r="B26" i="11"/>
  <c r="L25" i="11"/>
  <c r="K25" i="11"/>
  <c r="J25" i="11"/>
  <c r="I25" i="11"/>
  <c r="H25" i="11"/>
  <c r="G25" i="11"/>
  <c r="F25" i="11"/>
  <c r="E25" i="11"/>
  <c r="D25" i="11"/>
  <c r="C25" i="11"/>
  <c r="B25" i="11"/>
  <c r="L24" i="11"/>
  <c r="K24" i="11"/>
  <c r="J24" i="11"/>
  <c r="I24" i="11"/>
  <c r="H24" i="11"/>
  <c r="G24" i="11"/>
  <c r="F24" i="11"/>
  <c r="E24" i="11"/>
  <c r="D24" i="11"/>
  <c r="C24" i="11"/>
  <c r="B24" i="11"/>
  <c r="K19" i="11"/>
  <c r="I19" i="11"/>
  <c r="I9" i="11"/>
  <c r="J6" i="11"/>
  <c r="F6" i="11"/>
  <c r="D6" i="11"/>
  <c r="B6" i="11"/>
  <c r="A2" i="11"/>
  <c r="H60" i="10"/>
  <c r="H59" i="10"/>
  <c r="H58" i="10"/>
  <c r="H57" i="10"/>
  <c r="L53" i="10"/>
  <c r="K53" i="10"/>
  <c r="J53" i="10"/>
  <c r="I53" i="10"/>
  <c r="H53" i="10"/>
  <c r="G53" i="10"/>
  <c r="F53" i="10"/>
  <c r="E53" i="10"/>
  <c r="D53" i="10"/>
  <c r="C53" i="10"/>
  <c r="B53" i="10"/>
  <c r="L52" i="10"/>
  <c r="K52" i="10"/>
  <c r="J52" i="10"/>
  <c r="I52" i="10"/>
  <c r="H52" i="10"/>
  <c r="G52" i="10"/>
  <c r="F52" i="10"/>
  <c r="E52" i="10"/>
  <c r="D52" i="10"/>
  <c r="C52" i="10"/>
  <c r="B52" i="10"/>
  <c r="L51" i="10"/>
  <c r="K51" i="10"/>
  <c r="J51" i="10"/>
  <c r="I51" i="10"/>
  <c r="H51" i="10"/>
  <c r="G51" i="10"/>
  <c r="F51" i="10"/>
  <c r="E51" i="10"/>
  <c r="D51" i="10"/>
  <c r="C51" i="10"/>
  <c r="B51" i="10"/>
  <c r="L50" i="10"/>
  <c r="K50" i="10"/>
  <c r="J50" i="10"/>
  <c r="I50" i="10"/>
  <c r="H50" i="10"/>
  <c r="G50" i="10"/>
  <c r="F50" i="10"/>
  <c r="E50" i="10"/>
  <c r="D50" i="10"/>
  <c r="C50" i="10"/>
  <c r="B50" i="10"/>
  <c r="L49" i="10"/>
  <c r="K49" i="10"/>
  <c r="J49" i="10"/>
  <c r="I49" i="10"/>
  <c r="H49" i="10"/>
  <c r="G49" i="10"/>
  <c r="F49" i="10"/>
  <c r="E49" i="10"/>
  <c r="D49" i="10"/>
  <c r="C49" i="10"/>
  <c r="B49" i="10"/>
  <c r="L48" i="10"/>
  <c r="K48" i="10"/>
  <c r="J48" i="10"/>
  <c r="I48" i="10"/>
  <c r="H48" i="10"/>
  <c r="G48" i="10"/>
  <c r="F48" i="10"/>
  <c r="E48" i="10"/>
  <c r="D48" i="10"/>
  <c r="C48" i="10"/>
  <c r="B48" i="10"/>
  <c r="L47" i="10"/>
  <c r="K47" i="10"/>
  <c r="J47" i="10"/>
  <c r="I47" i="10"/>
  <c r="H47" i="10"/>
  <c r="G47" i="10"/>
  <c r="F47" i="10"/>
  <c r="E47" i="10"/>
  <c r="D47" i="10"/>
  <c r="C47" i="10"/>
  <c r="B47" i="10"/>
  <c r="L46" i="10"/>
  <c r="K46" i="10"/>
  <c r="J46" i="10"/>
  <c r="I46" i="10"/>
  <c r="H46" i="10"/>
  <c r="G46" i="10"/>
  <c r="F46" i="10"/>
  <c r="E46" i="10"/>
  <c r="D46" i="10"/>
  <c r="C46" i="10"/>
  <c r="B46" i="10"/>
  <c r="L45" i="10"/>
  <c r="K45" i="10"/>
  <c r="J45" i="10"/>
  <c r="I45" i="10"/>
  <c r="H45" i="10"/>
  <c r="G45" i="10"/>
  <c r="F45" i="10"/>
  <c r="E45" i="10"/>
  <c r="D45" i="10"/>
  <c r="C45" i="10"/>
  <c r="B45" i="10"/>
  <c r="L44" i="10"/>
  <c r="K44" i="10"/>
  <c r="J44" i="10"/>
  <c r="I44" i="10"/>
  <c r="H44" i="10"/>
  <c r="G44" i="10"/>
  <c r="F44" i="10"/>
  <c r="E44" i="10"/>
  <c r="D44" i="10"/>
  <c r="C44" i="10"/>
  <c r="B44" i="10"/>
  <c r="L43" i="10"/>
  <c r="K43" i="10"/>
  <c r="J43" i="10"/>
  <c r="I43" i="10"/>
  <c r="H43" i="10"/>
  <c r="G43" i="10"/>
  <c r="F43" i="10"/>
  <c r="E43" i="10"/>
  <c r="D43" i="10"/>
  <c r="C43" i="10"/>
  <c r="B43" i="10"/>
  <c r="L42" i="10"/>
  <c r="K42" i="10"/>
  <c r="J42" i="10"/>
  <c r="I42" i="10"/>
  <c r="H42" i="10"/>
  <c r="G42" i="10"/>
  <c r="F42" i="10"/>
  <c r="E42" i="10"/>
  <c r="D42" i="10"/>
  <c r="C42" i="10"/>
  <c r="B42" i="10"/>
  <c r="L41" i="10"/>
  <c r="K41" i="10"/>
  <c r="J41" i="10"/>
  <c r="I41" i="10"/>
  <c r="H41" i="10"/>
  <c r="G41" i="10"/>
  <c r="F41" i="10"/>
  <c r="E41" i="10"/>
  <c r="D41" i="10"/>
  <c r="C41" i="10"/>
  <c r="B41" i="10"/>
  <c r="L40" i="10"/>
  <c r="K40" i="10"/>
  <c r="J40" i="10"/>
  <c r="I40" i="10"/>
  <c r="H40" i="10"/>
  <c r="G40" i="10"/>
  <c r="F40" i="10"/>
  <c r="E40" i="10"/>
  <c r="D40" i="10"/>
  <c r="C40" i="10"/>
  <c r="B40" i="10"/>
  <c r="L39" i="10"/>
  <c r="K39" i="10"/>
  <c r="J39" i="10"/>
  <c r="I39" i="10"/>
  <c r="H39" i="10"/>
  <c r="G39" i="10"/>
  <c r="F39" i="10"/>
  <c r="E39" i="10"/>
  <c r="D39" i="10"/>
  <c r="C39" i="10"/>
  <c r="B39" i="10"/>
  <c r="L38" i="10"/>
  <c r="K38" i="10"/>
  <c r="J38" i="10"/>
  <c r="I38" i="10"/>
  <c r="H38" i="10"/>
  <c r="G38" i="10"/>
  <c r="F38" i="10"/>
  <c r="E38" i="10"/>
  <c r="D38" i="10"/>
  <c r="C38" i="10"/>
  <c r="B38" i="10"/>
  <c r="L37" i="10"/>
  <c r="K37" i="10"/>
  <c r="J37" i="10"/>
  <c r="I37" i="10"/>
  <c r="H37" i="10"/>
  <c r="G37" i="10"/>
  <c r="F37" i="10"/>
  <c r="E37" i="10"/>
  <c r="D37" i="10"/>
  <c r="C37" i="10"/>
  <c r="B37" i="10"/>
  <c r="L36" i="10"/>
  <c r="K36" i="10"/>
  <c r="J36" i="10"/>
  <c r="I36" i="10"/>
  <c r="H36" i="10"/>
  <c r="G36" i="10"/>
  <c r="F36" i="10"/>
  <c r="E36" i="10"/>
  <c r="D36" i="10"/>
  <c r="C36" i="10"/>
  <c r="B36" i="10"/>
  <c r="L35" i="10"/>
  <c r="K35" i="10"/>
  <c r="J35" i="10"/>
  <c r="I35" i="10"/>
  <c r="H35" i="10"/>
  <c r="G35" i="10"/>
  <c r="F35" i="10"/>
  <c r="E35" i="10"/>
  <c r="D35" i="10"/>
  <c r="C35" i="10"/>
  <c r="B35" i="10"/>
  <c r="L34" i="10"/>
  <c r="K34" i="10"/>
  <c r="J34" i="10"/>
  <c r="I34" i="10"/>
  <c r="H34" i="10"/>
  <c r="G34" i="10"/>
  <c r="F34" i="10"/>
  <c r="E34" i="10"/>
  <c r="D34" i="10"/>
  <c r="C34" i="10"/>
  <c r="B34" i="10"/>
  <c r="L33" i="10"/>
  <c r="K33" i="10"/>
  <c r="J33" i="10"/>
  <c r="I33" i="10"/>
  <c r="H33" i="10"/>
  <c r="G33" i="10"/>
  <c r="F33" i="10"/>
  <c r="E33" i="10"/>
  <c r="D33" i="10"/>
  <c r="C33" i="10"/>
  <c r="B33" i="10"/>
  <c r="L32" i="10"/>
  <c r="K32" i="10"/>
  <c r="J32" i="10"/>
  <c r="I32" i="10"/>
  <c r="H32" i="10"/>
  <c r="G32" i="10"/>
  <c r="F32" i="10"/>
  <c r="E32" i="10"/>
  <c r="D32" i="10"/>
  <c r="C32" i="10"/>
  <c r="B32" i="10"/>
  <c r="L31" i="10"/>
  <c r="K31" i="10"/>
  <c r="J31" i="10"/>
  <c r="I31" i="10"/>
  <c r="H31" i="10"/>
  <c r="G31" i="10"/>
  <c r="F31" i="10"/>
  <c r="E31" i="10"/>
  <c r="D31" i="10"/>
  <c r="C31" i="10"/>
  <c r="B31" i="10"/>
  <c r="L30" i="10"/>
  <c r="K30" i="10"/>
  <c r="J30" i="10"/>
  <c r="I30" i="10"/>
  <c r="H30" i="10"/>
  <c r="G30" i="10"/>
  <c r="F30" i="10"/>
  <c r="E30" i="10"/>
  <c r="D30" i="10"/>
  <c r="C30" i="10"/>
  <c r="B30" i="10"/>
  <c r="L29" i="10"/>
  <c r="K29" i="10"/>
  <c r="J29" i="10"/>
  <c r="I29" i="10"/>
  <c r="H29" i="10"/>
  <c r="G29" i="10"/>
  <c r="F29" i="10"/>
  <c r="E29" i="10"/>
  <c r="D29" i="10"/>
  <c r="C29" i="10"/>
  <c r="B29" i="10"/>
  <c r="L28" i="10"/>
  <c r="K28" i="10"/>
  <c r="J28" i="10"/>
  <c r="I28" i="10"/>
  <c r="H28" i="10"/>
  <c r="G28" i="10"/>
  <c r="F28" i="10"/>
  <c r="E28" i="10"/>
  <c r="D28" i="10"/>
  <c r="C28" i="10"/>
  <c r="B28" i="10"/>
  <c r="L27" i="10"/>
  <c r="K27" i="10"/>
  <c r="J27" i="10"/>
  <c r="I27" i="10"/>
  <c r="H27" i="10"/>
  <c r="G27" i="10"/>
  <c r="F27" i="10"/>
  <c r="E27" i="10"/>
  <c r="D27" i="10"/>
  <c r="C27" i="10"/>
  <c r="B27" i="10"/>
  <c r="L26" i="10"/>
  <c r="K26" i="10"/>
  <c r="J26" i="10"/>
  <c r="I26" i="10"/>
  <c r="H26" i="10"/>
  <c r="G26" i="10"/>
  <c r="F26" i="10"/>
  <c r="E26" i="10"/>
  <c r="D26" i="10"/>
  <c r="C26" i="10"/>
  <c r="B26" i="10"/>
  <c r="L25" i="10"/>
  <c r="K25" i="10"/>
  <c r="J25" i="10"/>
  <c r="I25" i="10"/>
  <c r="H25" i="10"/>
  <c r="G25" i="10"/>
  <c r="F25" i="10"/>
  <c r="E25" i="10"/>
  <c r="D25" i="10"/>
  <c r="C25" i="10"/>
  <c r="B25" i="10"/>
  <c r="L24" i="10"/>
  <c r="K24" i="10"/>
  <c r="J24" i="10"/>
  <c r="I24" i="10"/>
  <c r="H24" i="10"/>
  <c r="G24" i="10"/>
  <c r="F24" i="10"/>
  <c r="E24" i="10"/>
  <c r="D24" i="10"/>
  <c r="C24" i="10"/>
  <c r="B24" i="10"/>
  <c r="K19" i="10"/>
  <c r="I19" i="10"/>
  <c r="I9" i="10"/>
  <c r="J6" i="10"/>
  <c r="F6" i="10"/>
  <c r="D6" i="10"/>
  <c r="B6" i="10"/>
  <c r="H6" i="10" s="1"/>
  <c r="A2" i="10"/>
  <c r="H60" i="9"/>
  <c r="H59" i="9"/>
  <c r="H58" i="9"/>
  <c r="H57" i="9"/>
  <c r="L53" i="9"/>
  <c r="K53" i="9"/>
  <c r="J53" i="9"/>
  <c r="I53" i="9"/>
  <c r="H53" i="9"/>
  <c r="G53" i="9"/>
  <c r="F53" i="9"/>
  <c r="E53" i="9"/>
  <c r="D53" i="9"/>
  <c r="C53" i="9"/>
  <c r="B53" i="9"/>
  <c r="L52" i="9"/>
  <c r="K52" i="9"/>
  <c r="J52" i="9"/>
  <c r="I52" i="9"/>
  <c r="H52" i="9"/>
  <c r="G52" i="9"/>
  <c r="F52" i="9"/>
  <c r="E52" i="9"/>
  <c r="D52" i="9"/>
  <c r="C52" i="9"/>
  <c r="B52" i="9"/>
  <c r="L51" i="9"/>
  <c r="K51" i="9"/>
  <c r="J51" i="9"/>
  <c r="I51" i="9"/>
  <c r="H51" i="9"/>
  <c r="G51" i="9"/>
  <c r="F51" i="9"/>
  <c r="E51" i="9"/>
  <c r="D51" i="9"/>
  <c r="C51" i="9"/>
  <c r="B51" i="9"/>
  <c r="L50" i="9"/>
  <c r="K50" i="9"/>
  <c r="J50" i="9"/>
  <c r="I50" i="9"/>
  <c r="H50" i="9"/>
  <c r="G50" i="9"/>
  <c r="F50" i="9"/>
  <c r="E50" i="9"/>
  <c r="D50" i="9"/>
  <c r="C50" i="9"/>
  <c r="B50" i="9"/>
  <c r="L49" i="9"/>
  <c r="K49" i="9"/>
  <c r="J49" i="9"/>
  <c r="I49" i="9"/>
  <c r="H49" i="9"/>
  <c r="G49" i="9"/>
  <c r="F49" i="9"/>
  <c r="E49" i="9"/>
  <c r="D49" i="9"/>
  <c r="C49" i="9"/>
  <c r="B49" i="9"/>
  <c r="L48" i="9"/>
  <c r="K48" i="9"/>
  <c r="J48" i="9"/>
  <c r="I48" i="9"/>
  <c r="H48" i="9"/>
  <c r="G48" i="9"/>
  <c r="F48" i="9"/>
  <c r="E48" i="9"/>
  <c r="D48" i="9"/>
  <c r="C48" i="9"/>
  <c r="B48" i="9"/>
  <c r="L47" i="9"/>
  <c r="K47" i="9"/>
  <c r="J47" i="9"/>
  <c r="I47" i="9"/>
  <c r="H47" i="9"/>
  <c r="G47" i="9"/>
  <c r="F47" i="9"/>
  <c r="E47" i="9"/>
  <c r="D47" i="9"/>
  <c r="C47" i="9"/>
  <c r="B47" i="9"/>
  <c r="L46" i="9"/>
  <c r="K46" i="9"/>
  <c r="J46" i="9"/>
  <c r="I46" i="9"/>
  <c r="H46" i="9"/>
  <c r="G46" i="9"/>
  <c r="F46" i="9"/>
  <c r="E46" i="9"/>
  <c r="D46" i="9"/>
  <c r="C46" i="9"/>
  <c r="B46" i="9"/>
  <c r="L45" i="9"/>
  <c r="K45" i="9"/>
  <c r="J45" i="9"/>
  <c r="I45" i="9"/>
  <c r="H45" i="9"/>
  <c r="G45" i="9"/>
  <c r="F45" i="9"/>
  <c r="E45" i="9"/>
  <c r="D45" i="9"/>
  <c r="C45" i="9"/>
  <c r="B45" i="9"/>
  <c r="L44" i="9"/>
  <c r="K44" i="9"/>
  <c r="J44" i="9"/>
  <c r="I44" i="9"/>
  <c r="H44" i="9"/>
  <c r="G44" i="9"/>
  <c r="F44" i="9"/>
  <c r="E44" i="9"/>
  <c r="D44" i="9"/>
  <c r="C44" i="9"/>
  <c r="B44" i="9"/>
  <c r="L43" i="9"/>
  <c r="K43" i="9"/>
  <c r="J43" i="9"/>
  <c r="I43" i="9"/>
  <c r="H43" i="9"/>
  <c r="G43" i="9"/>
  <c r="F43" i="9"/>
  <c r="E43" i="9"/>
  <c r="D43" i="9"/>
  <c r="C43" i="9"/>
  <c r="B43" i="9"/>
  <c r="L42" i="9"/>
  <c r="K42" i="9"/>
  <c r="J42" i="9"/>
  <c r="I42" i="9"/>
  <c r="H42" i="9"/>
  <c r="G42" i="9"/>
  <c r="F42" i="9"/>
  <c r="E42" i="9"/>
  <c r="D42" i="9"/>
  <c r="C42" i="9"/>
  <c r="B42" i="9"/>
  <c r="L41" i="9"/>
  <c r="K41" i="9"/>
  <c r="J41" i="9"/>
  <c r="I41" i="9"/>
  <c r="H41" i="9"/>
  <c r="G41" i="9"/>
  <c r="F41" i="9"/>
  <c r="E41" i="9"/>
  <c r="D41" i="9"/>
  <c r="C41" i="9"/>
  <c r="B41" i="9"/>
  <c r="L40" i="9"/>
  <c r="K40" i="9"/>
  <c r="J40" i="9"/>
  <c r="I40" i="9"/>
  <c r="H40" i="9"/>
  <c r="G40" i="9"/>
  <c r="F40" i="9"/>
  <c r="E40" i="9"/>
  <c r="D40" i="9"/>
  <c r="C40" i="9"/>
  <c r="B40" i="9"/>
  <c r="L39" i="9"/>
  <c r="K39" i="9"/>
  <c r="J39" i="9"/>
  <c r="I39" i="9"/>
  <c r="H39" i="9"/>
  <c r="G39" i="9"/>
  <c r="F39" i="9"/>
  <c r="E39" i="9"/>
  <c r="D39" i="9"/>
  <c r="C39" i="9"/>
  <c r="B39" i="9"/>
  <c r="L38" i="9"/>
  <c r="K38" i="9"/>
  <c r="J38" i="9"/>
  <c r="I38" i="9"/>
  <c r="H38" i="9"/>
  <c r="G38" i="9"/>
  <c r="F38" i="9"/>
  <c r="E38" i="9"/>
  <c r="D38" i="9"/>
  <c r="C38" i="9"/>
  <c r="B38" i="9"/>
  <c r="L37" i="9"/>
  <c r="K37" i="9"/>
  <c r="J37" i="9"/>
  <c r="I37" i="9"/>
  <c r="H37" i="9"/>
  <c r="G37" i="9"/>
  <c r="F37" i="9"/>
  <c r="E37" i="9"/>
  <c r="D37" i="9"/>
  <c r="C37" i="9"/>
  <c r="B37" i="9"/>
  <c r="L36" i="9"/>
  <c r="K36" i="9"/>
  <c r="J36" i="9"/>
  <c r="I36" i="9"/>
  <c r="H36" i="9"/>
  <c r="G36" i="9"/>
  <c r="F36" i="9"/>
  <c r="E36" i="9"/>
  <c r="D36" i="9"/>
  <c r="C36" i="9"/>
  <c r="B36" i="9"/>
  <c r="L35" i="9"/>
  <c r="K35" i="9"/>
  <c r="J35" i="9"/>
  <c r="I35" i="9"/>
  <c r="H35" i="9"/>
  <c r="G35" i="9"/>
  <c r="F35" i="9"/>
  <c r="E35" i="9"/>
  <c r="D35" i="9"/>
  <c r="C35" i="9"/>
  <c r="B35" i="9"/>
  <c r="L34" i="9"/>
  <c r="K34" i="9"/>
  <c r="J34" i="9"/>
  <c r="I34" i="9"/>
  <c r="H34" i="9"/>
  <c r="G34" i="9"/>
  <c r="F34" i="9"/>
  <c r="E34" i="9"/>
  <c r="D34" i="9"/>
  <c r="C34" i="9"/>
  <c r="B34" i="9"/>
  <c r="L33" i="9"/>
  <c r="K33" i="9"/>
  <c r="J33" i="9"/>
  <c r="I33" i="9"/>
  <c r="H33" i="9"/>
  <c r="G33" i="9"/>
  <c r="F33" i="9"/>
  <c r="E33" i="9"/>
  <c r="D33" i="9"/>
  <c r="C33" i="9"/>
  <c r="B33" i="9"/>
  <c r="L32" i="9"/>
  <c r="K32" i="9"/>
  <c r="J32" i="9"/>
  <c r="I32" i="9"/>
  <c r="H32" i="9"/>
  <c r="G32" i="9"/>
  <c r="F32" i="9"/>
  <c r="E32" i="9"/>
  <c r="D32" i="9"/>
  <c r="C32" i="9"/>
  <c r="B32" i="9"/>
  <c r="L31" i="9"/>
  <c r="K31" i="9"/>
  <c r="J31" i="9"/>
  <c r="I31" i="9"/>
  <c r="H31" i="9"/>
  <c r="G31" i="9"/>
  <c r="F31" i="9"/>
  <c r="E31" i="9"/>
  <c r="D31" i="9"/>
  <c r="C31" i="9"/>
  <c r="B31" i="9"/>
  <c r="L30" i="9"/>
  <c r="K30" i="9"/>
  <c r="J30" i="9"/>
  <c r="I30" i="9"/>
  <c r="H30" i="9"/>
  <c r="G30" i="9"/>
  <c r="F30" i="9"/>
  <c r="E30" i="9"/>
  <c r="D30" i="9"/>
  <c r="C30" i="9"/>
  <c r="B30" i="9"/>
  <c r="L29" i="9"/>
  <c r="K29" i="9"/>
  <c r="J29" i="9"/>
  <c r="I29" i="9"/>
  <c r="H29" i="9"/>
  <c r="G29" i="9"/>
  <c r="F29" i="9"/>
  <c r="E29" i="9"/>
  <c r="D29" i="9"/>
  <c r="C29" i="9"/>
  <c r="B29" i="9"/>
  <c r="L28" i="9"/>
  <c r="K28" i="9"/>
  <c r="J28" i="9"/>
  <c r="I28" i="9"/>
  <c r="H28" i="9"/>
  <c r="G28" i="9"/>
  <c r="F28" i="9"/>
  <c r="E28" i="9"/>
  <c r="D28" i="9"/>
  <c r="C28" i="9"/>
  <c r="B28" i="9"/>
  <c r="L27" i="9"/>
  <c r="K27" i="9"/>
  <c r="J27" i="9"/>
  <c r="I27" i="9"/>
  <c r="H27" i="9"/>
  <c r="G27" i="9"/>
  <c r="F27" i="9"/>
  <c r="E27" i="9"/>
  <c r="D27" i="9"/>
  <c r="C27" i="9"/>
  <c r="B27" i="9"/>
  <c r="L26" i="9"/>
  <c r="K26" i="9"/>
  <c r="J26" i="9"/>
  <c r="I26" i="9"/>
  <c r="H26" i="9"/>
  <c r="G26" i="9"/>
  <c r="F26" i="9"/>
  <c r="E26" i="9"/>
  <c r="D26" i="9"/>
  <c r="C26" i="9"/>
  <c r="B26" i="9"/>
  <c r="L25" i="9"/>
  <c r="K25" i="9"/>
  <c r="J25" i="9"/>
  <c r="I25" i="9"/>
  <c r="H25" i="9"/>
  <c r="G25" i="9"/>
  <c r="F25" i="9"/>
  <c r="E25" i="9"/>
  <c r="D25" i="9"/>
  <c r="C25" i="9"/>
  <c r="B25" i="9"/>
  <c r="L24" i="9"/>
  <c r="K24" i="9"/>
  <c r="J24" i="9"/>
  <c r="I24" i="9"/>
  <c r="H24" i="9"/>
  <c r="G24" i="9"/>
  <c r="F24" i="9"/>
  <c r="E24" i="9"/>
  <c r="D24" i="9"/>
  <c r="C24" i="9"/>
  <c r="B24" i="9"/>
  <c r="K19" i="9"/>
  <c r="I19" i="9"/>
  <c r="I9" i="9"/>
  <c r="J6" i="9"/>
  <c r="F6" i="9"/>
  <c r="D6" i="9"/>
  <c r="B6" i="9"/>
  <c r="A2" i="9"/>
  <c r="H60" i="8"/>
  <c r="H59" i="8"/>
  <c r="H58" i="8"/>
  <c r="H57" i="8"/>
  <c r="L53" i="8"/>
  <c r="K53" i="8"/>
  <c r="J53" i="8"/>
  <c r="I53" i="8"/>
  <c r="H53" i="8"/>
  <c r="G53" i="8"/>
  <c r="F53" i="8"/>
  <c r="E53" i="8"/>
  <c r="D53" i="8"/>
  <c r="C53" i="8"/>
  <c r="B53" i="8"/>
  <c r="L52" i="8"/>
  <c r="K52" i="8"/>
  <c r="J52" i="8"/>
  <c r="I52" i="8"/>
  <c r="H52" i="8"/>
  <c r="G52" i="8"/>
  <c r="F52" i="8"/>
  <c r="E52" i="8"/>
  <c r="D52" i="8"/>
  <c r="C52" i="8"/>
  <c r="B52" i="8"/>
  <c r="L51" i="8"/>
  <c r="K51" i="8"/>
  <c r="J51" i="8"/>
  <c r="I51" i="8"/>
  <c r="H51" i="8"/>
  <c r="G51" i="8"/>
  <c r="F51" i="8"/>
  <c r="E51" i="8"/>
  <c r="D51" i="8"/>
  <c r="C51" i="8"/>
  <c r="B51" i="8"/>
  <c r="L50" i="8"/>
  <c r="K50" i="8"/>
  <c r="J50" i="8"/>
  <c r="I50" i="8"/>
  <c r="H50" i="8"/>
  <c r="G50" i="8"/>
  <c r="F50" i="8"/>
  <c r="E50" i="8"/>
  <c r="D50" i="8"/>
  <c r="C50" i="8"/>
  <c r="B50" i="8"/>
  <c r="L49" i="8"/>
  <c r="K49" i="8"/>
  <c r="J49" i="8"/>
  <c r="I49" i="8"/>
  <c r="H49" i="8"/>
  <c r="G49" i="8"/>
  <c r="F49" i="8"/>
  <c r="E49" i="8"/>
  <c r="D49" i="8"/>
  <c r="C49" i="8"/>
  <c r="B49" i="8"/>
  <c r="L48" i="8"/>
  <c r="K48" i="8"/>
  <c r="J48" i="8"/>
  <c r="I48" i="8"/>
  <c r="H48" i="8"/>
  <c r="G48" i="8"/>
  <c r="F48" i="8"/>
  <c r="E48" i="8"/>
  <c r="D48" i="8"/>
  <c r="C48" i="8"/>
  <c r="B48" i="8"/>
  <c r="L47" i="8"/>
  <c r="K47" i="8"/>
  <c r="J47" i="8"/>
  <c r="I47" i="8"/>
  <c r="H47" i="8"/>
  <c r="G47" i="8"/>
  <c r="F47" i="8"/>
  <c r="E47" i="8"/>
  <c r="D47" i="8"/>
  <c r="C47" i="8"/>
  <c r="B47" i="8"/>
  <c r="L46" i="8"/>
  <c r="K46" i="8"/>
  <c r="J46" i="8"/>
  <c r="I46" i="8"/>
  <c r="H46" i="8"/>
  <c r="G46" i="8"/>
  <c r="F46" i="8"/>
  <c r="E46" i="8"/>
  <c r="D46" i="8"/>
  <c r="C46" i="8"/>
  <c r="B46" i="8"/>
  <c r="L45" i="8"/>
  <c r="K45" i="8"/>
  <c r="J45" i="8"/>
  <c r="I45" i="8"/>
  <c r="H45" i="8"/>
  <c r="G45" i="8"/>
  <c r="F45" i="8"/>
  <c r="E45" i="8"/>
  <c r="D45" i="8"/>
  <c r="C45" i="8"/>
  <c r="B45" i="8"/>
  <c r="L44" i="8"/>
  <c r="K44" i="8"/>
  <c r="J44" i="8"/>
  <c r="I44" i="8"/>
  <c r="H44" i="8"/>
  <c r="G44" i="8"/>
  <c r="F44" i="8"/>
  <c r="E44" i="8"/>
  <c r="D44" i="8"/>
  <c r="C44" i="8"/>
  <c r="B44" i="8"/>
  <c r="L43" i="8"/>
  <c r="K43" i="8"/>
  <c r="J43" i="8"/>
  <c r="I43" i="8"/>
  <c r="H43" i="8"/>
  <c r="G43" i="8"/>
  <c r="F43" i="8"/>
  <c r="E43" i="8"/>
  <c r="D43" i="8"/>
  <c r="C43" i="8"/>
  <c r="B43" i="8"/>
  <c r="L42" i="8"/>
  <c r="K42" i="8"/>
  <c r="J42" i="8"/>
  <c r="I42" i="8"/>
  <c r="H42" i="8"/>
  <c r="G42" i="8"/>
  <c r="F42" i="8"/>
  <c r="E42" i="8"/>
  <c r="D42" i="8"/>
  <c r="C42" i="8"/>
  <c r="B42" i="8"/>
  <c r="L41" i="8"/>
  <c r="K41" i="8"/>
  <c r="J41" i="8"/>
  <c r="I41" i="8"/>
  <c r="H41" i="8"/>
  <c r="G41" i="8"/>
  <c r="F41" i="8"/>
  <c r="E41" i="8"/>
  <c r="D41" i="8"/>
  <c r="C41" i="8"/>
  <c r="B41" i="8"/>
  <c r="L40" i="8"/>
  <c r="K40" i="8"/>
  <c r="J40" i="8"/>
  <c r="I40" i="8"/>
  <c r="H40" i="8"/>
  <c r="G40" i="8"/>
  <c r="F40" i="8"/>
  <c r="E40" i="8"/>
  <c r="D40" i="8"/>
  <c r="C40" i="8"/>
  <c r="B40" i="8"/>
  <c r="L39" i="8"/>
  <c r="K39" i="8"/>
  <c r="J39" i="8"/>
  <c r="I39" i="8"/>
  <c r="H39" i="8"/>
  <c r="G39" i="8"/>
  <c r="F39" i="8"/>
  <c r="E39" i="8"/>
  <c r="D39" i="8"/>
  <c r="C39" i="8"/>
  <c r="B39" i="8"/>
  <c r="L38" i="8"/>
  <c r="K38" i="8"/>
  <c r="J38" i="8"/>
  <c r="I38" i="8"/>
  <c r="H38" i="8"/>
  <c r="G38" i="8"/>
  <c r="F38" i="8"/>
  <c r="E38" i="8"/>
  <c r="D38" i="8"/>
  <c r="C38" i="8"/>
  <c r="B38" i="8"/>
  <c r="L37" i="8"/>
  <c r="K37" i="8"/>
  <c r="J37" i="8"/>
  <c r="I37" i="8"/>
  <c r="H37" i="8"/>
  <c r="G37" i="8"/>
  <c r="F37" i="8"/>
  <c r="E37" i="8"/>
  <c r="D37" i="8"/>
  <c r="C37" i="8"/>
  <c r="B37" i="8"/>
  <c r="L36" i="8"/>
  <c r="K36" i="8"/>
  <c r="J36" i="8"/>
  <c r="I36" i="8"/>
  <c r="H36" i="8"/>
  <c r="G36" i="8"/>
  <c r="F36" i="8"/>
  <c r="E36" i="8"/>
  <c r="D36" i="8"/>
  <c r="C36" i="8"/>
  <c r="B36" i="8"/>
  <c r="L35" i="8"/>
  <c r="K35" i="8"/>
  <c r="J35" i="8"/>
  <c r="I35" i="8"/>
  <c r="H35" i="8"/>
  <c r="G35" i="8"/>
  <c r="F35" i="8"/>
  <c r="E35" i="8"/>
  <c r="D35" i="8"/>
  <c r="C35" i="8"/>
  <c r="B35" i="8"/>
  <c r="L34" i="8"/>
  <c r="K34" i="8"/>
  <c r="J34" i="8"/>
  <c r="I34" i="8"/>
  <c r="H34" i="8"/>
  <c r="G34" i="8"/>
  <c r="F34" i="8"/>
  <c r="E34" i="8"/>
  <c r="D34" i="8"/>
  <c r="C34" i="8"/>
  <c r="B34" i="8"/>
  <c r="L33" i="8"/>
  <c r="K33" i="8"/>
  <c r="J33" i="8"/>
  <c r="I33" i="8"/>
  <c r="H33" i="8"/>
  <c r="G33" i="8"/>
  <c r="F33" i="8"/>
  <c r="E33" i="8"/>
  <c r="D33" i="8"/>
  <c r="C33" i="8"/>
  <c r="B33" i="8"/>
  <c r="L32" i="8"/>
  <c r="K32" i="8"/>
  <c r="J32" i="8"/>
  <c r="I32" i="8"/>
  <c r="H32" i="8"/>
  <c r="G32" i="8"/>
  <c r="F32" i="8"/>
  <c r="E32" i="8"/>
  <c r="D32" i="8"/>
  <c r="C32" i="8"/>
  <c r="B32" i="8"/>
  <c r="L31" i="8"/>
  <c r="K31" i="8"/>
  <c r="J31" i="8"/>
  <c r="I31" i="8"/>
  <c r="H31" i="8"/>
  <c r="G31" i="8"/>
  <c r="F31" i="8"/>
  <c r="E31" i="8"/>
  <c r="D31" i="8"/>
  <c r="C31" i="8"/>
  <c r="B31" i="8"/>
  <c r="L30" i="8"/>
  <c r="K30" i="8"/>
  <c r="J30" i="8"/>
  <c r="I30" i="8"/>
  <c r="H30" i="8"/>
  <c r="G30" i="8"/>
  <c r="F30" i="8"/>
  <c r="E30" i="8"/>
  <c r="D30" i="8"/>
  <c r="C30" i="8"/>
  <c r="B30" i="8"/>
  <c r="L29" i="8"/>
  <c r="K29" i="8"/>
  <c r="J29" i="8"/>
  <c r="I29" i="8"/>
  <c r="H29" i="8"/>
  <c r="G29" i="8"/>
  <c r="F29" i="8"/>
  <c r="E29" i="8"/>
  <c r="D29" i="8"/>
  <c r="C29" i="8"/>
  <c r="B29" i="8"/>
  <c r="L28" i="8"/>
  <c r="K28" i="8"/>
  <c r="J28" i="8"/>
  <c r="I28" i="8"/>
  <c r="H28" i="8"/>
  <c r="G28" i="8"/>
  <c r="F28" i="8"/>
  <c r="E28" i="8"/>
  <c r="D28" i="8"/>
  <c r="C28" i="8"/>
  <c r="B28" i="8"/>
  <c r="L27" i="8"/>
  <c r="K27" i="8"/>
  <c r="J27" i="8"/>
  <c r="I27" i="8"/>
  <c r="H27" i="8"/>
  <c r="G27" i="8"/>
  <c r="F27" i="8"/>
  <c r="E27" i="8"/>
  <c r="D27" i="8"/>
  <c r="C27" i="8"/>
  <c r="B27" i="8"/>
  <c r="L26" i="8"/>
  <c r="K26" i="8"/>
  <c r="J26" i="8"/>
  <c r="I26" i="8"/>
  <c r="H26" i="8"/>
  <c r="G26" i="8"/>
  <c r="F26" i="8"/>
  <c r="E26" i="8"/>
  <c r="D26" i="8"/>
  <c r="C26" i="8"/>
  <c r="B26" i="8"/>
  <c r="L25" i="8"/>
  <c r="K25" i="8"/>
  <c r="J25" i="8"/>
  <c r="I25" i="8"/>
  <c r="H25" i="8"/>
  <c r="G25" i="8"/>
  <c r="F25" i="8"/>
  <c r="E25" i="8"/>
  <c r="D25" i="8"/>
  <c r="C25" i="8"/>
  <c r="B25" i="8"/>
  <c r="L24" i="8"/>
  <c r="K24" i="8"/>
  <c r="J24" i="8"/>
  <c r="I24" i="8"/>
  <c r="H24" i="8"/>
  <c r="G24" i="8"/>
  <c r="F24" i="8"/>
  <c r="E24" i="8"/>
  <c r="D24" i="8"/>
  <c r="C24" i="8"/>
  <c r="B24" i="8"/>
  <c r="K19" i="8"/>
  <c r="I19" i="8"/>
  <c r="I9" i="8"/>
  <c r="J6" i="8"/>
  <c r="F6" i="8"/>
  <c r="D6" i="8"/>
  <c r="B6" i="8"/>
  <c r="A2" i="8"/>
  <c r="H60" i="7"/>
  <c r="H59" i="7"/>
  <c r="H58" i="7"/>
  <c r="H57" i="7"/>
  <c r="L53" i="7"/>
  <c r="K53" i="7"/>
  <c r="J53" i="7"/>
  <c r="I53" i="7"/>
  <c r="H53" i="7"/>
  <c r="G53" i="7"/>
  <c r="F53" i="7"/>
  <c r="E53" i="7"/>
  <c r="D53" i="7"/>
  <c r="C53" i="7"/>
  <c r="B53" i="7"/>
  <c r="L52" i="7"/>
  <c r="K52" i="7"/>
  <c r="J52" i="7"/>
  <c r="I52" i="7"/>
  <c r="H52" i="7"/>
  <c r="G52" i="7"/>
  <c r="F52" i="7"/>
  <c r="E52" i="7"/>
  <c r="D52" i="7"/>
  <c r="C52" i="7"/>
  <c r="B52" i="7"/>
  <c r="L51" i="7"/>
  <c r="K51" i="7"/>
  <c r="J51" i="7"/>
  <c r="I51" i="7"/>
  <c r="H51" i="7"/>
  <c r="G51" i="7"/>
  <c r="F51" i="7"/>
  <c r="E51" i="7"/>
  <c r="D51" i="7"/>
  <c r="C51" i="7"/>
  <c r="B51" i="7"/>
  <c r="L50" i="7"/>
  <c r="K50" i="7"/>
  <c r="J50" i="7"/>
  <c r="I50" i="7"/>
  <c r="H50" i="7"/>
  <c r="G50" i="7"/>
  <c r="F50" i="7"/>
  <c r="E50" i="7"/>
  <c r="D50" i="7"/>
  <c r="C50" i="7"/>
  <c r="B50" i="7"/>
  <c r="L49" i="7"/>
  <c r="K49" i="7"/>
  <c r="J49" i="7"/>
  <c r="I49" i="7"/>
  <c r="H49" i="7"/>
  <c r="G49" i="7"/>
  <c r="F49" i="7"/>
  <c r="E49" i="7"/>
  <c r="D49" i="7"/>
  <c r="C49" i="7"/>
  <c r="B49" i="7"/>
  <c r="L48" i="7"/>
  <c r="K48" i="7"/>
  <c r="J48" i="7"/>
  <c r="I48" i="7"/>
  <c r="H48" i="7"/>
  <c r="G48" i="7"/>
  <c r="F48" i="7"/>
  <c r="E48" i="7"/>
  <c r="D48" i="7"/>
  <c r="C48" i="7"/>
  <c r="B48" i="7"/>
  <c r="L47" i="7"/>
  <c r="K47" i="7"/>
  <c r="J47" i="7"/>
  <c r="I47" i="7"/>
  <c r="H47" i="7"/>
  <c r="G47" i="7"/>
  <c r="F47" i="7"/>
  <c r="E47" i="7"/>
  <c r="D47" i="7"/>
  <c r="C47" i="7"/>
  <c r="B47" i="7"/>
  <c r="L46" i="7"/>
  <c r="K46" i="7"/>
  <c r="J46" i="7"/>
  <c r="I46" i="7"/>
  <c r="H46" i="7"/>
  <c r="G46" i="7"/>
  <c r="F46" i="7"/>
  <c r="E46" i="7"/>
  <c r="D46" i="7"/>
  <c r="C46" i="7"/>
  <c r="B46" i="7"/>
  <c r="L45" i="7"/>
  <c r="K45" i="7"/>
  <c r="J45" i="7"/>
  <c r="I45" i="7"/>
  <c r="H45" i="7"/>
  <c r="G45" i="7"/>
  <c r="F45" i="7"/>
  <c r="E45" i="7"/>
  <c r="D45" i="7"/>
  <c r="C45" i="7"/>
  <c r="B45" i="7"/>
  <c r="L44" i="7"/>
  <c r="K44" i="7"/>
  <c r="J44" i="7"/>
  <c r="I44" i="7"/>
  <c r="H44" i="7"/>
  <c r="G44" i="7"/>
  <c r="F44" i="7"/>
  <c r="E44" i="7"/>
  <c r="D44" i="7"/>
  <c r="C44" i="7"/>
  <c r="B44" i="7"/>
  <c r="L43" i="7"/>
  <c r="K43" i="7"/>
  <c r="J43" i="7"/>
  <c r="I43" i="7"/>
  <c r="H43" i="7"/>
  <c r="G43" i="7"/>
  <c r="F43" i="7"/>
  <c r="E43" i="7"/>
  <c r="D43" i="7"/>
  <c r="C43" i="7"/>
  <c r="B43" i="7"/>
  <c r="L42" i="7"/>
  <c r="K42" i="7"/>
  <c r="J42" i="7"/>
  <c r="I42" i="7"/>
  <c r="H42" i="7"/>
  <c r="G42" i="7"/>
  <c r="F42" i="7"/>
  <c r="E42" i="7"/>
  <c r="D42" i="7"/>
  <c r="C42" i="7"/>
  <c r="B42" i="7"/>
  <c r="L41" i="7"/>
  <c r="K41" i="7"/>
  <c r="J41" i="7"/>
  <c r="I41" i="7"/>
  <c r="H41" i="7"/>
  <c r="G41" i="7"/>
  <c r="F41" i="7"/>
  <c r="E41" i="7"/>
  <c r="D41" i="7"/>
  <c r="C41" i="7"/>
  <c r="B41" i="7"/>
  <c r="L40" i="7"/>
  <c r="K40" i="7"/>
  <c r="J40" i="7"/>
  <c r="I40" i="7"/>
  <c r="H40" i="7"/>
  <c r="G40" i="7"/>
  <c r="F40" i="7"/>
  <c r="E40" i="7"/>
  <c r="D40" i="7"/>
  <c r="C40" i="7"/>
  <c r="B40" i="7"/>
  <c r="L39" i="7"/>
  <c r="K39" i="7"/>
  <c r="J39" i="7"/>
  <c r="I39" i="7"/>
  <c r="H39" i="7"/>
  <c r="G39" i="7"/>
  <c r="F39" i="7"/>
  <c r="E39" i="7"/>
  <c r="D39" i="7"/>
  <c r="C39" i="7"/>
  <c r="B39" i="7"/>
  <c r="L38" i="7"/>
  <c r="K38" i="7"/>
  <c r="J38" i="7"/>
  <c r="I38" i="7"/>
  <c r="H38" i="7"/>
  <c r="G38" i="7"/>
  <c r="F38" i="7"/>
  <c r="E38" i="7"/>
  <c r="D38" i="7"/>
  <c r="C38" i="7"/>
  <c r="B38" i="7"/>
  <c r="L37" i="7"/>
  <c r="K37" i="7"/>
  <c r="J37" i="7"/>
  <c r="I37" i="7"/>
  <c r="H37" i="7"/>
  <c r="G37" i="7"/>
  <c r="F37" i="7"/>
  <c r="E37" i="7"/>
  <c r="D37" i="7"/>
  <c r="C37" i="7"/>
  <c r="B37" i="7"/>
  <c r="L36" i="7"/>
  <c r="K36" i="7"/>
  <c r="J36" i="7"/>
  <c r="I36" i="7"/>
  <c r="H36" i="7"/>
  <c r="G36" i="7"/>
  <c r="F36" i="7"/>
  <c r="E36" i="7"/>
  <c r="D36" i="7"/>
  <c r="C36" i="7"/>
  <c r="B36" i="7"/>
  <c r="L35" i="7"/>
  <c r="K35" i="7"/>
  <c r="J35" i="7"/>
  <c r="I35" i="7"/>
  <c r="H35" i="7"/>
  <c r="G35" i="7"/>
  <c r="F35" i="7"/>
  <c r="E35" i="7"/>
  <c r="D35" i="7"/>
  <c r="C35" i="7"/>
  <c r="B35" i="7"/>
  <c r="L34" i="7"/>
  <c r="K34" i="7"/>
  <c r="J34" i="7"/>
  <c r="I34" i="7"/>
  <c r="H34" i="7"/>
  <c r="G34" i="7"/>
  <c r="F34" i="7"/>
  <c r="E34" i="7"/>
  <c r="D34" i="7"/>
  <c r="C34" i="7"/>
  <c r="B34" i="7"/>
  <c r="L33" i="7"/>
  <c r="K33" i="7"/>
  <c r="J33" i="7"/>
  <c r="I33" i="7"/>
  <c r="H33" i="7"/>
  <c r="G33" i="7"/>
  <c r="F33" i="7"/>
  <c r="E33" i="7"/>
  <c r="D33" i="7"/>
  <c r="C33" i="7"/>
  <c r="B33" i="7"/>
  <c r="L32" i="7"/>
  <c r="K32" i="7"/>
  <c r="J32" i="7"/>
  <c r="I32" i="7"/>
  <c r="H32" i="7"/>
  <c r="G32" i="7"/>
  <c r="F32" i="7"/>
  <c r="E32" i="7"/>
  <c r="D32" i="7"/>
  <c r="C32" i="7"/>
  <c r="B32" i="7"/>
  <c r="L31" i="7"/>
  <c r="K31" i="7"/>
  <c r="J31" i="7"/>
  <c r="I31" i="7"/>
  <c r="H31" i="7"/>
  <c r="G31" i="7"/>
  <c r="F31" i="7"/>
  <c r="E31" i="7"/>
  <c r="D31" i="7"/>
  <c r="C31" i="7"/>
  <c r="B31" i="7"/>
  <c r="L30" i="7"/>
  <c r="K30" i="7"/>
  <c r="J30" i="7"/>
  <c r="I30" i="7"/>
  <c r="H30" i="7"/>
  <c r="G30" i="7"/>
  <c r="F30" i="7"/>
  <c r="E30" i="7"/>
  <c r="D30" i="7"/>
  <c r="C30" i="7"/>
  <c r="B30" i="7"/>
  <c r="L29" i="7"/>
  <c r="K29" i="7"/>
  <c r="J29" i="7"/>
  <c r="I29" i="7"/>
  <c r="H29" i="7"/>
  <c r="G29" i="7"/>
  <c r="F29" i="7"/>
  <c r="E29" i="7"/>
  <c r="D29" i="7"/>
  <c r="C29" i="7"/>
  <c r="B29" i="7"/>
  <c r="L28" i="7"/>
  <c r="K28" i="7"/>
  <c r="J28" i="7"/>
  <c r="I28" i="7"/>
  <c r="H28" i="7"/>
  <c r="G28" i="7"/>
  <c r="F28" i="7"/>
  <c r="E28" i="7"/>
  <c r="D28" i="7"/>
  <c r="C28" i="7"/>
  <c r="B28" i="7"/>
  <c r="L27" i="7"/>
  <c r="K27" i="7"/>
  <c r="J27" i="7"/>
  <c r="I27" i="7"/>
  <c r="H27" i="7"/>
  <c r="G27" i="7"/>
  <c r="F27" i="7"/>
  <c r="E27" i="7"/>
  <c r="D27" i="7"/>
  <c r="C27" i="7"/>
  <c r="B27" i="7"/>
  <c r="L26" i="7"/>
  <c r="K26" i="7"/>
  <c r="J26" i="7"/>
  <c r="I26" i="7"/>
  <c r="H26" i="7"/>
  <c r="G26" i="7"/>
  <c r="F26" i="7"/>
  <c r="E26" i="7"/>
  <c r="D26" i="7"/>
  <c r="C26" i="7"/>
  <c r="B26" i="7"/>
  <c r="L25" i="7"/>
  <c r="K25" i="7"/>
  <c r="J25" i="7"/>
  <c r="I25" i="7"/>
  <c r="H25" i="7"/>
  <c r="G25" i="7"/>
  <c r="F25" i="7"/>
  <c r="E25" i="7"/>
  <c r="D25" i="7"/>
  <c r="C25" i="7"/>
  <c r="B25" i="7"/>
  <c r="L24" i="7"/>
  <c r="K24" i="7"/>
  <c r="J24" i="7"/>
  <c r="I24" i="7"/>
  <c r="H24" i="7"/>
  <c r="G24" i="7"/>
  <c r="F24" i="7"/>
  <c r="E24" i="7"/>
  <c r="D24" i="7"/>
  <c r="C24" i="7"/>
  <c r="B24" i="7"/>
  <c r="K19" i="7"/>
  <c r="I19" i="7"/>
  <c r="I9" i="7"/>
  <c r="J6" i="7"/>
  <c r="F6" i="7"/>
  <c r="D6" i="7"/>
  <c r="B6" i="7"/>
  <c r="A2" i="7"/>
  <c r="H60" i="6"/>
  <c r="H59" i="6"/>
  <c r="H58" i="6"/>
  <c r="H57" i="6"/>
  <c r="L53" i="6"/>
  <c r="K53" i="6"/>
  <c r="J53" i="6"/>
  <c r="I53" i="6"/>
  <c r="H53" i="6"/>
  <c r="G53" i="6"/>
  <c r="F53" i="6"/>
  <c r="E53" i="6"/>
  <c r="D53" i="6"/>
  <c r="C53" i="6"/>
  <c r="B53" i="6"/>
  <c r="L52" i="6"/>
  <c r="K52" i="6"/>
  <c r="J52" i="6"/>
  <c r="I52" i="6"/>
  <c r="H52" i="6"/>
  <c r="G52" i="6"/>
  <c r="F52" i="6"/>
  <c r="E52" i="6"/>
  <c r="D52" i="6"/>
  <c r="C52" i="6"/>
  <c r="B52" i="6"/>
  <c r="L51" i="6"/>
  <c r="K51" i="6"/>
  <c r="J51" i="6"/>
  <c r="I51" i="6"/>
  <c r="H51" i="6"/>
  <c r="G51" i="6"/>
  <c r="F51" i="6"/>
  <c r="E51" i="6"/>
  <c r="D51" i="6"/>
  <c r="C51" i="6"/>
  <c r="B51" i="6"/>
  <c r="L50" i="6"/>
  <c r="K50" i="6"/>
  <c r="J50" i="6"/>
  <c r="I50" i="6"/>
  <c r="H50" i="6"/>
  <c r="G50" i="6"/>
  <c r="F50" i="6"/>
  <c r="E50" i="6"/>
  <c r="D50" i="6"/>
  <c r="C50" i="6"/>
  <c r="B50" i="6"/>
  <c r="L49" i="6"/>
  <c r="K49" i="6"/>
  <c r="J49" i="6"/>
  <c r="I49" i="6"/>
  <c r="H49" i="6"/>
  <c r="G49" i="6"/>
  <c r="F49" i="6"/>
  <c r="E49" i="6"/>
  <c r="D49" i="6"/>
  <c r="C49" i="6"/>
  <c r="B49" i="6"/>
  <c r="L48" i="6"/>
  <c r="K48" i="6"/>
  <c r="J48" i="6"/>
  <c r="I48" i="6"/>
  <c r="H48" i="6"/>
  <c r="G48" i="6"/>
  <c r="F48" i="6"/>
  <c r="E48" i="6"/>
  <c r="D48" i="6"/>
  <c r="C48" i="6"/>
  <c r="B48" i="6"/>
  <c r="L47" i="6"/>
  <c r="K47" i="6"/>
  <c r="J47" i="6"/>
  <c r="I47" i="6"/>
  <c r="H47" i="6"/>
  <c r="G47" i="6"/>
  <c r="F47" i="6"/>
  <c r="E47" i="6"/>
  <c r="D47" i="6"/>
  <c r="C47" i="6"/>
  <c r="B47" i="6"/>
  <c r="L46" i="6"/>
  <c r="K46" i="6"/>
  <c r="J46" i="6"/>
  <c r="I46" i="6"/>
  <c r="H46" i="6"/>
  <c r="G46" i="6"/>
  <c r="F46" i="6"/>
  <c r="E46" i="6"/>
  <c r="D46" i="6"/>
  <c r="C46" i="6"/>
  <c r="B46" i="6"/>
  <c r="L45" i="6"/>
  <c r="K45" i="6"/>
  <c r="J45" i="6"/>
  <c r="I45" i="6"/>
  <c r="H45" i="6"/>
  <c r="G45" i="6"/>
  <c r="F45" i="6"/>
  <c r="E45" i="6"/>
  <c r="D45" i="6"/>
  <c r="C45" i="6"/>
  <c r="B45" i="6"/>
  <c r="L44" i="6"/>
  <c r="K44" i="6"/>
  <c r="J44" i="6"/>
  <c r="I44" i="6"/>
  <c r="H44" i="6"/>
  <c r="G44" i="6"/>
  <c r="F44" i="6"/>
  <c r="E44" i="6"/>
  <c r="D44" i="6"/>
  <c r="C44" i="6"/>
  <c r="B44" i="6"/>
  <c r="L43" i="6"/>
  <c r="K43" i="6"/>
  <c r="J43" i="6"/>
  <c r="I43" i="6"/>
  <c r="H43" i="6"/>
  <c r="G43" i="6"/>
  <c r="F43" i="6"/>
  <c r="E43" i="6"/>
  <c r="D43" i="6"/>
  <c r="C43" i="6"/>
  <c r="B43" i="6"/>
  <c r="L42" i="6"/>
  <c r="K42" i="6"/>
  <c r="J42" i="6"/>
  <c r="I42" i="6"/>
  <c r="H42" i="6"/>
  <c r="G42" i="6"/>
  <c r="F42" i="6"/>
  <c r="E42" i="6"/>
  <c r="D42" i="6"/>
  <c r="C42" i="6"/>
  <c r="B42" i="6"/>
  <c r="L41" i="6"/>
  <c r="K41" i="6"/>
  <c r="J41" i="6"/>
  <c r="I41" i="6"/>
  <c r="H41" i="6"/>
  <c r="G41" i="6"/>
  <c r="F41" i="6"/>
  <c r="E41" i="6"/>
  <c r="D41" i="6"/>
  <c r="C41" i="6"/>
  <c r="B41" i="6"/>
  <c r="L40" i="6"/>
  <c r="K40" i="6"/>
  <c r="J40" i="6"/>
  <c r="I40" i="6"/>
  <c r="H40" i="6"/>
  <c r="G40" i="6"/>
  <c r="F40" i="6"/>
  <c r="E40" i="6"/>
  <c r="D40" i="6"/>
  <c r="C40" i="6"/>
  <c r="B40" i="6"/>
  <c r="L39" i="6"/>
  <c r="K39" i="6"/>
  <c r="J39" i="6"/>
  <c r="I39" i="6"/>
  <c r="H39" i="6"/>
  <c r="G39" i="6"/>
  <c r="F39" i="6"/>
  <c r="E39" i="6"/>
  <c r="D39" i="6"/>
  <c r="C39" i="6"/>
  <c r="B39" i="6"/>
  <c r="L38" i="6"/>
  <c r="K38" i="6"/>
  <c r="J38" i="6"/>
  <c r="I38" i="6"/>
  <c r="H38" i="6"/>
  <c r="G38" i="6"/>
  <c r="F38" i="6"/>
  <c r="E38" i="6"/>
  <c r="D38" i="6"/>
  <c r="C38" i="6"/>
  <c r="B38" i="6"/>
  <c r="L37" i="6"/>
  <c r="K37" i="6"/>
  <c r="J37" i="6"/>
  <c r="I37" i="6"/>
  <c r="H37" i="6"/>
  <c r="G37" i="6"/>
  <c r="F37" i="6"/>
  <c r="E37" i="6"/>
  <c r="D37" i="6"/>
  <c r="C37" i="6"/>
  <c r="B37" i="6"/>
  <c r="L36" i="6"/>
  <c r="K36" i="6"/>
  <c r="J36" i="6"/>
  <c r="I36" i="6"/>
  <c r="H36" i="6"/>
  <c r="G36" i="6"/>
  <c r="F36" i="6"/>
  <c r="E36" i="6"/>
  <c r="D36" i="6"/>
  <c r="C36" i="6"/>
  <c r="B36" i="6"/>
  <c r="L35" i="6"/>
  <c r="K35" i="6"/>
  <c r="J35" i="6"/>
  <c r="I35" i="6"/>
  <c r="H35" i="6"/>
  <c r="G35" i="6"/>
  <c r="F35" i="6"/>
  <c r="E35" i="6"/>
  <c r="D35" i="6"/>
  <c r="C35" i="6"/>
  <c r="B35" i="6"/>
  <c r="L34" i="6"/>
  <c r="K34" i="6"/>
  <c r="J34" i="6"/>
  <c r="I34" i="6"/>
  <c r="H34" i="6"/>
  <c r="G34" i="6"/>
  <c r="F34" i="6"/>
  <c r="E34" i="6"/>
  <c r="D34" i="6"/>
  <c r="C34" i="6"/>
  <c r="B34" i="6"/>
  <c r="L33" i="6"/>
  <c r="K33" i="6"/>
  <c r="J33" i="6"/>
  <c r="I33" i="6"/>
  <c r="H33" i="6"/>
  <c r="G33" i="6"/>
  <c r="F33" i="6"/>
  <c r="E33" i="6"/>
  <c r="D33" i="6"/>
  <c r="C33" i="6"/>
  <c r="B33" i="6"/>
  <c r="L32" i="6"/>
  <c r="K32" i="6"/>
  <c r="J32" i="6"/>
  <c r="I32" i="6"/>
  <c r="H32" i="6"/>
  <c r="G32" i="6"/>
  <c r="F32" i="6"/>
  <c r="E32" i="6"/>
  <c r="D32" i="6"/>
  <c r="C32" i="6"/>
  <c r="B32" i="6"/>
  <c r="L31" i="6"/>
  <c r="K31" i="6"/>
  <c r="J31" i="6"/>
  <c r="I31" i="6"/>
  <c r="H31" i="6"/>
  <c r="G31" i="6"/>
  <c r="F31" i="6"/>
  <c r="E31" i="6"/>
  <c r="D31" i="6"/>
  <c r="C31" i="6"/>
  <c r="B31" i="6"/>
  <c r="L30" i="6"/>
  <c r="K30" i="6"/>
  <c r="J30" i="6"/>
  <c r="I30" i="6"/>
  <c r="H30" i="6"/>
  <c r="G30" i="6"/>
  <c r="F30" i="6"/>
  <c r="E30" i="6"/>
  <c r="D30" i="6"/>
  <c r="C30" i="6"/>
  <c r="B30" i="6"/>
  <c r="L29" i="6"/>
  <c r="K29" i="6"/>
  <c r="J29" i="6"/>
  <c r="I29" i="6"/>
  <c r="H29" i="6"/>
  <c r="G29" i="6"/>
  <c r="F29" i="6"/>
  <c r="E29" i="6"/>
  <c r="D29" i="6"/>
  <c r="C29" i="6"/>
  <c r="B29" i="6"/>
  <c r="L28" i="6"/>
  <c r="K28" i="6"/>
  <c r="J28" i="6"/>
  <c r="I28" i="6"/>
  <c r="H28" i="6"/>
  <c r="G28" i="6"/>
  <c r="F28" i="6"/>
  <c r="E28" i="6"/>
  <c r="D28" i="6"/>
  <c r="C28" i="6"/>
  <c r="B28" i="6"/>
  <c r="L27" i="6"/>
  <c r="K27" i="6"/>
  <c r="J27" i="6"/>
  <c r="I27" i="6"/>
  <c r="H27" i="6"/>
  <c r="G27" i="6"/>
  <c r="F27" i="6"/>
  <c r="E27" i="6"/>
  <c r="D27" i="6"/>
  <c r="C27" i="6"/>
  <c r="B27" i="6"/>
  <c r="L26" i="6"/>
  <c r="K26" i="6"/>
  <c r="J26" i="6"/>
  <c r="I26" i="6"/>
  <c r="H26" i="6"/>
  <c r="G26" i="6"/>
  <c r="F26" i="6"/>
  <c r="E26" i="6"/>
  <c r="D26" i="6"/>
  <c r="C26" i="6"/>
  <c r="B26" i="6"/>
  <c r="L25" i="6"/>
  <c r="K25" i="6"/>
  <c r="J25" i="6"/>
  <c r="I25" i="6"/>
  <c r="H25" i="6"/>
  <c r="G25" i="6"/>
  <c r="F25" i="6"/>
  <c r="E25" i="6"/>
  <c r="D25" i="6"/>
  <c r="C25" i="6"/>
  <c r="B25" i="6"/>
  <c r="L24" i="6"/>
  <c r="K24" i="6"/>
  <c r="J24" i="6"/>
  <c r="I24" i="6"/>
  <c r="H24" i="6"/>
  <c r="G24" i="6"/>
  <c r="F24" i="6"/>
  <c r="E24" i="6"/>
  <c r="D24" i="6"/>
  <c r="C24" i="6"/>
  <c r="B24" i="6"/>
  <c r="K19" i="6"/>
  <c r="I19" i="6"/>
  <c r="I9" i="6"/>
  <c r="J6" i="6"/>
  <c r="F6" i="6"/>
  <c r="D6" i="6"/>
  <c r="B6" i="6"/>
  <c r="H6" i="6" s="1"/>
  <c r="A2" i="6"/>
  <c r="H60" i="5"/>
  <c r="H59" i="5"/>
  <c r="H58" i="5"/>
  <c r="H57" i="5"/>
  <c r="L53" i="5"/>
  <c r="K53" i="5"/>
  <c r="J53" i="5"/>
  <c r="I53" i="5"/>
  <c r="H53" i="5"/>
  <c r="G53" i="5"/>
  <c r="F53" i="5"/>
  <c r="E53" i="5"/>
  <c r="D53" i="5"/>
  <c r="C53" i="5"/>
  <c r="B53" i="5"/>
  <c r="L52" i="5"/>
  <c r="K52" i="5"/>
  <c r="J52" i="5"/>
  <c r="I52" i="5"/>
  <c r="H52" i="5"/>
  <c r="G52" i="5"/>
  <c r="F52" i="5"/>
  <c r="E52" i="5"/>
  <c r="D52" i="5"/>
  <c r="C52" i="5"/>
  <c r="B52" i="5"/>
  <c r="L51" i="5"/>
  <c r="K51" i="5"/>
  <c r="J51" i="5"/>
  <c r="I51" i="5"/>
  <c r="H51" i="5"/>
  <c r="G51" i="5"/>
  <c r="F51" i="5"/>
  <c r="E51" i="5"/>
  <c r="D51" i="5"/>
  <c r="C51" i="5"/>
  <c r="B51" i="5"/>
  <c r="L50" i="5"/>
  <c r="K50" i="5"/>
  <c r="J50" i="5"/>
  <c r="I50" i="5"/>
  <c r="H50" i="5"/>
  <c r="G50" i="5"/>
  <c r="F50" i="5"/>
  <c r="E50" i="5"/>
  <c r="D50" i="5"/>
  <c r="C50" i="5"/>
  <c r="B50" i="5"/>
  <c r="L49" i="5"/>
  <c r="K49" i="5"/>
  <c r="J49" i="5"/>
  <c r="I49" i="5"/>
  <c r="H49" i="5"/>
  <c r="G49" i="5"/>
  <c r="F49" i="5"/>
  <c r="E49" i="5"/>
  <c r="D49" i="5"/>
  <c r="C49" i="5"/>
  <c r="B49" i="5"/>
  <c r="L48" i="5"/>
  <c r="K48" i="5"/>
  <c r="J48" i="5"/>
  <c r="I48" i="5"/>
  <c r="H48" i="5"/>
  <c r="G48" i="5"/>
  <c r="F48" i="5"/>
  <c r="E48" i="5"/>
  <c r="D48" i="5"/>
  <c r="C48" i="5"/>
  <c r="B48" i="5"/>
  <c r="L47" i="5"/>
  <c r="K47" i="5"/>
  <c r="J47" i="5"/>
  <c r="I47" i="5"/>
  <c r="H47" i="5"/>
  <c r="G47" i="5"/>
  <c r="F47" i="5"/>
  <c r="E47" i="5"/>
  <c r="D47" i="5"/>
  <c r="C47" i="5"/>
  <c r="B47" i="5"/>
  <c r="L46" i="5"/>
  <c r="K46" i="5"/>
  <c r="J46" i="5"/>
  <c r="I46" i="5"/>
  <c r="H46" i="5"/>
  <c r="G46" i="5"/>
  <c r="F46" i="5"/>
  <c r="E46" i="5"/>
  <c r="D46" i="5"/>
  <c r="C46" i="5"/>
  <c r="B46" i="5"/>
  <c r="L45" i="5"/>
  <c r="K45" i="5"/>
  <c r="J45" i="5"/>
  <c r="I45" i="5"/>
  <c r="H45" i="5"/>
  <c r="G45" i="5"/>
  <c r="F45" i="5"/>
  <c r="E45" i="5"/>
  <c r="D45" i="5"/>
  <c r="C45" i="5"/>
  <c r="B45" i="5"/>
  <c r="L44" i="5"/>
  <c r="K44" i="5"/>
  <c r="J44" i="5"/>
  <c r="I44" i="5"/>
  <c r="H44" i="5"/>
  <c r="G44" i="5"/>
  <c r="F44" i="5"/>
  <c r="E44" i="5"/>
  <c r="D44" i="5"/>
  <c r="C44" i="5"/>
  <c r="B44" i="5"/>
  <c r="L43" i="5"/>
  <c r="K43" i="5"/>
  <c r="J43" i="5"/>
  <c r="I43" i="5"/>
  <c r="H43" i="5"/>
  <c r="G43" i="5"/>
  <c r="F43" i="5"/>
  <c r="E43" i="5"/>
  <c r="D43" i="5"/>
  <c r="C43" i="5"/>
  <c r="B43" i="5"/>
  <c r="L42" i="5"/>
  <c r="K42" i="5"/>
  <c r="J42" i="5"/>
  <c r="I42" i="5"/>
  <c r="H42" i="5"/>
  <c r="G42" i="5"/>
  <c r="F42" i="5"/>
  <c r="E42" i="5"/>
  <c r="D42" i="5"/>
  <c r="C42" i="5"/>
  <c r="B42" i="5"/>
  <c r="L41" i="5"/>
  <c r="K41" i="5"/>
  <c r="J41" i="5"/>
  <c r="I41" i="5"/>
  <c r="H41" i="5"/>
  <c r="G41" i="5"/>
  <c r="F41" i="5"/>
  <c r="E41" i="5"/>
  <c r="D41" i="5"/>
  <c r="C41" i="5"/>
  <c r="B41" i="5"/>
  <c r="L40" i="5"/>
  <c r="K40" i="5"/>
  <c r="J40" i="5"/>
  <c r="I40" i="5"/>
  <c r="H40" i="5"/>
  <c r="G40" i="5"/>
  <c r="F40" i="5"/>
  <c r="E40" i="5"/>
  <c r="D40" i="5"/>
  <c r="C40" i="5"/>
  <c r="B40" i="5"/>
  <c r="L39" i="5"/>
  <c r="K39" i="5"/>
  <c r="J39" i="5"/>
  <c r="I39" i="5"/>
  <c r="H39" i="5"/>
  <c r="G39" i="5"/>
  <c r="F39" i="5"/>
  <c r="E39" i="5"/>
  <c r="D39" i="5"/>
  <c r="C39" i="5"/>
  <c r="B39" i="5"/>
  <c r="L38" i="5"/>
  <c r="K38" i="5"/>
  <c r="J38" i="5"/>
  <c r="I38" i="5"/>
  <c r="H38" i="5"/>
  <c r="G38" i="5"/>
  <c r="F38" i="5"/>
  <c r="E38" i="5"/>
  <c r="D38" i="5"/>
  <c r="C38" i="5"/>
  <c r="B38" i="5"/>
  <c r="L37" i="5"/>
  <c r="K37" i="5"/>
  <c r="J37" i="5"/>
  <c r="I37" i="5"/>
  <c r="H37" i="5"/>
  <c r="G37" i="5"/>
  <c r="F37" i="5"/>
  <c r="E37" i="5"/>
  <c r="D37" i="5"/>
  <c r="C37" i="5"/>
  <c r="B37" i="5"/>
  <c r="L36" i="5"/>
  <c r="K36" i="5"/>
  <c r="J36" i="5"/>
  <c r="I36" i="5"/>
  <c r="H36" i="5"/>
  <c r="G36" i="5"/>
  <c r="F36" i="5"/>
  <c r="E36" i="5"/>
  <c r="D36" i="5"/>
  <c r="C36" i="5"/>
  <c r="B36" i="5"/>
  <c r="L35" i="5"/>
  <c r="K35" i="5"/>
  <c r="J35" i="5"/>
  <c r="I35" i="5"/>
  <c r="H35" i="5"/>
  <c r="G35" i="5"/>
  <c r="F35" i="5"/>
  <c r="E35" i="5"/>
  <c r="D35" i="5"/>
  <c r="C35" i="5"/>
  <c r="B35" i="5"/>
  <c r="L34" i="5"/>
  <c r="K34" i="5"/>
  <c r="J34" i="5"/>
  <c r="I34" i="5"/>
  <c r="H34" i="5"/>
  <c r="G34" i="5"/>
  <c r="F34" i="5"/>
  <c r="E34" i="5"/>
  <c r="D34" i="5"/>
  <c r="C34" i="5"/>
  <c r="B34" i="5"/>
  <c r="L33" i="5"/>
  <c r="K33" i="5"/>
  <c r="J33" i="5"/>
  <c r="I33" i="5"/>
  <c r="H33" i="5"/>
  <c r="G33" i="5"/>
  <c r="F33" i="5"/>
  <c r="E33" i="5"/>
  <c r="D33" i="5"/>
  <c r="C33" i="5"/>
  <c r="B33" i="5"/>
  <c r="L32" i="5"/>
  <c r="K32" i="5"/>
  <c r="J32" i="5"/>
  <c r="I32" i="5"/>
  <c r="H32" i="5"/>
  <c r="G32" i="5"/>
  <c r="F32" i="5"/>
  <c r="E32" i="5"/>
  <c r="D32" i="5"/>
  <c r="C32" i="5"/>
  <c r="B32" i="5"/>
  <c r="L31" i="5"/>
  <c r="K31" i="5"/>
  <c r="J31" i="5"/>
  <c r="I31" i="5"/>
  <c r="H31" i="5"/>
  <c r="G31" i="5"/>
  <c r="F31" i="5"/>
  <c r="E31" i="5"/>
  <c r="D31" i="5"/>
  <c r="C31" i="5"/>
  <c r="B31" i="5"/>
  <c r="L30" i="5"/>
  <c r="K30" i="5"/>
  <c r="J30" i="5"/>
  <c r="I30" i="5"/>
  <c r="H30" i="5"/>
  <c r="G30" i="5"/>
  <c r="F30" i="5"/>
  <c r="E30" i="5"/>
  <c r="D30" i="5"/>
  <c r="C30" i="5"/>
  <c r="B30" i="5"/>
  <c r="L29" i="5"/>
  <c r="K29" i="5"/>
  <c r="J29" i="5"/>
  <c r="I29" i="5"/>
  <c r="H29" i="5"/>
  <c r="G29" i="5"/>
  <c r="F29" i="5"/>
  <c r="E29" i="5"/>
  <c r="D29" i="5"/>
  <c r="C29" i="5"/>
  <c r="B29" i="5"/>
  <c r="L28" i="5"/>
  <c r="K28" i="5"/>
  <c r="J28" i="5"/>
  <c r="I28" i="5"/>
  <c r="H28" i="5"/>
  <c r="G28" i="5"/>
  <c r="F28" i="5"/>
  <c r="E28" i="5"/>
  <c r="D28" i="5"/>
  <c r="C28" i="5"/>
  <c r="B28" i="5"/>
  <c r="L27" i="5"/>
  <c r="K27" i="5"/>
  <c r="J27" i="5"/>
  <c r="I27" i="5"/>
  <c r="H27" i="5"/>
  <c r="G27" i="5"/>
  <c r="F27" i="5"/>
  <c r="E27" i="5"/>
  <c r="D27" i="5"/>
  <c r="C27" i="5"/>
  <c r="B27" i="5"/>
  <c r="L26" i="5"/>
  <c r="K26" i="5"/>
  <c r="J26" i="5"/>
  <c r="I26" i="5"/>
  <c r="H26" i="5"/>
  <c r="G26" i="5"/>
  <c r="F26" i="5"/>
  <c r="E26" i="5"/>
  <c r="D26" i="5"/>
  <c r="C26" i="5"/>
  <c r="B26" i="5"/>
  <c r="L25" i="5"/>
  <c r="K25" i="5"/>
  <c r="J25" i="5"/>
  <c r="I25" i="5"/>
  <c r="H25" i="5"/>
  <c r="G25" i="5"/>
  <c r="F25" i="5"/>
  <c r="E25" i="5"/>
  <c r="D25" i="5"/>
  <c r="C25" i="5"/>
  <c r="B25" i="5"/>
  <c r="L24" i="5"/>
  <c r="K24" i="5"/>
  <c r="J24" i="5"/>
  <c r="I24" i="5"/>
  <c r="H24" i="5"/>
  <c r="G24" i="5"/>
  <c r="F24" i="5"/>
  <c r="E24" i="5"/>
  <c r="D24" i="5"/>
  <c r="C24" i="5"/>
  <c r="B24" i="5"/>
  <c r="K19" i="5"/>
  <c r="I19" i="5"/>
  <c r="I9" i="5"/>
  <c r="J6" i="5"/>
  <c r="F6" i="5"/>
  <c r="D6" i="5"/>
  <c r="B6" i="5"/>
  <c r="A2" i="5"/>
  <c r="H60" i="4"/>
  <c r="H59" i="4"/>
  <c r="H58" i="4"/>
  <c r="H57" i="4"/>
  <c r="L53" i="4"/>
  <c r="K53" i="4"/>
  <c r="J53" i="4"/>
  <c r="I53" i="4"/>
  <c r="H53" i="4"/>
  <c r="G53" i="4"/>
  <c r="F53" i="4"/>
  <c r="E53" i="4"/>
  <c r="D53" i="4"/>
  <c r="C53" i="4"/>
  <c r="B53" i="4"/>
  <c r="L52" i="4"/>
  <c r="K52" i="4"/>
  <c r="J52" i="4"/>
  <c r="I52" i="4"/>
  <c r="H52" i="4"/>
  <c r="G52" i="4"/>
  <c r="F52" i="4"/>
  <c r="E52" i="4"/>
  <c r="D52" i="4"/>
  <c r="C52" i="4"/>
  <c r="B52" i="4"/>
  <c r="L51" i="4"/>
  <c r="K51" i="4"/>
  <c r="J51" i="4"/>
  <c r="I51" i="4"/>
  <c r="H51" i="4"/>
  <c r="G51" i="4"/>
  <c r="F51" i="4"/>
  <c r="E51" i="4"/>
  <c r="D51" i="4"/>
  <c r="C51" i="4"/>
  <c r="B51" i="4"/>
  <c r="L50" i="4"/>
  <c r="K50" i="4"/>
  <c r="J50" i="4"/>
  <c r="I50" i="4"/>
  <c r="H50" i="4"/>
  <c r="G50" i="4"/>
  <c r="F50" i="4"/>
  <c r="E50" i="4"/>
  <c r="D50" i="4"/>
  <c r="C50" i="4"/>
  <c r="B50" i="4"/>
  <c r="L49" i="4"/>
  <c r="K49" i="4"/>
  <c r="J49" i="4"/>
  <c r="I49" i="4"/>
  <c r="H49" i="4"/>
  <c r="G49" i="4"/>
  <c r="F49" i="4"/>
  <c r="E49" i="4"/>
  <c r="D49" i="4"/>
  <c r="C49" i="4"/>
  <c r="B49" i="4"/>
  <c r="L48" i="4"/>
  <c r="K48" i="4"/>
  <c r="J48" i="4"/>
  <c r="I48" i="4"/>
  <c r="H48" i="4"/>
  <c r="G48" i="4"/>
  <c r="F48" i="4"/>
  <c r="E48" i="4"/>
  <c r="D48" i="4"/>
  <c r="C48" i="4"/>
  <c r="B48" i="4"/>
  <c r="L47" i="4"/>
  <c r="K47" i="4"/>
  <c r="J47" i="4"/>
  <c r="I47" i="4"/>
  <c r="H47" i="4"/>
  <c r="G47" i="4"/>
  <c r="F47" i="4"/>
  <c r="E47" i="4"/>
  <c r="D47" i="4"/>
  <c r="C47" i="4"/>
  <c r="B47" i="4"/>
  <c r="L46" i="4"/>
  <c r="K46" i="4"/>
  <c r="J46" i="4"/>
  <c r="I46" i="4"/>
  <c r="H46" i="4"/>
  <c r="G46" i="4"/>
  <c r="F46" i="4"/>
  <c r="E46" i="4"/>
  <c r="D46" i="4"/>
  <c r="C46" i="4"/>
  <c r="B46" i="4"/>
  <c r="L45" i="4"/>
  <c r="K45" i="4"/>
  <c r="J45" i="4"/>
  <c r="I45" i="4"/>
  <c r="H45" i="4"/>
  <c r="G45" i="4"/>
  <c r="F45" i="4"/>
  <c r="E45" i="4"/>
  <c r="D45" i="4"/>
  <c r="C45" i="4"/>
  <c r="B45" i="4"/>
  <c r="L44" i="4"/>
  <c r="K44" i="4"/>
  <c r="J44" i="4"/>
  <c r="I44" i="4"/>
  <c r="H44" i="4"/>
  <c r="G44" i="4"/>
  <c r="F44" i="4"/>
  <c r="E44" i="4"/>
  <c r="D44" i="4"/>
  <c r="C44" i="4"/>
  <c r="B44" i="4"/>
  <c r="L43" i="4"/>
  <c r="K43" i="4"/>
  <c r="J43" i="4"/>
  <c r="I43" i="4"/>
  <c r="H43" i="4"/>
  <c r="G43" i="4"/>
  <c r="F43" i="4"/>
  <c r="E43" i="4"/>
  <c r="D43" i="4"/>
  <c r="C43" i="4"/>
  <c r="B43" i="4"/>
  <c r="L42" i="4"/>
  <c r="K42" i="4"/>
  <c r="J42" i="4"/>
  <c r="I42" i="4"/>
  <c r="H42" i="4"/>
  <c r="G42" i="4"/>
  <c r="F42" i="4"/>
  <c r="E42" i="4"/>
  <c r="D42" i="4"/>
  <c r="C42" i="4"/>
  <c r="B42" i="4"/>
  <c r="L41" i="4"/>
  <c r="K41" i="4"/>
  <c r="J41" i="4"/>
  <c r="I41" i="4"/>
  <c r="H41" i="4"/>
  <c r="G41" i="4"/>
  <c r="F41" i="4"/>
  <c r="E41" i="4"/>
  <c r="D41" i="4"/>
  <c r="C41" i="4"/>
  <c r="B41" i="4"/>
  <c r="L40" i="4"/>
  <c r="K40" i="4"/>
  <c r="J40" i="4"/>
  <c r="I40" i="4"/>
  <c r="H40" i="4"/>
  <c r="G40" i="4"/>
  <c r="F40" i="4"/>
  <c r="E40" i="4"/>
  <c r="D40" i="4"/>
  <c r="C40" i="4"/>
  <c r="B40" i="4"/>
  <c r="L39" i="4"/>
  <c r="K39" i="4"/>
  <c r="J39" i="4"/>
  <c r="I39" i="4"/>
  <c r="H39" i="4"/>
  <c r="G39" i="4"/>
  <c r="F39" i="4"/>
  <c r="E39" i="4"/>
  <c r="D39" i="4"/>
  <c r="C39" i="4"/>
  <c r="B39" i="4"/>
  <c r="L38" i="4"/>
  <c r="K38" i="4"/>
  <c r="J38" i="4"/>
  <c r="I38" i="4"/>
  <c r="H38" i="4"/>
  <c r="G38" i="4"/>
  <c r="F38" i="4"/>
  <c r="E38" i="4"/>
  <c r="D38" i="4"/>
  <c r="C38" i="4"/>
  <c r="B38" i="4"/>
  <c r="L37" i="4"/>
  <c r="K37" i="4"/>
  <c r="J37" i="4"/>
  <c r="I37" i="4"/>
  <c r="H37" i="4"/>
  <c r="G37" i="4"/>
  <c r="F37" i="4"/>
  <c r="E37" i="4"/>
  <c r="D37" i="4"/>
  <c r="C37" i="4"/>
  <c r="B37" i="4"/>
  <c r="L36" i="4"/>
  <c r="K36" i="4"/>
  <c r="J36" i="4"/>
  <c r="I36" i="4"/>
  <c r="H36" i="4"/>
  <c r="G36" i="4"/>
  <c r="F36" i="4"/>
  <c r="E36" i="4"/>
  <c r="D36" i="4"/>
  <c r="C36" i="4"/>
  <c r="B36" i="4"/>
  <c r="L35" i="4"/>
  <c r="K35" i="4"/>
  <c r="J35" i="4"/>
  <c r="I35" i="4"/>
  <c r="H35" i="4"/>
  <c r="G35" i="4"/>
  <c r="F35" i="4"/>
  <c r="E35" i="4"/>
  <c r="D35" i="4"/>
  <c r="C35" i="4"/>
  <c r="B35" i="4"/>
  <c r="L34" i="4"/>
  <c r="K34" i="4"/>
  <c r="J34" i="4"/>
  <c r="I34" i="4"/>
  <c r="H34" i="4"/>
  <c r="G34" i="4"/>
  <c r="F34" i="4"/>
  <c r="E34" i="4"/>
  <c r="D34" i="4"/>
  <c r="C34" i="4"/>
  <c r="B34" i="4"/>
  <c r="L33" i="4"/>
  <c r="K33" i="4"/>
  <c r="J33" i="4"/>
  <c r="I33" i="4"/>
  <c r="H33" i="4"/>
  <c r="G33" i="4"/>
  <c r="F33" i="4"/>
  <c r="E33" i="4"/>
  <c r="D33" i="4"/>
  <c r="C33" i="4"/>
  <c r="B33" i="4"/>
  <c r="L32" i="4"/>
  <c r="K32" i="4"/>
  <c r="J32" i="4"/>
  <c r="I32" i="4"/>
  <c r="H32" i="4"/>
  <c r="G32" i="4"/>
  <c r="F32" i="4"/>
  <c r="E32" i="4"/>
  <c r="D32" i="4"/>
  <c r="C32" i="4"/>
  <c r="B32" i="4"/>
  <c r="L31" i="4"/>
  <c r="K31" i="4"/>
  <c r="J31" i="4"/>
  <c r="I31" i="4"/>
  <c r="H31" i="4"/>
  <c r="G31" i="4"/>
  <c r="F31" i="4"/>
  <c r="E31" i="4"/>
  <c r="D31" i="4"/>
  <c r="C31" i="4"/>
  <c r="B31" i="4"/>
  <c r="L30" i="4"/>
  <c r="K30" i="4"/>
  <c r="J30" i="4"/>
  <c r="I30" i="4"/>
  <c r="H30" i="4"/>
  <c r="G30" i="4"/>
  <c r="F30" i="4"/>
  <c r="E30" i="4"/>
  <c r="D30" i="4"/>
  <c r="C30" i="4"/>
  <c r="B30" i="4"/>
  <c r="L29" i="4"/>
  <c r="K29" i="4"/>
  <c r="J29" i="4"/>
  <c r="I29" i="4"/>
  <c r="H29" i="4"/>
  <c r="G29" i="4"/>
  <c r="F29" i="4"/>
  <c r="E29" i="4"/>
  <c r="D29" i="4"/>
  <c r="C29" i="4"/>
  <c r="B29" i="4"/>
  <c r="L28" i="4"/>
  <c r="K28" i="4"/>
  <c r="J28" i="4"/>
  <c r="I28" i="4"/>
  <c r="H28" i="4"/>
  <c r="G28" i="4"/>
  <c r="F28" i="4"/>
  <c r="E28" i="4"/>
  <c r="D28" i="4"/>
  <c r="C28" i="4"/>
  <c r="B28" i="4"/>
  <c r="L27" i="4"/>
  <c r="K27" i="4"/>
  <c r="J27" i="4"/>
  <c r="I27" i="4"/>
  <c r="H27" i="4"/>
  <c r="G27" i="4"/>
  <c r="F27" i="4"/>
  <c r="E27" i="4"/>
  <c r="D27" i="4"/>
  <c r="C27" i="4"/>
  <c r="B27" i="4"/>
  <c r="L26" i="4"/>
  <c r="K26" i="4"/>
  <c r="J26" i="4"/>
  <c r="I26" i="4"/>
  <c r="H26" i="4"/>
  <c r="G26" i="4"/>
  <c r="F26" i="4"/>
  <c r="E26" i="4"/>
  <c r="D26" i="4"/>
  <c r="C26" i="4"/>
  <c r="B26" i="4"/>
  <c r="L25" i="4"/>
  <c r="K25" i="4"/>
  <c r="J25" i="4"/>
  <c r="I25" i="4"/>
  <c r="H25" i="4"/>
  <c r="G25" i="4"/>
  <c r="F25" i="4"/>
  <c r="E25" i="4"/>
  <c r="D25" i="4"/>
  <c r="C25" i="4"/>
  <c r="B25" i="4"/>
  <c r="L24" i="4"/>
  <c r="K24" i="4"/>
  <c r="J24" i="4"/>
  <c r="I24" i="4"/>
  <c r="H24" i="4"/>
  <c r="G24" i="4"/>
  <c r="F24" i="4"/>
  <c r="E24" i="4"/>
  <c r="D24" i="4"/>
  <c r="C24" i="4"/>
  <c r="B24" i="4"/>
  <c r="I19" i="4"/>
  <c r="K19" i="4" s="1"/>
  <c r="I9" i="4"/>
  <c r="J6" i="4"/>
  <c r="F6" i="4"/>
  <c r="D6" i="4"/>
  <c r="A2" i="4"/>
  <c r="G43" i="2"/>
  <c r="E43" i="2"/>
  <c r="D43" i="2"/>
  <c r="C43" i="2"/>
  <c r="G42" i="2"/>
  <c r="E42" i="2"/>
  <c r="D42" i="2"/>
  <c r="C42" i="2"/>
  <c r="G41" i="2"/>
  <c r="E41" i="2"/>
  <c r="D41" i="2"/>
  <c r="C41" i="2"/>
  <c r="G40" i="2"/>
  <c r="E40" i="2"/>
  <c r="D40" i="2"/>
  <c r="C40" i="2"/>
  <c r="G39" i="2"/>
  <c r="E39" i="2"/>
  <c r="D39" i="2"/>
  <c r="C39" i="2"/>
  <c r="G38" i="2"/>
  <c r="E38" i="2"/>
  <c r="D38" i="2"/>
  <c r="C38" i="2"/>
  <c r="G37" i="2"/>
  <c r="E37" i="2"/>
  <c r="D37" i="2"/>
  <c r="F37" i="2" s="1"/>
  <c r="C37" i="2"/>
  <c r="G36" i="2"/>
  <c r="E36" i="2"/>
  <c r="D36" i="2"/>
  <c r="C36" i="2"/>
  <c r="F36" i="2" s="1"/>
  <c r="G35" i="2"/>
  <c r="E35" i="2"/>
  <c r="D35" i="2"/>
  <c r="C35" i="2"/>
  <c r="G34" i="2"/>
  <c r="E34" i="2"/>
  <c r="D34" i="2"/>
  <c r="C34" i="2"/>
  <c r="G33" i="2"/>
  <c r="E33" i="2"/>
  <c r="D33" i="2"/>
  <c r="C33" i="2"/>
  <c r="G32" i="2"/>
  <c r="E32" i="2"/>
  <c r="F32" i="2" s="1"/>
  <c r="D32" i="2"/>
  <c r="C32" i="2"/>
  <c r="G27" i="2"/>
  <c r="E27" i="2"/>
  <c r="D27" i="2"/>
  <c r="C27" i="2"/>
  <c r="F27" i="2" s="1"/>
  <c r="G26" i="2"/>
  <c r="E26" i="2"/>
  <c r="D26" i="2"/>
  <c r="C26" i="2"/>
  <c r="G25" i="2"/>
  <c r="E25" i="2"/>
  <c r="D25" i="2"/>
  <c r="C25" i="2"/>
  <c r="G24" i="2"/>
  <c r="E24" i="2"/>
  <c r="D24" i="2"/>
  <c r="C24" i="2"/>
  <c r="I16" i="2"/>
  <c r="F16" i="2"/>
  <c r="C16" i="2"/>
  <c r="J15" i="2"/>
  <c r="I57" i="1" s="1"/>
  <c r="G15" i="2"/>
  <c r="H15" i="2" s="1"/>
  <c r="D15" i="2"/>
  <c r="E15" i="2" s="1"/>
  <c r="D57" i="1" s="1"/>
  <c r="J14" i="2"/>
  <c r="G14" i="2"/>
  <c r="H14" i="2" s="1"/>
  <c r="D14" i="2"/>
  <c r="E14" i="2" s="1"/>
  <c r="D56" i="1" s="1"/>
  <c r="J13" i="2"/>
  <c r="I55" i="1" s="1"/>
  <c r="G13" i="2"/>
  <c r="H13" i="2" s="1"/>
  <c r="G55" i="1" s="1"/>
  <c r="D13" i="2"/>
  <c r="E13" i="2" s="1"/>
  <c r="J12" i="2"/>
  <c r="I54" i="1" s="1"/>
  <c r="G12" i="2"/>
  <c r="H12" i="2" s="1"/>
  <c r="G54" i="1" s="1"/>
  <c r="D12" i="2"/>
  <c r="E12" i="2" s="1"/>
  <c r="J11" i="2"/>
  <c r="G11" i="2"/>
  <c r="H11" i="2" s="1"/>
  <c r="G53" i="1" s="1"/>
  <c r="D11" i="2"/>
  <c r="E11" i="2" s="1"/>
  <c r="J10" i="2"/>
  <c r="I52" i="1" s="1"/>
  <c r="G10" i="2"/>
  <c r="H10" i="2" s="1"/>
  <c r="D10" i="2"/>
  <c r="E10" i="2" s="1"/>
  <c r="D52" i="1" s="1"/>
  <c r="J9" i="2"/>
  <c r="I51" i="1" s="1"/>
  <c r="G9" i="2"/>
  <c r="H9" i="2" s="1"/>
  <c r="G51" i="1" s="1"/>
  <c r="D9" i="2"/>
  <c r="E9" i="2" s="1"/>
  <c r="J8" i="2"/>
  <c r="I50" i="1" s="1"/>
  <c r="G8" i="2"/>
  <c r="H8" i="2" s="1"/>
  <c r="G50" i="1" s="1"/>
  <c r="E8" i="2"/>
  <c r="D8" i="2"/>
  <c r="J7" i="2"/>
  <c r="I49" i="1" s="1"/>
  <c r="G7" i="2"/>
  <c r="H7" i="2" s="1"/>
  <c r="D7" i="2"/>
  <c r="C49" i="1" s="1"/>
  <c r="J6" i="2"/>
  <c r="G6" i="2"/>
  <c r="H6" i="2" s="1"/>
  <c r="D6" i="2"/>
  <c r="C48" i="1" s="1"/>
  <c r="B2" i="2"/>
  <c r="H57" i="1"/>
  <c r="F57" i="1"/>
  <c r="E57" i="1"/>
  <c r="B57" i="1"/>
  <c r="I56" i="1"/>
  <c r="H56" i="1"/>
  <c r="E56" i="1"/>
  <c r="C56" i="1"/>
  <c r="B56" i="1"/>
  <c r="H55" i="1"/>
  <c r="E55" i="1"/>
  <c r="B55" i="1"/>
  <c r="H54" i="1"/>
  <c r="F54" i="1"/>
  <c r="E54" i="1"/>
  <c r="B54" i="1"/>
  <c r="I53" i="1"/>
  <c r="H53" i="1"/>
  <c r="F53" i="1"/>
  <c r="E53" i="1"/>
  <c r="B53" i="1"/>
  <c r="H52" i="1"/>
  <c r="E52" i="1"/>
  <c r="B52" i="1"/>
  <c r="H51" i="1"/>
  <c r="E51" i="1"/>
  <c r="C51" i="1"/>
  <c r="B51" i="1"/>
  <c r="H50" i="1"/>
  <c r="E50" i="1"/>
  <c r="C50" i="1"/>
  <c r="B50" i="1"/>
  <c r="H49" i="1"/>
  <c r="E49" i="1"/>
  <c r="B49" i="1"/>
  <c r="I48" i="1"/>
  <c r="H48" i="1"/>
  <c r="E48" i="1"/>
  <c r="B48" i="1"/>
  <c r="I44" i="1"/>
  <c r="G44" i="1"/>
  <c r="F44" i="1"/>
  <c r="E44" i="1"/>
  <c r="D44" i="1"/>
  <c r="C44" i="1"/>
  <c r="H44" i="1" s="1"/>
  <c r="B44" i="1"/>
  <c r="I43" i="1"/>
  <c r="G43" i="1"/>
  <c r="F43" i="1"/>
  <c r="E43" i="1"/>
  <c r="D43" i="1"/>
  <c r="C43" i="1"/>
  <c r="H43" i="1" s="1"/>
  <c r="B43" i="1"/>
  <c r="I42" i="1"/>
  <c r="G42" i="1"/>
  <c r="F42" i="1"/>
  <c r="E42" i="1"/>
  <c r="D42" i="1"/>
  <c r="C42" i="1"/>
  <c r="H42" i="1" s="1"/>
  <c r="B42" i="1"/>
  <c r="I41" i="1"/>
  <c r="G41" i="1"/>
  <c r="F41" i="1"/>
  <c r="E41" i="1"/>
  <c r="D41" i="1"/>
  <c r="C41" i="1"/>
  <c r="H41" i="1" s="1"/>
  <c r="B41" i="1"/>
  <c r="I40" i="1"/>
  <c r="G40" i="1"/>
  <c r="F40" i="1"/>
  <c r="E40" i="1"/>
  <c r="D40" i="1"/>
  <c r="C40" i="1"/>
  <c r="H40" i="1" s="1"/>
  <c r="B40" i="1"/>
  <c r="I39" i="1"/>
  <c r="G39" i="1"/>
  <c r="F39" i="1"/>
  <c r="E39" i="1"/>
  <c r="D39" i="1"/>
  <c r="C39" i="1"/>
  <c r="H39" i="1" s="1"/>
  <c r="B39" i="1"/>
  <c r="I38" i="1"/>
  <c r="G38" i="1"/>
  <c r="F38" i="1"/>
  <c r="E38" i="1"/>
  <c r="D38" i="1"/>
  <c r="C38" i="1"/>
  <c r="H38" i="1" s="1"/>
  <c r="B38" i="1"/>
  <c r="I37" i="1"/>
  <c r="G37" i="1"/>
  <c r="F37" i="1"/>
  <c r="E37" i="1"/>
  <c r="D37" i="1"/>
  <c r="C37" i="1"/>
  <c r="H37" i="1" s="1"/>
  <c r="B37" i="1"/>
  <c r="I36" i="1"/>
  <c r="G36" i="1"/>
  <c r="F36" i="1"/>
  <c r="E36" i="1"/>
  <c r="D36" i="1"/>
  <c r="C36" i="1"/>
  <c r="H36" i="1" s="1"/>
  <c r="B36" i="1"/>
  <c r="I35" i="1"/>
  <c r="G35" i="1"/>
  <c r="F35" i="1"/>
  <c r="E35" i="1"/>
  <c r="D35" i="1"/>
  <c r="C35" i="1"/>
  <c r="H35" i="1" s="1"/>
  <c r="B35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J19" i="1"/>
  <c r="I19" i="1"/>
  <c r="H19" i="1"/>
  <c r="G19" i="1"/>
  <c r="F19" i="1"/>
  <c r="E19" i="1"/>
  <c r="D19" i="1"/>
  <c r="C19" i="1"/>
  <c r="B19" i="1"/>
  <c r="J18" i="1"/>
  <c r="I18" i="1"/>
  <c r="H18" i="1"/>
  <c r="G18" i="1"/>
  <c r="F18" i="1"/>
  <c r="E18" i="1"/>
  <c r="D18" i="1"/>
  <c r="C18" i="1"/>
  <c r="B18" i="1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15" i="1"/>
  <c r="I15" i="1"/>
  <c r="H15" i="1"/>
  <c r="G15" i="1"/>
  <c r="F15" i="1"/>
  <c r="E15" i="1"/>
  <c r="D15" i="1"/>
  <c r="C15" i="1"/>
  <c r="B15" i="1"/>
  <c r="J14" i="1"/>
  <c r="I14" i="1"/>
  <c r="H14" i="1"/>
  <c r="G14" i="1"/>
  <c r="F14" i="1"/>
  <c r="E14" i="1"/>
  <c r="D14" i="1"/>
  <c r="C14" i="1"/>
  <c r="B14" i="1"/>
  <c r="J13" i="1"/>
  <c r="I13" i="1"/>
  <c r="H13" i="1"/>
  <c r="G13" i="1"/>
  <c r="F13" i="1"/>
  <c r="E13" i="1"/>
  <c r="D13" i="1"/>
  <c r="C13" i="1"/>
  <c r="B13" i="1"/>
  <c r="J12" i="1"/>
  <c r="I12" i="1"/>
  <c r="H12" i="1"/>
  <c r="G12" i="1"/>
  <c r="F12" i="1"/>
  <c r="E12" i="1"/>
  <c r="D12" i="1"/>
  <c r="C12" i="1"/>
  <c r="B12" i="1"/>
  <c r="J11" i="1"/>
  <c r="I11" i="1"/>
  <c r="H11" i="1"/>
  <c r="G11" i="1"/>
  <c r="F11" i="1"/>
  <c r="E11" i="1"/>
  <c r="D11" i="1"/>
  <c r="J6" i="1"/>
  <c r="H6" i="1"/>
  <c r="F6" i="1"/>
  <c r="D6" i="1"/>
  <c r="B6" i="1"/>
  <c r="H60" i="3"/>
  <c r="H59" i="3"/>
  <c r="H58" i="3"/>
  <c r="H57" i="3"/>
  <c r="L53" i="3"/>
  <c r="K53" i="3"/>
  <c r="J53" i="3"/>
  <c r="I53" i="3"/>
  <c r="H53" i="3"/>
  <c r="G53" i="3"/>
  <c r="F53" i="3"/>
  <c r="E53" i="3"/>
  <c r="D53" i="3"/>
  <c r="C53" i="3"/>
  <c r="B53" i="3"/>
  <c r="L52" i="3"/>
  <c r="K52" i="3"/>
  <c r="J52" i="3"/>
  <c r="I52" i="3"/>
  <c r="H52" i="3"/>
  <c r="G52" i="3"/>
  <c r="F52" i="3"/>
  <c r="E52" i="3"/>
  <c r="D52" i="3"/>
  <c r="C52" i="3"/>
  <c r="B52" i="3"/>
  <c r="L51" i="3"/>
  <c r="K51" i="3"/>
  <c r="J51" i="3"/>
  <c r="I51" i="3"/>
  <c r="H51" i="3"/>
  <c r="G51" i="3"/>
  <c r="F51" i="3"/>
  <c r="E51" i="3"/>
  <c r="D51" i="3"/>
  <c r="C51" i="3"/>
  <c r="B51" i="3"/>
  <c r="L50" i="3"/>
  <c r="K50" i="3"/>
  <c r="J50" i="3"/>
  <c r="I50" i="3"/>
  <c r="H50" i="3"/>
  <c r="G50" i="3"/>
  <c r="F50" i="3"/>
  <c r="E50" i="3"/>
  <c r="D50" i="3"/>
  <c r="C50" i="3"/>
  <c r="B50" i="3"/>
  <c r="L49" i="3"/>
  <c r="K49" i="3"/>
  <c r="J49" i="3"/>
  <c r="I49" i="3"/>
  <c r="H49" i="3"/>
  <c r="G49" i="3"/>
  <c r="F49" i="3"/>
  <c r="E49" i="3"/>
  <c r="D49" i="3"/>
  <c r="C49" i="3"/>
  <c r="B49" i="3"/>
  <c r="L48" i="3"/>
  <c r="K48" i="3"/>
  <c r="J48" i="3"/>
  <c r="I48" i="3"/>
  <c r="H48" i="3"/>
  <c r="G48" i="3"/>
  <c r="F48" i="3"/>
  <c r="E48" i="3"/>
  <c r="D48" i="3"/>
  <c r="C48" i="3"/>
  <c r="B48" i="3"/>
  <c r="L47" i="3"/>
  <c r="K47" i="3"/>
  <c r="J47" i="3"/>
  <c r="I47" i="3"/>
  <c r="H47" i="3"/>
  <c r="G47" i="3"/>
  <c r="F47" i="3"/>
  <c r="E47" i="3"/>
  <c r="D47" i="3"/>
  <c r="C47" i="3"/>
  <c r="B47" i="3"/>
  <c r="L46" i="3"/>
  <c r="K46" i="3"/>
  <c r="J46" i="3"/>
  <c r="I46" i="3"/>
  <c r="H46" i="3"/>
  <c r="G46" i="3"/>
  <c r="F46" i="3"/>
  <c r="E46" i="3"/>
  <c r="D46" i="3"/>
  <c r="C46" i="3"/>
  <c r="B46" i="3"/>
  <c r="L45" i="3"/>
  <c r="K45" i="3"/>
  <c r="J45" i="3"/>
  <c r="I45" i="3"/>
  <c r="H45" i="3"/>
  <c r="G45" i="3"/>
  <c r="F45" i="3"/>
  <c r="E45" i="3"/>
  <c r="D45" i="3"/>
  <c r="C45" i="3"/>
  <c r="B45" i="3"/>
  <c r="L44" i="3"/>
  <c r="K44" i="3"/>
  <c r="J44" i="3"/>
  <c r="I44" i="3"/>
  <c r="H44" i="3"/>
  <c r="G44" i="3"/>
  <c r="F44" i="3"/>
  <c r="E44" i="3"/>
  <c r="D44" i="3"/>
  <c r="C44" i="3"/>
  <c r="B44" i="3"/>
  <c r="L43" i="3"/>
  <c r="K43" i="3"/>
  <c r="J43" i="3"/>
  <c r="I43" i="3"/>
  <c r="H43" i="3"/>
  <c r="G43" i="3"/>
  <c r="F43" i="3"/>
  <c r="E43" i="3"/>
  <c r="D43" i="3"/>
  <c r="C43" i="3"/>
  <c r="B43" i="3"/>
  <c r="L42" i="3"/>
  <c r="K42" i="3"/>
  <c r="J42" i="3"/>
  <c r="I42" i="3"/>
  <c r="H42" i="3"/>
  <c r="G42" i="3"/>
  <c r="F42" i="3"/>
  <c r="E42" i="3"/>
  <c r="D42" i="3"/>
  <c r="C42" i="3"/>
  <c r="B42" i="3"/>
  <c r="L41" i="3"/>
  <c r="K41" i="3"/>
  <c r="J41" i="3"/>
  <c r="I41" i="3"/>
  <c r="H41" i="3"/>
  <c r="G41" i="3"/>
  <c r="F41" i="3"/>
  <c r="E41" i="3"/>
  <c r="D41" i="3"/>
  <c r="C41" i="3"/>
  <c r="B41" i="3"/>
  <c r="L40" i="3"/>
  <c r="K40" i="3"/>
  <c r="J40" i="3"/>
  <c r="I40" i="3"/>
  <c r="H40" i="3"/>
  <c r="G40" i="3"/>
  <c r="F40" i="3"/>
  <c r="E40" i="3"/>
  <c r="D40" i="3"/>
  <c r="C40" i="3"/>
  <c r="B40" i="3"/>
  <c r="L39" i="3"/>
  <c r="K39" i="3"/>
  <c r="J39" i="3"/>
  <c r="I39" i="3"/>
  <c r="H39" i="3"/>
  <c r="G39" i="3"/>
  <c r="F39" i="3"/>
  <c r="E39" i="3"/>
  <c r="D39" i="3"/>
  <c r="C39" i="3"/>
  <c r="B39" i="3"/>
  <c r="L38" i="3"/>
  <c r="K38" i="3"/>
  <c r="J38" i="3"/>
  <c r="I38" i="3"/>
  <c r="H38" i="3"/>
  <c r="G38" i="3"/>
  <c r="F38" i="3"/>
  <c r="E38" i="3"/>
  <c r="D38" i="3"/>
  <c r="C38" i="3"/>
  <c r="B38" i="3"/>
  <c r="L37" i="3"/>
  <c r="K37" i="3"/>
  <c r="J37" i="3"/>
  <c r="I37" i="3"/>
  <c r="H37" i="3"/>
  <c r="G37" i="3"/>
  <c r="F37" i="3"/>
  <c r="E37" i="3"/>
  <c r="D37" i="3"/>
  <c r="C37" i="3"/>
  <c r="B37" i="3"/>
  <c r="L36" i="3"/>
  <c r="K36" i="3"/>
  <c r="J36" i="3"/>
  <c r="I36" i="3"/>
  <c r="H36" i="3"/>
  <c r="G36" i="3"/>
  <c r="F36" i="3"/>
  <c r="E36" i="3"/>
  <c r="D36" i="3"/>
  <c r="C36" i="3"/>
  <c r="B36" i="3"/>
  <c r="L35" i="3"/>
  <c r="K35" i="3"/>
  <c r="J35" i="3"/>
  <c r="I35" i="3"/>
  <c r="H35" i="3"/>
  <c r="G35" i="3"/>
  <c r="F35" i="3"/>
  <c r="E35" i="3"/>
  <c r="D35" i="3"/>
  <c r="C35" i="3"/>
  <c r="B35" i="3"/>
  <c r="L34" i="3"/>
  <c r="K34" i="3"/>
  <c r="J34" i="3"/>
  <c r="I34" i="3"/>
  <c r="H34" i="3"/>
  <c r="G34" i="3"/>
  <c r="F34" i="3"/>
  <c r="E34" i="3"/>
  <c r="D34" i="3"/>
  <c r="C34" i="3"/>
  <c r="B34" i="3"/>
  <c r="L33" i="3"/>
  <c r="K33" i="3"/>
  <c r="J33" i="3"/>
  <c r="I33" i="3"/>
  <c r="H33" i="3"/>
  <c r="G33" i="3"/>
  <c r="F33" i="3"/>
  <c r="E33" i="3"/>
  <c r="D33" i="3"/>
  <c r="C33" i="3"/>
  <c r="B33" i="3"/>
  <c r="L32" i="3"/>
  <c r="K32" i="3"/>
  <c r="J32" i="3"/>
  <c r="I32" i="3"/>
  <c r="H32" i="3"/>
  <c r="G32" i="3"/>
  <c r="F32" i="3"/>
  <c r="E32" i="3"/>
  <c r="D32" i="3"/>
  <c r="C32" i="3"/>
  <c r="B32" i="3"/>
  <c r="L31" i="3"/>
  <c r="K31" i="3"/>
  <c r="J31" i="3"/>
  <c r="I31" i="3"/>
  <c r="H31" i="3"/>
  <c r="G31" i="3"/>
  <c r="F31" i="3"/>
  <c r="E31" i="3"/>
  <c r="D31" i="3"/>
  <c r="C31" i="3"/>
  <c r="B31" i="3"/>
  <c r="L30" i="3"/>
  <c r="K30" i="3"/>
  <c r="J30" i="3"/>
  <c r="I30" i="3"/>
  <c r="H30" i="3"/>
  <c r="G30" i="3"/>
  <c r="F30" i="3"/>
  <c r="E30" i="3"/>
  <c r="D30" i="3"/>
  <c r="C30" i="3"/>
  <c r="B30" i="3"/>
  <c r="L29" i="3"/>
  <c r="K29" i="3"/>
  <c r="J29" i="3"/>
  <c r="I29" i="3"/>
  <c r="H29" i="3"/>
  <c r="G29" i="3"/>
  <c r="F29" i="3"/>
  <c r="E29" i="3"/>
  <c r="D29" i="3"/>
  <c r="C29" i="3"/>
  <c r="B29" i="3"/>
  <c r="L28" i="3"/>
  <c r="K28" i="3"/>
  <c r="J28" i="3"/>
  <c r="I28" i="3"/>
  <c r="H28" i="3"/>
  <c r="G28" i="3"/>
  <c r="F28" i="3"/>
  <c r="E28" i="3"/>
  <c r="D28" i="3"/>
  <c r="C28" i="3"/>
  <c r="B28" i="3"/>
  <c r="L27" i="3"/>
  <c r="K27" i="3"/>
  <c r="J27" i="3"/>
  <c r="I27" i="3"/>
  <c r="H27" i="3"/>
  <c r="G27" i="3"/>
  <c r="F27" i="3"/>
  <c r="E27" i="3"/>
  <c r="D27" i="3"/>
  <c r="C27" i="3"/>
  <c r="B27" i="3"/>
  <c r="L26" i="3"/>
  <c r="K26" i="3"/>
  <c r="J26" i="3"/>
  <c r="I26" i="3"/>
  <c r="H26" i="3"/>
  <c r="G26" i="3"/>
  <c r="F26" i="3"/>
  <c r="E26" i="3"/>
  <c r="D26" i="3"/>
  <c r="C26" i="3"/>
  <c r="B26" i="3"/>
  <c r="L25" i="3"/>
  <c r="K25" i="3"/>
  <c r="J25" i="3"/>
  <c r="I25" i="3"/>
  <c r="H25" i="3"/>
  <c r="G25" i="3"/>
  <c r="F25" i="3"/>
  <c r="E25" i="3"/>
  <c r="D25" i="3"/>
  <c r="C25" i="3"/>
  <c r="B25" i="3"/>
  <c r="L24" i="3"/>
  <c r="K24" i="3"/>
  <c r="J24" i="3"/>
  <c r="I24" i="3"/>
  <c r="H24" i="3"/>
  <c r="G24" i="3"/>
  <c r="F24" i="3"/>
  <c r="E24" i="3"/>
  <c r="D24" i="3"/>
  <c r="C24" i="3"/>
  <c r="B24" i="3"/>
  <c r="I19" i="3"/>
  <c r="K19" i="3" s="1"/>
  <c r="I9" i="3"/>
  <c r="J6" i="3"/>
  <c r="F6" i="3"/>
  <c r="D6" i="3"/>
  <c r="A2" i="3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H103" i="22"/>
  <c r="H102" i="22"/>
  <c r="H101" i="22"/>
  <c r="H100" i="22"/>
  <c r="H99" i="22"/>
  <c r="H98" i="22"/>
  <c r="H97" i="22"/>
  <c r="H96" i="22"/>
  <c r="H95" i="22"/>
  <c r="H94" i="22"/>
  <c r="H93" i="22"/>
  <c r="H92" i="22"/>
  <c r="H91" i="22"/>
  <c r="H90" i="22"/>
  <c r="H89" i="22"/>
  <c r="H88" i="22"/>
  <c r="H87" i="22"/>
  <c r="H86" i="22"/>
  <c r="H85" i="22"/>
  <c r="H84" i="22"/>
  <c r="H83" i="22"/>
  <c r="H82" i="22"/>
  <c r="H81" i="22"/>
  <c r="H80" i="22"/>
  <c r="H79" i="22"/>
  <c r="H78" i="22"/>
  <c r="H77" i="22"/>
  <c r="H76" i="22"/>
  <c r="H75" i="22"/>
  <c r="H74" i="22"/>
  <c r="H73" i="22"/>
  <c r="H72" i="22"/>
  <c r="H71" i="22"/>
  <c r="H70" i="22"/>
  <c r="H69" i="22"/>
  <c r="H68" i="22"/>
  <c r="H67" i="22"/>
  <c r="H66" i="22"/>
  <c r="H65" i="22"/>
  <c r="H64" i="22"/>
  <c r="H63" i="22"/>
  <c r="H62" i="22"/>
  <c r="H61" i="22"/>
  <c r="H60" i="22"/>
  <c r="H59" i="22"/>
  <c r="H58" i="22"/>
  <c r="H57" i="22"/>
  <c r="H56" i="22"/>
  <c r="H55" i="22"/>
  <c r="H54" i="22"/>
  <c r="H53" i="22"/>
  <c r="H52" i="22"/>
  <c r="H51" i="22"/>
  <c r="H50" i="22"/>
  <c r="H49" i="22"/>
  <c r="H48" i="22"/>
  <c r="H47" i="22"/>
  <c r="H46" i="22"/>
  <c r="H45" i="22"/>
  <c r="H44" i="22"/>
  <c r="H43" i="22"/>
  <c r="H42" i="22"/>
  <c r="H41" i="22"/>
  <c r="H40" i="22"/>
  <c r="H39" i="22"/>
  <c r="H38" i="22"/>
  <c r="H37" i="22"/>
  <c r="H36" i="22"/>
  <c r="H35" i="22"/>
  <c r="H34" i="22"/>
  <c r="H33" i="22"/>
  <c r="H32" i="22"/>
  <c r="H31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G103" i="22"/>
  <c r="G102" i="22"/>
  <c r="G101" i="22"/>
  <c r="G100" i="22"/>
  <c r="G99" i="22"/>
  <c r="G98" i="22"/>
  <c r="G97" i="22"/>
  <c r="G96" i="22"/>
  <c r="G95" i="22"/>
  <c r="G94" i="22"/>
  <c r="G93" i="22"/>
  <c r="G92" i="22"/>
  <c r="G91" i="22"/>
  <c r="G90" i="22"/>
  <c r="G89" i="22"/>
  <c r="G88" i="22"/>
  <c r="G87" i="22"/>
  <c r="G86" i="22"/>
  <c r="G85" i="22"/>
  <c r="G84" i="22"/>
  <c r="G83" i="22"/>
  <c r="G82" i="22"/>
  <c r="G81" i="22"/>
  <c r="G80" i="22"/>
  <c r="G79" i="22"/>
  <c r="G78" i="22"/>
  <c r="G77" i="22"/>
  <c r="G76" i="22"/>
  <c r="G75" i="22"/>
  <c r="G74" i="22"/>
  <c r="G73" i="22"/>
  <c r="G72" i="22"/>
  <c r="G71" i="22"/>
  <c r="G70" i="22"/>
  <c r="G69" i="22"/>
  <c r="G68" i="22"/>
  <c r="G67" i="22"/>
  <c r="G66" i="22"/>
  <c r="G65" i="22"/>
  <c r="G64" i="22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G48" i="22"/>
  <c r="G47" i="22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32" i="22"/>
  <c r="G31" i="22"/>
  <c r="G30" i="22"/>
  <c r="G29" i="22"/>
  <c r="G28" i="22"/>
  <c r="G27" i="22"/>
  <c r="G26" i="22"/>
  <c r="G25" i="22"/>
  <c r="G24" i="22"/>
  <c r="G23" i="22"/>
  <c r="G22" i="22"/>
  <c r="G21" i="22"/>
  <c r="G20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B96" i="22"/>
  <c r="B88" i="22"/>
  <c r="B84" i="22"/>
  <c r="C81" i="22"/>
  <c r="F78" i="22"/>
  <c r="B76" i="22"/>
  <c r="C73" i="22"/>
  <c r="F70" i="22"/>
  <c r="B68" i="22"/>
  <c r="C65" i="22"/>
  <c r="F62" i="22"/>
  <c r="B60" i="22"/>
  <c r="C57" i="22"/>
  <c r="F54" i="22"/>
  <c r="B52" i="22"/>
  <c r="B50" i="22"/>
  <c r="B48" i="22"/>
  <c r="B46" i="22"/>
  <c r="B44" i="22"/>
  <c r="B42" i="22"/>
  <c r="B40" i="22"/>
  <c r="B38" i="22"/>
  <c r="B36" i="22"/>
  <c r="B34" i="22"/>
  <c r="B32" i="22"/>
  <c r="B30" i="22"/>
  <c r="B28" i="22"/>
  <c r="B26" i="22"/>
  <c r="C24" i="22"/>
  <c r="F22" i="22"/>
  <c r="B21" i="22"/>
  <c r="F19" i="22"/>
  <c r="E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B103" i="22"/>
  <c r="B95" i="22"/>
  <c r="C87" i="22"/>
  <c r="F83" i="22"/>
  <c r="B81" i="22"/>
  <c r="C78" i="22"/>
  <c r="F75" i="22"/>
  <c r="B73" i="22"/>
  <c r="C70" i="22"/>
  <c r="F67" i="22"/>
  <c r="B65" i="22"/>
  <c r="C62" i="22"/>
  <c r="F59" i="22"/>
  <c r="B57" i="22"/>
  <c r="C54" i="22"/>
  <c r="A52" i="22"/>
  <c r="A50" i="22"/>
  <c r="A48" i="22"/>
  <c r="A46" i="22"/>
  <c r="A44" i="22"/>
  <c r="A42" i="22"/>
  <c r="A40" i="22"/>
  <c r="A38" i="22"/>
  <c r="A36" i="22"/>
  <c r="A34" i="22"/>
  <c r="A32" i="22"/>
  <c r="A30" i="22"/>
  <c r="A28" i="22"/>
  <c r="A26" i="22"/>
  <c r="B24" i="22"/>
  <c r="D22" i="22"/>
  <c r="A21" i="22"/>
  <c r="E19" i="22"/>
  <c r="D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B102" i="22"/>
  <c r="B94" i="22"/>
  <c r="B87" i="22"/>
  <c r="C83" i="22"/>
  <c r="F80" i="22"/>
  <c r="B78" i="22"/>
  <c r="C75" i="22"/>
  <c r="F72" i="22"/>
  <c r="B70" i="22"/>
  <c r="C67" i="22"/>
  <c r="F64" i="22"/>
  <c r="B62" i="22"/>
  <c r="C59" i="22"/>
  <c r="F56" i="22"/>
  <c r="B54" i="22"/>
  <c r="F51" i="22"/>
  <c r="F49" i="22"/>
  <c r="F47" i="22"/>
  <c r="F45" i="22"/>
  <c r="F43" i="22"/>
  <c r="F41" i="22"/>
  <c r="F39" i="22"/>
  <c r="F37" i="22"/>
  <c r="F35" i="22"/>
  <c r="F33" i="22"/>
  <c r="F31" i="22"/>
  <c r="F29" i="22"/>
  <c r="F27" i="22"/>
  <c r="F25" i="22"/>
  <c r="A24" i="22"/>
  <c r="C22" i="22"/>
  <c r="F20" i="22"/>
  <c r="D19" i="22"/>
  <c r="C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101" i="22"/>
  <c r="B93" i="22"/>
  <c r="C86" i="22"/>
  <c r="B83" i="22"/>
  <c r="C80" i="22"/>
  <c r="F77" i="22"/>
  <c r="B75" i="22"/>
  <c r="C72" i="22"/>
  <c r="F69" i="22"/>
  <c r="B67" i="22"/>
  <c r="C64" i="22"/>
  <c r="F61" i="22"/>
  <c r="B59" i="22"/>
  <c r="C56" i="22"/>
  <c r="F53" i="22"/>
  <c r="C51" i="22"/>
  <c r="C49" i="22"/>
  <c r="C47" i="22"/>
  <c r="C45" i="22"/>
  <c r="C43" i="22"/>
  <c r="C41" i="22"/>
  <c r="C39" i="22"/>
  <c r="C37" i="22"/>
  <c r="C35" i="22"/>
  <c r="C33" i="22"/>
  <c r="C31" i="22"/>
  <c r="C29" i="22"/>
  <c r="C27" i="22"/>
  <c r="C25" i="22"/>
  <c r="F23" i="22"/>
  <c r="B22" i="22"/>
  <c r="D20" i="22"/>
  <c r="C19" i="22"/>
  <c r="B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B100" i="22"/>
  <c r="B92" i="22"/>
  <c r="B86" i="22"/>
  <c r="F82" i="22"/>
  <c r="B80" i="22"/>
  <c r="C77" i="22"/>
  <c r="F74" i="22"/>
  <c r="B72" i="22"/>
  <c r="C69" i="22"/>
  <c r="F66" i="22"/>
  <c r="B64" i="22"/>
  <c r="C61" i="22"/>
  <c r="F58" i="22"/>
  <c r="B56" i="22"/>
  <c r="C53" i="22"/>
  <c r="B51" i="22"/>
  <c r="B49" i="22"/>
  <c r="B47" i="22"/>
  <c r="B45" i="22"/>
  <c r="B43" i="22"/>
  <c r="B41" i="22"/>
  <c r="B39" i="22"/>
  <c r="B37" i="22"/>
  <c r="B35" i="22"/>
  <c r="B33" i="22"/>
  <c r="B31" i="22"/>
  <c r="B29" i="22"/>
  <c r="B27" i="22"/>
  <c r="B25" i="22"/>
  <c r="D23" i="22"/>
  <c r="A22" i="22"/>
  <c r="C20" i="22"/>
  <c r="B19" i="22"/>
  <c r="A18" i="22"/>
  <c r="H16" i="22"/>
  <c r="H15" i="22"/>
  <c r="H14" i="22"/>
  <c r="H13" i="22"/>
  <c r="H12" i="22"/>
  <c r="H11" i="22"/>
  <c r="H10" i="22"/>
  <c r="H9" i="22"/>
  <c r="H8" i="22"/>
  <c r="H7" i="22"/>
  <c r="H6" i="22"/>
  <c r="H5" i="22"/>
  <c r="H4" i="22"/>
  <c r="B99" i="22"/>
  <c r="B91" i="22"/>
  <c r="C85" i="22"/>
  <c r="C82" i="22"/>
  <c r="F79" i="22"/>
  <c r="B77" i="22"/>
  <c r="C74" i="22"/>
  <c r="F71" i="22"/>
  <c r="B69" i="22"/>
  <c r="C66" i="22"/>
  <c r="F63" i="22"/>
  <c r="B61" i="22"/>
  <c r="C58" i="22"/>
  <c r="F55" i="22"/>
  <c r="B53" i="22"/>
  <c r="A51" i="22"/>
  <c r="A49" i="22"/>
  <c r="A47" i="22"/>
  <c r="A45" i="22"/>
  <c r="A43" i="22"/>
  <c r="A41" i="22"/>
  <c r="A39" i="22"/>
  <c r="A37" i="22"/>
  <c r="A35" i="22"/>
  <c r="B98" i="22"/>
  <c r="B90" i="22"/>
  <c r="B85" i="22"/>
  <c r="B82" i="22"/>
  <c r="C79" i="22"/>
  <c r="F76" i="22"/>
  <c r="B74" i="22"/>
  <c r="C71" i="22"/>
  <c r="F68" i="22"/>
  <c r="B66" i="22"/>
  <c r="C63" i="22"/>
  <c r="F60" i="22"/>
  <c r="B58" i="22"/>
  <c r="C55" i="22"/>
  <c r="F52" i="22"/>
  <c r="F50" i="22"/>
  <c r="F48" i="22"/>
  <c r="F46" i="22"/>
  <c r="F44" i="22"/>
  <c r="F42" i="22"/>
  <c r="F40" i="22"/>
  <c r="F38" i="22"/>
  <c r="F36" i="22"/>
  <c r="F81" i="22"/>
  <c r="C60" i="22"/>
  <c r="C42" i="22"/>
  <c r="C32" i="22"/>
  <c r="F26" i="22"/>
  <c r="F21" i="22"/>
  <c r="F18" i="22"/>
  <c r="F15" i="22"/>
  <c r="G12" i="22"/>
  <c r="E10" i="22"/>
  <c r="F7" i="22"/>
  <c r="G4" i="22"/>
  <c r="B79" i="22"/>
  <c r="F57" i="22"/>
  <c r="C40" i="22"/>
  <c r="A31" i="22"/>
  <c r="C26" i="22"/>
  <c r="D21" i="22"/>
  <c r="G17" i="22"/>
  <c r="E15" i="22"/>
  <c r="F12" i="22"/>
  <c r="G9" i="22"/>
  <c r="E7" i="22"/>
  <c r="F4" i="22"/>
  <c r="C76" i="22"/>
  <c r="B55" i="22"/>
  <c r="C38" i="22"/>
  <c r="F30" i="22"/>
  <c r="A25" i="22"/>
  <c r="C21" i="22"/>
  <c r="F17" i="22"/>
  <c r="G14" i="22"/>
  <c r="E12" i="22"/>
  <c r="F9" i="22"/>
  <c r="G6" i="22"/>
  <c r="E4" i="22"/>
  <c r="F73" i="22"/>
  <c r="C52" i="22"/>
  <c r="C36" i="22"/>
  <c r="C30" i="22"/>
  <c r="F24" i="22"/>
  <c r="B20" i="22"/>
  <c r="E17" i="22"/>
  <c r="F14" i="22"/>
  <c r="G11" i="22"/>
  <c r="E9" i="22"/>
  <c r="F6" i="22"/>
  <c r="B71" i="22"/>
  <c r="C50" i="22"/>
  <c r="F34" i="22"/>
  <c r="A29" i="22"/>
  <c r="D24" i="22"/>
  <c r="A20" i="22"/>
  <c r="G16" i="22"/>
  <c r="E14" i="22"/>
  <c r="F11" i="22"/>
  <c r="G8" i="22"/>
  <c r="E6" i="22"/>
  <c r="B97" i="22"/>
  <c r="C68" i="22"/>
  <c r="C48" i="22"/>
  <c r="C34" i="22"/>
  <c r="F28" i="22"/>
  <c r="C23" i="22"/>
  <c r="G19" i="22"/>
  <c r="F16" i="22"/>
  <c r="G13" i="22"/>
  <c r="E11" i="22"/>
  <c r="F8" i="22"/>
  <c r="G5" i="22"/>
  <c r="B89" i="22"/>
  <c r="F65" i="22"/>
  <c r="C46" i="22"/>
  <c r="A33" i="22"/>
  <c r="C28" i="22"/>
  <c r="B23" i="22"/>
  <c r="A19" i="22"/>
  <c r="E16" i="22"/>
  <c r="F13" i="22"/>
  <c r="G10" i="22"/>
  <c r="E8" i="22"/>
  <c r="F5" i="22"/>
  <c r="A23" i="22"/>
  <c r="G18" i="22"/>
  <c r="G15" i="22"/>
  <c r="C84" i="22"/>
  <c r="E13" i="22"/>
  <c r="B63" i="22"/>
  <c r="F10" i="22"/>
  <c r="C44" i="22"/>
  <c r="G7" i="22"/>
  <c r="F32" i="22"/>
  <c r="E5" i="22"/>
  <c r="A27" i="22"/>
  <c r="F55" i="1" l="1"/>
  <c r="E6" i="2"/>
  <c r="G44" i="2"/>
  <c r="F40" i="2"/>
  <c r="F25" i="2"/>
  <c r="J19" i="23"/>
  <c r="I20" i="24" s="1"/>
  <c r="D8" i="27"/>
  <c r="G10" i="27"/>
  <c r="H73" i="24"/>
  <c r="G8" i="27"/>
  <c r="F14" i="27"/>
  <c r="G28" i="2"/>
  <c r="J3" i="23"/>
  <c r="C53" i="1"/>
  <c r="C12" i="27"/>
  <c r="E15" i="27"/>
  <c r="C57" i="1"/>
  <c r="C28" i="2"/>
  <c r="C52" i="1"/>
  <c r="C55" i="1"/>
  <c r="E7" i="27"/>
  <c r="F9" i="27"/>
  <c r="E12" i="27"/>
  <c r="J56" i="23"/>
  <c r="I57" i="24" s="1"/>
  <c r="J71" i="23"/>
  <c r="I72" i="24" s="1"/>
  <c r="C6" i="27"/>
  <c r="G7" i="27"/>
  <c r="H6" i="3"/>
  <c r="D16" i="2"/>
  <c r="E28" i="2"/>
  <c r="F33" i="2"/>
  <c r="F35" i="2"/>
  <c r="H6" i="11"/>
  <c r="F50" i="1"/>
  <c r="F49" i="1"/>
  <c r="K50" i="1"/>
  <c r="D44" i="2"/>
  <c r="F39" i="2"/>
  <c r="F41" i="2"/>
  <c r="F43" i="2"/>
  <c r="J50" i="23"/>
  <c r="I51" i="24" s="1"/>
  <c r="J82" i="23"/>
  <c r="I83" i="24" s="1"/>
  <c r="J101" i="23"/>
  <c r="I102" i="24" s="1"/>
  <c r="J93" i="23"/>
  <c r="I94" i="24" s="1"/>
  <c r="D7" i="27"/>
  <c r="B9" i="27"/>
  <c r="D11" i="27"/>
  <c r="D13" i="27"/>
  <c r="B15" i="27"/>
  <c r="J16" i="2"/>
  <c r="E20" i="2" s="1"/>
  <c r="J7" i="23"/>
  <c r="I8" i="24" s="1"/>
  <c r="F11" i="27"/>
  <c r="F13" i="27"/>
  <c r="D15" i="27"/>
  <c r="D28" i="2"/>
  <c r="F34" i="2"/>
  <c r="H6" i="5"/>
  <c r="F48" i="1"/>
  <c r="C54" i="1"/>
  <c r="D50" i="1"/>
  <c r="F51" i="1"/>
  <c r="F56" i="1"/>
  <c r="E7" i="2"/>
  <c r="D49" i="1" s="1"/>
  <c r="F38" i="2"/>
  <c r="F42" i="2"/>
  <c r="H6" i="9"/>
  <c r="H91" i="24"/>
  <c r="H6" i="4"/>
  <c r="H6" i="12"/>
  <c r="J53" i="23"/>
  <c r="I54" i="24" s="1"/>
  <c r="J5" i="27"/>
  <c r="C14" i="27"/>
  <c r="C16" i="27"/>
  <c r="H6" i="7"/>
  <c r="H6" i="8"/>
  <c r="J15" i="23"/>
  <c r="I16" i="24" s="1"/>
  <c r="H97" i="24"/>
  <c r="G12" i="27"/>
  <c r="G56" i="1"/>
  <c r="K56" i="1"/>
  <c r="G48" i="1"/>
  <c r="H16" i="2"/>
  <c r="D20" i="2" s="1"/>
  <c r="K52" i="1"/>
  <c r="G52" i="1"/>
  <c r="K55" i="1"/>
  <c r="D55" i="1"/>
  <c r="D53" i="1"/>
  <c r="K53" i="1"/>
  <c r="D51" i="1"/>
  <c r="K51" i="1"/>
  <c r="G57" i="1"/>
  <c r="K57" i="1"/>
  <c r="G49" i="1"/>
  <c r="K54" i="1"/>
  <c r="D54" i="1"/>
  <c r="K48" i="1"/>
  <c r="F52" i="1"/>
  <c r="E44" i="2"/>
  <c r="K19" i="23"/>
  <c r="E20" i="24" s="1"/>
  <c r="N20" i="18"/>
  <c r="K66" i="23"/>
  <c r="E67" i="24" s="1"/>
  <c r="N67" i="18"/>
  <c r="K83" i="23"/>
  <c r="E84" i="24" s="1"/>
  <c r="N84" i="18"/>
  <c r="AC4" i="20"/>
  <c r="T4" i="20"/>
  <c r="AI4" i="20"/>
  <c r="K4" i="20"/>
  <c r="Z4" i="20"/>
  <c r="W4" i="20"/>
  <c r="AL4" i="20"/>
  <c r="N4" i="20"/>
  <c r="AL23" i="20"/>
  <c r="N23" i="20"/>
  <c r="AC23" i="20"/>
  <c r="T23" i="20"/>
  <c r="AI23" i="20"/>
  <c r="K23" i="20"/>
  <c r="AF23" i="20"/>
  <c r="H23" i="20"/>
  <c r="W23" i="20"/>
  <c r="AN30" i="20"/>
  <c r="X30" i="20"/>
  <c r="P30" i="20"/>
  <c r="AK30" i="20"/>
  <c r="AB30" i="20"/>
  <c r="S30" i="20"/>
  <c r="J30" i="20"/>
  <c r="AS30" i="20"/>
  <c r="AJ30" i="20"/>
  <c r="AA30" i="20"/>
  <c r="R30" i="20"/>
  <c r="I30" i="20"/>
  <c r="AR30" i="20"/>
  <c r="G30" i="20"/>
  <c r="AQ30" i="20"/>
  <c r="AH30" i="20"/>
  <c r="Y30" i="20"/>
  <c r="O30" i="20"/>
  <c r="AM30" i="20"/>
  <c r="AD30" i="20"/>
  <c r="U30" i="20"/>
  <c r="L30" i="20"/>
  <c r="G16" i="2"/>
  <c r="N15" i="18"/>
  <c r="K42" i="23"/>
  <c r="E43" i="24" s="1"/>
  <c r="N43" i="18"/>
  <c r="K59" i="23"/>
  <c r="E60" i="24" s="1"/>
  <c r="N60" i="18"/>
  <c r="N61" i="18"/>
  <c r="M8" i="20"/>
  <c r="AR8" i="20"/>
  <c r="AN13" i="20"/>
  <c r="X13" i="20"/>
  <c r="P13" i="20"/>
  <c r="AM13" i="20"/>
  <c r="AE13" i="20"/>
  <c r="O13" i="20"/>
  <c r="G13" i="20"/>
  <c r="AD13" i="20"/>
  <c r="V13" i="20"/>
  <c r="AS13" i="20"/>
  <c r="AK13" i="20"/>
  <c r="U13" i="20"/>
  <c r="M13" i="20"/>
  <c r="AP13" i="20"/>
  <c r="AH13" i="20"/>
  <c r="R13" i="20"/>
  <c r="J13" i="20"/>
  <c r="AG13" i="20"/>
  <c r="Y13" i="20"/>
  <c r="I13" i="20"/>
  <c r="AB13" i="20"/>
  <c r="H20" i="20"/>
  <c r="Z23" i="20"/>
  <c r="AO23" i="20"/>
  <c r="AJ24" i="20"/>
  <c r="AE28" i="20"/>
  <c r="AS29" i="20"/>
  <c r="AK29" i="20"/>
  <c r="U29" i="20"/>
  <c r="M29" i="20"/>
  <c r="AJ29" i="20"/>
  <c r="AA29" i="20"/>
  <c r="R29" i="20"/>
  <c r="I29" i="20"/>
  <c r="AR29" i="20"/>
  <c r="AQ29" i="20"/>
  <c r="AH29" i="20"/>
  <c r="Y29" i="20"/>
  <c r="P29" i="20"/>
  <c r="G29" i="20"/>
  <c r="AP29" i="20"/>
  <c r="AG29" i="20"/>
  <c r="X29" i="20"/>
  <c r="O29" i="20"/>
  <c r="AM29" i="20"/>
  <c r="AD29" i="20"/>
  <c r="AB29" i="20"/>
  <c r="S29" i="20"/>
  <c r="J29" i="20"/>
  <c r="AK51" i="20"/>
  <c r="D48" i="1"/>
  <c r="K18" i="23"/>
  <c r="E19" i="24" s="1"/>
  <c r="N19" i="18"/>
  <c r="K35" i="23"/>
  <c r="E36" i="24" s="1"/>
  <c r="N36" i="18"/>
  <c r="N37" i="18"/>
  <c r="K82" i="23"/>
  <c r="E83" i="24" s="1"/>
  <c r="N83" i="18"/>
  <c r="K99" i="23"/>
  <c r="E100" i="24" s="1"/>
  <c r="N100" i="18"/>
  <c r="N101" i="18"/>
  <c r="Q12" i="20"/>
  <c r="AG16" i="20"/>
  <c r="Y16" i="20"/>
  <c r="I16" i="20"/>
  <c r="AN16" i="20"/>
  <c r="X16" i="20"/>
  <c r="P16" i="20"/>
  <c r="AM16" i="20"/>
  <c r="AE16" i="20"/>
  <c r="O16" i="20"/>
  <c r="G16" i="20"/>
  <c r="AD16" i="20"/>
  <c r="V16" i="20"/>
  <c r="AQ16" i="20"/>
  <c r="AA16" i="20"/>
  <c r="S16" i="20"/>
  <c r="AP16" i="20"/>
  <c r="AH16" i="20"/>
  <c r="R16" i="20"/>
  <c r="J16" i="20"/>
  <c r="AB16" i="20"/>
  <c r="AC20" i="20"/>
  <c r="T20" i="20"/>
  <c r="AI20" i="20"/>
  <c r="K20" i="20"/>
  <c r="Z20" i="20"/>
  <c r="W20" i="20"/>
  <c r="AL20" i="20"/>
  <c r="N20" i="20"/>
  <c r="L24" i="20"/>
  <c r="AK24" i="20"/>
  <c r="AE30" i="20"/>
  <c r="AQ31" i="20"/>
  <c r="AA31" i="20"/>
  <c r="S31" i="20"/>
  <c r="AP31" i="20"/>
  <c r="AH31" i="20"/>
  <c r="R31" i="20"/>
  <c r="J31" i="20"/>
  <c r="AE31" i="20"/>
  <c r="U31" i="20"/>
  <c r="I31" i="20"/>
  <c r="AN31" i="20"/>
  <c r="AD31" i="20"/>
  <c r="AM31" i="20"/>
  <c r="G31" i="20"/>
  <c r="AB31" i="20"/>
  <c r="P31" i="20"/>
  <c r="AS31" i="20"/>
  <c r="AG31" i="20"/>
  <c r="M31" i="20"/>
  <c r="AR31" i="20"/>
  <c r="V31" i="20"/>
  <c r="L31" i="20"/>
  <c r="AJ31" i="20"/>
  <c r="P36" i="20"/>
  <c r="O39" i="20"/>
  <c r="D102" i="29"/>
  <c r="D94" i="29"/>
  <c r="D86" i="29"/>
  <c r="D78" i="29"/>
  <c r="E78" i="29" s="1"/>
  <c r="G78" i="29" s="1"/>
  <c r="D70" i="29"/>
  <c r="E70" i="29" s="1"/>
  <c r="G70" i="29" s="1"/>
  <c r="D62" i="29"/>
  <c r="E62" i="29" s="1"/>
  <c r="G62" i="29" s="1"/>
  <c r="D54" i="29"/>
  <c r="E54" i="29" s="1"/>
  <c r="G54" i="29" s="1"/>
  <c r="D46" i="29"/>
  <c r="E46" i="29" s="1"/>
  <c r="G46" i="29" s="1"/>
  <c r="D38" i="29"/>
  <c r="E38" i="29" s="1"/>
  <c r="G38" i="29" s="1"/>
  <c r="D30" i="29"/>
  <c r="E30" i="29" s="1"/>
  <c r="G30" i="29" s="1"/>
  <c r="D22" i="29"/>
  <c r="E22" i="29" s="1"/>
  <c r="G22" i="29" s="1"/>
  <c r="D14" i="29"/>
  <c r="E14" i="29" s="1"/>
  <c r="D101" i="29"/>
  <c r="D100" i="29"/>
  <c r="E100" i="29" s="1"/>
  <c r="G100" i="29" s="1"/>
  <c r="D92" i="29"/>
  <c r="E92" i="29" s="1"/>
  <c r="I92" i="29" s="1"/>
  <c r="D84" i="29"/>
  <c r="D76" i="29"/>
  <c r="E76" i="29" s="1"/>
  <c r="I76" i="29" s="1"/>
  <c r="D68" i="29"/>
  <c r="D60" i="29"/>
  <c r="E60" i="29" s="1"/>
  <c r="D52" i="29"/>
  <c r="E52" i="29" s="1"/>
  <c r="D44" i="29"/>
  <c r="E44" i="29" s="1"/>
  <c r="I44" i="29" s="1"/>
  <c r="D36" i="29"/>
  <c r="D28" i="29"/>
  <c r="D20" i="29"/>
  <c r="D12" i="29"/>
  <c r="E12" i="29" s="1"/>
  <c r="D4" i="29"/>
  <c r="E4" i="29" s="1"/>
  <c r="G4" i="29" s="1"/>
  <c r="D99" i="29"/>
  <c r="D91" i="29"/>
  <c r="D83" i="29"/>
  <c r="D75" i="29"/>
  <c r="D67" i="29"/>
  <c r="D59" i="29"/>
  <c r="D51" i="29"/>
  <c r="D43" i="29"/>
  <c r="D35" i="29"/>
  <c r="D27" i="29"/>
  <c r="D19" i="29"/>
  <c r="D98" i="29"/>
  <c r="D90" i="29"/>
  <c r="D82" i="29"/>
  <c r="D74" i="29"/>
  <c r="D66" i="29"/>
  <c r="D58" i="29"/>
  <c r="D50" i="29"/>
  <c r="D42" i="29"/>
  <c r="D34" i="29"/>
  <c r="D26" i="29"/>
  <c r="D18" i="29"/>
  <c r="E18" i="29" s="1"/>
  <c r="D97" i="29"/>
  <c r="D96" i="29"/>
  <c r="D88" i="29"/>
  <c r="E88" i="29" s="1"/>
  <c r="D80" i="29"/>
  <c r="D72" i="29"/>
  <c r="D64" i="29"/>
  <c r="E64" i="29" s="1"/>
  <c r="D56" i="29"/>
  <c r="E56" i="29" s="1"/>
  <c r="I56" i="29" s="1"/>
  <c r="D48" i="29"/>
  <c r="E48" i="29" s="1"/>
  <c r="D40" i="29"/>
  <c r="D32" i="29"/>
  <c r="D24" i="29"/>
  <c r="D16" i="29"/>
  <c r="D95" i="29"/>
  <c r="D87" i="29"/>
  <c r="E87" i="29" s="1"/>
  <c r="G87" i="29" s="1"/>
  <c r="D79" i="29"/>
  <c r="E79" i="29" s="1"/>
  <c r="G79" i="29" s="1"/>
  <c r="D71" i="29"/>
  <c r="E71" i="29" s="1"/>
  <c r="G71" i="29" s="1"/>
  <c r="D77" i="29"/>
  <c r="E77" i="29" s="1"/>
  <c r="G77" i="29" s="1"/>
  <c r="D57" i="29"/>
  <c r="D53" i="29"/>
  <c r="D89" i="29"/>
  <c r="D65" i="29"/>
  <c r="D61" i="29"/>
  <c r="D31" i="29"/>
  <c r="E31" i="29" s="1"/>
  <c r="G31" i="29" s="1"/>
  <c r="D69" i="29"/>
  <c r="E69" i="29" s="1"/>
  <c r="G69" i="29" s="1"/>
  <c r="D39" i="29"/>
  <c r="E39" i="29" s="1"/>
  <c r="G39" i="29" s="1"/>
  <c r="D81" i="29"/>
  <c r="D47" i="29"/>
  <c r="E47" i="29" s="1"/>
  <c r="G47" i="29" s="1"/>
  <c r="D93" i="29"/>
  <c r="E93" i="29" s="1"/>
  <c r="G93" i="29" s="1"/>
  <c r="D55" i="29"/>
  <c r="E55" i="29" s="1"/>
  <c r="G55" i="29" s="1"/>
  <c r="D25" i="29"/>
  <c r="D21" i="29"/>
  <c r="D17" i="29"/>
  <c r="D5" i="29"/>
  <c r="E5" i="29" s="1"/>
  <c r="D29" i="29"/>
  <c r="D15" i="29"/>
  <c r="E15" i="29" s="1"/>
  <c r="G15" i="29" s="1"/>
  <c r="D73" i="29"/>
  <c r="D37" i="29"/>
  <c r="D45" i="29"/>
  <c r="D85" i="29"/>
  <c r="E85" i="29" s="1"/>
  <c r="G85" i="29" s="1"/>
  <c r="D33" i="29"/>
  <c r="D63" i="29"/>
  <c r="E63" i="29" s="1"/>
  <c r="G63" i="29" s="1"/>
  <c r="D49" i="29"/>
  <c r="D41" i="29"/>
  <c r="D6" i="29"/>
  <c r="E6" i="29" s="1"/>
  <c r="D7" i="29"/>
  <c r="E7" i="29" s="1"/>
  <c r="G7" i="29" s="1"/>
  <c r="D9" i="29"/>
  <c r="E9" i="29" s="1"/>
  <c r="I9" i="29" s="1"/>
  <c r="D8" i="29"/>
  <c r="E8" i="29" s="1"/>
  <c r="G8" i="29" s="1"/>
  <c r="D13" i="29"/>
  <c r="D23" i="29"/>
  <c r="E23" i="29" s="1"/>
  <c r="G23" i="29" s="1"/>
  <c r="D3" i="29"/>
  <c r="D11" i="29"/>
  <c r="D10" i="29"/>
  <c r="E10" i="29" s="1"/>
  <c r="G10" i="29" s="1"/>
  <c r="K11" i="23"/>
  <c r="E12" i="24" s="1"/>
  <c r="N12" i="18"/>
  <c r="K58" i="23"/>
  <c r="E59" i="24" s="1"/>
  <c r="N59" i="18"/>
  <c r="K75" i="23"/>
  <c r="E76" i="24" s="1"/>
  <c r="N76" i="18"/>
  <c r="AL15" i="20"/>
  <c r="N15" i="20"/>
  <c r="AC15" i="20"/>
  <c r="T15" i="20"/>
  <c r="AI15" i="20"/>
  <c r="K15" i="20"/>
  <c r="AF15" i="20"/>
  <c r="H15" i="20"/>
  <c r="W15" i="20"/>
  <c r="Q23" i="20"/>
  <c r="M24" i="20"/>
  <c r="AR24" i="20"/>
  <c r="M28" i="20"/>
  <c r="AG30" i="20"/>
  <c r="F24" i="2"/>
  <c r="K34" i="23"/>
  <c r="E35" i="24" s="1"/>
  <c r="N35" i="18"/>
  <c r="K51" i="23"/>
  <c r="E52" i="24" s="1"/>
  <c r="N52" i="18"/>
  <c r="K98" i="23"/>
  <c r="E99" i="24" s="1"/>
  <c r="N99" i="18"/>
  <c r="AN5" i="20"/>
  <c r="X5" i="20"/>
  <c r="P5" i="20"/>
  <c r="AM5" i="20"/>
  <c r="AE5" i="20"/>
  <c r="O5" i="20"/>
  <c r="G5" i="20"/>
  <c r="AD5" i="20"/>
  <c r="V5" i="20"/>
  <c r="AS5" i="20"/>
  <c r="AK5" i="20"/>
  <c r="U5" i="20"/>
  <c r="M5" i="20"/>
  <c r="AP5" i="20"/>
  <c r="AH5" i="20"/>
  <c r="R5" i="20"/>
  <c r="J5" i="20"/>
  <c r="AG5" i="20"/>
  <c r="Y5" i="20"/>
  <c r="I5" i="20"/>
  <c r="AB5" i="20"/>
  <c r="Z15" i="20"/>
  <c r="AO15" i="20"/>
  <c r="AS24" i="20"/>
  <c r="AN28" i="20"/>
  <c r="M30" i="20"/>
  <c r="AL32" i="20"/>
  <c r="N32" i="20"/>
  <c r="AC32" i="20"/>
  <c r="Z32" i="20"/>
  <c r="AI32" i="20"/>
  <c r="W32" i="20"/>
  <c r="K32" i="20"/>
  <c r="H32" i="20"/>
  <c r="Q32" i="20"/>
  <c r="AF32" i="20"/>
  <c r="AP36" i="20"/>
  <c r="AH36" i="20"/>
  <c r="R36" i="20"/>
  <c r="J36" i="20"/>
  <c r="AG36" i="20"/>
  <c r="Y36" i="20"/>
  <c r="I36" i="20"/>
  <c r="AM36" i="20"/>
  <c r="AE36" i="20"/>
  <c r="O36" i="20"/>
  <c r="G36" i="20"/>
  <c r="V36" i="20"/>
  <c r="AS36" i="20"/>
  <c r="U36" i="20"/>
  <c r="AR36" i="20"/>
  <c r="AD36" i="20"/>
  <c r="AQ36" i="20"/>
  <c r="S36" i="20"/>
  <c r="AK36" i="20"/>
  <c r="X36" i="20"/>
  <c r="M36" i="20"/>
  <c r="AJ36" i="20"/>
  <c r="L36" i="20"/>
  <c r="AM47" i="20"/>
  <c r="AE47" i="20"/>
  <c r="O47" i="20"/>
  <c r="G47" i="20"/>
  <c r="AR47" i="20"/>
  <c r="AK47" i="20"/>
  <c r="AB47" i="20"/>
  <c r="S47" i="20"/>
  <c r="J47" i="20"/>
  <c r="AJ47" i="20"/>
  <c r="AA47" i="20"/>
  <c r="R47" i="20"/>
  <c r="I47" i="20"/>
  <c r="AQ47" i="20"/>
  <c r="AH47" i="20"/>
  <c r="Y47" i="20"/>
  <c r="P47" i="20"/>
  <c r="AN47" i="20"/>
  <c r="X47" i="20"/>
  <c r="V47" i="20"/>
  <c r="U47" i="20"/>
  <c r="AG47" i="20"/>
  <c r="AP47" i="20"/>
  <c r="M47" i="20"/>
  <c r="L47" i="20"/>
  <c r="K10" i="23"/>
  <c r="E11" i="24" s="1"/>
  <c r="N11" i="18"/>
  <c r="K27" i="23"/>
  <c r="E28" i="24" s="1"/>
  <c r="N28" i="18"/>
  <c r="N29" i="18"/>
  <c r="N47" i="18"/>
  <c r="K74" i="23"/>
  <c r="E75" i="24" s="1"/>
  <c r="N75" i="18"/>
  <c r="K91" i="23"/>
  <c r="E92" i="24" s="1"/>
  <c r="N92" i="18"/>
  <c r="N93" i="18"/>
  <c r="Q4" i="20"/>
  <c r="AO4" i="20"/>
  <c r="AG8" i="20"/>
  <c r="Y8" i="20"/>
  <c r="I8" i="20"/>
  <c r="AN8" i="20"/>
  <c r="X8" i="20"/>
  <c r="P8" i="20"/>
  <c r="AM8" i="20"/>
  <c r="AE8" i="20"/>
  <c r="O8" i="20"/>
  <c r="G8" i="20"/>
  <c r="AD8" i="20"/>
  <c r="V8" i="20"/>
  <c r="AQ8" i="20"/>
  <c r="F96" i="28" s="1"/>
  <c r="J96" i="28" s="1"/>
  <c r="K96" i="28" s="1"/>
  <c r="AA8" i="20"/>
  <c r="S8" i="20"/>
  <c r="AP8" i="20"/>
  <c r="AH8" i="20"/>
  <c r="R8" i="20"/>
  <c r="J8" i="20"/>
  <c r="AB8" i="20"/>
  <c r="AC12" i="20"/>
  <c r="T12" i="20"/>
  <c r="AI12" i="20"/>
  <c r="K12" i="20"/>
  <c r="Z12" i="20"/>
  <c r="W12" i="20"/>
  <c r="AL12" i="20"/>
  <c r="N12" i="20"/>
  <c r="AA36" i="20"/>
  <c r="W55" i="20"/>
  <c r="T55" i="20"/>
  <c r="AC55" i="20"/>
  <c r="H55" i="20"/>
  <c r="AL55" i="20"/>
  <c r="Q55" i="20"/>
  <c r="Z55" i="20"/>
  <c r="AI55" i="20"/>
  <c r="N55" i="20"/>
  <c r="AF55" i="20"/>
  <c r="K55" i="20"/>
  <c r="AS57" i="20"/>
  <c r="AK57" i="20"/>
  <c r="U57" i="20"/>
  <c r="M57" i="20"/>
  <c r="AP57" i="20"/>
  <c r="AH57" i="20"/>
  <c r="R57" i="20"/>
  <c r="J57" i="20"/>
  <c r="AE57" i="20"/>
  <c r="I57" i="20"/>
  <c r="AN57" i="20"/>
  <c r="AD57" i="20"/>
  <c r="S57" i="20"/>
  <c r="AM57" i="20"/>
  <c r="AB57" i="20"/>
  <c r="G57" i="20"/>
  <c r="AA57" i="20"/>
  <c r="P57" i="20"/>
  <c r="AJ57" i="20"/>
  <c r="Y57" i="20"/>
  <c r="O57" i="20"/>
  <c r="L57" i="20"/>
  <c r="AG57" i="20"/>
  <c r="AR57" i="20"/>
  <c r="V57" i="20"/>
  <c r="AQ57" i="20"/>
  <c r="Z92" i="20"/>
  <c r="AO92" i="20"/>
  <c r="AF92" i="20"/>
  <c r="W92" i="20"/>
  <c r="N92" i="20"/>
  <c r="T92" i="20"/>
  <c r="H92" i="20"/>
  <c r="AC92" i="20"/>
  <c r="Q92" i="20"/>
  <c r="AL92" i="20"/>
  <c r="K92" i="20"/>
  <c r="AI92" i="20"/>
  <c r="F26" i="2"/>
  <c r="C44" i="2"/>
  <c r="K3" i="23"/>
  <c r="E4" i="24" s="1"/>
  <c r="N4" i="18"/>
  <c r="N5" i="18"/>
  <c r="N23" i="18"/>
  <c r="K50" i="23"/>
  <c r="E51" i="24" s="1"/>
  <c r="N51" i="18"/>
  <c r="K67" i="23"/>
  <c r="E68" i="24" s="1"/>
  <c r="N68" i="18"/>
  <c r="N69" i="18"/>
  <c r="AJ5" i="20"/>
  <c r="AL7" i="20"/>
  <c r="N7" i="20"/>
  <c r="AC7" i="20"/>
  <c r="T7" i="20"/>
  <c r="AI7" i="20"/>
  <c r="K7" i="20"/>
  <c r="AF7" i="20"/>
  <c r="H7" i="20"/>
  <c r="W7" i="20"/>
  <c r="Q15" i="20"/>
  <c r="AN21" i="20"/>
  <c r="X21" i="20"/>
  <c r="P21" i="20"/>
  <c r="AM21" i="20"/>
  <c r="AE21" i="20"/>
  <c r="O21" i="20"/>
  <c r="G21" i="20"/>
  <c r="AD21" i="20"/>
  <c r="V21" i="20"/>
  <c r="AS21" i="20"/>
  <c r="AK21" i="20"/>
  <c r="U21" i="20"/>
  <c r="M21" i="20"/>
  <c r="AP21" i="20"/>
  <c r="AH21" i="20"/>
  <c r="R21" i="20"/>
  <c r="J21" i="20"/>
  <c r="AG21" i="20"/>
  <c r="Y21" i="20"/>
  <c r="I21" i="20"/>
  <c r="AB21" i="20"/>
  <c r="V29" i="20"/>
  <c r="AP30" i="20"/>
  <c r="O31" i="20"/>
  <c r="T34" i="20"/>
  <c r="AI34" i="20"/>
  <c r="K34" i="20"/>
  <c r="AF34" i="20"/>
  <c r="W34" i="20"/>
  <c r="N34" i="20"/>
  <c r="AO34" i="20"/>
  <c r="Z34" i="20"/>
  <c r="Q34" i="20"/>
  <c r="AB36" i="20"/>
  <c r="W43" i="20"/>
  <c r="AL43" i="20"/>
  <c r="N43" i="20"/>
  <c r="T43" i="20"/>
  <c r="AC43" i="20"/>
  <c r="Q43" i="20"/>
  <c r="AO43" i="20"/>
  <c r="Z43" i="20"/>
  <c r="K43" i="20"/>
  <c r="H43" i="20"/>
  <c r="AF43" i="20"/>
  <c r="AD47" i="20"/>
  <c r="K26" i="23"/>
  <c r="E27" i="24" s="1"/>
  <c r="N27" i="18"/>
  <c r="K43" i="23"/>
  <c r="E44" i="24" s="1"/>
  <c r="N44" i="18"/>
  <c r="K90" i="23"/>
  <c r="E91" i="24" s="1"/>
  <c r="N91" i="18"/>
  <c r="H4" i="20"/>
  <c r="AF4" i="20"/>
  <c r="AG24" i="20"/>
  <c r="Y24" i="20"/>
  <c r="I24" i="20"/>
  <c r="AN24" i="20"/>
  <c r="X24" i="20"/>
  <c r="P24" i="20"/>
  <c r="AM24" i="20"/>
  <c r="AE24" i="20"/>
  <c r="O24" i="20"/>
  <c r="G24" i="20"/>
  <c r="AD24" i="20"/>
  <c r="V24" i="20"/>
  <c r="AQ24" i="20"/>
  <c r="AA24" i="20"/>
  <c r="S24" i="20"/>
  <c r="AP24" i="20"/>
  <c r="AH24" i="20"/>
  <c r="R24" i="20"/>
  <c r="J24" i="20"/>
  <c r="AB24" i="20"/>
  <c r="AP28" i="20"/>
  <c r="AH28" i="20"/>
  <c r="R28" i="20"/>
  <c r="J28" i="20"/>
  <c r="AK28" i="20"/>
  <c r="AB28" i="20"/>
  <c r="S28" i="20"/>
  <c r="I28" i="20"/>
  <c r="AS28" i="20"/>
  <c r="AJ28" i="20"/>
  <c r="AA28" i="20"/>
  <c r="AR28" i="20"/>
  <c r="Y28" i="20"/>
  <c r="P28" i="20"/>
  <c r="G28" i="20"/>
  <c r="AQ28" i="20"/>
  <c r="AG28" i="20"/>
  <c r="X28" i="20"/>
  <c r="O28" i="20"/>
  <c r="AM28" i="20"/>
  <c r="AD28" i="20"/>
  <c r="U28" i="20"/>
  <c r="L28" i="20"/>
  <c r="V30" i="20"/>
  <c r="AQ39" i="20"/>
  <c r="AA39" i="20"/>
  <c r="S39" i="20"/>
  <c r="AP39" i="20"/>
  <c r="AH39" i="20"/>
  <c r="R39" i="20"/>
  <c r="J39" i="20"/>
  <c r="AN39" i="20"/>
  <c r="X39" i="20"/>
  <c r="P39" i="20"/>
  <c r="AK39" i="20"/>
  <c r="L39" i="20"/>
  <c r="AJ39" i="20"/>
  <c r="V39" i="20"/>
  <c r="I39" i="20"/>
  <c r="AG39" i="20"/>
  <c r="U39" i="20"/>
  <c r="G39" i="20"/>
  <c r="AS39" i="20"/>
  <c r="AE39" i="20"/>
  <c r="AM39" i="20"/>
  <c r="AB39" i="20"/>
  <c r="Y39" i="20"/>
  <c r="M39" i="20"/>
  <c r="AQ51" i="20"/>
  <c r="AA51" i="20"/>
  <c r="S51" i="20"/>
  <c r="AN51" i="20"/>
  <c r="X51" i="20"/>
  <c r="P51" i="20"/>
  <c r="AR51" i="20"/>
  <c r="AG51" i="20"/>
  <c r="V51" i="20"/>
  <c r="L51" i="20"/>
  <c r="AP51" i="20"/>
  <c r="AE51" i="20"/>
  <c r="U51" i="20"/>
  <c r="J51" i="20"/>
  <c r="AD51" i="20"/>
  <c r="I51" i="20"/>
  <c r="AB51" i="20"/>
  <c r="M51" i="20"/>
  <c r="AS51" i="20"/>
  <c r="Y51" i="20"/>
  <c r="G51" i="20"/>
  <c r="AM51" i="20"/>
  <c r="AJ51" i="20"/>
  <c r="AH51" i="20"/>
  <c r="O51" i="20"/>
  <c r="AF58" i="20"/>
  <c r="H58" i="20"/>
  <c r="AC58" i="20"/>
  <c r="AL58" i="20"/>
  <c r="Q58" i="20"/>
  <c r="Z58" i="20"/>
  <c r="AI58" i="20"/>
  <c r="N58" i="20"/>
  <c r="W58" i="20"/>
  <c r="K58" i="20"/>
  <c r="AO58" i="20"/>
  <c r="T58" i="20"/>
  <c r="AI87" i="20"/>
  <c r="K87" i="20"/>
  <c r="AL87" i="20"/>
  <c r="Q87" i="20"/>
  <c r="Z87" i="20"/>
  <c r="N87" i="20"/>
  <c r="AO87" i="20"/>
  <c r="AC87" i="20"/>
  <c r="H87" i="20"/>
  <c r="AF87" i="20"/>
  <c r="T87" i="20"/>
  <c r="Q5" i="20"/>
  <c r="AO5" i="20"/>
  <c r="L6" i="20"/>
  <c r="AB6" i="20"/>
  <c r="AJ6" i="20"/>
  <c r="AR6" i="20"/>
  <c r="M85" i="23" s="1"/>
  <c r="F86" i="24" s="1"/>
  <c r="G86" i="24" s="1"/>
  <c r="Q13" i="20"/>
  <c r="AO13" i="20"/>
  <c r="L14" i="20"/>
  <c r="AB14" i="20"/>
  <c r="AJ14" i="20"/>
  <c r="AR14" i="20"/>
  <c r="Q21" i="20"/>
  <c r="AO21" i="20"/>
  <c r="L22" i="20"/>
  <c r="AB22" i="20"/>
  <c r="AJ22" i="20"/>
  <c r="AR22" i="20"/>
  <c r="AD40" i="20"/>
  <c r="V40" i="20"/>
  <c r="AS40" i="20"/>
  <c r="AK40" i="20"/>
  <c r="U40" i="20"/>
  <c r="M40" i="20"/>
  <c r="AQ40" i="20"/>
  <c r="AA40" i="20"/>
  <c r="S40" i="20"/>
  <c r="O40" i="20"/>
  <c r="AN40" i="20"/>
  <c r="AG45" i="20"/>
  <c r="Y45" i="20"/>
  <c r="I45" i="20"/>
  <c r="AK45" i="20"/>
  <c r="AB45" i="20"/>
  <c r="S45" i="20"/>
  <c r="J45" i="20"/>
  <c r="AS45" i="20"/>
  <c r="AJ45" i="20"/>
  <c r="AA45" i="20"/>
  <c r="R45" i="20"/>
  <c r="AQ45" i="20"/>
  <c r="AH45" i="20"/>
  <c r="X45" i="20"/>
  <c r="O45" i="20"/>
  <c r="AD45" i="20"/>
  <c r="AR45" i="20"/>
  <c r="H101" i="24"/>
  <c r="J100" i="23"/>
  <c r="I101" i="24" s="1"/>
  <c r="N8" i="18"/>
  <c r="N16" i="18"/>
  <c r="N24" i="18"/>
  <c r="N32" i="18"/>
  <c r="N40" i="18"/>
  <c r="N48" i="18"/>
  <c r="N56" i="18"/>
  <c r="N64" i="18"/>
  <c r="N72" i="18"/>
  <c r="N80" i="18"/>
  <c r="N88" i="18"/>
  <c r="N96" i="18"/>
  <c r="Z5" i="20"/>
  <c r="M6" i="20"/>
  <c r="U6" i="20"/>
  <c r="AK6" i="20"/>
  <c r="AS6" i="20"/>
  <c r="K8" i="20"/>
  <c r="AI8" i="20"/>
  <c r="N9" i="20"/>
  <c r="V9" i="20"/>
  <c r="AD9" i="20"/>
  <c r="AL9" i="20"/>
  <c r="I10" i="20"/>
  <c r="Q10" i="20"/>
  <c r="Y10" i="20"/>
  <c r="AG10" i="20"/>
  <c r="AO10" i="20"/>
  <c r="L11" i="20"/>
  <c r="AB11" i="20"/>
  <c r="AJ11" i="20"/>
  <c r="AR11" i="20"/>
  <c r="Z13" i="20"/>
  <c r="M14" i="20"/>
  <c r="U14" i="20"/>
  <c r="AK14" i="20"/>
  <c r="AS14" i="20"/>
  <c r="K16" i="20"/>
  <c r="AI16" i="20"/>
  <c r="N17" i="20"/>
  <c r="V17" i="20"/>
  <c r="AD17" i="20"/>
  <c r="AL17" i="20"/>
  <c r="I18" i="20"/>
  <c r="Q18" i="20"/>
  <c r="Y18" i="20"/>
  <c r="AG18" i="20"/>
  <c r="AO18" i="20"/>
  <c r="L19" i="20"/>
  <c r="AB19" i="20"/>
  <c r="AJ19" i="20"/>
  <c r="AR19" i="20"/>
  <c r="Z21" i="20"/>
  <c r="M22" i="20"/>
  <c r="U22" i="20"/>
  <c r="AK22" i="20"/>
  <c r="AS22" i="20"/>
  <c r="K24" i="20"/>
  <c r="AI24" i="20"/>
  <c r="V25" i="20"/>
  <c r="AD25" i="20"/>
  <c r="Q26" i="20"/>
  <c r="AO26" i="20"/>
  <c r="AM27" i="20"/>
  <c r="AE27" i="20"/>
  <c r="O27" i="20"/>
  <c r="L27" i="20"/>
  <c r="U27" i="20"/>
  <c r="AD27" i="20"/>
  <c r="AN27" i="20"/>
  <c r="K29" i="20"/>
  <c r="T29" i="20"/>
  <c r="W31" i="20"/>
  <c r="AG33" i="20"/>
  <c r="Y33" i="20"/>
  <c r="I33" i="20"/>
  <c r="AN33" i="20"/>
  <c r="X33" i="20"/>
  <c r="P33" i="20"/>
  <c r="M33" i="20"/>
  <c r="AH33" i="20"/>
  <c r="AR33" i="20"/>
  <c r="W35" i="20"/>
  <c r="AL35" i="20"/>
  <c r="N35" i="20"/>
  <c r="T35" i="20"/>
  <c r="J35" i="20"/>
  <c r="AI35" i="20"/>
  <c r="K37" i="20"/>
  <c r="W37" i="20"/>
  <c r="AF38" i="20"/>
  <c r="H38" i="20"/>
  <c r="W38" i="20"/>
  <c r="AC38" i="20"/>
  <c r="K38" i="20"/>
  <c r="N39" i="20"/>
  <c r="P40" i="20"/>
  <c r="AB40" i="20"/>
  <c r="O41" i="20"/>
  <c r="AB41" i="20"/>
  <c r="P45" i="20"/>
  <c r="AE45" i="20"/>
  <c r="AC49" i="20"/>
  <c r="Z49" i="20"/>
  <c r="H49" i="20"/>
  <c r="Q49" i="20"/>
  <c r="AL49" i="20"/>
  <c r="AI49" i="20"/>
  <c r="N49" i="20"/>
  <c r="AD52" i="20"/>
  <c r="V52" i="20"/>
  <c r="AQ52" i="20"/>
  <c r="AA52" i="20"/>
  <c r="S52" i="20"/>
  <c r="AM52" i="20"/>
  <c r="AB52" i="20"/>
  <c r="G52" i="20"/>
  <c r="AK52" i="20"/>
  <c r="P52" i="20"/>
  <c r="AJ52" i="20"/>
  <c r="Y52" i="20"/>
  <c r="O52" i="20"/>
  <c r="AR52" i="20"/>
  <c r="AG52" i="20"/>
  <c r="L52" i="20"/>
  <c r="X53" i="20"/>
  <c r="AQ53" i="20"/>
  <c r="AD80" i="20"/>
  <c r="V80" i="20"/>
  <c r="M80" i="20"/>
  <c r="AM80" i="20"/>
  <c r="AB80" i="20"/>
  <c r="R80" i="20"/>
  <c r="AK80" i="20"/>
  <c r="AA80" i="20"/>
  <c r="G80" i="20"/>
  <c r="AJ80" i="20"/>
  <c r="P80" i="20"/>
  <c r="AS80" i="20"/>
  <c r="Y80" i="20"/>
  <c r="O80" i="20"/>
  <c r="AG80" i="20"/>
  <c r="AE80" i="20"/>
  <c r="J80" i="20"/>
  <c r="I80" i="20"/>
  <c r="AR80" i="20"/>
  <c r="X80" i="20"/>
  <c r="AQ80" i="20"/>
  <c r="U80" i="20"/>
  <c r="AN80" i="20"/>
  <c r="S80" i="20"/>
  <c r="AC5" i="20"/>
  <c r="P6" i="20"/>
  <c r="X6" i="20"/>
  <c r="AN6" i="20"/>
  <c r="N8" i="20"/>
  <c r="AL8" i="20"/>
  <c r="I9" i="20"/>
  <c r="Q9" i="20"/>
  <c r="Y9" i="20"/>
  <c r="AG9" i="20"/>
  <c r="AO9" i="20"/>
  <c r="L10" i="20"/>
  <c r="AB10" i="20"/>
  <c r="AJ10" i="20"/>
  <c r="AR10" i="20"/>
  <c r="AC13" i="20"/>
  <c r="P14" i="20"/>
  <c r="X14" i="20"/>
  <c r="AN14" i="20"/>
  <c r="N16" i="20"/>
  <c r="AL16" i="20"/>
  <c r="I17" i="20"/>
  <c r="Q17" i="20"/>
  <c r="Y17" i="20"/>
  <c r="AG17" i="20"/>
  <c r="AO17" i="20"/>
  <c r="L18" i="20"/>
  <c r="AB18" i="20"/>
  <c r="AJ18" i="20"/>
  <c r="AR18" i="20"/>
  <c r="AC21" i="20"/>
  <c r="P22" i="20"/>
  <c r="X22" i="20"/>
  <c r="AN22" i="20"/>
  <c r="N24" i="20"/>
  <c r="AL24" i="20"/>
  <c r="I25" i="20"/>
  <c r="Q25" i="20"/>
  <c r="Y25" i="20"/>
  <c r="AG25" i="20"/>
  <c r="AO25" i="20"/>
  <c r="L26" i="20"/>
  <c r="T26" i="20"/>
  <c r="AB26" i="20"/>
  <c r="AJ26" i="20"/>
  <c r="AR26" i="20"/>
  <c r="G27" i="20"/>
  <c r="P27" i="20"/>
  <c r="Y27" i="20"/>
  <c r="AH27" i="20"/>
  <c r="AQ27" i="20"/>
  <c r="AL31" i="20"/>
  <c r="G33" i="20"/>
  <c r="R33" i="20"/>
  <c r="AB33" i="20"/>
  <c r="AK33" i="20"/>
  <c r="AM35" i="20"/>
  <c r="AE35" i="20"/>
  <c r="O35" i="20"/>
  <c r="G35" i="20"/>
  <c r="AD35" i="20"/>
  <c r="V35" i="20"/>
  <c r="AR35" i="20"/>
  <c r="AJ35" i="20"/>
  <c r="AB35" i="20"/>
  <c r="L35" i="20"/>
  <c r="P35" i="20"/>
  <c r="AA35" i="20"/>
  <c r="AO35" i="20"/>
  <c r="AN38" i="20"/>
  <c r="X38" i="20"/>
  <c r="P38" i="20"/>
  <c r="AM38" i="20"/>
  <c r="AE38" i="20"/>
  <c r="O38" i="20"/>
  <c r="G38" i="20"/>
  <c r="AS38" i="20"/>
  <c r="AK38" i="20"/>
  <c r="U38" i="20"/>
  <c r="M38" i="20"/>
  <c r="Q38" i="20"/>
  <c r="AB38" i="20"/>
  <c r="AP38" i="20"/>
  <c r="AG40" i="20"/>
  <c r="J41" i="20"/>
  <c r="AQ41" i="20"/>
  <c r="V45" i="20"/>
  <c r="T49" i="20"/>
  <c r="M53" i="20"/>
  <c r="M78" i="20"/>
  <c r="L80" i="20"/>
  <c r="N5" i="20"/>
  <c r="AL5" i="20"/>
  <c r="I6" i="20"/>
  <c r="Q6" i="20"/>
  <c r="Y6" i="20"/>
  <c r="AG6" i="20"/>
  <c r="AO6" i="20"/>
  <c r="L7" i="20"/>
  <c r="AB7" i="20"/>
  <c r="AJ7" i="20"/>
  <c r="AR7" i="20"/>
  <c r="W8" i="20"/>
  <c r="J9" i="20"/>
  <c r="R9" i="20"/>
  <c r="Z9" i="20"/>
  <c r="AH9" i="20"/>
  <c r="AP9" i="20"/>
  <c r="M10" i="20"/>
  <c r="U10" i="20"/>
  <c r="AC10" i="20"/>
  <c r="AK10" i="20"/>
  <c r="AS10" i="20"/>
  <c r="P11" i="20"/>
  <c r="X11" i="20"/>
  <c r="AN11" i="20"/>
  <c r="N13" i="20"/>
  <c r="AL13" i="20"/>
  <c r="I14" i="20"/>
  <c r="Q14" i="20"/>
  <c r="Y14" i="20"/>
  <c r="AG14" i="20"/>
  <c r="AO14" i="20"/>
  <c r="L15" i="20"/>
  <c r="AB15" i="20"/>
  <c r="AJ15" i="20"/>
  <c r="AR15" i="20"/>
  <c r="W16" i="20"/>
  <c r="J17" i="20"/>
  <c r="R17" i="20"/>
  <c r="Z17" i="20"/>
  <c r="AH17" i="20"/>
  <c r="AP17" i="20"/>
  <c r="M18" i="20"/>
  <c r="U18" i="20"/>
  <c r="AC18" i="20"/>
  <c r="AK18" i="20"/>
  <c r="AS18" i="20"/>
  <c r="P19" i="20"/>
  <c r="X19" i="20"/>
  <c r="AN19" i="20"/>
  <c r="N21" i="20"/>
  <c r="AL21" i="20"/>
  <c r="I22" i="20"/>
  <c r="Q22" i="20"/>
  <c r="Y22" i="20"/>
  <c r="AG22" i="20"/>
  <c r="AO22" i="20"/>
  <c r="L23" i="20"/>
  <c r="AB23" i="20"/>
  <c r="AJ23" i="20"/>
  <c r="AR23" i="20"/>
  <c r="W24" i="20"/>
  <c r="J25" i="20"/>
  <c r="R25" i="20"/>
  <c r="Z25" i="20"/>
  <c r="AH25" i="20"/>
  <c r="AP25" i="20"/>
  <c r="M26" i="20"/>
  <c r="U26" i="20"/>
  <c r="AC26" i="20"/>
  <c r="AK26" i="20"/>
  <c r="AS26" i="20"/>
  <c r="AR27" i="20"/>
  <c r="AI28" i="20"/>
  <c r="Q30" i="20"/>
  <c r="Z30" i="20"/>
  <c r="Q31" i="20"/>
  <c r="AC31" i="20"/>
  <c r="AD32" i="20"/>
  <c r="V32" i="20"/>
  <c r="AS32" i="20"/>
  <c r="AK32" i="20"/>
  <c r="U32" i="20"/>
  <c r="M32" i="20"/>
  <c r="L32" i="20"/>
  <c r="X32" i="20"/>
  <c r="AH32" i="20"/>
  <c r="AR32" i="20"/>
  <c r="S33" i="20"/>
  <c r="Q35" i="20"/>
  <c r="AC35" i="20"/>
  <c r="AP35" i="20"/>
  <c r="Q37" i="20"/>
  <c r="R38" i="20"/>
  <c r="AD38" i="20"/>
  <c r="AQ38" i="20"/>
  <c r="AL40" i="20"/>
  <c r="N40" i="20"/>
  <c r="AC40" i="20"/>
  <c r="AI40" i="20"/>
  <c r="K40" i="20"/>
  <c r="I40" i="20"/>
  <c r="W40" i="20"/>
  <c r="AH40" i="20"/>
  <c r="U41" i="20"/>
  <c r="AH41" i="20"/>
  <c r="AR41" i="20"/>
  <c r="AD44" i="20"/>
  <c r="V44" i="20"/>
  <c r="AK44" i="20"/>
  <c r="AB44" i="20"/>
  <c r="S44" i="20"/>
  <c r="J44" i="20"/>
  <c r="AS44" i="20"/>
  <c r="AJ44" i="20"/>
  <c r="AA44" i="20"/>
  <c r="R44" i="20"/>
  <c r="I44" i="20"/>
  <c r="AQ44" i="20"/>
  <c r="AH44" i="20"/>
  <c r="Y44" i="20"/>
  <c r="P44" i="20"/>
  <c r="G44" i="20"/>
  <c r="AM45" i="20"/>
  <c r="I52" i="20"/>
  <c r="AE52" i="20"/>
  <c r="AH53" i="20"/>
  <c r="AL60" i="20"/>
  <c r="N60" i="20"/>
  <c r="AI60" i="20"/>
  <c r="K60" i="20"/>
  <c r="AC60" i="20"/>
  <c r="H60" i="20"/>
  <c r="Q60" i="20"/>
  <c r="Z60" i="20"/>
  <c r="AF60" i="20"/>
  <c r="AO63" i="20"/>
  <c r="AF63" i="20"/>
  <c r="W63" i="20"/>
  <c r="AL63" i="20"/>
  <c r="AC63" i="20"/>
  <c r="T63" i="20"/>
  <c r="H63" i="20"/>
  <c r="Q63" i="20"/>
  <c r="Z63" i="20"/>
  <c r="N63" i="20"/>
  <c r="K63" i="20"/>
  <c r="AL96" i="20"/>
  <c r="N96" i="20"/>
  <c r="AO96" i="20"/>
  <c r="AF96" i="20"/>
  <c r="W96" i="20"/>
  <c r="AC96" i="20"/>
  <c r="T96" i="20"/>
  <c r="K96" i="20"/>
  <c r="H96" i="20"/>
  <c r="Q96" i="20"/>
  <c r="Z96" i="20"/>
  <c r="AI96" i="20"/>
  <c r="AF102" i="20"/>
  <c r="H102" i="20"/>
  <c r="AL102" i="20"/>
  <c r="N102" i="20"/>
  <c r="Q102" i="20"/>
  <c r="AI102" i="20"/>
  <c r="AC102" i="20"/>
  <c r="AO102" i="20"/>
  <c r="Z102" i="20"/>
  <c r="K102" i="20"/>
  <c r="T102" i="20"/>
  <c r="W102" i="20"/>
  <c r="L4" i="20"/>
  <c r="AB4" i="20"/>
  <c r="AJ4" i="20"/>
  <c r="W5" i="20"/>
  <c r="J6" i="20"/>
  <c r="R6" i="20"/>
  <c r="AH6" i="20"/>
  <c r="AP6" i="20"/>
  <c r="M7" i="20"/>
  <c r="U7" i="20"/>
  <c r="AK7" i="20"/>
  <c r="H8" i="20"/>
  <c r="AF8" i="20"/>
  <c r="K9" i="20"/>
  <c r="S9" i="20"/>
  <c r="AA9" i="20"/>
  <c r="AQ9" i="20"/>
  <c r="N10" i="20"/>
  <c r="V10" i="20"/>
  <c r="I11" i="20"/>
  <c r="Q11" i="20"/>
  <c r="Y11" i="20"/>
  <c r="L12" i="20"/>
  <c r="AB12" i="20"/>
  <c r="AJ12" i="20"/>
  <c r="W13" i="20"/>
  <c r="J14" i="20"/>
  <c r="R14" i="20"/>
  <c r="AH14" i="20"/>
  <c r="AP14" i="20"/>
  <c r="M15" i="20"/>
  <c r="U15" i="20"/>
  <c r="AK15" i="20"/>
  <c r="H16" i="20"/>
  <c r="AF16" i="20"/>
  <c r="K17" i="20"/>
  <c r="S17" i="20"/>
  <c r="AA17" i="20"/>
  <c r="AQ17" i="20"/>
  <c r="N18" i="20"/>
  <c r="V18" i="20"/>
  <c r="I19" i="20"/>
  <c r="Q19" i="20"/>
  <c r="Y19" i="20"/>
  <c r="L20" i="20"/>
  <c r="AB20" i="20"/>
  <c r="AJ20" i="20"/>
  <c r="W21" i="20"/>
  <c r="J22" i="20"/>
  <c r="R22" i="20"/>
  <c r="AH22" i="20"/>
  <c r="AP22" i="20"/>
  <c r="M23" i="20"/>
  <c r="U23" i="20"/>
  <c r="AK23" i="20"/>
  <c r="H24" i="20"/>
  <c r="AF24" i="20"/>
  <c r="K25" i="20"/>
  <c r="S25" i="20"/>
  <c r="AA25" i="20"/>
  <c r="AQ25" i="20"/>
  <c r="N26" i="20"/>
  <c r="V26" i="20"/>
  <c r="I27" i="20"/>
  <c r="R27" i="20"/>
  <c r="AA27" i="20"/>
  <c r="AJ27" i="20"/>
  <c r="AS27" i="20"/>
  <c r="H28" i="20"/>
  <c r="Q28" i="20"/>
  <c r="H29" i="20"/>
  <c r="Q29" i="20"/>
  <c r="Z29" i="20"/>
  <c r="AI29" i="20"/>
  <c r="H31" i="20"/>
  <c r="O32" i="20"/>
  <c r="Y32" i="20"/>
  <c r="J33" i="20"/>
  <c r="AD33" i="20"/>
  <c r="AM33" i="20"/>
  <c r="R35" i="20"/>
  <c r="AF35" i="20"/>
  <c r="AQ35" i="20"/>
  <c r="H37" i="20"/>
  <c r="S38" i="20"/>
  <c r="AG38" i="20"/>
  <c r="AR38" i="20"/>
  <c r="J40" i="20"/>
  <c r="X40" i="20"/>
  <c r="AJ40" i="20"/>
  <c r="L41" i="20"/>
  <c r="AG44" i="20"/>
  <c r="L45" i="20"/>
  <c r="AN45" i="20"/>
  <c r="AP48" i="20"/>
  <c r="AH48" i="20"/>
  <c r="R48" i="20"/>
  <c r="J48" i="20"/>
  <c r="AM48" i="20"/>
  <c r="AE48" i="20"/>
  <c r="O48" i="20"/>
  <c r="G48" i="20"/>
  <c r="AS48" i="20"/>
  <c r="X48" i="20"/>
  <c r="M48" i="20"/>
  <c r="AR48" i="20"/>
  <c r="AG48" i="20"/>
  <c r="V48" i="20"/>
  <c r="L48" i="20"/>
  <c r="AQ48" i="20"/>
  <c r="U48" i="20"/>
  <c r="AN48" i="20"/>
  <c r="S48" i="20"/>
  <c r="AK48" i="20"/>
  <c r="W49" i="20"/>
  <c r="AO49" i="20"/>
  <c r="AL52" i="20"/>
  <c r="N52" i="20"/>
  <c r="AI52" i="20"/>
  <c r="K52" i="20"/>
  <c r="Q52" i="20"/>
  <c r="Z52" i="20"/>
  <c r="W52" i="20"/>
  <c r="J52" i="20"/>
  <c r="AF52" i="20"/>
  <c r="AQ59" i="20"/>
  <c r="AA59" i="20"/>
  <c r="S59" i="20"/>
  <c r="AN59" i="20"/>
  <c r="X59" i="20"/>
  <c r="P59" i="20"/>
  <c r="AS59" i="20"/>
  <c r="AH59" i="20"/>
  <c r="M59" i="20"/>
  <c r="AR59" i="20"/>
  <c r="AG59" i="20"/>
  <c r="V59" i="20"/>
  <c r="L59" i="20"/>
  <c r="AP59" i="20"/>
  <c r="AE59" i="20"/>
  <c r="U59" i="20"/>
  <c r="J59" i="20"/>
  <c r="AD59" i="20"/>
  <c r="I59" i="20"/>
  <c r="AM59" i="20"/>
  <c r="R59" i="20"/>
  <c r="G59" i="20"/>
  <c r="AK59" i="20"/>
  <c r="Y59" i="20"/>
  <c r="AH80" i="20"/>
  <c r="W91" i="20"/>
  <c r="N91" i="20"/>
  <c r="T91" i="20"/>
  <c r="AF91" i="20"/>
  <c r="H91" i="20"/>
  <c r="AC91" i="20"/>
  <c r="AO91" i="20"/>
  <c r="Q91" i="20"/>
  <c r="K91" i="20"/>
  <c r="AI91" i="20"/>
  <c r="Z91" i="20"/>
  <c r="AL91" i="20"/>
  <c r="AI95" i="20"/>
  <c r="K95" i="20"/>
  <c r="AO95" i="20"/>
  <c r="AF95" i="20"/>
  <c r="W95" i="20"/>
  <c r="N95" i="20"/>
  <c r="T95" i="20"/>
  <c r="H95" i="20"/>
  <c r="AC95" i="20"/>
  <c r="Q95" i="20"/>
  <c r="Z95" i="20"/>
  <c r="AL95" i="20"/>
  <c r="M6" i="26"/>
  <c r="E6" i="26"/>
  <c r="L6" i="26"/>
  <c r="D6" i="26"/>
  <c r="G6" i="26"/>
  <c r="J6" i="26"/>
  <c r="K6" i="26"/>
  <c r="I6" i="26"/>
  <c r="I10" i="26" s="1"/>
  <c r="H6" i="26"/>
  <c r="C6" i="26"/>
  <c r="F6" i="26"/>
  <c r="B6" i="26"/>
  <c r="H5" i="20"/>
  <c r="S6" i="20"/>
  <c r="AA6" i="20"/>
  <c r="Q8" i="20"/>
  <c r="L9" i="20"/>
  <c r="AB9" i="20"/>
  <c r="AJ9" i="20"/>
  <c r="H13" i="20"/>
  <c r="S14" i="20"/>
  <c r="AA14" i="20"/>
  <c r="Q16" i="20"/>
  <c r="L17" i="20"/>
  <c r="AB17" i="20"/>
  <c r="AJ17" i="20"/>
  <c r="H21" i="20"/>
  <c r="S22" i="20"/>
  <c r="AA22" i="20"/>
  <c r="Q24" i="20"/>
  <c r="L25" i="20"/>
  <c r="AB25" i="20"/>
  <c r="AJ25" i="20"/>
  <c r="AF30" i="20"/>
  <c r="H30" i="20"/>
  <c r="AI31" i="20"/>
  <c r="K31" i="20"/>
  <c r="Z31" i="20"/>
  <c r="AO31" i="20"/>
  <c r="AC37" i="20"/>
  <c r="T37" i="20"/>
  <c r="Z37" i="20"/>
  <c r="AF37" i="20"/>
  <c r="AI39" i="20"/>
  <c r="K39" i="20"/>
  <c r="Z39" i="20"/>
  <c r="AF39" i="20"/>
  <c r="H39" i="20"/>
  <c r="W39" i="20"/>
  <c r="L40" i="20"/>
  <c r="Y40" i="20"/>
  <c r="AM40" i="20"/>
  <c r="AG41" i="20"/>
  <c r="Y41" i="20"/>
  <c r="I41" i="20"/>
  <c r="AN41" i="20"/>
  <c r="X41" i="20"/>
  <c r="P41" i="20"/>
  <c r="AD41" i="20"/>
  <c r="V41" i="20"/>
  <c r="M41" i="20"/>
  <c r="AJ41" i="20"/>
  <c r="M45" i="20"/>
  <c r="AP45" i="20"/>
  <c r="AG53" i="20"/>
  <c r="Y53" i="20"/>
  <c r="I53" i="20"/>
  <c r="AD53" i="20"/>
  <c r="V53" i="20"/>
  <c r="AP53" i="20"/>
  <c r="U53" i="20"/>
  <c r="L53" i="20"/>
  <c r="AN53" i="20"/>
  <c r="AE53" i="20"/>
  <c r="AM53" i="20"/>
  <c r="S53" i="20"/>
  <c r="J53" i="20"/>
  <c r="AB53" i="20"/>
  <c r="R53" i="20"/>
  <c r="AK53" i="20"/>
  <c r="AA53" i="20"/>
  <c r="P53" i="20"/>
  <c r="G53" i="20"/>
  <c r="AJ53" i="20"/>
  <c r="AN78" i="20"/>
  <c r="AP78" i="20"/>
  <c r="AG78" i="20"/>
  <c r="Y78" i="20"/>
  <c r="I78" i="20"/>
  <c r="AM78" i="20"/>
  <c r="AD78" i="20"/>
  <c r="U78" i="20"/>
  <c r="L78" i="20"/>
  <c r="AK78" i="20"/>
  <c r="AB78" i="20"/>
  <c r="S78" i="20"/>
  <c r="J78" i="20"/>
  <c r="AJ78" i="20"/>
  <c r="AA78" i="20"/>
  <c r="R78" i="20"/>
  <c r="X78" i="20"/>
  <c r="V78" i="20"/>
  <c r="G78" i="20"/>
  <c r="AH78" i="20"/>
  <c r="P78" i="20"/>
  <c r="AR78" i="20"/>
  <c r="AP80" i="20"/>
  <c r="AC85" i="20"/>
  <c r="AL85" i="20"/>
  <c r="Q85" i="20"/>
  <c r="Z85" i="20"/>
  <c r="AI85" i="20"/>
  <c r="N85" i="20"/>
  <c r="AO85" i="20"/>
  <c r="K85" i="20"/>
  <c r="T85" i="20"/>
  <c r="H85" i="20"/>
  <c r="W64" i="20"/>
  <c r="N64" i="20"/>
  <c r="AL64" i="20"/>
  <c r="AC64" i="20"/>
  <c r="T64" i="20"/>
  <c r="K64" i="20"/>
  <c r="AI64" i="20"/>
  <c r="Z65" i="20"/>
  <c r="AO65" i="20"/>
  <c r="AF65" i="20"/>
  <c r="W65" i="20"/>
  <c r="N65" i="20"/>
  <c r="AL65" i="20"/>
  <c r="AC65" i="20"/>
  <c r="T65" i="20"/>
  <c r="K65" i="20"/>
  <c r="AI65" i="20"/>
  <c r="AC66" i="20"/>
  <c r="AO66" i="20"/>
  <c r="AF66" i="20"/>
  <c r="W66" i="20"/>
  <c r="N66" i="20"/>
  <c r="AL66" i="20"/>
  <c r="AF67" i="20"/>
  <c r="H67" i="20"/>
  <c r="W67" i="20"/>
  <c r="N67" i="20"/>
  <c r="AL67" i="20"/>
  <c r="AC67" i="20"/>
  <c r="T67" i="20"/>
  <c r="K67" i="20"/>
  <c r="AI67" i="20"/>
  <c r="AI68" i="20"/>
  <c r="K68" i="20"/>
  <c r="AO68" i="20"/>
  <c r="AF68" i="20"/>
  <c r="W68" i="20"/>
  <c r="N68" i="20"/>
  <c r="AL68" i="20"/>
  <c r="AC68" i="20"/>
  <c r="T68" i="20"/>
  <c r="AL69" i="20"/>
  <c r="N69" i="20"/>
  <c r="AO69" i="20"/>
  <c r="AF69" i="20"/>
  <c r="W69" i="20"/>
  <c r="T82" i="20"/>
  <c r="AO82" i="20"/>
  <c r="AF82" i="20"/>
  <c r="W82" i="20"/>
  <c r="N82" i="20"/>
  <c r="AN94" i="20"/>
  <c r="X94" i="20"/>
  <c r="P94" i="20"/>
  <c r="AP94" i="20"/>
  <c r="AG94" i="20"/>
  <c r="AM94" i="20"/>
  <c r="AD94" i="20"/>
  <c r="U94" i="20"/>
  <c r="L94" i="20"/>
  <c r="AS94" i="20"/>
  <c r="AH94" i="20"/>
  <c r="I94" i="20"/>
  <c r="AR94" i="20"/>
  <c r="AE94" i="20"/>
  <c r="S94" i="20"/>
  <c r="G94" i="20"/>
  <c r="AQ94" i="20"/>
  <c r="R94" i="20"/>
  <c r="AB94" i="20"/>
  <c r="Y94" i="20"/>
  <c r="Q42" i="20"/>
  <c r="AO42" i="20"/>
  <c r="L43" i="20"/>
  <c r="AB43" i="20"/>
  <c r="AJ43" i="20"/>
  <c r="AR43" i="20"/>
  <c r="AS49" i="20"/>
  <c r="AK49" i="20"/>
  <c r="U49" i="20"/>
  <c r="M49" i="20"/>
  <c r="AP49" i="20"/>
  <c r="AH49" i="20"/>
  <c r="R49" i="20"/>
  <c r="J49" i="20"/>
  <c r="X49" i="20"/>
  <c r="AF50" i="20"/>
  <c r="H50" i="20"/>
  <c r="AC50" i="20"/>
  <c r="T50" i="20"/>
  <c r="I56" i="20"/>
  <c r="T56" i="20"/>
  <c r="AD56" i="20"/>
  <c r="AD60" i="20"/>
  <c r="V60" i="20"/>
  <c r="AQ60" i="20"/>
  <c r="F33" i="28" s="1"/>
  <c r="J33" i="28" s="1"/>
  <c r="K33" i="28" s="1"/>
  <c r="AA60" i="20"/>
  <c r="S60" i="20"/>
  <c r="M60" i="20"/>
  <c r="X60" i="20"/>
  <c r="AH60" i="20"/>
  <c r="AS60" i="20"/>
  <c r="R61" i="20"/>
  <c r="AB61" i="20"/>
  <c r="M64" i="20"/>
  <c r="Z64" i="20"/>
  <c r="M65" i="20"/>
  <c r="Y65" i="20"/>
  <c r="L66" i="20"/>
  <c r="Y66" i="20"/>
  <c r="M67" i="20"/>
  <c r="Z67" i="20"/>
  <c r="M68" i="20"/>
  <c r="Y68" i="20"/>
  <c r="L69" i="20"/>
  <c r="Y69" i="20"/>
  <c r="K82" i="20"/>
  <c r="AM91" i="20"/>
  <c r="AE91" i="20"/>
  <c r="O91" i="20"/>
  <c r="G91" i="20"/>
  <c r="AP91" i="20"/>
  <c r="AG91" i="20"/>
  <c r="X91" i="20"/>
  <c r="AN91" i="20"/>
  <c r="AD91" i="20"/>
  <c r="U91" i="20"/>
  <c r="L91" i="20"/>
  <c r="AS91" i="20"/>
  <c r="AH91" i="20"/>
  <c r="I91" i="20"/>
  <c r="AR91" i="20"/>
  <c r="S91" i="20"/>
  <c r="AQ91" i="20"/>
  <c r="R91" i="20"/>
  <c r="AB91" i="20"/>
  <c r="Y91" i="20"/>
  <c r="J93" i="20"/>
  <c r="AA94" i="20"/>
  <c r="AQ95" i="20"/>
  <c r="AA95" i="20"/>
  <c r="S95" i="20"/>
  <c r="AM95" i="20"/>
  <c r="AD95" i="20"/>
  <c r="U95" i="20"/>
  <c r="L95" i="20"/>
  <c r="AS95" i="20"/>
  <c r="AG95" i="20"/>
  <c r="AR95" i="20"/>
  <c r="AE95" i="20"/>
  <c r="R95" i="20"/>
  <c r="G95" i="20"/>
  <c r="AP95" i="20"/>
  <c r="AN95" i="20"/>
  <c r="AB95" i="20"/>
  <c r="P95" i="20"/>
  <c r="X95" i="20"/>
  <c r="O96" i="20"/>
  <c r="AM99" i="20"/>
  <c r="AE99" i="20"/>
  <c r="O99" i="20"/>
  <c r="G99" i="20"/>
  <c r="AS99" i="20"/>
  <c r="AK99" i="20"/>
  <c r="U99" i="20"/>
  <c r="M99" i="20"/>
  <c r="AD99" i="20"/>
  <c r="S99" i="20"/>
  <c r="I99" i="20"/>
  <c r="AN99" i="20"/>
  <c r="AB99" i="20"/>
  <c r="R99" i="20"/>
  <c r="AJ99" i="20"/>
  <c r="P99" i="20"/>
  <c r="L99" i="20"/>
  <c r="AR99" i="20"/>
  <c r="AA99" i="20"/>
  <c r="AQ99" i="20"/>
  <c r="Y99" i="20"/>
  <c r="J99" i="20"/>
  <c r="AP99" i="20"/>
  <c r="X99" i="20"/>
  <c r="AG99" i="20"/>
  <c r="Z56" i="20"/>
  <c r="W56" i="20"/>
  <c r="K56" i="20"/>
  <c r="AF56" i="20"/>
  <c r="AM64" i="20"/>
  <c r="AE64" i="20"/>
  <c r="O64" i="20"/>
  <c r="G64" i="20"/>
  <c r="AP64" i="20"/>
  <c r="AG64" i="20"/>
  <c r="X64" i="20"/>
  <c r="P64" i="20"/>
  <c r="AA64" i="20"/>
  <c r="AN64" i="20"/>
  <c r="AP65" i="20"/>
  <c r="AH65" i="20"/>
  <c r="R65" i="20"/>
  <c r="J65" i="20"/>
  <c r="O65" i="20"/>
  <c r="AA65" i="20"/>
  <c r="AM65" i="20"/>
  <c r="AS66" i="20"/>
  <c r="AK66" i="20"/>
  <c r="U66" i="20"/>
  <c r="M66" i="20"/>
  <c r="AB66" i="20"/>
  <c r="S66" i="20"/>
  <c r="J66" i="20"/>
  <c r="O66" i="20"/>
  <c r="Z66" i="20"/>
  <c r="AM66" i="20"/>
  <c r="AN67" i="20"/>
  <c r="X67" i="20"/>
  <c r="P67" i="20"/>
  <c r="AP67" i="20"/>
  <c r="AG67" i="20"/>
  <c r="O67" i="20"/>
  <c r="AA67" i="20"/>
  <c r="AM67" i="20"/>
  <c r="AQ68" i="20"/>
  <c r="AA68" i="20"/>
  <c r="S68" i="20"/>
  <c r="J68" i="20"/>
  <c r="O68" i="20"/>
  <c r="Z68" i="20"/>
  <c r="AM68" i="20"/>
  <c r="AD69" i="20"/>
  <c r="V69" i="20"/>
  <c r="M69" i="20"/>
  <c r="AK69" i="20"/>
  <c r="AB69" i="20"/>
  <c r="S69" i="20"/>
  <c r="J69" i="20"/>
  <c r="O69" i="20"/>
  <c r="Z69" i="20"/>
  <c r="AM69" i="20"/>
  <c r="AC93" i="20"/>
  <c r="AO93" i="20"/>
  <c r="AF93" i="20"/>
  <c r="W93" i="20"/>
  <c r="N93" i="20"/>
  <c r="T93" i="20"/>
  <c r="K93" i="20"/>
  <c r="H93" i="20"/>
  <c r="Q93" i="20"/>
  <c r="J94" i="20"/>
  <c r="Q36" i="20"/>
  <c r="AO36" i="20"/>
  <c r="L37" i="20"/>
  <c r="AB37" i="20"/>
  <c r="AJ37" i="20"/>
  <c r="AR37" i="20"/>
  <c r="K42" i="20"/>
  <c r="AI42" i="20"/>
  <c r="V43" i="20"/>
  <c r="AD43" i="20"/>
  <c r="AL44" i="20"/>
  <c r="N44" i="20"/>
  <c r="AI46" i="20"/>
  <c r="Z48" i="20"/>
  <c r="W48" i="20"/>
  <c r="K48" i="20"/>
  <c r="AF48" i="20"/>
  <c r="P49" i="20"/>
  <c r="AA49" i="20"/>
  <c r="W50" i="20"/>
  <c r="L56" i="20"/>
  <c r="V56" i="20"/>
  <c r="AG56" i="20"/>
  <c r="AR56" i="20"/>
  <c r="Q57" i="20"/>
  <c r="AN58" i="20"/>
  <c r="X58" i="20"/>
  <c r="P58" i="20"/>
  <c r="AS58" i="20"/>
  <c r="AK58" i="20"/>
  <c r="U58" i="20"/>
  <c r="M58" i="20"/>
  <c r="Y58" i="20"/>
  <c r="AI59" i="20"/>
  <c r="K59" i="20"/>
  <c r="AF59" i="20"/>
  <c r="H59" i="20"/>
  <c r="P60" i="20"/>
  <c r="AK60" i="20"/>
  <c r="AE61" i="20"/>
  <c r="AN61" i="20"/>
  <c r="Q64" i="20"/>
  <c r="AB64" i="20"/>
  <c r="AO64" i="20"/>
  <c r="P65" i="20"/>
  <c r="AB65" i="20"/>
  <c r="AN65" i="20"/>
  <c r="P66" i="20"/>
  <c r="AA66" i="20"/>
  <c r="AN66" i="20"/>
  <c r="Q67" i="20"/>
  <c r="AB67" i="20"/>
  <c r="AO67" i="20"/>
  <c r="P68" i="20"/>
  <c r="AB68" i="20"/>
  <c r="AN68" i="20"/>
  <c r="P69" i="20"/>
  <c r="AA69" i="20"/>
  <c r="AN69" i="20"/>
  <c r="AI82" i="20"/>
  <c r="W83" i="20"/>
  <c r="AO83" i="20"/>
  <c r="AF83" i="20"/>
  <c r="AL83" i="20"/>
  <c r="H83" i="20"/>
  <c r="Q83" i="20"/>
  <c r="Z83" i="20"/>
  <c r="AI83" i="20"/>
  <c r="N83" i="20"/>
  <c r="K83" i="20"/>
  <c r="AP92" i="20"/>
  <c r="AH92" i="20"/>
  <c r="R92" i="20"/>
  <c r="J92" i="20"/>
  <c r="AM92" i="20"/>
  <c r="AD92" i="20"/>
  <c r="U92" i="20"/>
  <c r="L92" i="20"/>
  <c r="AS92" i="20"/>
  <c r="AG92" i="20"/>
  <c r="AR92" i="20"/>
  <c r="M32" i="23" s="1"/>
  <c r="F33" i="24" s="1"/>
  <c r="G33" i="24" s="1"/>
  <c r="AE92" i="20"/>
  <c r="S92" i="20"/>
  <c r="G92" i="20"/>
  <c r="AQ92" i="20"/>
  <c r="AN92" i="20"/>
  <c r="AB92" i="20"/>
  <c r="P92" i="20"/>
  <c r="X92" i="20"/>
  <c r="O93" i="20"/>
  <c r="AL93" i="20"/>
  <c r="AJ94" i="20"/>
  <c r="AD96" i="20"/>
  <c r="V96" i="20"/>
  <c r="M96" i="20"/>
  <c r="AM96" i="20"/>
  <c r="AR96" i="20"/>
  <c r="M6" i="23" s="1"/>
  <c r="F7" i="24" s="1"/>
  <c r="G7" i="24" s="1"/>
  <c r="AG96" i="20"/>
  <c r="S96" i="20"/>
  <c r="AQ96" i="20"/>
  <c r="AE96" i="20"/>
  <c r="R96" i="20"/>
  <c r="G96" i="20"/>
  <c r="AP96" i="20"/>
  <c r="AB96" i="20"/>
  <c r="AN96" i="20"/>
  <c r="AA96" i="20"/>
  <c r="P96" i="20"/>
  <c r="X96" i="20"/>
  <c r="Q33" i="20"/>
  <c r="L34" i="20"/>
  <c r="AB34" i="20"/>
  <c r="AJ34" i="20"/>
  <c r="M37" i="20"/>
  <c r="U37" i="20"/>
  <c r="AK37" i="20"/>
  <c r="Q41" i="20"/>
  <c r="L42" i="20"/>
  <c r="AB42" i="20"/>
  <c r="AJ42" i="20"/>
  <c r="G43" i="20"/>
  <c r="O43" i="20"/>
  <c r="AE43" i="20"/>
  <c r="G49" i="20"/>
  <c r="AB49" i="20"/>
  <c r="AM49" i="20"/>
  <c r="AN50" i="20"/>
  <c r="X50" i="20"/>
  <c r="P50" i="20"/>
  <c r="AS50" i="20"/>
  <c r="AK50" i="20"/>
  <c r="U50" i="20"/>
  <c r="M50" i="20"/>
  <c r="N50" i="20"/>
  <c r="Y50" i="20"/>
  <c r="AI50" i="20"/>
  <c r="AI51" i="20"/>
  <c r="K51" i="20"/>
  <c r="AF51" i="20"/>
  <c r="H51" i="20"/>
  <c r="M56" i="20"/>
  <c r="X56" i="20"/>
  <c r="AI56" i="20"/>
  <c r="O58" i="20"/>
  <c r="AJ58" i="20"/>
  <c r="G60" i="20"/>
  <c r="AB60" i="20"/>
  <c r="AM60" i="20"/>
  <c r="L61" i="20"/>
  <c r="U61" i="20"/>
  <c r="R64" i="20"/>
  <c r="AD64" i="20"/>
  <c r="AQ64" i="20"/>
  <c r="F26" i="28" s="1"/>
  <c r="Q65" i="20"/>
  <c r="AD65" i="20"/>
  <c r="AQ65" i="20"/>
  <c r="Q66" i="20"/>
  <c r="AD66" i="20"/>
  <c r="AP66" i="20"/>
  <c r="R67" i="20"/>
  <c r="AD67" i="20"/>
  <c r="AQ67" i="20"/>
  <c r="Q68" i="20"/>
  <c r="AD68" i="20"/>
  <c r="AP68" i="20"/>
  <c r="Q69" i="20"/>
  <c r="AC69" i="20"/>
  <c r="AP69" i="20"/>
  <c r="Z82" i="20"/>
  <c r="Y92" i="20"/>
  <c r="AF94" i="20"/>
  <c r="H94" i="20"/>
  <c r="W94" i="20"/>
  <c r="N94" i="20"/>
  <c r="T94" i="20"/>
  <c r="AC94" i="20"/>
  <c r="AO94" i="20"/>
  <c r="Q94" i="20"/>
  <c r="M94" i="20"/>
  <c r="AK94" i="20"/>
  <c r="Y96" i="20"/>
  <c r="AP56" i="20"/>
  <c r="AH56" i="20"/>
  <c r="R56" i="20"/>
  <c r="J56" i="20"/>
  <c r="AM56" i="20"/>
  <c r="AE56" i="20"/>
  <c r="O56" i="20"/>
  <c r="G56" i="20"/>
  <c r="N56" i="20"/>
  <c r="Y56" i="20"/>
  <c r="AJ56" i="20"/>
  <c r="AC57" i="20"/>
  <c r="Z57" i="20"/>
  <c r="T57" i="20"/>
  <c r="AO57" i="20"/>
  <c r="AG61" i="20"/>
  <c r="Y61" i="20"/>
  <c r="I61" i="20"/>
  <c r="AD61" i="20"/>
  <c r="V61" i="20"/>
  <c r="M61" i="20"/>
  <c r="AH61" i="20"/>
  <c r="AQ61" i="20"/>
  <c r="H64" i="20"/>
  <c r="S64" i="20"/>
  <c r="AF64" i="20"/>
  <c r="AR64" i="20"/>
  <c r="G65" i="20"/>
  <c r="S65" i="20"/>
  <c r="AE65" i="20"/>
  <c r="AR65" i="20"/>
  <c r="G66" i="20"/>
  <c r="R66" i="20"/>
  <c r="AE66" i="20"/>
  <c r="AQ66" i="20"/>
  <c r="G67" i="20"/>
  <c r="S67" i="20"/>
  <c r="AE67" i="20"/>
  <c r="AR67" i="20"/>
  <c r="G68" i="20"/>
  <c r="R68" i="20"/>
  <c r="AE68" i="20"/>
  <c r="AR68" i="20"/>
  <c r="G69" i="20"/>
  <c r="R69" i="20"/>
  <c r="AE69" i="20"/>
  <c r="AQ69" i="20"/>
  <c r="AL80" i="20"/>
  <c r="N80" i="20"/>
  <c r="AO80" i="20"/>
  <c r="AF80" i="20"/>
  <c r="W80" i="20"/>
  <c r="H80" i="20"/>
  <c r="Q80" i="20"/>
  <c r="Z80" i="20"/>
  <c r="AI80" i="20"/>
  <c r="K80" i="20"/>
  <c r="Q82" i="20"/>
  <c r="AL82" i="20"/>
  <c r="AS93" i="20"/>
  <c r="AK93" i="20"/>
  <c r="U93" i="20"/>
  <c r="M93" i="20"/>
  <c r="AM93" i="20"/>
  <c r="AD93" i="20"/>
  <c r="AR93" i="20"/>
  <c r="AG93" i="20"/>
  <c r="S93" i="20"/>
  <c r="AQ93" i="20"/>
  <c r="AE93" i="20"/>
  <c r="R93" i="20"/>
  <c r="G93" i="20"/>
  <c r="AP93" i="20"/>
  <c r="AB93" i="20"/>
  <c r="AN93" i="20"/>
  <c r="AA93" i="20"/>
  <c r="P93" i="20"/>
  <c r="X93" i="20"/>
  <c r="O94" i="20"/>
  <c r="T98" i="20"/>
  <c r="Z98" i="20"/>
  <c r="AI98" i="20"/>
  <c r="AO98" i="20"/>
  <c r="AF98" i="20"/>
  <c r="W98" i="20"/>
  <c r="N98" i="20"/>
  <c r="K98" i="20"/>
  <c r="Q54" i="20"/>
  <c r="AO54" i="20"/>
  <c r="L55" i="20"/>
  <c r="AB55" i="20"/>
  <c r="AJ55" i="20"/>
  <c r="AR55" i="20"/>
  <c r="M97" i="23" s="1"/>
  <c r="F98" i="24" s="1"/>
  <c r="G98" i="24" s="1"/>
  <c r="Q62" i="20"/>
  <c r="AO62" i="20"/>
  <c r="AR63" i="20"/>
  <c r="AJ63" i="20"/>
  <c r="AB63" i="20"/>
  <c r="L63" i="20"/>
  <c r="J72" i="20"/>
  <c r="S72" i="20"/>
  <c r="AB72" i="20"/>
  <c r="I73" i="20"/>
  <c r="S73" i="20"/>
  <c r="AB73" i="20"/>
  <c r="I74" i="20"/>
  <c r="R74" i="20"/>
  <c r="AA74" i="20"/>
  <c r="AF75" i="20"/>
  <c r="H75" i="20"/>
  <c r="J75" i="20"/>
  <c r="S75" i="20"/>
  <c r="AB75" i="20"/>
  <c r="AI76" i="20"/>
  <c r="K76" i="20"/>
  <c r="I76" i="20"/>
  <c r="R76" i="20"/>
  <c r="AB76" i="20"/>
  <c r="AL77" i="20"/>
  <c r="N77" i="20"/>
  <c r="I77" i="20"/>
  <c r="R77" i="20"/>
  <c r="AA77" i="20"/>
  <c r="AJ77" i="20"/>
  <c r="AI79" i="20"/>
  <c r="K79" i="20"/>
  <c r="AO79" i="20"/>
  <c r="AF79" i="20"/>
  <c r="W79" i="20"/>
  <c r="N79" i="20"/>
  <c r="I79" i="20"/>
  <c r="T79" i="20"/>
  <c r="AD79" i="20"/>
  <c r="H84" i="20"/>
  <c r="AC84" i="20"/>
  <c r="M89" i="20"/>
  <c r="AH89" i="20"/>
  <c r="T100" i="20"/>
  <c r="O101" i="20"/>
  <c r="O103" i="20"/>
  <c r="T84" i="20"/>
  <c r="AO84" i="20"/>
  <c r="AF86" i="20"/>
  <c r="H86" i="20"/>
  <c r="AO86" i="20"/>
  <c r="T86" i="20"/>
  <c r="AL88" i="20"/>
  <c r="N88" i="20"/>
  <c r="AC88" i="20"/>
  <c r="AO88" i="20"/>
  <c r="AG89" i="20"/>
  <c r="Y89" i="20"/>
  <c r="I89" i="20"/>
  <c r="AP89" i="20"/>
  <c r="AM89" i="20"/>
  <c r="AD89" i="20"/>
  <c r="U89" i="20"/>
  <c r="L89" i="20"/>
  <c r="X89" i="20"/>
  <c r="T90" i="20"/>
  <c r="AO90" i="20"/>
  <c r="AF90" i="20"/>
  <c r="W90" i="20"/>
  <c r="N90" i="20"/>
  <c r="K90" i="20"/>
  <c r="P101" i="20"/>
  <c r="AQ103" i="20"/>
  <c r="AA103" i="20"/>
  <c r="S103" i="20"/>
  <c r="AP103" i="20"/>
  <c r="AH103" i="20"/>
  <c r="AG103" i="20"/>
  <c r="Y103" i="20"/>
  <c r="I103" i="20"/>
  <c r="AN103" i="20"/>
  <c r="AM103" i="20"/>
  <c r="AE103" i="20"/>
  <c r="AK103" i="20"/>
  <c r="M103" i="20"/>
  <c r="AJ103" i="20"/>
  <c r="V103" i="20"/>
  <c r="L103" i="20"/>
  <c r="AD103" i="20"/>
  <c r="P103" i="20"/>
  <c r="AS101" i="20"/>
  <c r="AK101" i="20"/>
  <c r="U101" i="20"/>
  <c r="M101" i="20"/>
  <c r="AQ101" i="20"/>
  <c r="AA101" i="20"/>
  <c r="S101" i="20"/>
  <c r="AP101" i="20"/>
  <c r="V101" i="20"/>
  <c r="J101" i="20"/>
  <c r="AE101" i="20"/>
  <c r="I101" i="20"/>
  <c r="AM101" i="20"/>
  <c r="AB101" i="20"/>
  <c r="G101" i="20"/>
  <c r="R101" i="20"/>
  <c r="AH101" i="20"/>
  <c r="Q45" i="20"/>
  <c r="L46" i="20"/>
  <c r="AB46" i="20"/>
  <c r="AJ46" i="20"/>
  <c r="Q53" i="20"/>
  <c r="L54" i="20"/>
  <c r="AB54" i="20"/>
  <c r="AJ54" i="20"/>
  <c r="G55" i="20"/>
  <c r="O55" i="20"/>
  <c r="AE55" i="20"/>
  <c r="Q61" i="20"/>
  <c r="L62" i="20"/>
  <c r="AB62" i="20"/>
  <c r="AJ62" i="20"/>
  <c r="G63" i="20"/>
  <c r="O63" i="20"/>
  <c r="AG70" i="20"/>
  <c r="Y70" i="20"/>
  <c r="I70" i="20"/>
  <c r="M70" i="20"/>
  <c r="V70" i="20"/>
  <c r="AE70" i="20"/>
  <c r="AN70" i="20"/>
  <c r="AM72" i="20"/>
  <c r="AE72" i="20"/>
  <c r="O72" i="20"/>
  <c r="G72" i="20"/>
  <c r="M72" i="20"/>
  <c r="V72" i="20"/>
  <c r="AF72" i="20"/>
  <c r="AO72" i="20"/>
  <c r="AP73" i="20"/>
  <c r="AH73" i="20"/>
  <c r="R73" i="20"/>
  <c r="J73" i="20"/>
  <c r="M73" i="20"/>
  <c r="V73" i="20"/>
  <c r="AE73" i="20"/>
  <c r="AN73" i="20"/>
  <c r="AS74" i="20"/>
  <c r="AK74" i="20"/>
  <c r="U74" i="20"/>
  <c r="M74" i="20"/>
  <c r="L74" i="20"/>
  <c r="V74" i="20"/>
  <c r="AE74" i="20"/>
  <c r="AN74" i="20"/>
  <c r="AN75" i="20"/>
  <c r="X75" i="20"/>
  <c r="P75" i="20"/>
  <c r="M75" i="20"/>
  <c r="V75" i="20"/>
  <c r="AE75" i="20"/>
  <c r="AQ76" i="20"/>
  <c r="AA76" i="20"/>
  <c r="S76" i="20"/>
  <c r="M76" i="20"/>
  <c r="V76" i="20"/>
  <c r="AE76" i="20"/>
  <c r="AN76" i="20"/>
  <c r="AD77" i="20"/>
  <c r="V77" i="20"/>
  <c r="L77" i="20"/>
  <c r="U77" i="20"/>
  <c r="AE77" i="20"/>
  <c r="AN77" i="20"/>
  <c r="AQ79" i="20"/>
  <c r="AA79" i="20"/>
  <c r="S79" i="20"/>
  <c r="M79" i="20"/>
  <c r="X79" i="20"/>
  <c r="AH79" i="20"/>
  <c r="AS79" i="20"/>
  <c r="W84" i="20"/>
  <c r="W86" i="20"/>
  <c r="K88" i="20"/>
  <c r="W88" i="20"/>
  <c r="P89" i="20"/>
  <c r="AA89" i="20"/>
  <c r="AK89" i="20"/>
  <c r="W99" i="20"/>
  <c r="AC99" i="20"/>
  <c r="AO99" i="20"/>
  <c r="H99" i="20"/>
  <c r="Z99" i="20"/>
  <c r="AF99" i="20"/>
  <c r="Z100" i="20"/>
  <c r="AF100" i="20"/>
  <c r="H100" i="20"/>
  <c r="N100" i="20"/>
  <c r="K100" i="20"/>
  <c r="AJ101" i="20"/>
  <c r="H93" i="24"/>
  <c r="J92" i="23"/>
  <c r="I93" i="24" s="1"/>
  <c r="H40" i="24"/>
  <c r="J39" i="23"/>
  <c r="I40" i="24" s="1"/>
  <c r="Q70" i="20"/>
  <c r="L71" i="20"/>
  <c r="AB71" i="20"/>
  <c r="AJ71" i="20"/>
  <c r="AG81" i="20"/>
  <c r="Y81" i="20"/>
  <c r="I81" i="20"/>
  <c r="M81" i="20"/>
  <c r="V81" i="20"/>
  <c r="AE81" i="20"/>
  <c r="AN81" i="20"/>
  <c r="AM83" i="20"/>
  <c r="AE83" i="20"/>
  <c r="O83" i="20"/>
  <c r="G83" i="20"/>
  <c r="M83" i="20"/>
  <c r="V83" i="20"/>
  <c r="AP84" i="20"/>
  <c r="AH84" i="20"/>
  <c r="R84" i="20"/>
  <c r="J84" i="20"/>
  <c r="M84" i="20"/>
  <c r="V84" i="20"/>
  <c r="AE84" i="20"/>
  <c r="AN84" i="20"/>
  <c r="AS85" i="20"/>
  <c r="AK85" i="20"/>
  <c r="U85" i="20"/>
  <c r="M85" i="20"/>
  <c r="L85" i="20"/>
  <c r="V85" i="20"/>
  <c r="AE85" i="20"/>
  <c r="AN85" i="20"/>
  <c r="AN86" i="20"/>
  <c r="X86" i="20"/>
  <c r="P86" i="20"/>
  <c r="M86" i="20"/>
  <c r="V86" i="20"/>
  <c r="AE86" i="20"/>
  <c r="AQ87" i="20"/>
  <c r="AA87" i="20"/>
  <c r="S87" i="20"/>
  <c r="M87" i="20"/>
  <c r="V87" i="20"/>
  <c r="AE87" i="20"/>
  <c r="AN87" i="20"/>
  <c r="AD88" i="20"/>
  <c r="V88" i="20"/>
  <c r="L88" i="20"/>
  <c r="U88" i="20"/>
  <c r="AE88" i="20"/>
  <c r="AN88" i="20"/>
  <c r="L100" i="20"/>
  <c r="V100" i="20"/>
  <c r="AG100" i="20"/>
  <c r="AN102" i="20"/>
  <c r="X102" i="20"/>
  <c r="P102" i="20"/>
  <c r="AD102" i="20"/>
  <c r="V102" i="20"/>
  <c r="M102" i="20"/>
  <c r="Y102" i="20"/>
  <c r="AS102" i="20"/>
  <c r="H77" i="24"/>
  <c r="J76" i="23"/>
  <c r="I77" i="24" s="1"/>
  <c r="AG97" i="20"/>
  <c r="Y97" i="20"/>
  <c r="I97" i="20"/>
  <c r="AM97" i="20"/>
  <c r="AE97" i="20"/>
  <c r="M97" i="20"/>
  <c r="V97" i="20"/>
  <c r="AQ97" i="20"/>
  <c r="AP100" i="20"/>
  <c r="AH100" i="20"/>
  <c r="R100" i="20"/>
  <c r="J100" i="20"/>
  <c r="AN100" i="20"/>
  <c r="X100" i="20"/>
  <c r="P100" i="20"/>
  <c r="Y100" i="20"/>
  <c r="AJ100" i="20"/>
  <c r="AC101" i="20"/>
  <c r="AI101" i="20"/>
  <c r="K101" i="20"/>
  <c r="T101" i="20"/>
  <c r="AO101" i="20"/>
  <c r="J59" i="23"/>
  <c r="I60" i="24" s="1"/>
  <c r="H60" i="24"/>
  <c r="H48" i="24"/>
  <c r="J47" i="23"/>
  <c r="I48" i="24" s="1"/>
  <c r="C60" i="23"/>
  <c r="A61" i="24"/>
  <c r="J61" i="24" s="1"/>
  <c r="J84" i="23"/>
  <c r="I85" i="24" s="1"/>
  <c r="H85" i="24"/>
  <c r="H92" i="24"/>
  <c r="J91" i="23"/>
  <c r="I92" i="24" s="1"/>
  <c r="H98" i="24"/>
  <c r="J97" i="23"/>
  <c r="I98" i="24" s="1"/>
  <c r="H36" i="24"/>
  <c r="J35" i="23"/>
  <c r="I36" i="24" s="1"/>
  <c r="H37" i="24"/>
  <c r="J36" i="23"/>
  <c r="I37" i="24" s="1"/>
  <c r="H39" i="24"/>
  <c r="J38" i="23"/>
  <c r="I39" i="24" s="1"/>
  <c r="H46" i="24"/>
  <c r="J45" i="23"/>
  <c r="I46" i="24" s="1"/>
  <c r="H47" i="24"/>
  <c r="J46" i="23"/>
  <c r="I47" i="24" s="1"/>
  <c r="J58" i="23"/>
  <c r="I59" i="24" s="1"/>
  <c r="H59" i="24"/>
  <c r="J31" i="23"/>
  <c r="I32" i="24" s="1"/>
  <c r="H32" i="24"/>
  <c r="H33" i="24"/>
  <c r="J32" i="23"/>
  <c r="I33" i="24" s="1"/>
  <c r="J44" i="23"/>
  <c r="I45" i="24" s="1"/>
  <c r="H45" i="24"/>
  <c r="H55" i="24"/>
  <c r="J54" i="23"/>
  <c r="I55" i="24" s="1"/>
  <c r="H56" i="24"/>
  <c r="J55" i="23"/>
  <c r="I56" i="24" s="1"/>
  <c r="H58" i="24"/>
  <c r="J57" i="23"/>
  <c r="I58" i="24" s="1"/>
  <c r="H64" i="24"/>
  <c r="J63" i="23"/>
  <c r="I64" i="24" s="1"/>
  <c r="H82" i="24"/>
  <c r="J81" i="23"/>
  <c r="I82" i="24" s="1"/>
  <c r="H87" i="24"/>
  <c r="J86" i="23"/>
  <c r="I87" i="24" s="1"/>
  <c r="H99" i="24"/>
  <c r="J98" i="23"/>
  <c r="I99" i="24" s="1"/>
  <c r="H35" i="24"/>
  <c r="H53" i="24"/>
  <c r="J27" i="23"/>
  <c r="I28" i="24" s="1"/>
  <c r="H28" i="24"/>
  <c r="J28" i="23"/>
  <c r="I29" i="24" s="1"/>
  <c r="H29" i="24"/>
  <c r="H31" i="24"/>
  <c r="J30" i="23"/>
  <c r="I31" i="24" s="1"/>
  <c r="H63" i="24"/>
  <c r="J62" i="23"/>
  <c r="I63" i="24" s="1"/>
  <c r="J74" i="23"/>
  <c r="I75" i="24" s="1"/>
  <c r="H75" i="24"/>
  <c r="H14" i="24"/>
  <c r="Q103" i="20"/>
  <c r="AO103" i="20"/>
  <c r="H10" i="24"/>
  <c r="J9" i="23"/>
  <c r="I10" i="24" s="1"/>
  <c r="H18" i="24"/>
  <c r="J17" i="23"/>
  <c r="I18" i="24" s="1"/>
  <c r="H22" i="24"/>
  <c r="J21" i="23"/>
  <c r="I22" i="24" s="1"/>
  <c r="H24" i="24"/>
  <c r="J23" i="23"/>
  <c r="I24" i="24" s="1"/>
  <c r="H25" i="24"/>
  <c r="J24" i="23"/>
  <c r="I25" i="24" s="1"/>
  <c r="J26" i="23"/>
  <c r="I27" i="24" s="1"/>
  <c r="H27" i="24"/>
  <c r="J51" i="23"/>
  <c r="I52" i="24" s="1"/>
  <c r="H52" i="24"/>
  <c r="J70" i="23"/>
  <c r="I71" i="24" s="1"/>
  <c r="H71" i="24"/>
  <c r="H74" i="24"/>
  <c r="J73" i="23"/>
  <c r="I74" i="24" s="1"/>
  <c r="H96" i="24"/>
  <c r="J95" i="23"/>
  <c r="I96" i="24" s="1"/>
  <c r="A98" i="24"/>
  <c r="J98" i="24" s="1"/>
  <c r="C97" i="23"/>
  <c r="H6" i="24"/>
  <c r="I4" i="24"/>
  <c r="H5" i="24"/>
  <c r="J4" i="23"/>
  <c r="I5" i="24" s="1"/>
  <c r="H7" i="24"/>
  <c r="J6" i="23"/>
  <c r="I7" i="24" s="1"/>
  <c r="J8" i="23"/>
  <c r="I9" i="24" s="1"/>
  <c r="H9" i="24"/>
  <c r="H11" i="24"/>
  <c r="J10" i="23"/>
  <c r="I11" i="24" s="1"/>
  <c r="H13" i="24"/>
  <c r="J12" i="23"/>
  <c r="I13" i="24" s="1"/>
  <c r="H15" i="24"/>
  <c r="J14" i="23"/>
  <c r="I15" i="24" s="1"/>
  <c r="J16" i="23"/>
  <c r="I17" i="24" s="1"/>
  <c r="H17" i="24"/>
  <c r="H19" i="24"/>
  <c r="J18" i="23"/>
  <c r="I19" i="24" s="1"/>
  <c r="H21" i="24"/>
  <c r="J20" i="23"/>
  <c r="I21" i="24" s="1"/>
  <c r="J22" i="23"/>
  <c r="I23" i="24" s="1"/>
  <c r="H23" i="24"/>
  <c r="H43" i="24"/>
  <c r="J42" i="23"/>
  <c r="I43" i="24" s="1"/>
  <c r="J43" i="23"/>
  <c r="I44" i="24" s="1"/>
  <c r="H44" i="24"/>
  <c r="H50" i="24"/>
  <c r="J49" i="23"/>
  <c r="I50" i="24" s="1"/>
  <c r="A54" i="24"/>
  <c r="J54" i="24" s="1"/>
  <c r="C53" i="23"/>
  <c r="A72" i="24"/>
  <c r="J72" i="24" s="1"/>
  <c r="C71" i="23"/>
  <c r="Q81" i="20"/>
  <c r="L82" i="20"/>
  <c r="AB82" i="20"/>
  <c r="AJ82" i="20"/>
  <c r="Q89" i="20"/>
  <c r="L90" i="20"/>
  <c r="AB90" i="20"/>
  <c r="AJ90" i="20"/>
  <c r="Q97" i="20"/>
  <c r="L98" i="20"/>
  <c r="AB98" i="20"/>
  <c r="AJ98" i="20"/>
  <c r="K103" i="20"/>
  <c r="H42" i="24"/>
  <c r="J41" i="23"/>
  <c r="I42" i="24" s="1"/>
  <c r="J60" i="23"/>
  <c r="I61" i="24" s="1"/>
  <c r="H66" i="24"/>
  <c r="J65" i="23"/>
  <c r="I66" i="24" s="1"/>
  <c r="H69" i="24"/>
  <c r="J68" i="23"/>
  <c r="I69" i="24" s="1"/>
  <c r="H80" i="24"/>
  <c r="J79" i="23"/>
  <c r="I80" i="24" s="1"/>
  <c r="A29" i="24"/>
  <c r="J29" i="24" s="1"/>
  <c r="A33" i="24"/>
  <c r="J33" i="24" s="1"/>
  <c r="M61" i="23"/>
  <c r="F62" i="24" s="1"/>
  <c r="G62" i="24" s="1"/>
  <c r="H79" i="24"/>
  <c r="J78" i="23"/>
  <c r="I79" i="24" s="1"/>
  <c r="A11" i="24"/>
  <c r="J11" i="24" s="1"/>
  <c r="O3" i="26"/>
  <c r="J10" i="26"/>
  <c r="A58" i="24"/>
  <c r="J58" i="24" s="1"/>
  <c r="C57" i="23"/>
  <c r="C87" i="23"/>
  <c r="A88" i="24"/>
  <c r="J88" i="24" s="1"/>
  <c r="J87" i="23"/>
  <c r="I88" i="24" s="1"/>
  <c r="C92" i="23"/>
  <c r="A94" i="24"/>
  <c r="J94" i="24" s="1"/>
  <c r="A15" i="24"/>
  <c r="J15" i="24" s="1"/>
  <c r="H76" i="24"/>
  <c r="H95" i="24"/>
  <c r="C6" i="23"/>
  <c r="M7" i="23"/>
  <c r="F8" i="24" s="1"/>
  <c r="G8" i="24" s="1"/>
  <c r="C10" i="23"/>
  <c r="C14" i="23"/>
  <c r="C18" i="23"/>
  <c r="C22" i="23"/>
  <c r="C24" i="23"/>
  <c r="C28" i="23"/>
  <c r="C32" i="23"/>
  <c r="C36" i="23"/>
  <c r="C61" i="23"/>
  <c r="H64" i="23"/>
  <c r="I64" i="23" s="1"/>
  <c r="J69" i="23"/>
  <c r="I70" i="24" s="1"/>
  <c r="J88" i="23"/>
  <c r="I89" i="24" s="1"/>
  <c r="A45" i="24"/>
  <c r="J45" i="24" s="1"/>
  <c r="C63" i="23"/>
  <c r="A64" i="24"/>
  <c r="J64" i="24" s="1"/>
  <c r="A70" i="24"/>
  <c r="J70" i="24" s="1"/>
  <c r="C69" i="23"/>
  <c r="M69" i="23"/>
  <c r="F70" i="24" s="1"/>
  <c r="G70" i="24" s="1"/>
  <c r="H90" i="24"/>
  <c r="J89" i="23"/>
  <c r="I90" i="24" s="1"/>
  <c r="A37" i="24"/>
  <c r="J37" i="24" s="1"/>
  <c r="E10" i="26"/>
  <c r="M10" i="26"/>
  <c r="J25" i="23"/>
  <c r="I26" i="24" s="1"/>
  <c r="J29" i="23"/>
  <c r="I30" i="24" s="1"/>
  <c r="J33" i="23"/>
  <c r="I34" i="24" s="1"/>
  <c r="J37" i="23"/>
  <c r="I38" i="24" s="1"/>
  <c r="C39" i="23"/>
  <c r="A40" i="24"/>
  <c r="J40" i="24" s="1"/>
  <c r="H40" i="23"/>
  <c r="I40" i="23" s="1"/>
  <c r="H78" i="24"/>
  <c r="J77" i="23"/>
  <c r="I78" i="24" s="1"/>
  <c r="J85" i="23"/>
  <c r="I86" i="24" s="1"/>
  <c r="A96" i="24"/>
  <c r="J96" i="24" s="1"/>
  <c r="C95" i="23"/>
  <c r="H103" i="24"/>
  <c r="F10" i="26"/>
  <c r="C23" i="23"/>
  <c r="A24" i="24"/>
  <c r="J24" i="24" s="1"/>
  <c r="A28" i="24"/>
  <c r="J28" i="24" s="1"/>
  <c r="C27" i="23"/>
  <c r="A32" i="24"/>
  <c r="J32" i="24" s="1"/>
  <c r="C31" i="23"/>
  <c r="C44" i="23"/>
  <c r="A53" i="24"/>
  <c r="J53" i="24" s="1"/>
  <c r="C55" i="23"/>
  <c r="A56" i="24"/>
  <c r="J56" i="24" s="1"/>
  <c r="H67" i="23"/>
  <c r="I67" i="23" s="1"/>
  <c r="A42" i="24"/>
  <c r="J42" i="24" s="1"/>
  <c r="A62" i="24"/>
  <c r="J62" i="24" s="1"/>
  <c r="C10" i="26"/>
  <c r="A48" i="24"/>
  <c r="J48" i="24" s="1"/>
  <c r="C47" i="23"/>
  <c r="H48" i="23"/>
  <c r="I48" i="23" s="1"/>
  <c r="A66" i="24"/>
  <c r="J66" i="24" s="1"/>
  <c r="C65" i="23"/>
  <c r="A77" i="24"/>
  <c r="J77" i="24" s="1"/>
  <c r="C76" i="23"/>
  <c r="A82" i="24"/>
  <c r="J82" i="24" s="1"/>
  <c r="C81" i="23"/>
  <c r="H83" i="23"/>
  <c r="I83" i="23" s="1"/>
  <c r="H99" i="23"/>
  <c r="I99" i="23" s="1"/>
  <c r="A25" i="24"/>
  <c r="J25" i="24" s="1"/>
  <c r="H10" i="26"/>
  <c r="H80" i="23"/>
  <c r="I80" i="23" s="1"/>
  <c r="A78" i="24"/>
  <c r="J78" i="24" s="1"/>
  <c r="A101" i="24"/>
  <c r="J101" i="24" s="1"/>
  <c r="G10" i="26"/>
  <c r="K10" i="26"/>
  <c r="O4" i="26"/>
  <c r="L10" i="26"/>
  <c r="O7" i="26"/>
  <c r="A44" i="24"/>
  <c r="J44" i="24" s="1"/>
  <c r="C43" i="23"/>
  <c r="A49" i="24"/>
  <c r="J49" i="24" s="1"/>
  <c r="A65" i="24"/>
  <c r="J65" i="24" s="1"/>
  <c r="A73" i="24"/>
  <c r="J73" i="24" s="1"/>
  <c r="M72" i="23"/>
  <c r="F73" i="24" s="1"/>
  <c r="G73" i="24" s="1"/>
  <c r="A76" i="24"/>
  <c r="J76" i="24" s="1"/>
  <c r="C75" i="23"/>
  <c r="A97" i="24"/>
  <c r="J97" i="24" s="1"/>
  <c r="A52" i="24"/>
  <c r="J52" i="24" s="1"/>
  <c r="D10" i="26"/>
  <c r="O5" i="26"/>
  <c r="O9" i="26"/>
  <c r="H23" i="28"/>
  <c r="G23" i="28"/>
  <c r="F23" i="28"/>
  <c r="E24" i="28"/>
  <c r="C24" i="28"/>
  <c r="C33" i="28"/>
  <c r="H33" i="28"/>
  <c r="G33" i="28"/>
  <c r="H50" i="28"/>
  <c r="C51" i="28"/>
  <c r="E51" i="28" s="1"/>
  <c r="G53" i="28"/>
  <c r="H53" i="28"/>
  <c r="I53" i="28" s="1"/>
  <c r="G73" i="28"/>
  <c r="F73" i="28"/>
  <c r="C73" i="28"/>
  <c r="H76" i="28"/>
  <c r="I79" i="28"/>
  <c r="H79" i="28"/>
  <c r="G79" i="28"/>
  <c r="G26" i="28"/>
  <c r="E27" i="28"/>
  <c r="C27" i="28"/>
  <c r="G29" i="28"/>
  <c r="I29" i="28" s="1"/>
  <c r="H29" i="28"/>
  <c r="H63" i="28"/>
  <c r="G63" i="28"/>
  <c r="I63" i="28" s="1"/>
  <c r="H72" i="28"/>
  <c r="C72" i="28"/>
  <c r="C16" i="29"/>
  <c r="E16" i="29"/>
  <c r="I16" i="29" s="1"/>
  <c r="F16" i="27"/>
  <c r="G15" i="27"/>
  <c r="E16" i="27"/>
  <c r="F15" i="27"/>
  <c r="D16" i="27"/>
  <c r="G6" i="27"/>
  <c r="J6" i="27" s="1"/>
  <c r="F7" i="27"/>
  <c r="J7" i="27" s="1"/>
  <c r="E8" i="27"/>
  <c r="D9" i="27"/>
  <c r="C10" i="27"/>
  <c r="B11" i="27"/>
  <c r="G14" i="27"/>
  <c r="I8" i="28"/>
  <c r="E15" i="28"/>
  <c r="G16" i="28"/>
  <c r="C23" i="28"/>
  <c r="C30" i="28"/>
  <c r="E30" i="28" s="1"/>
  <c r="G34" i="28"/>
  <c r="I34" i="28" s="1"/>
  <c r="G35" i="28"/>
  <c r="E37" i="28"/>
  <c r="F46" i="28"/>
  <c r="E46" i="28"/>
  <c r="C49" i="28"/>
  <c r="H49" i="28"/>
  <c r="G49" i="28"/>
  <c r="F49" i="28"/>
  <c r="C50" i="28"/>
  <c r="E50" i="28" s="1"/>
  <c r="C53" i="28"/>
  <c r="E57" i="28"/>
  <c r="J57" i="28" s="1"/>
  <c r="K57" i="28" s="1"/>
  <c r="H65" i="28"/>
  <c r="E71" i="28"/>
  <c r="I71" i="28"/>
  <c r="C71" i="28"/>
  <c r="C76" i="28"/>
  <c r="E76" i="28" s="1"/>
  <c r="H78" i="28"/>
  <c r="I78" i="28"/>
  <c r="G78" i="28"/>
  <c r="F78" i="28"/>
  <c r="J78" i="28" s="1"/>
  <c r="K78" i="28" s="1"/>
  <c r="C79" i="28"/>
  <c r="E79" i="28" s="1"/>
  <c r="G81" i="28"/>
  <c r="H81" i="28"/>
  <c r="F81" i="28"/>
  <c r="I81" i="28"/>
  <c r="J81" i="28" s="1"/>
  <c r="K81" i="28" s="1"/>
  <c r="E81" i="28"/>
  <c r="G82" i="28"/>
  <c r="F84" i="28"/>
  <c r="H84" i="28"/>
  <c r="G84" i="28"/>
  <c r="I84" i="28" s="1"/>
  <c r="E84" i="28"/>
  <c r="J84" i="28" s="1"/>
  <c r="K84" i="28" s="1"/>
  <c r="E88" i="28"/>
  <c r="E95" i="28"/>
  <c r="J95" i="28" s="1"/>
  <c r="K95" i="28" s="1"/>
  <c r="C95" i="28"/>
  <c r="H95" i="28"/>
  <c r="I95" i="28" s="1"/>
  <c r="F95" i="28"/>
  <c r="F8" i="27"/>
  <c r="E9" i="27"/>
  <c r="D10" i="27"/>
  <c r="C11" i="27"/>
  <c r="B12" i="27"/>
  <c r="C3" i="28"/>
  <c r="E3" i="28" s="1"/>
  <c r="F5" i="28"/>
  <c r="E5" i="28"/>
  <c r="H16" i="28"/>
  <c r="H18" i="28"/>
  <c r="F19" i="28"/>
  <c r="G21" i="28"/>
  <c r="I21" i="28" s="1"/>
  <c r="F24" i="28"/>
  <c r="C26" i="28"/>
  <c r="E26" i="28" s="1"/>
  <c r="C29" i="28"/>
  <c r="E33" i="28"/>
  <c r="H35" i="28"/>
  <c r="H42" i="28"/>
  <c r="I42" i="28" s="1"/>
  <c r="F42" i="28"/>
  <c r="E42" i="28"/>
  <c r="E43" i="28"/>
  <c r="C43" i="28"/>
  <c r="G45" i="28"/>
  <c r="H45" i="28"/>
  <c r="I45" i="28" s="1"/>
  <c r="F45" i="28"/>
  <c r="F51" i="28"/>
  <c r="G54" i="28"/>
  <c r="I54" i="28" s="1"/>
  <c r="H62" i="28"/>
  <c r="G62" i="28"/>
  <c r="I62" i="28" s="1"/>
  <c r="F62" i="28"/>
  <c r="C63" i="28"/>
  <c r="E63" i="28" s="1"/>
  <c r="H64" i="28"/>
  <c r="H70" i="28"/>
  <c r="I70" i="28" s="1"/>
  <c r="C70" i="28"/>
  <c r="E70" i="28" s="1"/>
  <c r="E73" i="28"/>
  <c r="J73" i="28" s="1"/>
  <c r="K73" i="28" s="1"/>
  <c r="F100" i="28"/>
  <c r="I100" i="28"/>
  <c r="C100" i="28"/>
  <c r="E100" i="28" s="1"/>
  <c r="J100" i="28" s="1"/>
  <c r="K100" i="28" s="1"/>
  <c r="H7" i="28"/>
  <c r="G7" i="28"/>
  <c r="F7" i="28"/>
  <c r="C8" i="28"/>
  <c r="E8" i="28" s="1"/>
  <c r="J8" i="28" s="1"/>
  <c r="K8" i="28" s="1"/>
  <c r="I16" i="28"/>
  <c r="E23" i="28"/>
  <c r="J23" i="28" s="1"/>
  <c r="K23" i="28" s="1"/>
  <c r="G24" i="28"/>
  <c r="F27" i="28"/>
  <c r="G30" i="28"/>
  <c r="I33" i="28"/>
  <c r="I35" i="28"/>
  <c r="G50" i="28"/>
  <c r="I50" i="28" s="1"/>
  <c r="G51" i="28"/>
  <c r="E53" i="28"/>
  <c r="E72" i="28"/>
  <c r="H73" i="28"/>
  <c r="G76" i="28"/>
  <c r="I76" i="28" s="1"/>
  <c r="E3" i="29"/>
  <c r="I3" i="29" s="1"/>
  <c r="C3" i="29"/>
  <c r="G3" i="29"/>
  <c r="E13" i="29"/>
  <c r="G13" i="29" s="1"/>
  <c r="C13" i="29"/>
  <c r="I13" i="29"/>
  <c r="B6" i="27"/>
  <c r="G9" i="27"/>
  <c r="F10" i="27"/>
  <c r="E11" i="27"/>
  <c r="D12" i="27"/>
  <c r="C13" i="27"/>
  <c r="B14" i="27"/>
  <c r="B16" i="27"/>
  <c r="G10" i="28"/>
  <c r="I10" i="28" s="1"/>
  <c r="F10" i="28"/>
  <c r="E10" i="28"/>
  <c r="J10" i="28" s="1"/>
  <c r="K10" i="28" s="1"/>
  <c r="C11" i="28"/>
  <c r="E11" i="28" s="1"/>
  <c r="I12" i="28"/>
  <c r="F13" i="28"/>
  <c r="E13" i="28"/>
  <c r="I23" i="28"/>
  <c r="H24" i="28"/>
  <c r="H26" i="28"/>
  <c r="I26" i="28" s="1"/>
  <c r="G27" i="28"/>
  <c r="I27" i="28" s="1"/>
  <c r="E29" i="28"/>
  <c r="H30" i="28"/>
  <c r="I30" i="28" s="1"/>
  <c r="F38" i="28"/>
  <c r="E38" i="28"/>
  <c r="C41" i="28"/>
  <c r="E41" i="28" s="1"/>
  <c r="H41" i="28"/>
  <c r="G41" i="28"/>
  <c r="F41" i="28"/>
  <c r="E49" i="28"/>
  <c r="H51" i="28"/>
  <c r="I51" i="28" s="1"/>
  <c r="F58" i="28"/>
  <c r="J58" i="28" s="1"/>
  <c r="K58" i="28" s="1"/>
  <c r="E58" i="28"/>
  <c r="I59" i="28"/>
  <c r="C62" i="28"/>
  <c r="E62" i="28" s="1"/>
  <c r="C69" i="28"/>
  <c r="E69" i="28" s="1"/>
  <c r="J69" i="28" s="1"/>
  <c r="K69" i="28" s="1"/>
  <c r="G69" i="28"/>
  <c r="I69" i="28" s="1"/>
  <c r="F69" i="28"/>
  <c r="F71" i="28"/>
  <c r="G72" i="28"/>
  <c r="I73" i="28"/>
  <c r="C77" i="28"/>
  <c r="E77" i="28" s="1"/>
  <c r="J77" i="28" s="1"/>
  <c r="K77" i="28" s="1"/>
  <c r="F77" i="28"/>
  <c r="I77" i="28"/>
  <c r="H77" i="28"/>
  <c r="F80" i="28"/>
  <c r="H80" i="28"/>
  <c r="G80" i="28"/>
  <c r="I80" i="28" s="1"/>
  <c r="E80" i="28"/>
  <c r="E98" i="28"/>
  <c r="C98" i="28"/>
  <c r="F98" i="28"/>
  <c r="H98" i="28"/>
  <c r="G98" i="28"/>
  <c r="I98" i="28" s="1"/>
  <c r="I8" i="29"/>
  <c r="H15" i="28"/>
  <c r="G15" i="28"/>
  <c r="I15" i="28" s="1"/>
  <c r="J15" i="28" s="1"/>
  <c r="K15" i="28" s="1"/>
  <c r="F15" i="28"/>
  <c r="C16" i="28"/>
  <c r="E16" i="28" s="1"/>
  <c r="I24" i="28"/>
  <c r="H27" i="28"/>
  <c r="H34" i="28"/>
  <c r="F34" i="28"/>
  <c r="E34" i="28"/>
  <c r="J34" i="28" s="1"/>
  <c r="K34" i="28" s="1"/>
  <c r="E35" i="28"/>
  <c r="C35" i="28"/>
  <c r="G37" i="28"/>
  <c r="I37" i="28" s="1"/>
  <c r="H37" i="28"/>
  <c r="F37" i="28"/>
  <c r="J37" i="28" s="1"/>
  <c r="K37" i="28" s="1"/>
  <c r="I40" i="28"/>
  <c r="G57" i="28"/>
  <c r="I57" i="28" s="1"/>
  <c r="H57" i="28"/>
  <c r="F57" i="28"/>
  <c r="G65" i="28"/>
  <c r="I65" i="28" s="1"/>
  <c r="E65" i="28"/>
  <c r="C65" i="28"/>
  <c r="I72" i="28"/>
  <c r="B8" i="27"/>
  <c r="G11" i="27"/>
  <c r="F12" i="27"/>
  <c r="E13" i="27"/>
  <c r="D14" i="27"/>
  <c r="J14" i="27" s="1"/>
  <c r="C15" i="27"/>
  <c r="J15" i="27" s="1"/>
  <c r="G16" i="27"/>
  <c r="F8" i="28"/>
  <c r="G18" i="28"/>
  <c r="I18" i="28" s="1"/>
  <c r="F18" i="28"/>
  <c r="E18" i="28"/>
  <c r="J18" i="28" s="1"/>
  <c r="K18" i="28" s="1"/>
  <c r="C19" i="28"/>
  <c r="E19" i="28" s="1"/>
  <c r="J19" i="28" s="1"/>
  <c r="K19" i="28" s="1"/>
  <c r="F21" i="28"/>
  <c r="E21" i="28"/>
  <c r="J24" i="28"/>
  <c r="K24" i="28" s="1"/>
  <c r="F54" i="28"/>
  <c r="E54" i="28"/>
  <c r="J64" i="28"/>
  <c r="K64" i="28" s="1"/>
  <c r="F64" i="28"/>
  <c r="G64" i="28"/>
  <c r="I64" i="28" s="1"/>
  <c r="E64" i="28"/>
  <c r="F68" i="28"/>
  <c r="E68" i="28"/>
  <c r="J68" i="28" s="1"/>
  <c r="K68" i="28" s="1"/>
  <c r="I68" i="28"/>
  <c r="H68" i="28"/>
  <c r="G68" i="28"/>
  <c r="C82" i="28"/>
  <c r="E82" i="28" s="1"/>
  <c r="J82" i="28" s="1"/>
  <c r="K82" i="28" s="1"/>
  <c r="F82" i="28"/>
  <c r="I82" i="28"/>
  <c r="H82" i="28"/>
  <c r="G97" i="28"/>
  <c r="H97" i="28"/>
  <c r="I97" i="28" s="1"/>
  <c r="F97" i="28"/>
  <c r="C97" i="28"/>
  <c r="E97" i="28" s="1"/>
  <c r="C20" i="29"/>
  <c r="G20" i="29"/>
  <c r="G4" i="28"/>
  <c r="I6" i="28"/>
  <c r="G12" i="28"/>
  <c r="I14" i="28"/>
  <c r="G20" i="28"/>
  <c r="I20" i="28" s="1"/>
  <c r="I22" i="28"/>
  <c r="I31" i="28"/>
  <c r="H32" i="28"/>
  <c r="I32" i="28" s="1"/>
  <c r="J32" i="28" s="1"/>
  <c r="K32" i="28" s="1"/>
  <c r="I39" i="28"/>
  <c r="H40" i="28"/>
  <c r="I47" i="28"/>
  <c r="H48" i="28"/>
  <c r="I48" i="28" s="1"/>
  <c r="I55" i="28"/>
  <c r="H56" i="28"/>
  <c r="I56" i="28" s="1"/>
  <c r="J56" i="28" s="1"/>
  <c r="K56" i="28" s="1"/>
  <c r="H61" i="28"/>
  <c r="I61" i="28" s="1"/>
  <c r="I66" i="28"/>
  <c r="I74" i="28"/>
  <c r="G12" i="29"/>
  <c r="G72" i="29"/>
  <c r="C72" i="29"/>
  <c r="I72" i="29"/>
  <c r="E72" i="29"/>
  <c r="E90" i="29"/>
  <c r="G90" i="29" s="1"/>
  <c r="E96" i="29"/>
  <c r="G96" i="29" s="1"/>
  <c r="C96" i="29"/>
  <c r="I96" i="29"/>
  <c r="H4" i="28"/>
  <c r="I4" i="28" s="1"/>
  <c r="H12" i="28"/>
  <c r="H20" i="28"/>
  <c r="I28" i="28"/>
  <c r="I36" i="28"/>
  <c r="I44" i="28"/>
  <c r="I52" i="28"/>
  <c r="F60" i="28"/>
  <c r="E60" i="28"/>
  <c r="J60" i="28" s="1"/>
  <c r="K60" i="28"/>
  <c r="G89" i="28"/>
  <c r="I89" i="28" s="1"/>
  <c r="H89" i="28"/>
  <c r="F89" i="28"/>
  <c r="J89" i="28" s="1"/>
  <c r="K89" i="28" s="1"/>
  <c r="C90" i="28"/>
  <c r="E90" i="28" s="1"/>
  <c r="J90" i="28" s="1"/>
  <c r="K90" i="28" s="1"/>
  <c r="F90" i="28"/>
  <c r="F92" i="28"/>
  <c r="J92" i="28" s="1"/>
  <c r="K92" i="28" s="1"/>
  <c r="I92" i="28"/>
  <c r="C5" i="29"/>
  <c r="E20" i="29"/>
  <c r="I20" i="29" s="1"/>
  <c r="F32" i="28"/>
  <c r="F40" i="28"/>
  <c r="J40" i="28"/>
  <c r="K40" i="28" s="1"/>
  <c r="F48" i="28"/>
  <c r="F56" i="28"/>
  <c r="C61" i="28"/>
  <c r="E61" i="28" s="1"/>
  <c r="E87" i="28"/>
  <c r="C87" i="28"/>
  <c r="H87" i="28"/>
  <c r="I87" i="28" s="1"/>
  <c r="E11" i="29"/>
  <c r="I11" i="29"/>
  <c r="G11" i="29"/>
  <c r="I10" i="29"/>
  <c r="C28" i="29"/>
  <c r="G28" i="29"/>
  <c r="E28" i="29"/>
  <c r="I28" i="29"/>
  <c r="E36" i="29"/>
  <c r="G36" i="29" s="1"/>
  <c r="G40" i="29"/>
  <c r="I40" i="29"/>
  <c r="E40" i="29"/>
  <c r="C40" i="29"/>
  <c r="C11" i="29"/>
  <c r="E21" i="29"/>
  <c r="I75" i="28"/>
  <c r="C85" i="28"/>
  <c r="E85" i="28" s="1"/>
  <c r="G85" i="28"/>
  <c r="I85" i="28" s="1"/>
  <c r="H86" i="28"/>
  <c r="I86" i="28" s="1"/>
  <c r="E86" i="28"/>
  <c r="C93" i="28"/>
  <c r="E93" i="28" s="1"/>
  <c r="G93" i="28"/>
  <c r="H94" i="28"/>
  <c r="I94" i="28" s="1"/>
  <c r="E94" i="28"/>
  <c r="C101" i="28"/>
  <c r="E101" i="28" s="1"/>
  <c r="G101" i="28"/>
  <c r="H102" i="28"/>
  <c r="I102" i="28" s="1"/>
  <c r="E102" i="28"/>
  <c r="C4" i="29"/>
  <c r="I33" i="29"/>
  <c r="I48" i="29"/>
  <c r="E51" i="29"/>
  <c r="G51" i="29" s="1"/>
  <c r="E58" i="29"/>
  <c r="G58" i="29"/>
  <c r="C58" i="29"/>
  <c r="E67" i="29"/>
  <c r="G67" i="29" s="1"/>
  <c r="I55" i="29"/>
  <c r="I62" i="29"/>
  <c r="I78" i="29"/>
  <c r="I64" i="29"/>
  <c r="E24" i="29"/>
  <c r="G24" i="29" s="1"/>
  <c r="C24" i="29"/>
  <c r="E29" i="29"/>
  <c r="I29" i="29" s="1"/>
  <c r="G32" i="29"/>
  <c r="E32" i="29"/>
  <c r="I32" i="29" s="1"/>
  <c r="C32" i="29"/>
  <c r="I47" i="29"/>
  <c r="I58" i="29"/>
  <c r="E66" i="29"/>
  <c r="I66" i="29" s="1"/>
  <c r="C66" i="29"/>
  <c r="C84" i="29"/>
  <c r="E84" i="29"/>
  <c r="G84" i="29" s="1"/>
  <c r="I34" i="29"/>
  <c r="G44" i="29"/>
  <c r="E59" i="29"/>
  <c r="G59" i="29" s="1"/>
  <c r="I83" i="28"/>
  <c r="I91" i="28"/>
  <c r="I93" i="28"/>
  <c r="I99" i="28"/>
  <c r="I101" i="28"/>
  <c r="I4" i="29"/>
  <c r="C6" i="29"/>
  <c r="I7" i="29"/>
  <c r="I12" i="29"/>
  <c r="C36" i="29"/>
  <c r="I36" i="29"/>
  <c r="I54" i="29"/>
  <c r="I63" i="29"/>
  <c r="I70" i="29"/>
  <c r="I79" i="29"/>
  <c r="I88" i="29"/>
  <c r="I93" i="29"/>
  <c r="E98" i="29"/>
  <c r="G98" i="29" s="1"/>
  <c r="I87" i="29"/>
  <c r="I100" i="29"/>
  <c r="C102" i="29"/>
  <c r="I88" i="28"/>
  <c r="I96" i="28"/>
  <c r="G9" i="29"/>
  <c r="I15" i="29"/>
  <c r="I39" i="29"/>
  <c r="E43" i="29"/>
  <c r="G43" i="29" s="1"/>
  <c r="I46" i="29"/>
  <c r="E50" i="29"/>
  <c r="I50" i="29" s="1"/>
  <c r="C69" i="29"/>
  <c r="E75" i="29"/>
  <c r="G75" i="29" s="1"/>
  <c r="C92" i="29"/>
  <c r="G92" i="29"/>
  <c r="I31" i="29"/>
  <c r="E35" i="29"/>
  <c r="G35" i="29" s="1"/>
  <c r="I38" i="29"/>
  <c r="E42" i="29"/>
  <c r="E61" i="29"/>
  <c r="G61" i="29" s="1"/>
  <c r="I65" i="29"/>
  <c r="C68" i="29"/>
  <c r="C80" i="29"/>
  <c r="I86" i="29"/>
  <c r="I89" i="29"/>
  <c r="I95" i="29"/>
  <c r="I23" i="29"/>
  <c r="E27" i="29"/>
  <c r="G27" i="29" s="1"/>
  <c r="I30" i="29"/>
  <c r="E34" i="29"/>
  <c r="G34" i="29" s="1"/>
  <c r="C50" i="29"/>
  <c r="E53" i="29"/>
  <c r="I57" i="29"/>
  <c r="C60" i="29"/>
  <c r="G64" i="29"/>
  <c r="E74" i="29"/>
  <c r="G74" i="29" s="1"/>
  <c r="C77" i="29"/>
  <c r="E83" i="29"/>
  <c r="G83" i="29" s="1"/>
  <c r="E19" i="29"/>
  <c r="G19" i="29" s="1"/>
  <c r="I22" i="29"/>
  <c r="E26" i="29"/>
  <c r="C42" i="29"/>
  <c r="E45" i="29"/>
  <c r="G45" i="29" s="1"/>
  <c r="C52" i="29"/>
  <c r="G56" i="29"/>
  <c r="E68" i="29"/>
  <c r="I71" i="29"/>
  <c r="E80" i="29"/>
  <c r="I80" i="29" s="1"/>
  <c r="G88" i="29"/>
  <c r="C88" i="29"/>
  <c r="E99" i="29"/>
  <c r="G99" i="29" s="1"/>
  <c r="E101" i="29"/>
  <c r="G101" i="29" s="1"/>
  <c r="C34" i="29"/>
  <c r="E37" i="29"/>
  <c r="I37" i="29" s="1"/>
  <c r="I41" i="29"/>
  <c r="C44" i="29"/>
  <c r="G48" i="29"/>
  <c r="C64" i="29"/>
  <c r="C76" i="29"/>
  <c r="G76" i="29"/>
  <c r="E82" i="29"/>
  <c r="G82" i="29" s="1"/>
  <c r="C85" i="29"/>
  <c r="E91" i="29"/>
  <c r="G91" i="29" s="1"/>
  <c r="I74" i="29"/>
  <c r="E86" i="29"/>
  <c r="G86" i="29" s="1"/>
  <c r="I90" i="29"/>
  <c r="E94" i="29"/>
  <c r="G94" i="29" s="1"/>
  <c r="I98" i="29"/>
  <c r="E102" i="29"/>
  <c r="G102" i="29" s="1"/>
  <c r="C17" i="29"/>
  <c r="I19" i="29"/>
  <c r="G21" i="29"/>
  <c r="C25" i="29"/>
  <c r="C33" i="29"/>
  <c r="I35" i="29"/>
  <c r="G37" i="29"/>
  <c r="C41" i="29"/>
  <c r="C49" i="29"/>
  <c r="I51" i="29"/>
  <c r="G53" i="29"/>
  <c r="C57" i="29"/>
  <c r="I59" i="29"/>
  <c r="C65" i="29"/>
  <c r="C73" i="29"/>
  <c r="C81" i="29"/>
  <c r="I83" i="29"/>
  <c r="C89" i="29"/>
  <c r="E95" i="29"/>
  <c r="C97" i="29"/>
  <c r="I99" i="29"/>
  <c r="C98" i="29"/>
  <c r="E17" i="29"/>
  <c r="I17" i="29" s="1"/>
  <c r="I21" i="29"/>
  <c r="E25" i="29"/>
  <c r="G25" i="29" s="1"/>
  <c r="E33" i="29"/>
  <c r="E41" i="29"/>
  <c r="I45" i="29"/>
  <c r="E49" i="29"/>
  <c r="I49" i="29" s="1"/>
  <c r="I53" i="29"/>
  <c r="E57" i="29"/>
  <c r="G57" i="29" s="1"/>
  <c r="E65" i="29"/>
  <c r="C67" i="29"/>
  <c r="I69" i="29"/>
  <c r="E73" i="29"/>
  <c r="I73" i="29" s="1"/>
  <c r="C75" i="29"/>
  <c r="I77" i="29"/>
  <c r="E81" i="29"/>
  <c r="I81" i="29" s="1"/>
  <c r="C83" i="29"/>
  <c r="I85" i="29"/>
  <c r="E89" i="29"/>
  <c r="C91" i="29"/>
  <c r="G95" i="29"/>
  <c r="E97" i="29"/>
  <c r="G97" i="29" s="1"/>
  <c r="C99" i="29"/>
  <c r="I101" i="29"/>
  <c r="C21" i="29"/>
  <c r="C29" i="29"/>
  <c r="G33" i="29"/>
  <c r="C37" i="29"/>
  <c r="G41" i="29"/>
  <c r="C45" i="29"/>
  <c r="C53" i="29"/>
  <c r="C61" i="29"/>
  <c r="G65" i="29"/>
  <c r="G73" i="29"/>
  <c r="G81" i="29"/>
  <c r="G89" i="29"/>
  <c r="C101" i="29"/>
  <c r="K49" i="1" l="1"/>
  <c r="F44" i="2"/>
  <c r="J16" i="27"/>
  <c r="J10" i="27"/>
  <c r="J12" i="27"/>
  <c r="J8" i="27"/>
  <c r="E16" i="2"/>
  <c r="C20" i="2" s="1"/>
  <c r="F20" i="2" s="1"/>
  <c r="J48" i="28"/>
  <c r="K48" i="28" s="1"/>
  <c r="J80" i="28"/>
  <c r="K80" i="28" s="1"/>
  <c r="J97" i="28"/>
  <c r="K97" i="28" s="1"/>
  <c r="J7" i="28"/>
  <c r="K7" i="28" s="1"/>
  <c r="J45" i="28"/>
  <c r="K45" i="28" s="1"/>
  <c r="J26" i="28"/>
  <c r="K26" i="28" s="1"/>
  <c r="J51" i="28"/>
  <c r="K51" i="28" s="1"/>
  <c r="I41" i="28"/>
  <c r="I7" i="28"/>
  <c r="J42" i="28"/>
  <c r="K42" i="28" s="1"/>
  <c r="J5" i="28"/>
  <c r="K5" i="28" s="1"/>
  <c r="I49" i="28"/>
  <c r="G16" i="29"/>
  <c r="F76" i="28"/>
  <c r="J76" i="28" s="1"/>
  <c r="K76" i="28" s="1"/>
  <c r="M88" i="23"/>
  <c r="F89" i="24" s="1"/>
  <c r="G89" i="24" s="1"/>
  <c r="M56" i="23"/>
  <c r="F57" i="24" s="1"/>
  <c r="G57" i="24" s="1"/>
  <c r="M68" i="23"/>
  <c r="F69" i="24" s="1"/>
  <c r="G69" i="24" s="1"/>
  <c r="M81" i="23"/>
  <c r="F82" i="24" s="1"/>
  <c r="G82" i="24" s="1"/>
  <c r="M44" i="23"/>
  <c r="F45" i="24" s="1"/>
  <c r="G45" i="24" s="1"/>
  <c r="M11" i="23"/>
  <c r="F12" i="24" s="1"/>
  <c r="M93" i="23"/>
  <c r="F94" i="24" s="1"/>
  <c r="G94" i="24" s="1"/>
  <c r="M57" i="23"/>
  <c r="F58" i="24" s="1"/>
  <c r="G58" i="24" s="1"/>
  <c r="M24" i="23"/>
  <c r="F25" i="24" s="1"/>
  <c r="G25" i="24" s="1"/>
  <c r="G12" i="24"/>
  <c r="M67" i="23"/>
  <c r="F68" i="24" s="1"/>
  <c r="M16" i="23"/>
  <c r="F17" i="24" s="1"/>
  <c r="G17" i="24" s="1"/>
  <c r="M83" i="23"/>
  <c r="F84" i="24" s="1"/>
  <c r="M41" i="23"/>
  <c r="F42" i="24" s="1"/>
  <c r="G42" i="24" s="1"/>
  <c r="M49" i="23"/>
  <c r="F50" i="24" s="1"/>
  <c r="G50" i="24" s="1"/>
  <c r="M21" i="23"/>
  <c r="F22" i="24" s="1"/>
  <c r="G22" i="24" s="1"/>
  <c r="M102" i="23"/>
  <c r="F103" i="24" s="1"/>
  <c r="G103" i="24" s="1"/>
  <c r="F44" i="28"/>
  <c r="J44" i="28" s="1"/>
  <c r="K44" i="28" s="1"/>
  <c r="F16" i="28"/>
  <c r="J16" i="28" s="1"/>
  <c r="K16" i="28" s="1"/>
  <c r="F17" i="28"/>
  <c r="J17" i="28" s="1"/>
  <c r="K17" i="28" s="1"/>
  <c r="F25" i="28"/>
  <c r="J25" i="28" s="1"/>
  <c r="K25" i="28" s="1"/>
  <c r="F43" i="28"/>
  <c r="F101" i="28"/>
  <c r="J27" i="28"/>
  <c r="K27" i="28" s="1"/>
  <c r="M80" i="23"/>
  <c r="F81" i="24" s="1"/>
  <c r="G81" i="24" s="1"/>
  <c r="M48" i="23"/>
  <c r="F49" i="24" s="1"/>
  <c r="G49" i="24" s="1"/>
  <c r="H49" i="24"/>
  <c r="J48" i="23"/>
  <c r="I49" i="24" s="1"/>
  <c r="M22" i="23"/>
  <c r="F23" i="24" s="1"/>
  <c r="G23" i="24" s="1"/>
  <c r="M77" i="23"/>
  <c r="F78" i="24" s="1"/>
  <c r="G78" i="24" s="1"/>
  <c r="O6" i="26"/>
  <c r="F28" i="2"/>
  <c r="G6" i="29"/>
  <c r="I6" i="29"/>
  <c r="I52" i="29"/>
  <c r="G52" i="29"/>
  <c r="I14" i="29"/>
  <c r="G14" i="29"/>
  <c r="M37" i="23"/>
  <c r="F38" i="24" s="1"/>
  <c r="G38" i="24" s="1"/>
  <c r="M20" i="23"/>
  <c r="F21" i="24" s="1"/>
  <c r="G21" i="24" s="1"/>
  <c r="M38" i="23"/>
  <c r="F39" i="24" s="1"/>
  <c r="G39" i="24" s="1"/>
  <c r="M51" i="23"/>
  <c r="F52" i="24" s="1"/>
  <c r="M58" i="23"/>
  <c r="F59" i="24" s="1"/>
  <c r="M23" i="23"/>
  <c r="F24" i="24" s="1"/>
  <c r="G24" i="24" s="1"/>
  <c r="M59" i="23"/>
  <c r="F60" i="24" s="1"/>
  <c r="F47" i="28"/>
  <c r="J47" i="28" s="1"/>
  <c r="K47" i="28" s="1"/>
  <c r="F35" i="28"/>
  <c r="J35" i="28" s="1"/>
  <c r="K35" i="28" s="1"/>
  <c r="F36" i="28"/>
  <c r="J36" i="28" s="1"/>
  <c r="K36" i="28" s="1"/>
  <c r="F52" i="28"/>
  <c r="J52" i="28" s="1"/>
  <c r="K52" i="28" s="1"/>
  <c r="F70" i="28"/>
  <c r="J70" i="28" s="1"/>
  <c r="K70" i="28" s="1"/>
  <c r="J13" i="27"/>
  <c r="J71" i="28"/>
  <c r="K71" i="28" s="1"/>
  <c r="H81" i="24"/>
  <c r="J80" i="23"/>
  <c r="I81" i="24" s="1"/>
  <c r="G92" i="24"/>
  <c r="I60" i="29"/>
  <c r="G60" i="29"/>
  <c r="G60" i="24"/>
  <c r="M33" i="23"/>
  <c r="F34" i="24" s="1"/>
  <c r="G34" i="24" s="1"/>
  <c r="M42" i="23"/>
  <c r="F43" i="24" s="1"/>
  <c r="M50" i="23"/>
  <c r="F51" i="24" s="1"/>
  <c r="M54" i="23"/>
  <c r="F55" i="24" s="1"/>
  <c r="G55" i="24" s="1"/>
  <c r="M70" i="23"/>
  <c r="F71" i="24" s="1"/>
  <c r="G71" i="24" s="1"/>
  <c r="M27" i="23"/>
  <c r="F28" i="24" s="1"/>
  <c r="G28" i="24" s="1"/>
  <c r="M91" i="23"/>
  <c r="F92" i="24" s="1"/>
  <c r="F86" i="28"/>
  <c r="F61" i="28"/>
  <c r="J61" i="28" s="1"/>
  <c r="K61" i="28" s="1"/>
  <c r="F39" i="28"/>
  <c r="J39" i="28" s="1"/>
  <c r="K39" i="28" s="1"/>
  <c r="F55" i="28"/>
  <c r="J55" i="28" s="1"/>
  <c r="K55" i="28" s="1"/>
  <c r="F3" i="28"/>
  <c r="J3" i="28" s="1"/>
  <c r="K3" i="28" s="1"/>
  <c r="F72" i="28"/>
  <c r="J72" i="28" s="1"/>
  <c r="K72" i="28" s="1"/>
  <c r="F29" i="28"/>
  <c r="J29" i="28" s="1"/>
  <c r="K29" i="28" s="1"/>
  <c r="M84" i="23"/>
  <c r="F85" i="24" s="1"/>
  <c r="G85" i="24" s="1"/>
  <c r="M52" i="23"/>
  <c r="F53" i="24" s="1"/>
  <c r="G53" i="24" s="1"/>
  <c r="M63" i="23"/>
  <c r="F64" i="24" s="1"/>
  <c r="G64" i="24" s="1"/>
  <c r="M18" i="23"/>
  <c r="F19" i="24" s="1"/>
  <c r="G19" i="24" s="1"/>
  <c r="M87" i="23"/>
  <c r="F88" i="24" s="1"/>
  <c r="G88" i="24" s="1"/>
  <c r="M92" i="23"/>
  <c r="F93" i="24" s="1"/>
  <c r="G93" i="24" s="1"/>
  <c r="M45" i="23"/>
  <c r="F46" i="24" s="1"/>
  <c r="G46" i="24" s="1"/>
  <c r="M36" i="23"/>
  <c r="F37" i="24" s="1"/>
  <c r="G37" i="24" s="1"/>
  <c r="M53" i="23"/>
  <c r="F54" i="24" s="1"/>
  <c r="G54" i="24" s="1"/>
  <c r="M14" i="23"/>
  <c r="F15" i="24" s="1"/>
  <c r="G15" i="24" s="1"/>
  <c r="M29" i="23"/>
  <c r="F30" i="24" s="1"/>
  <c r="G30" i="24" s="1"/>
  <c r="M47" i="23"/>
  <c r="F48" i="24" s="1"/>
  <c r="G48" i="24" s="1"/>
  <c r="M62" i="23"/>
  <c r="F63" i="24" s="1"/>
  <c r="G63" i="24" s="1"/>
  <c r="M79" i="23"/>
  <c r="F80" i="24" s="1"/>
  <c r="G80" i="24" s="1"/>
  <c r="M95" i="23"/>
  <c r="F96" i="24" s="1"/>
  <c r="G96" i="24" s="1"/>
  <c r="M31" i="23"/>
  <c r="F32" i="24" s="1"/>
  <c r="G32" i="24" s="1"/>
  <c r="M66" i="23"/>
  <c r="F67" i="24" s="1"/>
  <c r="F93" i="28"/>
  <c r="F65" i="28"/>
  <c r="J65" i="28" s="1"/>
  <c r="K65" i="28" s="1"/>
  <c r="F66" i="28"/>
  <c r="J66" i="28" s="1"/>
  <c r="K66" i="28" s="1"/>
  <c r="F74" i="28"/>
  <c r="J74" i="28" s="1"/>
  <c r="K74" i="28" s="1"/>
  <c r="F94" i="28"/>
  <c r="J94" i="28" s="1"/>
  <c r="K94" i="28" s="1"/>
  <c r="G84" i="24"/>
  <c r="I27" i="29"/>
  <c r="I97" i="29"/>
  <c r="I25" i="29"/>
  <c r="J21" i="28"/>
  <c r="K21" i="28" s="1"/>
  <c r="J9" i="27"/>
  <c r="H41" i="24"/>
  <c r="J40" i="23"/>
  <c r="I41" i="24" s="1"/>
  <c r="M19" i="23"/>
  <c r="F20" i="24" s="1"/>
  <c r="G20" i="24" s="1"/>
  <c r="M3" i="23"/>
  <c r="F4" i="24" s="1"/>
  <c r="G52" i="24"/>
  <c r="G59" i="24"/>
  <c r="I5" i="29"/>
  <c r="G5" i="29"/>
  <c r="G43" i="24"/>
  <c r="M25" i="23"/>
  <c r="F26" i="24" s="1"/>
  <c r="G26" i="24" s="1"/>
  <c r="M90" i="23"/>
  <c r="F91" i="24" s="1"/>
  <c r="G91" i="24" s="1"/>
  <c r="M78" i="23"/>
  <c r="F79" i="24" s="1"/>
  <c r="G79" i="24" s="1"/>
  <c r="M94" i="23"/>
  <c r="F95" i="24" s="1"/>
  <c r="G95" i="24" s="1"/>
  <c r="M5" i="23"/>
  <c r="F6" i="24" s="1"/>
  <c r="G6" i="24" s="1"/>
  <c r="M35" i="23"/>
  <c r="F36" i="24" s="1"/>
  <c r="G36" i="24" s="1"/>
  <c r="M86" i="23"/>
  <c r="F87" i="24" s="1"/>
  <c r="G87" i="24" s="1"/>
  <c r="F99" i="28"/>
  <c r="J99" i="28" s="1"/>
  <c r="K99" i="28" s="1"/>
  <c r="F12" i="28"/>
  <c r="J12" i="28" s="1"/>
  <c r="K12" i="28" s="1"/>
  <c r="F67" i="28"/>
  <c r="J67" i="28" s="1"/>
  <c r="K67" i="28" s="1"/>
  <c r="F75" i="28"/>
  <c r="J75" i="28" s="1"/>
  <c r="K75" i="28" s="1"/>
  <c r="F85" i="28"/>
  <c r="J85" i="28" s="1"/>
  <c r="K85" i="28" s="1"/>
  <c r="J41" i="28"/>
  <c r="K41" i="28" s="1"/>
  <c r="I75" i="29"/>
  <c r="I68" i="29"/>
  <c r="G68" i="29"/>
  <c r="J93" i="28"/>
  <c r="K93" i="28" s="1"/>
  <c r="G49" i="29"/>
  <c r="G17" i="29"/>
  <c r="I67" i="29"/>
  <c r="G80" i="29"/>
  <c r="J101" i="28"/>
  <c r="K101" i="28" s="1"/>
  <c r="I24" i="29"/>
  <c r="J62" i="28"/>
  <c r="K62" i="28" s="1"/>
  <c r="J38" i="28"/>
  <c r="K38" i="28" s="1"/>
  <c r="J46" i="28"/>
  <c r="K46" i="28" s="1"/>
  <c r="F63" i="28"/>
  <c r="J63" i="28" s="1"/>
  <c r="K63" i="28" s="1"/>
  <c r="F79" i="28"/>
  <c r="J79" i="28" s="1"/>
  <c r="K79" i="28" s="1"/>
  <c r="F53" i="28"/>
  <c r="J53" i="28" s="1"/>
  <c r="K53" i="28" s="1"/>
  <c r="F50" i="28"/>
  <c r="J50" i="28" s="1"/>
  <c r="K50" i="28" s="1"/>
  <c r="M40" i="23"/>
  <c r="F41" i="24" s="1"/>
  <c r="G41" i="24" s="1"/>
  <c r="M76" i="23"/>
  <c r="F77" i="24" s="1"/>
  <c r="G77" i="24" s="1"/>
  <c r="M101" i="23"/>
  <c r="F102" i="24" s="1"/>
  <c r="G102" i="24" s="1"/>
  <c r="H65" i="24"/>
  <c r="J64" i="23"/>
  <c r="I65" i="24" s="1"/>
  <c r="O10" i="26"/>
  <c r="M10" i="23"/>
  <c r="F11" i="24" s="1"/>
  <c r="G11" i="24" s="1"/>
  <c r="G68" i="24"/>
  <c r="G4" i="24"/>
  <c r="G18" i="29"/>
  <c r="I18" i="29"/>
  <c r="M4" i="23"/>
  <c r="F5" i="24" s="1"/>
  <c r="G5" i="24" s="1"/>
  <c r="M99" i="23"/>
  <c r="F100" i="24" s="1"/>
  <c r="G100" i="24" s="1"/>
  <c r="M26" i="23"/>
  <c r="F27" i="24" s="1"/>
  <c r="G27" i="24" s="1"/>
  <c r="M46" i="23"/>
  <c r="F47" i="24" s="1"/>
  <c r="G47" i="24" s="1"/>
  <c r="M9" i="23"/>
  <c r="F10" i="24" s="1"/>
  <c r="G10" i="24" s="1"/>
  <c r="M39" i="23"/>
  <c r="F40" i="24" s="1"/>
  <c r="G40" i="24" s="1"/>
  <c r="M98" i="23"/>
  <c r="F99" i="24" s="1"/>
  <c r="G99" i="24" s="1"/>
  <c r="F6" i="28"/>
  <c r="J6" i="28" s="1"/>
  <c r="K6" i="28" s="1"/>
  <c r="F59" i="28"/>
  <c r="J59" i="28" s="1"/>
  <c r="K59" i="28" s="1"/>
  <c r="F20" i="28"/>
  <c r="J20" i="28" s="1"/>
  <c r="K20" i="28" s="1"/>
  <c r="F87" i="28"/>
  <c r="J87" i="28" s="1"/>
  <c r="K87" i="28" s="1"/>
  <c r="F83" i="28"/>
  <c r="J83" i="28" s="1"/>
  <c r="K83" i="28" s="1"/>
  <c r="G67" i="24"/>
  <c r="I84" i="29"/>
  <c r="G29" i="29"/>
  <c r="I102" i="29"/>
  <c r="I61" i="29"/>
  <c r="I43" i="29"/>
  <c r="I82" i="29"/>
  <c r="G50" i="29"/>
  <c r="I94" i="29"/>
  <c r="G66" i="29"/>
  <c r="J86" i="28"/>
  <c r="K86" i="28" s="1"/>
  <c r="J49" i="28"/>
  <c r="K49" i="28" s="1"/>
  <c r="F30" i="28"/>
  <c r="J30" i="28" s="1"/>
  <c r="K30" i="28" s="1"/>
  <c r="M96" i="23"/>
  <c r="F97" i="24" s="1"/>
  <c r="G97" i="24" s="1"/>
  <c r="M64" i="23"/>
  <c r="F65" i="24" s="1"/>
  <c r="G65" i="24" s="1"/>
  <c r="H100" i="24"/>
  <c r="J99" i="23"/>
  <c r="I100" i="24" s="1"/>
  <c r="M65" i="23"/>
  <c r="F66" i="24" s="1"/>
  <c r="G66" i="24" s="1"/>
  <c r="M15" i="23"/>
  <c r="F16" i="24" s="1"/>
  <c r="G16" i="24" s="1"/>
  <c r="B10" i="26"/>
  <c r="M28" i="23"/>
  <c r="F29" i="24" s="1"/>
  <c r="G29" i="24" s="1"/>
  <c r="I16" i="27"/>
  <c r="M60" i="23"/>
  <c r="F61" i="24" s="1"/>
  <c r="G61" i="24" s="1"/>
  <c r="M8" i="23"/>
  <c r="F9" i="24" s="1"/>
  <c r="G9" i="24" s="1"/>
  <c r="M43" i="23"/>
  <c r="F44" i="24" s="1"/>
  <c r="G44" i="24" s="1"/>
  <c r="M30" i="23"/>
  <c r="F31" i="24" s="1"/>
  <c r="G31" i="24" s="1"/>
  <c r="M74" i="23"/>
  <c r="F75" i="24" s="1"/>
  <c r="G75" i="24" s="1"/>
  <c r="M13" i="23"/>
  <c r="F14" i="24" s="1"/>
  <c r="G14" i="24" s="1"/>
  <c r="M55" i="23"/>
  <c r="F56" i="24" s="1"/>
  <c r="G56" i="24" s="1"/>
  <c r="M75" i="23"/>
  <c r="F76" i="24" s="1"/>
  <c r="G76" i="24" s="1"/>
  <c r="F9" i="28"/>
  <c r="J9" i="28" s="1"/>
  <c r="K9" i="28" s="1"/>
  <c r="F91" i="28"/>
  <c r="J91" i="28" s="1"/>
  <c r="K91" i="28" s="1"/>
  <c r="F88" i="28"/>
  <c r="J88" i="28" s="1"/>
  <c r="K88" i="28" s="1"/>
  <c r="F28" i="28"/>
  <c r="J28" i="28" s="1"/>
  <c r="K28" i="28" s="1"/>
  <c r="F102" i="28"/>
  <c r="J102" i="28" s="1"/>
  <c r="K102" i="28" s="1"/>
  <c r="I26" i="29"/>
  <c r="G26" i="29"/>
  <c r="G42" i="29"/>
  <c r="I42" i="29"/>
  <c r="J54" i="28"/>
  <c r="K54" i="28" s="1"/>
  <c r="I91" i="29"/>
  <c r="J98" i="28"/>
  <c r="K98" i="28" s="1"/>
  <c r="J13" i="28"/>
  <c r="K13" i="28" s="1"/>
  <c r="J43" i="28"/>
  <c r="K43" i="28" s="1"/>
  <c r="J11" i="27"/>
  <c r="M100" i="23"/>
  <c r="F101" i="24" s="1"/>
  <c r="G101" i="24" s="1"/>
  <c r="J83" i="23"/>
  <c r="I84" i="24" s="1"/>
  <c r="H84" i="24"/>
  <c r="H68" i="24"/>
  <c r="J67" i="23"/>
  <c r="I68" i="24" s="1"/>
  <c r="M73" i="23"/>
  <c r="F74" i="24" s="1"/>
  <c r="G74" i="24" s="1"/>
  <c r="M71" i="23"/>
  <c r="F72" i="24" s="1"/>
  <c r="G72" i="24" s="1"/>
  <c r="G51" i="24"/>
  <c r="M12" i="23"/>
  <c r="F13" i="24" s="1"/>
  <c r="G13" i="24" s="1"/>
  <c r="M82" i="23"/>
  <c r="F83" i="24" s="1"/>
  <c r="G83" i="24" s="1"/>
  <c r="M34" i="23"/>
  <c r="F35" i="24" s="1"/>
  <c r="G35" i="24" s="1"/>
  <c r="M89" i="23"/>
  <c r="F90" i="24" s="1"/>
  <c r="G90" i="24" s="1"/>
  <c r="M17" i="23"/>
  <c r="F18" i="24" s="1"/>
  <c r="G18" i="24" s="1"/>
  <c r="F4" i="28"/>
  <c r="J4" i="28" s="1"/>
  <c r="K4" i="28" s="1"/>
  <c r="F11" i="28"/>
  <c r="J11" i="28" s="1"/>
  <c r="K11" i="28" s="1"/>
  <c r="F14" i="28"/>
  <c r="J14" i="28" s="1"/>
  <c r="K14" i="28" s="1"/>
  <c r="F22" i="28"/>
  <c r="J22" i="28" s="1"/>
  <c r="K22" i="28" s="1"/>
  <c r="F31" i="28"/>
  <c r="J31" i="28" s="1"/>
  <c r="K31" i="28" s="1"/>
  <c r="H2" i="24" l="1"/>
  <c r="I9" i="27"/>
  <c r="I14" i="27"/>
  <c r="L2" i="24"/>
  <c r="I5" i="27"/>
  <c r="I11" i="27"/>
  <c r="I6" i="27"/>
  <c r="I15" i="27"/>
  <c r="E2" i="24"/>
  <c r="N2" i="24"/>
  <c r="C2" i="24"/>
  <c r="I10" i="27"/>
  <c r="K2" i="24"/>
  <c r="I12" i="27"/>
  <c r="O2" i="24"/>
  <c r="I2" i="24"/>
  <c r="B2" i="24"/>
  <c r="I7" i="27"/>
  <c r="I8" i="27"/>
  <c r="F2" i="24"/>
  <c r="I13" i="27"/>
</calcChain>
</file>

<file path=xl/sharedStrings.xml><?xml version="1.0" encoding="utf-8"?>
<sst xmlns="http://schemas.openxmlformats.org/spreadsheetml/2006/main" count="1349" uniqueCount="593">
  <si>
    <t>👤  SAMCIOUS MFI  |  AGENT 1 DASHBOARD</t>
  </si>
  <si>
    <t>Agent 1  |  Code: [LOCKED]</t>
  </si>
  <si>
    <t>🔒  LOCKED — Click UNLOCK to begin</t>
  </si>
  <si>
    <t>📊  TODAY'S SUMMARY</t>
  </si>
  <si>
    <t>💰 Savings Collected</t>
  </si>
  <si>
    <t>📤 Loans Requested</t>
  </si>
  <si>
    <t>🏧 Withdrawals</t>
  </si>
  <si>
    <t>📈 Net Balance</t>
  </si>
  <si>
    <t>📋 Transactions</t>
  </si>
  <si>
    <t>🎯  SESSION CONTROL — Enter Declared Daily Totals in yellow cells | Agent 1</t>
  </si>
  <si>
    <t>🆕  A. REGISTER NEW CUSTOMER</t>
  </si>
  <si>
    <t>Full Name:</t>
  </si>
  <si>
    <t>💰 Declared Savings (GHS):</t>
  </si>
  <si>
    <t>📤 Declared Wdrawals (GHS):</t>
  </si>
  <si>
    <t>💼 Declared Loans (GHS):</t>
  </si>
  <si>
    <t>Status:</t>
  </si>
  <si>
    <t>Date of Birth:</t>
  </si>
  <si>
    <t>ID Type:</t>
  </si>
  <si>
    <t>ID Number:</t>
  </si>
  <si>
    <t>Address:</t>
  </si>
  <si>
    <t>Next of Kin:</t>
  </si>
  <si>
    <t>Kin Phone:</t>
  </si>
  <si>
    <t>💳  B. RECORD SAVINGS / WITHDRAWAL</t>
  </si>
  <si>
    <t>Account Number:</t>
  </si>
  <si>
    <t>Customer Name:</t>
  </si>
  <si>
    <t>Transaction Type:</t>
  </si>
  <si>
    <t>Amount (GHS):</t>
  </si>
  <si>
    <t>Date:</t>
  </si>
  <si>
    <t>Reference:</t>
  </si>
  <si>
    <t>Notes:</t>
  </si>
  <si>
    <t>💼  C. LOAN REQUEST PROCESSING</t>
  </si>
  <si>
    <t>Account No:</t>
  </si>
  <si>
    <t>Phone:</t>
  </si>
  <si>
    <t>Loan Amount (GHS):</t>
  </si>
  <si>
    <t>Interest Rate:</t>
  </si>
  <si>
    <t>Loan Purpose:</t>
  </si>
  <si>
    <t>Tenure (months):</t>
  </si>
  <si>
    <t>Interest (GHS):</t>
  </si>
  <si>
    <t>Total Payable:</t>
  </si>
  <si>
    <t>📜  TRANSACTION HISTORY  (This Agent Today)</t>
  </si>
  <si>
    <t>#</t>
  </si>
  <si>
    <t>Timestamp</t>
  </si>
  <si>
    <t>Customer Name</t>
  </si>
  <si>
    <t>Account No</t>
  </si>
  <si>
    <t>Type</t>
  </si>
  <si>
    <t>Amount (GHS)</t>
  </si>
  <si>
    <t>Int.Rate</t>
  </si>
  <si>
    <t>Total Payable</t>
  </si>
  <si>
    <t>Status</t>
  </si>
  <si>
    <t>Loan ID</t>
  </si>
  <si>
    <t>Approved By</t>
  </si>
  <si>
    <t>Notes</t>
  </si>
  <si>
    <t>📆  WEEKLY PERFORMANCE SUMMARY</t>
  </si>
  <si>
    <t>Metric</t>
  </si>
  <si>
    <t>Mon</t>
  </si>
  <si>
    <t>Tue</t>
  </si>
  <si>
    <t>Wed</t>
  </si>
  <si>
    <t>Thu</t>
  </si>
  <si>
    <t>Fri</t>
  </si>
  <si>
    <t>Sat</t>
  </si>
  <si>
    <t>Total</t>
  </si>
  <si>
    <t>Savings Collected</t>
  </si>
  <si>
    <t>Loans Disbursed</t>
  </si>
  <si>
    <t>Withdrawals</t>
  </si>
  <si>
    <t>Net Balance</t>
  </si>
  <si>
    <t>🏦  SAMCIOUS MFI  |  MANAGER DASHBOARD</t>
  </si>
  <si>
    <t>📅  Date: =TEXT(TODAY(),"DD MMM YYYY")</t>
  </si>
  <si>
    <t>⚡  Status: LIVE  |  Admin: [Authenticated]</t>
  </si>
  <si>
    <t>📊  KEY PERFORMANCE INDICATORS</t>
  </si>
  <si>
    <t>💰 Total Savings Today</t>
  </si>
  <si>
    <t>📤 Total Loans Disbursed</t>
  </si>
  <si>
    <t>🏧 Total Withdrawals</t>
  </si>
  <si>
    <t>⏳ Pending Loans</t>
  </si>
  <si>
    <t>👥 Active Members</t>
  </si>
  <si>
    <t>📋  PENDING LOAN APPROVALS  —  [Manager Action Required]</t>
  </si>
  <si>
    <t>Agent</t>
  </si>
  <si>
    <t>Phone</t>
  </si>
  <si>
    <t>Loan Amount (GHS)</t>
  </si>
  <si>
    <t>Interest Rate</t>
  </si>
  <si>
    <t>Date Submitted</t>
  </si>
  <si>
    <t>Decision</t>
  </si>
  <si>
    <t>Reason / Notes</t>
  </si>
  <si>
    <t>👤  AGENT PERFORMANCE SUMMARY  (Today)</t>
  </si>
  <si>
    <t>Name</t>
  </si>
  <si>
    <t>Loans Requested</t>
  </si>
  <si>
    <t>Accounts Opened</t>
  </si>
  <si>
    <t>Txn Count</t>
  </si>
  <si>
    <t>Last Active</t>
  </si>
  <si>
    <t>AGT01</t>
  </si>
  <si>
    <t>INACTIVE</t>
  </si>
  <si>
    <t>AGT02</t>
  </si>
  <si>
    <t>AGT03</t>
  </si>
  <si>
    <t>AGT04</t>
  </si>
  <si>
    <t>AGT05</t>
  </si>
  <si>
    <t>AGT06</t>
  </si>
  <si>
    <t>AGT07</t>
  </si>
  <si>
    <t>AGT08</t>
  </si>
  <si>
    <t>AGT09</t>
  </si>
  <si>
    <t>AGT10</t>
  </si>
  <si>
    <t>📊  LIVE BALANCE CONTROL SUMMARY  —  Manager View | Real-Time Session Status</t>
  </si>
  <si>
    <t>Decl. Savings</t>
  </si>
  <si>
    <t>Rec. Savings</t>
  </si>
  <si>
    <t>Gap Savings</t>
  </si>
  <si>
    <t>Decl. Wdrawals</t>
  </si>
  <si>
    <t>Rec. Wdrawals</t>
  </si>
  <si>
    <t>Gap Wdrawals</t>
  </si>
  <si>
    <t>Decl. Loans</t>
  </si>
  <si>
    <t>Rec. Loans</t>
  </si>
  <si>
    <t>Gap Loans</t>
  </si>
  <si>
    <t>Agent 1</t>
  </si>
  <si>
    <t>Agent 2</t>
  </si>
  <si>
    <t>Agent 3</t>
  </si>
  <si>
    <t>Agent 4</t>
  </si>
  <si>
    <t>Agent 5</t>
  </si>
  <si>
    <t>Agent 6</t>
  </si>
  <si>
    <t>Agent 7</t>
  </si>
  <si>
    <t>Agent 8</t>
  </si>
  <si>
    <t>Agent 9</t>
  </si>
  <si>
    <t>Agent 10</t>
  </si>
  <si>
    <t>⚖  DAILY BALANCE CONTROL PANEL  |  Session Reconciliation Engine</t>
  </si>
  <si>
    <t>⚡ Status: LIVE  |  Formulas auto-update</t>
  </si>
  <si>
    <t>📊  AGENT SESSION CONTROL  —  Declared Totals vs Recorded Transactions</t>
  </si>
  <si>
    <t>Declared Savings (GHS)</t>
  </si>
  <si>
    <t>Recorded Savings (GHS)</t>
  </si>
  <si>
    <t>Declared Wdrawals (GHS)</t>
  </si>
  <si>
    <t>Recorded Wdrawals (GHS)</t>
  </si>
  <si>
    <t>Declared Loans (GHS)</t>
  </si>
  <si>
    <t>Recorded Loans (GHS)</t>
  </si>
  <si>
    <t>📊 SYSTEM TOTALS</t>
  </si>
  <si>
    <t>✅  SESSION BALANCE VALIDATION  —  All gaps must = 0.00 GHS before closing</t>
  </si>
  <si>
    <t>Savings Gap</t>
  </si>
  <si>
    <t>Withdrawal Gap</t>
  </si>
  <si>
    <t>Loan Gap</t>
  </si>
  <si>
    <t>System Status</t>
  </si>
  <si>
    <t>ALL AGENTS</t>
  </si>
  <si>
    <t>📆  WEEKLY AGGREGATION  —  Auto-compiled from all agent transactions this month</t>
  </si>
  <si>
    <t>Week</t>
  </si>
  <si>
    <t>Savings (GHS)</t>
  </si>
  <si>
    <t>Withdrawals (GHS)</t>
  </si>
  <si>
    <t>Loans (GHS)</t>
  </si>
  <si>
    <t>Net Cash Flow</t>
  </si>
  <si>
    <t>Week 1</t>
  </si>
  <si>
    <t>Week 2</t>
  </si>
  <si>
    <t>Week 3</t>
  </si>
  <si>
    <t>Week 4</t>
  </si>
  <si>
    <t>MONTHLY TOTAL</t>
  </si>
  <si>
    <t>📅  MONTHLY BALANCE SHEET  —  Full Year Aggregation by Month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</si>
  <si>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</si>
  <si>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</si>
  <si>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</si>
  <si>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</si>
  <si>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</si>
  <si>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</si>
  <si>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</si>
  <si>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</si>
  <si>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</si>
  <si>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</si>
  <si>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</si>
  <si>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</si>
  <si>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</si>
  <si>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ANNUAL TOTAL</t>
  </si>
  <si>
    <t>👤  SAMCIOUS MFI  |  AGENT 2 DASHBOARD</t>
  </si>
  <si>
    <t>Agent 2  |  Code: [LOCKED]</t>
  </si>
  <si>
    <t>🎯  SESSION CONTROL — Enter Declared Daily Totals in yellow cells | Agent 2</t>
  </si>
  <si>
    <t>👤  SAMCIOUS MFI  |  AGENT 3 DASHBOARD</t>
  </si>
  <si>
    <t>Agent 3  |  Code: [LOCKED]</t>
  </si>
  <si>
    <t>🎯  SESSION CONTROL — Enter Declared Daily Totals in yellow cells | Agent 3</t>
  </si>
  <si>
    <t>👤  SAMCIOUS MFI  |  AGENT 4 DASHBOARD</t>
  </si>
  <si>
    <t>Agent 4  |  Code: [LOCKED]</t>
  </si>
  <si>
    <t>🎯  SESSION CONTROL — Enter Declared Daily Totals in yellow cells | Agent 4</t>
  </si>
  <si>
    <t>👤  SAMCIOUS MFI  |  AGENT 5 DASHBOARD</t>
  </si>
  <si>
    <t>Agent 5  |  Code: [LOCKED]</t>
  </si>
  <si>
    <t>🎯  SESSION CONTROL — Enter Declared Daily Totals in yellow cells | Agent 5</t>
  </si>
  <si>
    <t>👤  SAMCIOUS MFI  |  AGENT 6 DASHBOARD</t>
  </si>
  <si>
    <t>Agent 6  |  Code: [LOCKED]</t>
  </si>
  <si>
    <t>🎯  SESSION CONTROL — Enter Declared Daily Totals in yellow cells | Agent 6</t>
  </si>
  <si>
    <t>👤  SAMCIOUS MFI  |  AGENT 7 DASHBOARD</t>
  </si>
  <si>
    <t>Agent 7  |  Code: [LOCKED]</t>
  </si>
  <si>
    <t>🎯  SESSION CONTROL — Enter Declared Daily Totals in yellow cells | Agent 7</t>
  </si>
  <si>
    <t>👤  SAMCIOUS MFI  |  AGENT 8 DASHBOARD</t>
  </si>
  <si>
    <t>Agent 8  |  Code: [LOCKED]</t>
  </si>
  <si>
    <t>🎯  SESSION CONTROL — Enter Declared Daily Totals in yellow cells | Agent 8</t>
  </si>
  <si>
    <t>👤  SAMCIOUS MFI  |  AGENT 9 DASHBOARD</t>
  </si>
  <si>
    <t>Agent 9  |  Code: [LOCKED]</t>
  </si>
  <si>
    <t>🎯  SESSION CONTROL — Enter Declared Daily Totals in yellow cells | Agent 9</t>
  </si>
  <si>
    <t>👤  SAMCIOUS MFI  |  AGENT 10 DASHBOARD</t>
  </si>
  <si>
    <t>Agent 10  |  Code: [LOCKED]</t>
  </si>
  <si>
    <t>🎯  SESSION CONTROL — Enter Declared Daily Totals in yellow cells | Agent 10</t>
  </si>
  <si>
    <t>GHANA CARD</t>
  </si>
  <si>
    <t>🗄  ARCHIVE — Fully Repaid Loans</t>
  </si>
  <si>
    <t>🔍 Search by Account No:</t>
  </si>
  <si>
    <t>🔍 Search by Phone:</t>
  </si>
  <si>
    <t>Loan Amount</t>
  </si>
  <si>
    <t>Interest</t>
  </si>
  <si>
    <t>Total Paid</t>
  </si>
  <si>
    <t>Date Issued</t>
  </si>
  <si>
    <t>Date Closed</t>
  </si>
  <si>
    <t>⚙  SAMCIOUS MFI — SYSTEM SETTINGS</t>
  </si>
  <si>
    <t>INTEREST RATES</t>
  </si>
  <si>
    <t>Rate (%)</t>
  </si>
  <si>
    <t>AGENT CODE</t>
  </si>
  <si>
    <t>AGENT NAME</t>
  </si>
  <si>
    <t>STATUS</t>
  </si>
  <si>
    <t>Flat 5%</t>
  </si>
  <si>
    <t>AGT010000</t>
  </si>
  <si>
    <t>ACTIVE</t>
  </si>
  <si>
    <t>Flat 10%</t>
  </si>
  <si>
    <t>AGT020000</t>
  </si>
  <si>
    <t>Flat 15%</t>
  </si>
  <si>
    <t>AGT030000</t>
  </si>
  <si>
    <t>Flat 20%</t>
  </si>
  <si>
    <t>AGT040000</t>
  </si>
  <si>
    <t>Flat 25%</t>
  </si>
  <si>
    <t>AGT050000</t>
  </si>
  <si>
    <t>Flat 30%</t>
  </si>
  <si>
    <t>AGT060000</t>
  </si>
  <si>
    <t>Reducing 5%</t>
  </si>
  <si>
    <t>AGT070000</t>
  </si>
  <si>
    <t>Reducing 10%</t>
  </si>
  <si>
    <t>AGT080000</t>
  </si>
  <si>
    <t>Reducing 15%</t>
  </si>
  <si>
    <t>AGT090000</t>
  </si>
  <si>
    <t>AGT100000</t>
  </si>
  <si>
    <t>InterestRateList</t>
  </si>
  <si>
    <t>CustomerName</t>
  </si>
  <si>
    <t>AccountNo</t>
  </si>
  <si>
    <t>TxnType</t>
  </si>
  <si>
    <t>Amount</t>
  </si>
  <si>
    <t>InterestRate</t>
  </si>
  <si>
    <t>TotalPayable</t>
  </si>
  <si>
    <t>Reason</t>
  </si>
  <si>
    <t>LoanID</t>
  </si>
  <si>
    <t>ApprovedBy</t>
  </si>
  <si>
    <t>👥  MEMBERS REGISTRY  —  KYC &amp; Account Management  |  Ghana MFI Compliance</t>
  </si>
  <si>
    <t>🔍 SEARCH:</t>
  </si>
  <si>
    <t>➕ ADD MEMBER (VBA)</t>
  </si>
  <si>
    <t>📤 EXPORT</t>
  </si>
  <si>
    <t>🔄 REFRESH</t>
  </si>
  <si>
    <t>Account Number</t>
  </si>
  <si>
    <t>Full Name</t>
  </si>
  <si>
    <t>Gender</t>
  </si>
  <si>
    <t>Date of Birth</t>
  </si>
  <si>
    <t>Phone Number</t>
  </si>
  <si>
    <t>Alt. Phone</t>
  </si>
  <si>
    <t>ID Type</t>
  </si>
  <si>
    <t>ID Number</t>
  </si>
  <si>
    <t>Date Joined</t>
  </si>
  <si>
    <t>Branch</t>
  </si>
  <si>
    <t>Agent Assigned</t>
  </si>
  <si>
    <t>KYC Status</t>
  </si>
  <si>
    <t>Savings Balance (GHS)</t>
  </si>
  <si>
    <t>Loan Balance (GHS)</t>
  </si>
  <si>
    <t>Total Interest Paid (GHS)</t>
  </si>
  <si>
    <t>💳  TRANSACTIONS LOG  —  Savings, Withdrawals, Loan Disbursements &amp; Repayments</t>
  </si>
  <si>
    <t>📅 Date From:</t>
  </si>
  <si>
    <t>📅 Date To:</t>
  </si>
  <si>
    <t>👤 Member:</t>
  </si>
  <si>
    <t>📂 Type:</t>
  </si>
  <si>
    <t>Ref No</t>
  </si>
  <si>
    <t>Date</t>
  </si>
  <si>
    <t>Member Name</t>
  </si>
  <si>
    <t>Trans Type</t>
  </si>
  <si>
    <t>Debit (GHS)</t>
  </si>
  <si>
    <t>Credit (GHS)</t>
  </si>
  <si>
    <t>Running Balance (GHS)</t>
  </si>
  <si>
    <t>Auth Code</t>
  </si>
  <si>
    <t>SMS Sent?</t>
  </si>
  <si>
    <t>🏦  LOAN REGISTER  —  Disbursements, Interest Schedules &amp; Repayment Tracking</t>
  </si>
  <si>
    <t>🔍 Search:</t>
  </si>
  <si>
    <t>Processing Fee (GHS)</t>
  </si>
  <si>
    <t>Net Disbursed (GHS)</t>
  </si>
  <si>
    <t>Interest Rate (%)</t>
  </si>
  <si>
    <t>Term (Months)</t>
  </si>
  <si>
    <t>Monthly Installment (GHS)</t>
  </si>
  <si>
    <t>Total Repaid (GHS)</t>
  </si>
  <si>
    <t>Outstanding Balance (GHS)</t>
  </si>
  <si>
    <t>Loan Status</t>
  </si>
  <si>
    <t>⏳  PENDING LOAN REQUESTS  —  Manager Approval Queue</t>
  </si>
  <si>
    <t>Total Pending:</t>
  </si>
  <si>
    <t>Total Amount:</t>
  </si>
  <si>
    <t>As of:</t>
  </si>
  <si>
    <t>Manager:</t>
  </si>
  <si>
    <t>Request ID</t>
  </si>
  <si>
    <t>Request Date</t>
  </si>
  <si>
    <t>Requested Amount (GHS)</t>
  </si>
  <si>
    <t>Purpose</t>
  </si>
  <si>
    <t>Net to Credit (GHS)</t>
  </si>
  <si>
    <t>Decision Date</t>
  </si>
  <si>
    <t>Manager Notes</t>
  </si>
  <si>
    <t>📈  INTEREST CALCULATION ENGINE  —  Monthly Interest Due vs Paid per Member</t>
  </si>
  <si>
    <t>👤 MEMBER / LOAN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</si>
  <si>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</si>
  <si>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</si>
  <si>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</si>
  <si>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</si>
  <si>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</si>
  <si>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</si>
  <si>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</si>
  <si>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</si>
  <si>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</si>
  <si>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</si>
  <si>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</si>
  <si>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</si>
  <si>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📊 TOTALS</t>
  </si>
  <si>
    <t>Loan Amt</t>
  </si>
  <si>
    <t>Term</t>
  </si>
  <si>
    <t>JAN
Due</t>
  </si>
  <si>
    <t>JAN
Paid</t>
  </si>
  <si>
    <t>JAN
Bal</t>
  </si>
  <si>
    <t>FEB
Due</t>
  </si>
  <si>
    <t>FEB
Paid</t>
  </si>
  <si>
    <t>FEB
Bal</t>
  </si>
  <si>
    <t>MAR
Due</t>
  </si>
  <si>
    <t>MAR
Paid</t>
  </si>
  <si>
    <t>MAR
Bal</t>
  </si>
  <si>
    <t>APR
Due</t>
  </si>
  <si>
    <t>APR
Paid</t>
  </si>
  <si>
    <t>APR
Bal</t>
  </si>
  <si>
    <t>MAY
Due</t>
  </si>
  <si>
    <t>MAY
Paid</t>
  </si>
  <si>
    <t>MAY
Bal</t>
  </si>
  <si>
    <t>JUN
Due</t>
  </si>
  <si>
    <t>JUN
Paid</t>
  </si>
  <si>
    <t>JUN
Bal</t>
  </si>
  <si>
    <t>JUL
Due</t>
  </si>
  <si>
    <t>JUL
Paid</t>
  </si>
  <si>
    <t>JUL
Bal</t>
  </si>
  <si>
    <t>AUG
Due</t>
  </si>
  <si>
    <t>AUG
Paid</t>
  </si>
  <si>
    <t>AUG
Bal</t>
  </si>
  <si>
    <t>SEP
Due</t>
  </si>
  <si>
    <t>SEP
Paid</t>
  </si>
  <si>
    <t>SEP
Bal</t>
  </si>
  <si>
    <t>OCT
Due</t>
  </si>
  <si>
    <t>OCT
Paid</t>
  </si>
  <si>
    <t>OCT
Bal</t>
  </si>
  <si>
    <t>NOV
Due</t>
  </si>
  <si>
    <t>NOV
Paid</t>
  </si>
  <si>
    <t>NOV
Bal</t>
  </si>
  <si>
    <t>DEC
Due</t>
  </si>
  <si>
    <t>DEC
Paid</t>
  </si>
  <si>
    <t>DEC
Bal</t>
  </si>
  <si>
    <t>Total Due</t>
  </si>
  <si>
    <t>Total Bal</t>
  </si>
  <si>
    <t>💳  INTEREST REPAYMENTS LOG  —  All Interest Payments Recorded Here</t>
  </si>
  <si>
    <t>① Select Account  →  ② Select Month  →  ③ Enter Amount  →  ④ Recorder  |  All other fields auto-calculate</t>
  </si>
  <si>
    <t>Account No (dup)</t>
  </si>
  <si>
    <t>Month No</t>
  </si>
  <si>
    <t>Month Name</t>
  </si>
  <si>
    <t>Amount Paid (GHS)</t>
  </si>
  <si>
    <t>Running Total (GHS)</t>
  </si>
  <si>
    <t>Payment Date</t>
  </si>
  <si>
    <t>Recorder</t>
  </si>
  <si>
    <t>📒  SAVINGS PASSBOOK  —  Member Savings Statement  |  Account-Level View</t>
  </si>
  <si>
    <t>🔍 Account No:</t>
  </si>
  <si>
    <t>Current Savings Balance:</t>
  </si>
  <si>
    <t>Transaction Type</t>
  </si>
  <si>
    <t>Balance (GHS)</t>
  </si>
  <si>
    <t>🚨  ARREARS &amp; DELINQUENCY TRACKER  —  Auto-Flags Overdue Loans  |  Ghana MFI PAR Standard</t>
  </si>
  <si>
    <t>Term (Mo)</t>
  </si>
  <si>
    <t>Due Date</t>
  </si>
  <si>
    <t>Days Overdue</t>
  </si>
  <si>
    <t>PAR Category</t>
  </si>
  <si>
    <t>Outstanding (GHS)</t>
  </si>
  <si>
    <t>Principal Paid (GHS)</t>
  </si>
  <si>
    <t>Interest Outstanding (GHS)</t>
  </si>
  <si>
    <t>⏰  LOAN AGING REPORT  —  Portfolio at Risk (PAR) Summary  |  BOG MFI Reporting Standard</t>
  </si>
  <si>
    <t>🟢 Current (0 days)</t>
  </si>
  <si>
    <t>🟡 PAR30 (1-30 days)</t>
  </si>
  <si>
    <t>🟠 PAR60 (31-60 days)</t>
  </si>
  <si>
    <t>🔴 PAR90 (61-90 days)</t>
  </si>
  <si>
    <t>⛔ PAR90+ (&gt;90 days)</t>
  </si>
  <si>
    <t>Principal Outstanding</t>
  </si>
  <si>
    <t>Interest Outstanding</t>
  </si>
  <si>
    <t>Total Outstanding</t>
  </si>
  <si>
    <t>📊  INCOME &amp; EXPENSES  —  Monthly P&amp;L  |  Ghana MFI Financial Summary</t>
  </si>
  <si>
    <t>💰 INCOME</t>
  </si>
  <si>
    <t>Total Savings Collected (GHS)</t>
  </si>
  <si>
    <t>GHS</t>
  </si>
  <si>
    <t>Total Interest Income (GHS)</t>
  </si>
  <si>
    <t>Processing Fees Collected (GHS)</t>
  </si>
  <si>
    <t>Total Loan Repayments (GHS)</t>
  </si>
  <si>
    <t>📤 OUTFLOWS</t>
  </si>
  <si>
    <t>Total Loans Disbursed (GHS)</t>
  </si>
  <si>
    <t>Total Withdrawals (GHS)</t>
  </si>
  <si>
    <t>Miscellaneous Expenses (GHS)</t>
  </si>
  <si>
    <t>✅  TOTAL INCOME (GHS)</t>
  </si>
  <si>
    <t>❌  TOTAL OUTFLOWS (GHS)</t>
  </si>
  <si>
    <t>💵  NET BALANCE (GHS)</t>
  </si>
  <si>
    <t>📝  MISCELLANEOUS EXPENSES LOG  (Manual Entry)</t>
  </si>
  <si>
    <t>Description</t>
  </si>
  <si>
    <t>Category</t>
  </si>
  <si>
    <t>💰  MONTHLY CASH FLOW SUMMARY  —  Auto-Aggregated  |  BOG MFI Cash Flow Statement</t>
  </si>
  <si>
    <t>📊 CASH FLOW ITEM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</si>
  <si>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</si>
  <si>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</si>
  <si>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</si>
  <si>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</si>
  <si>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</si>
  <si>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</si>
  <si>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</si>
  <si>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</si>
  <si>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</si>
  <si>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</si>
  <si>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</si>
  <si>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TOTAL</t>
  </si>
  <si>
    <t>➕ Savings Deposits</t>
  </si>
  <si>
    <t>➕ Loan Repayments</t>
  </si>
  <si>
    <t>➕ Interest Income</t>
  </si>
  <si>
    <t>➕ Processing Fees</t>
  </si>
  <si>
    <t>➖ Loans Disbursed</t>
  </si>
  <si>
    <t>➖ Withdrawals</t>
  </si>
  <si>
    <t>➖ Misc Expenses</t>
  </si>
  <si>
    <t>💵  NET CASH FLOW</t>
  </si>
  <si>
    <t>📊  REPORTS &amp; ANALYTICS  —  Management Reports  |  Ghana MFI Board Reporting</t>
  </si>
  <si>
    <t>📅 Report Year:</t>
  </si>
  <si>
    <t>📅 Report Month:</t>
  </si>
  <si>
    <t>📋  MONTHLY PERFORMANCE SUMMARY</t>
  </si>
  <si>
    <t>Members Added</t>
  </si>
  <si>
    <t>Total Deposits (GHS)</t>
  </si>
  <si>
    <t>Loans Issued (GHS)</t>
  </si>
  <si>
    <t>Repayments (GHS)</t>
  </si>
  <si>
    <t>Interest Earned (GHS)</t>
  </si>
  <si>
    <t>Money at Hand (GHS)</t>
  </si>
  <si>
    <t>PAR30 (GHS)</t>
  </si>
  <si>
    <t>Net Position (GHS)</t>
  </si>
  <si>
    <t>📖  MEMBER LOAN SUMMARY LEDGER  —  Per-Member Overview of All Loan Activity</t>
  </si>
  <si>
    <t>Original Loan (GHS)</t>
  </si>
  <si>
    <t>Total Top-Ups (GHS)</t>
  </si>
  <si>
    <t>Total Principal (GHS)</t>
  </si>
  <si>
    <t>Total Interest Due (GHS)</t>
  </si>
  <si>
    <t>Interest Paid (GHS)</t>
  </si>
  <si>
    <t>Total Paid (GHS)</t>
  </si>
  <si>
    <t>🎯  INTEREST INCOME DISTRIBUTION  —  Per-Member Share of Collected Interest</t>
  </si>
  <si>
    <t>Total Savings (GHS)</t>
  </si>
  <si>
    <t>Total Pool (GHS)</t>
  </si>
  <si>
    <t>Share Ratio</t>
  </si>
  <si>
    <t>Jan Interest</t>
  </si>
  <si>
    <t>Jan Your Share</t>
  </si>
  <si>
    <t>Total Interest Collected (GHS)</t>
  </si>
  <si>
    <t>Your Total Share (GHS)</t>
  </si>
  <si>
    <t>📋  REPAYMENT AUDIT LOG  —  All Loan &amp; Interest Repayments</t>
  </si>
  <si>
    <t>Log ID</t>
  </si>
  <si>
    <t>Payment Type</t>
  </si>
  <si>
    <t>Loan Balance After</t>
  </si>
  <si>
    <t>Interest Balance After</t>
  </si>
  <si>
    <t>⚡  LOCAL CACHE  —  Offline Storage (SYSTEM MANAGED)</t>
  </si>
  <si>
    <t>Cache ID</t>
  </si>
  <si>
    <t>Sheet Target</t>
  </si>
  <si>
    <t>Operation</t>
  </si>
  <si>
    <t>Data Payload</t>
  </si>
  <si>
    <t>Sync Status</t>
  </si>
  <si>
    <t>Retry Count</t>
  </si>
  <si>
    <t>Error Message</t>
  </si>
  <si>
    <t>⚙  SYSTEM CONFIGURATION  —  DO NOT MODIFY DIRECTLY</t>
  </si>
  <si>
    <t>Setting</t>
  </si>
  <si>
    <t>Value</t>
  </si>
  <si>
    <t>Last Updated</t>
  </si>
  <si>
    <t>Total Members</t>
  </si>
  <si>
    <t>Auto-counted</t>
  </si>
  <si>
    <t>Total Savings</t>
  </si>
  <si>
    <t>Auto-summed</t>
  </si>
  <si>
    <t>Loan Repayments</t>
  </si>
  <si>
    <t>Money at Hand</t>
  </si>
  <si>
    <t>Savings+Repayments-Loans</t>
  </si>
  <si>
    <t>Pending Loans</t>
  </si>
  <si>
    <t>Last Sync Date</t>
  </si>
  <si>
    <t>Set by VBA on sync</t>
  </si>
  <si>
    <t>System Version</t>
  </si>
  <si>
    <t>2.0.0</t>
  </si>
  <si>
    <t>2026-01-01</t>
  </si>
  <si>
    <t>SAMCIOUS MFI v2</t>
  </si>
  <si>
    <t>Master File Path</t>
  </si>
  <si>
    <t>Set during setup</t>
  </si>
  <si>
    <t>SMS API Key</t>
  </si>
  <si>
    <t>Hubtel/Twilio key</t>
  </si>
  <si>
    <t>SMS Sender ID</t>
  </si>
  <si>
    <t>SAMCIOUS</t>
  </si>
  <si>
    <t>SMS sender name</t>
  </si>
  <si>
    <t>Currency</t>
  </si>
  <si>
    <t>Ghana Cedis</t>
  </si>
  <si>
    <t>Interest Base Rate</t>
  </si>
  <si>
    <t>20%</t>
  </si>
  <si>
    <t>Default annual rate</t>
  </si>
  <si>
    <t>Max Loan Multiple</t>
  </si>
  <si>
    <t>5</t>
  </si>
  <si>
    <t>Max loan = 5x savings</t>
  </si>
  <si>
    <t>Processing Fee %</t>
  </si>
  <si>
    <t>2%</t>
  </si>
  <si>
    <t>Default processing fee</t>
  </si>
  <si>
    <t>Processing Fee (decimal)</t>
  </si>
  <si>
    <t>For formula use</t>
  </si>
  <si>
    <t>System Locked</t>
  </si>
  <si>
    <t>FALSE</t>
  </si>
  <si>
    <t>TRUE when not synced</t>
  </si>
  <si>
    <t>Active User</t>
  </si>
  <si>
    <t>Manager</t>
  </si>
  <si>
    <t>Current logged-in user</t>
  </si>
  <si>
    <t>SUPER_ADMIN</t>
  </si>
  <si>
    <t>Super Admin Name</t>
  </si>
  <si>
    <t>ADMIN_2</t>
  </si>
  <si>
    <t>ADMIN_3</t>
  </si>
  <si>
    <t>ADMIN_4</t>
  </si>
  <si>
    <t>ADMIN_5</t>
  </si>
  <si>
    <t>ADMIN_6</t>
  </si>
  <si>
    <t>ADMIN_7</t>
  </si>
  <si>
    <t>ADMIN_8</t>
  </si>
  <si>
    <t>ADMIN_9</t>
  </si>
  <si>
    <t>ADMIN_10</t>
  </si>
  <si>
    <t>Username</t>
  </si>
  <si>
    <t>Env Username</t>
  </si>
  <si>
    <t>Action</t>
  </si>
  <si>
    <t>Sheet</t>
  </si>
  <si>
    <t>Details</t>
  </si>
  <si>
    <t>📖  HOW TO USE  —  SAMCIOUS MFI v2  |  Ghana MFI Standard</t>
  </si>
  <si>
    <t>📋 SHEET</t>
  </si>
  <si>
    <t>PURPOSE / WHAT TO DO</t>
  </si>
  <si>
    <t>DASHBOARD</t>
  </si>
  <si>
    <t>Main control panel. All KPIs auto-update. Use buttons to add members, process transactions, approve loans.</t>
  </si>
  <si>
    <t>Members</t>
  </si>
  <si>
    <t>KYC registry. Enter member details in yellow cells. Account numbers generated by VBA. Balances auto-pull from Transactions.</t>
  </si>
  <si>
    <t>Transactions</t>
  </si>
  <si>
    <t>All financial movements. Enter Ref No, Date, Account No, Trans Type, Amount manually. Balance columns auto-calculate.</t>
  </si>
  <si>
    <t>Loans</t>
  </si>
  <si>
    <t>Loan register. Enter loan details. Monthly installment (PMT), outstanding balance, status all auto-calculate.</t>
  </si>
  <si>
    <t>Pending_Loans</t>
  </si>
  <si>
    <t>Agent-submitted loan requests awaiting Manager approval. Manager enters Decision and notes.</t>
  </si>
  <si>
    <t>Interest_Engine</t>
  </si>
  <si>
    <t>Auto-calculates monthly interest due per member from Loans sheet. Paid column pulls from Int_Repayments.</t>
  </si>
  <si>
    <t>Int_Repayments</t>
  </si>
  <si>
    <t>Manual interest payment log. Enter Account No, Month No, Amount. Running totals auto-calculate.</t>
  </si>
  <si>
    <t>Savings_Passbook</t>
  </si>
  <si>
    <t>Enter Account No to see that member's savings statement automatically filtered.</t>
  </si>
  <si>
    <t>Arrears_Tracker</t>
  </si>
  <si>
    <t>Auto-flags loans by PAR category (PAR30/60/90). Read-only — sourced from Loans + Interest_Engine.</t>
  </si>
  <si>
    <t>Loan_Aging</t>
  </si>
  <si>
    <t>PAR summary by category with counts and amounts. Fully automated from Arrears_Tracker.</t>
  </si>
  <si>
    <t>Income_Expenses</t>
  </si>
  <si>
    <t>P&amp;L summary. Top section auto-calculates. Scroll down to enter miscellaneous expenses manually.</t>
  </si>
  <si>
    <t>CashFlow_Summary</t>
  </si>
  <si>
    <t>Monthly cash flow by category. Fully auto from Transactions + Int_Repayments.</t>
  </si>
  <si>
    <t>Reports</t>
  </si>
  <si>
    <t>Set year in B2. Monthly performance table auto-populates. Management/board reporting ready.</t>
  </si>
  <si>
    <t>Member_Ledger</t>
  </si>
  <si>
    <t>Per-member summary of all loans and payments. Read-only, auto-populated.</t>
  </si>
  <si>
    <t>Profit_Sharing</t>
  </si>
  <si>
    <t>Interest income distribution per member based on savings ratio. Auto-calculated.</t>
  </si>
  <si>
    <t>Repayment_Log</t>
  </si>
  <si>
    <t>Manual audit trail for all repayments. Enter Log ID, Account No, Date, Amount, Type.</t>
  </si>
  <si>
    <t>AuditLog</t>
  </si>
  <si>
    <t>VBA-managed. Read-only. All admin actions logged with timestamp.</t>
  </si>
  <si>
    <t>⚙ ADMIN SYSTEM</t>
  </si>
  <si>
    <t>Lock System</t>
  </si>
  <si>
    <t>Locks all data sheets. Admin/Manager only.</t>
  </si>
  <si>
    <t>Unlock System</t>
  </si>
  <si>
    <t>Unlocks sheets. Requires registered credentials. Auto-locks after 5-min inactivity.</t>
  </si>
  <si>
    <t>Add/Remove Admin</t>
  </si>
  <si>
    <t>Super Admin only. Up to 9 secondary admins supported.</t>
  </si>
  <si>
    <t>🎨 COLOR CODE</t>
  </si>
  <si>
    <t>🟡 Yellow</t>
  </si>
  <si>
    <t>Manual input — recorder types here</t>
  </si>
  <si>
    <t>🟢 Green</t>
  </si>
  <si>
    <t>Auto-calculated — do not type</t>
  </si>
  <si>
    <t>🔵 Blue</t>
  </si>
  <si>
    <t>Auto-calculated (linked from other sheets)</t>
  </si>
  <si>
    <t>🟠 Amber</t>
  </si>
  <si>
    <t>Warning / calculated fee fields</t>
  </si>
  <si>
    <t>🔴 Red</t>
  </si>
  <si>
    <t>Outstanding / debit / alert fields</t>
  </si>
  <si>
    <t>⚠ IMPORTANT</t>
  </si>
  <si>
    <t>Break Point / Sync</t>
  </si>
  <si>
    <t>Set Master File Path in Config!B10 before first sync.</t>
  </si>
  <si>
    <t>Interest Payments</t>
  </si>
  <si>
    <t>All interest payments MUST be in Int_Repayments sheet (not Transactions).</t>
  </si>
  <si>
    <t>VBA Setup</t>
  </si>
  <si>
    <t>See VBA_Modules sheet. Paste code into VBA Editor (Alt+F11) before using buttons.</t>
  </si>
  <si>
    <t>Mobile / Online</t>
  </si>
  <si>
    <t>VBA does not run on mobile. Sheets remain locked. Use Excel Desktop for full access.</t>
  </si>
  <si>
    <t>Ghana Compliance</t>
  </si>
  <si>
    <t>PAR categories follow BOG MFI supervision guidelines. Interest rates default to 20% p.a.</t>
  </si>
  <si>
    <t>🆕  NEW in v_upgrade: Agent-Based Financial Management System Enhancements</t>
  </si>
  <si>
    <t>Daily_Balance_Control</t>
  </si>
  <si>
    <t>NEW SHEET. Central reconciliation panel. Enter declared totals per agent in yellow cells. Session validation (row 20) flags ✅ BALANCED or 🚨 UNBALANCED instantly.</t>
  </si>
  <si>
    <t>AGENT_# → Row 7 &amp; 9</t>
  </si>
  <si>
    <t>NEW SESSION CONTROL PANEL. Row 7: section header. Row 9: enter declared daily totals in yellow cells. Status formula shows balanced/unbalanced live.</t>
  </si>
  <si>
    <t>Daily_Balance_Control → Weekly (R22-28)</t>
  </si>
  <si>
    <t>WEEKLY AGGREGATION auto-compiled from AGENT_DATABASE by calendar week for current month.</t>
  </si>
  <si>
    <t>Daily_Balance_Control → Monthly (R30-44)</t>
  </si>
  <si>
    <t>MONTHLY BALANCE SHEET. 12-month breakdown + annual total — fully formula-driven.</t>
  </si>
  <si>
    <t>MANAGER_DASHBOARD → bottom</t>
  </si>
  <si>
    <t>LIVE BALANCE SUMMARY: declared vs recorded per agent with system-wide status flag.</t>
  </si>
  <si>
    <t>AGENT_# → H6 Bug Fix</t>
  </si>
  <si>
    <t>Circular reference corrected. Net Balance is now =B6-F6-D6 (Savings − Withdrawals − Loans).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</si>
</sst>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/d/yyyy"/>
    <numFmt numFmtId="165" formatCode="mm/dd/yy\ hh:mm\ AM/PM"/>
    <numFmt numFmtId="166" formatCode="0.0%"/>
    <numFmt numFmtId="167" formatCode="dd/mm/yyyy\ hh:mm"/>
    <numFmt numFmtId="168" formatCode="dd/mm\ hh:mm"/>
  </numFmts>
  <fonts count="42" x14ac:knownFonts="1">
    <font>
      <sz val="11"/>
      <color theme="1"/>
      <name val="Calibri"/>
      <family val="2"/>
      <charset val="1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12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000000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sz val="11"/>
      <color rgb="FF555555"/>
      <name val="Arial"/>
      <family val="2"/>
    </font>
    <font>
      <b/>
      <sz val="11"/>
      <color rgb="FFFFFFFF"/>
      <name val="Arial"/>
      <family val="2"/>
    </font>
    <font>
      <b/>
      <sz val="18"/>
      <color rgb="FFC9A84C"/>
      <name val="Arial"/>
      <family val="2"/>
    </font>
    <font>
      <sz val="10"/>
      <color rgb="FFFFFFFF"/>
      <name val="Arial"/>
      <family val="2"/>
    </font>
    <font>
      <sz val="10"/>
      <color rgb="FFC9A84C"/>
      <name val="Arial"/>
      <family val="2"/>
    </font>
    <font>
      <b/>
      <sz val="9"/>
      <color rgb="FFFFFFFF"/>
      <name val="Arial"/>
      <family val="2"/>
    </font>
    <font>
      <b/>
      <sz val="14"/>
      <color rgb="FF1B6B3A"/>
      <name val="Arial"/>
      <family val="2"/>
    </font>
    <font>
      <b/>
      <sz val="14"/>
      <color rgb="FF1B2A4A"/>
      <name val="Arial"/>
      <family val="2"/>
    </font>
    <font>
      <b/>
      <sz val="14"/>
      <color rgb="FF935116"/>
      <name val="Arial"/>
      <family val="2"/>
    </font>
    <font>
      <b/>
      <sz val="14"/>
      <color rgb="FF7D6608"/>
      <name val="Arial"/>
      <family val="2"/>
    </font>
    <font>
      <sz val="9"/>
      <color rgb="FF555555"/>
      <name val="Arial"/>
      <family val="2"/>
    </font>
    <font>
      <b/>
      <sz val="16"/>
      <color rgb="FFC9A84C"/>
      <name val="Arial"/>
      <family val="2"/>
    </font>
    <font>
      <b/>
      <sz val="10"/>
      <color rgb="FFC9A84C"/>
      <name val="Arial"/>
      <family val="2"/>
    </font>
    <font>
      <b/>
      <sz val="9"/>
      <color rgb="FF555555"/>
      <name val="Arial"/>
      <family val="2"/>
    </font>
    <font>
      <b/>
      <sz val="8"/>
      <color rgb="FFFFFFFF"/>
      <name val="Arial"/>
      <family val="2"/>
    </font>
    <font>
      <sz val="8"/>
      <color rgb="FF555555"/>
      <name val="Arial"/>
      <family val="2"/>
    </font>
    <font>
      <b/>
      <sz val="10"/>
      <color rgb="FFFFFFFF"/>
      <name val="Arial"/>
      <family val="2"/>
    </font>
    <font>
      <b/>
      <sz val="8"/>
      <color rgb="FF555555"/>
      <name val="Arial"/>
      <family val="2"/>
    </font>
    <font>
      <b/>
      <sz val="10"/>
      <color rgb="FF0000FF"/>
      <name val="Arial"/>
      <family val="2"/>
    </font>
    <font>
      <b/>
      <sz val="9"/>
      <color rgb="FF000000"/>
      <name val="Arial"/>
      <family val="2"/>
    </font>
    <font>
      <b/>
      <sz val="12"/>
      <color rgb="FFFFFFFF"/>
      <name val="Arial"/>
      <family val="2"/>
    </font>
    <font>
      <b/>
      <sz val="8"/>
      <color rgb="FFFFFFFF"/>
      <name val="Arial"/>
      <family val="2"/>
    </font>
    <font>
      <b/>
      <sz val="9"/>
      <color rgb="FF555555"/>
      <name val="Arial"/>
      <family val="2"/>
    </font>
    <font>
      <sz val="9"/>
      <color rgb="FF000000"/>
      <name val="Arial"/>
      <family val="2"/>
    </font>
    <font>
      <b/>
      <sz val="11"/>
      <color rgb="FFFFFFFF"/>
      <name val="Arial"/>
      <family val="2"/>
    </font>
    <font>
      <sz val="9"/>
      <color rgb="FF555555"/>
      <name val="Arial"/>
      <family val="2"/>
    </font>
    <font>
      <b/>
      <sz val="14"/>
      <color rgb="FFFFFFFF"/>
      <name val="Arial"/>
      <family val="2"/>
    </font>
    <font>
      <sz val="10"/>
      <color rgb="FFFFFFFF"/>
      <name val="Arial"/>
      <family val="2"/>
    </font>
    <font>
      <sz val="10"/>
      <color rgb="FFC9A84C"/>
      <name val="Arial"/>
      <family val="2"/>
    </font>
    <font>
      <b/>
      <sz val="9"/>
      <color rgb="FFFFFFFF"/>
      <name val="Arial"/>
      <family val="2"/>
    </font>
    <font>
      <b/>
      <sz val="10"/>
      <color rgb="FF00000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0D47A1"/>
        <bgColor rgb="FF333399"/>
      </patternFill>
    </fill>
    <fill>
      <patternFill patternType="solid">
        <fgColor rgb="FF00695C"/>
        <bgColor rgb="FF008080"/>
      </patternFill>
    </fill>
    <fill>
      <patternFill patternType="solid">
        <fgColor rgb="FFE8F5E9"/>
        <bgColor rgb="FFE0F2F1"/>
      </patternFill>
    </fill>
    <fill>
      <patternFill patternType="solid">
        <fgColor rgb="FF37474F"/>
        <bgColor rgb="FF1B5E20"/>
      </patternFill>
    </fill>
    <fill>
      <patternFill patternType="solid">
        <fgColor rgb="FFECEFF1"/>
        <bgColor rgb="FFE8F5E9"/>
      </patternFill>
    </fill>
    <fill>
      <patternFill patternType="solid">
        <fgColor rgb="FFFFFDE7"/>
        <bgColor rgb="FFFFF8E1"/>
      </patternFill>
    </fill>
    <fill>
      <patternFill patternType="solid">
        <fgColor rgb="FF1B5E20"/>
        <bgColor rgb="FF00695C"/>
      </patternFill>
    </fill>
    <fill>
      <patternFill patternType="solid">
        <fgColor rgb="FFE3F2FD"/>
        <bgColor rgb="FFE0F2F1"/>
      </patternFill>
    </fill>
    <fill>
      <patternFill patternType="solid">
        <fgColor rgb="FFFEEBE9"/>
        <bgColor rgb="FFFFF3E0"/>
      </patternFill>
    </fill>
    <fill>
      <patternFill patternType="solid">
        <fgColor rgb="FFFFF3E0"/>
        <bgColor rgb="FFFFF8E1"/>
      </patternFill>
    </fill>
    <fill>
      <patternFill patternType="solid">
        <fgColor rgb="FFE0F2F1"/>
        <bgColor rgb="FFE3F2FD"/>
      </patternFill>
    </fill>
    <fill>
      <patternFill patternType="solid">
        <fgColor rgb="FFE65100"/>
        <bgColor rgb="FFB71C1C"/>
      </patternFill>
    </fill>
    <fill>
      <patternFill patternType="solid">
        <fgColor rgb="FF4A148C"/>
        <bgColor rgb="FF333399"/>
      </patternFill>
    </fill>
    <fill>
      <patternFill patternType="solid">
        <fgColor rgb="FFB71C1C"/>
        <bgColor rgb="FF993366"/>
      </patternFill>
    </fill>
    <fill>
      <patternFill patternType="solid">
        <fgColor rgb="FFFFF8E1"/>
        <bgColor rgb="FFFFF3E0"/>
      </patternFill>
    </fill>
    <fill>
      <patternFill patternType="solid">
        <fgColor rgb="FFF3E5F5"/>
        <bgColor rgb="FFFEEBE9"/>
      </patternFill>
    </fill>
    <fill>
      <patternFill patternType="solid">
        <fgColor rgb="FFFFFFFF"/>
        <bgColor rgb="FFFFFDE7"/>
      </patternFill>
    </fill>
    <fill>
      <patternFill patternType="solid">
        <fgColor rgb="FF1B2A4A"/>
        <bgColor rgb="FF1B2A4A"/>
      </patternFill>
    </fill>
    <fill>
      <patternFill patternType="solid">
        <fgColor rgb="FF555555"/>
        <bgColor rgb="FF555555"/>
      </patternFill>
    </fill>
    <fill>
      <patternFill patternType="solid">
        <fgColor rgb="FF1E6B3A"/>
        <bgColor rgb="FF1E6B3A"/>
      </patternFill>
    </fill>
    <fill>
      <patternFill patternType="solid">
        <fgColor rgb="FFF5F5F5"/>
        <bgColor rgb="FFF5F5F5"/>
      </patternFill>
    </fill>
    <fill>
      <patternFill patternType="solid">
        <fgColor rgb="FFE67E22"/>
        <bgColor rgb="FFE67E22"/>
      </patternFill>
    </fill>
    <fill>
      <patternFill patternType="solid">
        <fgColor rgb="FFF39C12"/>
        <bgColor rgb="FFF39C12"/>
      </patternFill>
    </fill>
    <fill>
      <patternFill patternType="solid">
        <fgColor rgb="FFFFFFFF"/>
        <bgColor rgb="FFFFFFFF"/>
      </patternFill>
    </fill>
    <fill>
      <patternFill patternType="solid">
        <fgColor rgb="FFEAF2FB"/>
        <bgColor rgb="FFEAF2FB"/>
      </patternFill>
    </fill>
    <fill>
      <patternFill patternType="solid">
        <fgColor rgb="FFC0392B"/>
        <bgColor rgb="FFC0392B"/>
      </patternFill>
    </fill>
    <fill>
      <patternFill patternType="solid">
        <fgColor rgb="FFFFFDE7"/>
        <bgColor rgb="FFFFFDE7"/>
      </patternFill>
    </fill>
    <fill>
      <patternFill patternType="solid">
        <fgColor rgb="FFD0D0D0"/>
        <bgColor rgb="FFD0D0D0"/>
      </patternFill>
    </fill>
    <fill>
      <patternFill patternType="solid">
        <fgColor rgb="FFE8F8EF"/>
        <bgColor rgb="FFE8F8EF"/>
      </patternFill>
    </fill>
    <fill>
      <patternFill patternType="solid">
        <fgColor rgb="FFFEF9E7"/>
        <bgColor rgb="FFFEF9E7"/>
      </patternFill>
    </fill>
    <fill>
      <patternFill patternType="solid">
        <fgColor rgb="FF007B7B"/>
      </patternFill>
    </fill>
    <fill>
      <patternFill patternType="solid">
        <fgColor rgb="FFFFFF00"/>
      </patternFill>
    </fill>
    <fill>
      <patternFill patternType="solid">
        <fgColor rgb="FF555555"/>
      </patternFill>
    </fill>
    <fill>
      <patternFill patternType="solid">
        <fgColor rgb="FFF5F5F5"/>
      </patternFill>
    </fill>
    <fill>
      <patternFill patternType="solid">
        <fgColor rgb="FFFFFFFF"/>
      </patternFill>
    </fill>
    <fill>
      <patternFill patternType="solid">
        <fgColor rgb="FF1B2A4A"/>
      </patternFill>
    </fill>
    <fill>
      <patternFill patternType="solid">
        <fgColor rgb="FF1E6B3A"/>
      </patternFill>
    </fill>
    <fill>
      <patternFill patternType="solid">
        <fgColor rgb="FFE67E22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/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4" fontId="3" fillId="4" borderId="2" xfId="0" applyNumberFormat="1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left" vertical="center" wrapText="1"/>
    </xf>
    <xf numFmtId="0" fontId="3" fillId="6" borderId="2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left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4" fontId="5" fillId="4" borderId="2" xfId="0" applyNumberFormat="1" applyFont="1" applyFill="1" applyBorder="1" applyAlignment="1">
      <alignment horizontal="center" vertical="center" wrapText="1"/>
    </xf>
    <xf numFmtId="164" fontId="3" fillId="7" borderId="2" xfId="0" applyNumberFormat="1" applyFont="1" applyFill="1" applyBorder="1" applyAlignment="1">
      <alignment horizontal="left" vertical="center" wrapText="1"/>
    </xf>
    <xf numFmtId="4" fontId="5" fillId="10" borderId="2" xfId="0" applyNumberFormat="1" applyFont="1" applyFill="1" applyBorder="1" applyAlignment="1">
      <alignment horizontal="center" vertical="center" wrapText="1"/>
    </xf>
    <xf numFmtId="4" fontId="5" fillId="9" borderId="2" xfId="0" applyNumberFormat="1" applyFont="1" applyFill="1" applyBorder="1" applyAlignment="1">
      <alignment horizontal="center" vertical="center" wrapText="1"/>
    </xf>
    <xf numFmtId="4" fontId="5" fillId="11" borderId="2" xfId="0" applyNumberFormat="1" applyFont="1" applyFill="1" applyBorder="1" applyAlignment="1">
      <alignment horizontal="center" vertical="center" wrapText="1"/>
    </xf>
    <xf numFmtId="4" fontId="5" fillId="12" borderId="2" xfId="0" applyNumberFormat="1" applyFont="1" applyFill="1" applyBorder="1" applyAlignment="1">
      <alignment horizontal="center" vertical="center" wrapText="1"/>
    </xf>
    <xf numFmtId="164" fontId="5" fillId="6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4" fontId="3" fillId="6" borderId="2" xfId="0" applyNumberFormat="1" applyFont="1" applyFill="1" applyBorder="1" applyAlignment="1">
      <alignment horizontal="center" vertical="center" wrapText="1"/>
    </xf>
    <xf numFmtId="10" fontId="3" fillId="6" borderId="2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4" fontId="3" fillId="11" borderId="2" xfId="0" applyNumberFormat="1" applyFont="1" applyFill="1" applyBorder="1" applyAlignment="1">
      <alignment horizontal="center" vertical="center" wrapText="1"/>
    </xf>
    <xf numFmtId="4" fontId="3" fillId="12" borderId="2" xfId="0" applyNumberFormat="1" applyFont="1" applyFill="1" applyBorder="1" applyAlignment="1">
      <alignment horizontal="center" vertical="center" wrapText="1"/>
    </xf>
    <xf numFmtId="4" fontId="3" fillId="10" borderId="2" xfId="0" applyNumberFormat="1" applyFont="1" applyFill="1" applyBorder="1" applyAlignment="1">
      <alignment horizontal="center" vertical="center" wrapText="1"/>
    </xf>
    <xf numFmtId="0" fontId="5" fillId="6" borderId="0" xfId="0" applyFont="1" applyFill="1"/>
    <xf numFmtId="0" fontId="2" fillId="14" borderId="2" xfId="0" applyFont="1" applyFill="1" applyBorder="1" applyAlignment="1">
      <alignment horizontal="center" vertical="center" wrapText="1"/>
    </xf>
    <xf numFmtId="4" fontId="5" fillId="6" borderId="2" xfId="0" applyNumberFormat="1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center" vertical="center" wrapText="1"/>
    </xf>
    <xf numFmtId="164" fontId="5" fillId="12" borderId="2" xfId="0" applyNumberFormat="1" applyFont="1" applyFill="1" applyBorder="1" applyAlignment="1">
      <alignment horizontal="center" vertical="center" wrapText="1"/>
    </xf>
    <xf numFmtId="1" fontId="5" fillId="12" borderId="2" xfId="0" applyNumberFormat="1" applyFont="1" applyFill="1" applyBorder="1" applyAlignment="1">
      <alignment horizontal="center" vertical="center" wrapText="1"/>
    </xf>
    <xf numFmtId="164" fontId="5" fillId="16" borderId="2" xfId="0" applyNumberFormat="1" applyFont="1" applyFill="1" applyBorder="1" applyAlignment="1">
      <alignment horizontal="center" vertical="center" wrapText="1"/>
    </xf>
    <xf numFmtId="1" fontId="5" fillId="10" borderId="2" xfId="0" applyNumberFormat="1" applyFont="1" applyFill="1" applyBorder="1" applyAlignment="1">
      <alignment horizontal="center" vertical="center" wrapText="1"/>
    </xf>
    <xf numFmtId="0" fontId="5" fillId="16" borderId="2" xfId="0" applyFont="1" applyFill="1" applyBorder="1" applyAlignment="1">
      <alignment horizontal="center" vertical="center" wrapText="1"/>
    </xf>
    <xf numFmtId="4" fontId="5" fillId="17" borderId="2" xfId="0" applyNumberFormat="1" applyFont="1" applyFill="1" applyBorder="1" applyAlignment="1">
      <alignment horizontal="center" vertical="center" wrapText="1"/>
    </xf>
    <xf numFmtId="4" fontId="5" fillId="16" borderId="2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0" fillId="10" borderId="0" xfId="0" applyFill="1"/>
    <xf numFmtId="4" fontId="7" fillId="8" borderId="0" xfId="0" applyNumberFormat="1" applyFont="1" applyFill="1" applyAlignment="1">
      <alignment horizontal="center" vertical="center" wrapText="1"/>
    </xf>
    <xf numFmtId="0" fontId="4" fillId="8" borderId="0" xfId="0" applyFont="1" applyFill="1"/>
    <xf numFmtId="4" fontId="7" fillId="15" borderId="0" xfId="0" applyNumberFormat="1" applyFont="1" applyFill="1" applyAlignment="1">
      <alignment horizontal="center" vertical="center" wrapText="1"/>
    </xf>
    <xf numFmtId="0" fontId="4" fillId="15" borderId="0" xfId="0" applyFont="1" applyFill="1"/>
    <xf numFmtId="4" fontId="6" fillId="2" borderId="0" xfId="0" applyNumberFormat="1" applyFont="1" applyFill="1" applyAlignment="1">
      <alignment horizontal="center" vertical="center" wrapText="1"/>
    </xf>
    <xf numFmtId="0" fontId="4" fillId="2" borderId="0" xfId="0" applyFont="1" applyFill="1"/>
    <xf numFmtId="4" fontId="5" fillId="7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 wrapText="1"/>
    </xf>
    <xf numFmtId="0" fontId="5" fillId="4" borderId="2" xfId="0" applyFont="1" applyFill="1" applyBorder="1" applyAlignment="1">
      <alignment horizontal="left" vertical="center" wrapText="1"/>
    </xf>
    <xf numFmtId="0" fontId="5" fillId="10" borderId="2" xfId="0" applyFont="1" applyFill="1" applyBorder="1" applyAlignment="1">
      <alignment horizontal="left" vertical="center" wrapText="1"/>
    </xf>
    <xf numFmtId="0" fontId="7" fillId="2" borderId="2" xfId="0" applyFont="1" applyFill="1" applyBorder="1" applyAlignment="1">
      <alignment horizontal="left" vertical="center" wrapText="1"/>
    </xf>
    <xf numFmtId="4" fontId="7" fillId="2" borderId="2" xfId="0" applyNumberFormat="1" applyFont="1" applyFill="1" applyBorder="1" applyAlignment="1">
      <alignment horizontal="center" vertical="center" wrapText="1"/>
    </xf>
    <xf numFmtId="1" fontId="3" fillId="7" borderId="2" xfId="0" applyNumberFormat="1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horizontal="lef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10" fontId="3" fillId="12" borderId="2" xfId="0" applyNumberFormat="1" applyFont="1" applyFill="1" applyBorder="1" applyAlignment="1">
      <alignment horizontal="center" vertical="center" wrapText="1"/>
    </xf>
    <xf numFmtId="4" fontId="3" fillId="16" borderId="2" xfId="0" applyNumberFormat="1" applyFont="1" applyFill="1" applyBorder="1" applyAlignment="1">
      <alignment horizontal="center" vertical="center" wrapText="1"/>
    </xf>
    <xf numFmtId="165" fontId="5" fillId="6" borderId="2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8" fillId="9" borderId="2" xfId="0" applyFont="1" applyFill="1" applyBorder="1" applyAlignment="1">
      <alignment horizontal="left" vertical="center" wrapText="1"/>
    </xf>
    <xf numFmtId="0" fontId="5" fillId="18" borderId="2" xfId="0" applyFont="1" applyFill="1" applyBorder="1" applyAlignment="1">
      <alignment horizontal="left" vertical="center" wrapText="1"/>
    </xf>
    <xf numFmtId="0" fontId="16" fillId="19" borderId="5" xfId="0" applyFont="1" applyFill="1" applyBorder="1" applyAlignment="1">
      <alignment horizontal="center" vertical="center"/>
    </xf>
    <xf numFmtId="0" fontId="16" fillId="20" borderId="5" xfId="0" applyFont="1" applyFill="1" applyBorder="1" applyAlignment="1">
      <alignment horizontal="center" vertical="center"/>
    </xf>
    <xf numFmtId="0" fontId="21" fillId="22" borderId="5" xfId="0" applyFont="1" applyFill="1" applyBorder="1" applyAlignment="1">
      <alignment horizontal="center" vertical="center"/>
    </xf>
    <xf numFmtId="0" fontId="21" fillId="22" borderId="5" xfId="0" applyFont="1" applyFill="1" applyBorder="1" applyAlignment="1">
      <alignment horizontal="left" vertical="center"/>
    </xf>
    <xf numFmtId="4" fontId="21" fillId="22" borderId="5" xfId="0" applyNumberFormat="1" applyFont="1" applyFill="1" applyBorder="1" applyAlignment="1">
      <alignment horizontal="center" vertical="center"/>
    </xf>
    <xf numFmtId="166" fontId="21" fillId="22" borderId="5" xfId="0" applyNumberFormat="1" applyFont="1" applyFill="1" applyBorder="1" applyAlignment="1">
      <alignment horizontal="center" vertical="center"/>
    </xf>
    <xf numFmtId="167" fontId="21" fillId="22" borderId="5" xfId="0" applyNumberFormat="1" applyFont="1" applyFill="1" applyBorder="1" applyAlignment="1">
      <alignment horizontal="center" vertical="center"/>
    </xf>
    <xf numFmtId="0" fontId="21" fillId="25" borderId="5" xfId="0" applyFont="1" applyFill="1" applyBorder="1" applyAlignment="1">
      <alignment horizontal="center" vertical="center"/>
    </xf>
    <xf numFmtId="0" fontId="21" fillId="25" borderId="5" xfId="0" applyFont="1" applyFill="1" applyBorder="1" applyAlignment="1">
      <alignment horizontal="left" vertical="center"/>
    </xf>
    <xf numFmtId="4" fontId="21" fillId="25" borderId="5" xfId="0" applyNumberFormat="1" applyFont="1" applyFill="1" applyBorder="1" applyAlignment="1">
      <alignment horizontal="center" vertical="center"/>
    </xf>
    <xf numFmtId="166" fontId="21" fillId="25" borderId="5" xfId="0" applyNumberFormat="1" applyFont="1" applyFill="1" applyBorder="1" applyAlignment="1">
      <alignment horizontal="center" vertical="center"/>
    </xf>
    <xf numFmtId="167" fontId="21" fillId="25" borderId="5" xfId="0" applyNumberFormat="1" applyFont="1" applyFill="1" applyBorder="1" applyAlignment="1">
      <alignment horizontal="center" vertical="center"/>
    </xf>
    <xf numFmtId="0" fontId="12" fillId="19" borderId="0" xfId="0" applyFont="1" applyFill="1" applyAlignment="1">
      <alignment horizontal="center" vertical="center"/>
    </xf>
    <xf numFmtId="0" fontId="21" fillId="26" borderId="5" xfId="0" applyFont="1" applyFill="1" applyBorder="1" applyAlignment="1">
      <alignment horizontal="center" vertical="center"/>
    </xf>
    <xf numFmtId="4" fontId="21" fillId="26" borderId="5" xfId="0" applyNumberFormat="1" applyFont="1" applyFill="1" applyBorder="1" applyAlignment="1">
      <alignment horizontal="center" vertical="center"/>
    </xf>
    <xf numFmtId="0" fontId="10" fillId="19" borderId="0" xfId="0" applyFont="1" applyFill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1" fillId="28" borderId="5" xfId="0" applyFont="1" applyFill="1" applyBorder="1" applyAlignment="1">
      <alignment horizontal="right" vertical="center"/>
    </xf>
    <xf numFmtId="0" fontId="21" fillId="28" borderId="5" xfId="0" applyFont="1" applyFill="1" applyBorder="1"/>
    <xf numFmtId="0" fontId="21" fillId="30" borderId="5" xfId="0" applyFont="1" applyFill="1" applyBorder="1"/>
    <xf numFmtId="0" fontId="21" fillId="31" borderId="5" xfId="0" applyFont="1" applyFill="1" applyBorder="1"/>
    <xf numFmtId="4" fontId="21" fillId="29" borderId="5" xfId="0" applyNumberFormat="1" applyFont="1" applyFill="1" applyBorder="1"/>
    <xf numFmtId="0" fontId="25" fillId="20" borderId="5" xfId="0" applyFont="1" applyFill="1" applyBorder="1" applyAlignment="1">
      <alignment horizontal="center" vertical="center"/>
    </xf>
    <xf numFmtId="0" fontId="26" fillId="22" borderId="5" xfId="0" applyFont="1" applyFill="1" applyBorder="1" applyAlignment="1">
      <alignment horizontal="center" vertical="center"/>
    </xf>
    <xf numFmtId="168" fontId="26" fillId="22" borderId="5" xfId="0" applyNumberFormat="1" applyFont="1" applyFill="1" applyBorder="1" applyAlignment="1">
      <alignment horizontal="left" vertical="center"/>
    </xf>
    <xf numFmtId="0" fontId="26" fillId="22" borderId="5" xfId="0" applyFont="1" applyFill="1" applyBorder="1" applyAlignment="1">
      <alignment horizontal="left" vertical="center"/>
    </xf>
    <xf numFmtId="4" fontId="26" fillId="22" borderId="5" xfId="0" applyNumberFormat="1" applyFont="1" applyFill="1" applyBorder="1" applyAlignment="1">
      <alignment horizontal="center" vertical="center"/>
    </xf>
    <xf numFmtId="9" fontId="26" fillId="22" borderId="5" xfId="0" applyNumberFormat="1" applyFont="1" applyFill="1" applyBorder="1" applyAlignment="1">
      <alignment horizontal="center" vertical="center"/>
    </xf>
    <xf numFmtId="0" fontId="26" fillId="25" borderId="5" xfId="0" applyFont="1" applyFill="1" applyBorder="1" applyAlignment="1">
      <alignment horizontal="center" vertical="center"/>
    </xf>
    <xf numFmtId="168" fontId="26" fillId="25" borderId="5" xfId="0" applyNumberFormat="1" applyFont="1" applyFill="1" applyBorder="1" applyAlignment="1">
      <alignment horizontal="left" vertical="center"/>
    </xf>
    <xf numFmtId="0" fontId="26" fillId="25" borderId="5" xfId="0" applyFont="1" applyFill="1" applyBorder="1" applyAlignment="1">
      <alignment horizontal="left" vertical="center"/>
    </xf>
    <xf numFmtId="4" fontId="26" fillId="25" borderId="5" xfId="0" applyNumberFormat="1" applyFont="1" applyFill="1" applyBorder="1" applyAlignment="1">
      <alignment horizontal="center" vertical="center"/>
    </xf>
    <xf numFmtId="9" fontId="26" fillId="25" borderId="5" xfId="0" applyNumberFormat="1" applyFont="1" applyFill="1" applyBorder="1" applyAlignment="1">
      <alignment horizontal="center" vertical="center"/>
    </xf>
    <xf numFmtId="0" fontId="24" fillId="26" borderId="5" xfId="0" applyFont="1" applyFill="1" applyBorder="1" applyAlignment="1">
      <alignment horizontal="left" vertical="center"/>
    </xf>
    <xf numFmtId="4" fontId="21" fillId="26" borderId="5" xfId="0" applyNumberFormat="1" applyFont="1" applyFill="1" applyBorder="1"/>
    <xf numFmtId="0" fontId="24" fillId="25" borderId="5" xfId="0" applyFont="1" applyFill="1" applyBorder="1" applyAlignment="1">
      <alignment horizontal="left" vertical="center"/>
    </xf>
    <xf numFmtId="4" fontId="21" fillId="25" borderId="5" xfId="0" applyNumberFormat="1" applyFont="1" applyFill="1" applyBorder="1"/>
    <xf numFmtId="0" fontId="0" fillId="28" borderId="5" xfId="0" applyFill="1" applyBorder="1"/>
    <xf numFmtId="0" fontId="11" fillId="0" borderId="5" xfId="0" applyFont="1" applyBorder="1" applyAlignment="1">
      <alignment horizontal="left" vertical="center"/>
    </xf>
    <xf numFmtId="166" fontId="11" fillId="0" borderId="5" xfId="0" applyNumberFormat="1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32" fillId="34" borderId="7" xfId="0" applyFont="1" applyFill="1" applyBorder="1" applyAlignment="1">
      <alignment horizontal="center" vertical="center" wrapText="1"/>
    </xf>
    <xf numFmtId="0" fontId="33" fillId="35" borderId="7" xfId="0" applyFont="1" applyFill="1" applyBorder="1" applyAlignment="1">
      <alignment horizontal="left" vertical="center" wrapText="1"/>
    </xf>
    <xf numFmtId="4" fontId="34" fillId="35" borderId="7" xfId="0" applyNumberFormat="1" applyFont="1" applyFill="1" applyBorder="1" applyAlignment="1">
      <alignment horizontal="center" vertical="center" wrapText="1"/>
    </xf>
    <xf numFmtId="0" fontId="30" fillId="35" borderId="7" xfId="0" applyFont="1" applyFill="1" applyBorder="1" applyAlignment="1">
      <alignment horizontal="center" vertical="center" wrapText="1"/>
    </xf>
    <xf numFmtId="0" fontId="33" fillId="36" borderId="7" xfId="0" applyFont="1" applyFill="1" applyBorder="1" applyAlignment="1">
      <alignment horizontal="left" vertical="center" wrapText="1"/>
    </xf>
    <xf numFmtId="4" fontId="34" fillId="36" borderId="7" xfId="0" applyNumberFormat="1" applyFont="1" applyFill="1" applyBorder="1" applyAlignment="1">
      <alignment horizontal="center" vertical="center" wrapText="1"/>
    </xf>
    <xf numFmtId="0" fontId="30" fillId="36" borderId="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right" vertical="center" wrapText="1"/>
    </xf>
    <xf numFmtId="4" fontId="29" fillId="33" borderId="7" xfId="0" applyNumberFormat="1" applyFont="1" applyFill="1" applyBorder="1" applyAlignment="1">
      <alignment horizontal="center" vertical="center" wrapText="1"/>
    </xf>
    <xf numFmtId="0" fontId="28" fillId="29" borderId="5" xfId="0" applyFont="1" applyFill="1" applyBorder="1" applyAlignment="1">
      <alignment horizontal="right" vertical="center" wrapText="1"/>
    </xf>
    <xf numFmtId="0" fontId="30" fillId="0" borderId="7" xfId="0" applyFont="1" applyBorder="1" applyAlignment="1">
      <alignment horizontal="center" vertical="center" wrapText="1"/>
    </xf>
    <xf numFmtId="0" fontId="33" fillId="35" borderId="0" xfId="0" applyFont="1" applyFill="1" applyAlignment="1">
      <alignment horizontal="left" vertical="center" wrapText="1"/>
    </xf>
    <xf numFmtId="0" fontId="33" fillId="36" borderId="0" xfId="0" applyFont="1" applyFill="1" applyAlignment="1">
      <alignment horizontal="left" vertical="center" wrapText="1"/>
    </xf>
    <xf numFmtId="4" fontId="30" fillId="35" borderId="7" xfId="0" applyNumberFormat="1" applyFont="1" applyFill="1" applyBorder="1" applyAlignment="1">
      <alignment horizontal="center" vertical="center" wrapText="1"/>
    </xf>
    <xf numFmtId="4" fontId="30" fillId="36" borderId="7" xfId="0" applyNumberFormat="1" applyFont="1" applyFill="1" applyBorder="1" applyAlignment="1">
      <alignment horizontal="center" vertical="center" wrapText="1"/>
    </xf>
    <xf numFmtId="0" fontId="27" fillId="37" borderId="7" xfId="0" applyFont="1" applyFill="1" applyBorder="1" applyAlignment="1">
      <alignment horizontal="center" vertical="center" wrapText="1"/>
    </xf>
    <xf numFmtId="4" fontId="40" fillId="37" borderId="7" xfId="0" applyNumberFormat="1" applyFont="1" applyFill="1" applyBorder="1" applyAlignment="1">
      <alignment horizontal="center" vertical="center" wrapText="1"/>
    </xf>
    <xf numFmtId="0" fontId="40" fillId="34" borderId="7" xfId="0" applyFont="1" applyFill="1" applyBorder="1" applyAlignment="1">
      <alignment horizontal="center" vertical="center" wrapText="1"/>
    </xf>
    <xf numFmtId="4" fontId="41" fillId="35" borderId="7" xfId="0" applyNumberFormat="1" applyFont="1" applyFill="1" applyBorder="1" applyAlignment="1">
      <alignment horizontal="center" vertical="center" wrapText="1"/>
    </xf>
    <xf numFmtId="0" fontId="33" fillId="35" borderId="7" xfId="0" applyFont="1" applyFill="1" applyBorder="1" applyAlignment="1">
      <alignment horizontal="center" vertical="center" wrapText="1"/>
    </xf>
    <xf numFmtId="0" fontId="33" fillId="36" borderId="7" xfId="0" applyFont="1" applyFill="1" applyBorder="1" applyAlignment="1">
      <alignment horizontal="center" vertical="center" wrapText="1"/>
    </xf>
    <xf numFmtId="0" fontId="40" fillId="37" borderId="7" xfId="0" applyFont="1" applyFill="1" applyBorder="1" applyAlignment="1">
      <alignment horizontal="center" vertical="center" wrapText="1"/>
    </xf>
    <xf numFmtId="0" fontId="27" fillId="38" borderId="7" xfId="0" applyFont="1" applyFill="1" applyBorder="1" applyAlignment="1">
      <alignment horizontal="center" vertical="center" wrapText="1"/>
    </xf>
    <xf numFmtId="4" fontId="27" fillId="38" borderId="7" xfId="0" applyNumberFormat="1" applyFont="1" applyFill="1" applyBorder="1" applyAlignment="1">
      <alignment horizontal="center" vertical="center" wrapText="1"/>
    </xf>
    <xf numFmtId="0" fontId="27" fillId="32" borderId="0" xfId="0" applyFont="1" applyFill="1" applyAlignment="1">
      <alignment horizontal="center" vertical="center" wrapText="1"/>
    </xf>
    <xf numFmtId="0" fontId="0" fillId="0" borderId="0" xfId="0"/>
    <xf numFmtId="0" fontId="16" fillId="21" borderId="5" xfId="0" applyFont="1" applyFill="1" applyBorder="1" applyAlignment="1">
      <alignment horizontal="center" vertical="center"/>
    </xf>
    <xf numFmtId="0" fontId="0" fillId="0" borderId="6" xfId="0" applyBorder="1"/>
    <xf numFmtId="4" fontId="19" fillId="22" borderId="5" xfId="0" applyNumberFormat="1" applyFont="1" applyFill="1" applyBorder="1" applyAlignment="1">
      <alignment horizontal="center" vertical="center"/>
    </xf>
    <xf numFmtId="0" fontId="10" fillId="19" borderId="0" xfId="0" applyFont="1" applyFill="1" applyAlignment="1">
      <alignment horizontal="center" vertical="center"/>
    </xf>
    <xf numFmtId="4" fontId="18" fillId="22" borderId="5" xfId="0" applyNumberFormat="1" applyFont="1" applyFill="1" applyBorder="1" applyAlignment="1">
      <alignment horizontal="center" vertical="center"/>
    </xf>
    <xf numFmtId="4" fontId="17" fillId="22" borderId="5" xfId="0" applyNumberFormat="1" applyFont="1" applyFill="1" applyBorder="1" applyAlignment="1">
      <alignment horizontal="center" vertical="center"/>
    </xf>
    <xf numFmtId="0" fontId="16" fillId="23" borderId="5" xfId="0" applyFont="1" applyFill="1" applyBorder="1" applyAlignment="1">
      <alignment horizontal="center" vertical="center"/>
    </xf>
    <xf numFmtId="0" fontId="10" fillId="23" borderId="0" xfId="0" applyFont="1" applyFill="1" applyAlignment="1">
      <alignment horizontal="center" vertical="center"/>
    </xf>
    <xf numFmtId="0" fontId="14" fillId="27" borderId="0" xfId="0" applyFont="1" applyFill="1" applyAlignment="1">
      <alignment horizontal="right" vertical="center"/>
    </xf>
    <xf numFmtId="0" fontId="10" fillId="21" borderId="0" xfId="0" applyFont="1" applyFill="1" applyAlignment="1">
      <alignment horizontal="center" vertical="center"/>
    </xf>
    <xf numFmtId="0" fontId="22" fillId="19" borderId="0" xfId="0" applyFont="1" applyFill="1" applyAlignment="1">
      <alignment horizontal="center" vertical="center"/>
    </xf>
    <xf numFmtId="0" fontId="16" fillId="19" borderId="5" xfId="0" applyFont="1" applyFill="1" applyBorder="1" applyAlignment="1">
      <alignment horizontal="center" vertical="center"/>
    </xf>
    <xf numFmtId="0" fontId="14" fillId="20" borderId="0" xfId="0" applyFont="1" applyFill="1" applyAlignment="1">
      <alignment horizontal="left" vertical="center"/>
    </xf>
    <xf numFmtId="0" fontId="23" fillId="20" borderId="0" xfId="0" applyFont="1" applyFill="1" applyAlignment="1">
      <alignment horizontal="center" vertical="center"/>
    </xf>
    <xf numFmtId="4" fontId="20" fillId="22" borderId="5" xfId="0" applyNumberFormat="1" applyFont="1" applyFill="1" applyBorder="1" applyAlignment="1">
      <alignment horizontal="center" vertical="center"/>
    </xf>
    <xf numFmtId="0" fontId="15" fillId="20" borderId="0" xfId="0" applyFont="1" applyFill="1" applyAlignment="1">
      <alignment horizontal="right" vertical="center"/>
    </xf>
    <xf numFmtId="0" fontId="12" fillId="19" borderId="0" xfId="0" applyFont="1" applyFill="1" applyAlignment="1">
      <alignment horizontal="center" vertical="center"/>
    </xf>
    <xf numFmtId="0" fontId="13" fillId="19" borderId="0" xfId="0" applyFont="1" applyFill="1" applyAlignment="1">
      <alignment horizontal="center" vertical="center"/>
    </xf>
    <xf numFmtId="0" fontId="31" fillId="32" borderId="0" xfId="0" applyFont="1" applyFill="1" applyAlignment="1">
      <alignment horizontal="center" vertical="center" wrapText="1"/>
    </xf>
    <xf numFmtId="0" fontId="16" fillId="24" borderId="5" xfId="0" applyFont="1" applyFill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12" fillId="21" borderId="0" xfId="0" applyFont="1" applyFill="1" applyAlignment="1">
      <alignment horizontal="center" vertical="center"/>
    </xf>
    <xf numFmtId="0" fontId="35" fillId="37" borderId="0" xfId="0" applyFont="1" applyFill="1" applyAlignment="1">
      <alignment horizontal="center" vertical="center" wrapText="1"/>
    </xf>
    <xf numFmtId="0" fontId="35" fillId="38" borderId="0" xfId="0" applyFont="1" applyFill="1" applyAlignment="1">
      <alignment horizontal="center" vertical="center" wrapText="1"/>
    </xf>
    <xf numFmtId="0" fontId="37" fillId="32" borderId="0" xfId="0" applyFont="1" applyFill="1" applyAlignment="1">
      <alignment horizontal="center" vertical="center" wrapText="1"/>
    </xf>
    <xf numFmtId="0" fontId="38" fillId="34" borderId="0" xfId="0" applyFont="1" applyFill="1" applyAlignment="1">
      <alignment horizontal="center" vertical="center" wrapText="1"/>
    </xf>
    <xf numFmtId="0" fontId="35" fillId="39" borderId="0" xfId="0" applyFont="1" applyFill="1" applyAlignment="1">
      <alignment horizontal="center" vertical="center" wrapText="1"/>
    </xf>
    <xf numFmtId="0" fontId="39" fillId="34" borderId="0" xfId="0" applyFont="1" applyFill="1" applyAlignment="1">
      <alignment horizontal="center" vertical="center" wrapText="1"/>
    </xf>
    <xf numFmtId="0" fontId="9" fillId="20" borderId="0" xfId="0" applyFont="1" applyFill="1" applyAlignment="1">
      <alignment horizontal="center" vertical="center"/>
    </xf>
    <xf numFmtId="0" fontId="9" fillId="19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left" vertical="center" wrapText="1"/>
    </xf>
    <xf numFmtId="0" fontId="0" fillId="0" borderId="3" xfId="0" applyBorder="1"/>
    <xf numFmtId="0" fontId="6" fillId="13" borderId="1" xfId="0" applyFont="1" applyFill="1" applyBorder="1" applyAlignment="1">
      <alignment horizontal="left"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0" fillId="0" borderId="4" xfId="0" applyBorder="1"/>
    <xf numFmtId="0" fontId="6" fillId="14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15" borderId="1" xfId="0" applyFont="1" applyFill="1" applyBorder="1" applyAlignment="1">
      <alignment horizontal="left" vertical="center" wrapText="1"/>
    </xf>
    <xf numFmtId="0" fontId="3" fillId="10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4" fillId="1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7" fillId="15" borderId="1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7" fillId="8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36" fillId="35" borderId="0" xfId="0" applyFont="1" applyFill="1" applyAlignment="1">
      <alignment horizontal="left" vertical="center" wrapText="1"/>
    </xf>
    <xf numFmtId="0" fontId="36" fillId="36" borderId="0" xfId="0" applyFont="1" applyFill="1" applyAlignment="1">
      <alignment horizontal="left" vertical="center" wrapText="1"/>
    </xf>
    <xf numFmtId="0" fontId="35" fillId="32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B5E20"/>
      <rgbColor rgb="FF000080"/>
      <rgbColor rgb="FF808000"/>
      <rgbColor rgb="FF800080"/>
      <rgbColor rgb="FF00695C"/>
      <rgbColor rgb="FFECEFF1"/>
      <rgbColor rgb="FF808080"/>
      <rgbColor rgb="FF9999FF"/>
      <rgbColor rgb="FF993366"/>
      <rgbColor rgb="FFFFF8E1"/>
      <rgbColor rgb="FFE0F2F1"/>
      <rgbColor rgb="FF4A148C"/>
      <rgbColor rgb="FFFF8080"/>
      <rgbColor rgb="FF0066CC"/>
      <rgbColor rgb="FFF3E5F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3F2FD"/>
      <rgbColor rgb="FFE8F5E9"/>
      <rgbColor rgb="FFFFF3E0"/>
      <rgbColor rgb="FFFFFDE7"/>
      <rgbColor rgb="FFFF99CC"/>
      <rgbColor rgb="FFCC99FF"/>
      <rgbColor rgb="FFFEEBE9"/>
      <rgbColor rgb="FF3366FF"/>
      <rgbColor rgb="FF33CCCC"/>
      <rgbColor rgb="FF99CC00"/>
      <rgbColor rgb="FFFFCC00"/>
      <rgbColor rgb="FFFF9900"/>
      <rgbColor rgb="FFE65100"/>
      <rgbColor rgb="FF666699"/>
      <rgbColor rgb="FF969696"/>
      <rgbColor rgb="FF0D47A1"/>
      <rgbColor rgb="FF339966"/>
      <rgbColor rgb="FF003300"/>
      <rgbColor rgb="FF333300"/>
      <rgbColor rgb="FFB71C1C"/>
      <rgbColor rgb="FF993366"/>
      <rgbColor rgb="FF333399"/>
      <rgbColor rgb="FF3747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76199</xdr:colOff>
      <xdr:row>0</xdr:row>
      <xdr:rowOff>76200</xdr:rowOff>
    </xdr:from>
    <xdr:to>
      <xdr:col>15</xdr:col>
      <xdr:colOff>238124</xdr:colOff>
      <xdr:row>5</xdr:row>
      <xdr:rowOff>85724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10849" y="76200"/>
          <a:ext cx="1990725" cy="1590674"/>
        </a:xfrm>
        <a:prstGeom prst="rect">
          <a:avLst/>
        </a:prstGeom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isc_expens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isc_expens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B2A4A"/>
  </sheetPr>
  <dimension ref="A1:L57"/>
  <sheetViews>
    <sheetView workbookViewId="0">
      <pane ySplit="2" topLeftCell="A22" activePane="bottomLeft" state="frozen"/>
      <selection pane="bottomLeft" activeCell="B11" sqref="B11"/>
    </sheetView>
  </sheetViews>
  <sheetFormatPr defaultRowHeight="15" x14ac:dyDescent="0.25"/>
  <cols>
    <col min="1" max="1" width="1" customWidth="1"/>
    <col min="2" max="2" width="20" customWidth="1"/>
    <col min="3" max="3" width="16" customWidth="1"/>
    <col min="4" max="4" width="18" customWidth="1"/>
    <col min="5" max="8" width="14" customWidth="1"/>
    <col min="9" max="9" width="16" customWidth="1"/>
    <col min="10" max="10" width="14" customWidth="1"/>
    <col min="11" max="11" width="16" customWidth="1"/>
    <col min="12" max="12" width="1" customWidth="1"/>
  </cols>
  <sheetData>
    <row r="1" spans="1:12" ht="50.1" customHeight="1" x14ac:dyDescent="0.25">
      <c r="A1" s="148" t="s">
        <v>65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">
        <v>66</v>
      </c>
      <c r="B2" s="130"/>
      <c r="C2" s="130"/>
      <c r="D2" s="130"/>
      <c r="E2" s="130"/>
      <c r="F2" s="130"/>
      <c r="G2" s="146" t="s">
        <v>67</v>
      </c>
      <c r="H2" s="130"/>
      <c r="I2" s="130"/>
      <c r="J2" s="130"/>
      <c r="K2" s="130"/>
      <c r="L2" s="130"/>
    </row>
    <row r="3" spans="1:12" ht="12" customHeight="1" x14ac:dyDescent="0.25"/>
    <row r="4" spans="1:12" ht="24" customHeight="1" x14ac:dyDescent="0.25">
      <c r="A4" s="152" t="s">
        <v>68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69</v>
      </c>
      <c r="C5" s="132"/>
      <c r="D5" s="142" t="s">
        <v>70</v>
      </c>
      <c r="E5" s="132"/>
      <c r="F5" s="137" t="s">
        <v>71</v>
      </c>
      <c r="G5" s="132"/>
      <c r="H5" s="150" t="s">
        <v>72</v>
      </c>
      <c r="I5" s="132"/>
      <c r="J5" s="131" t="s">
        <v>73</v>
      </c>
      <c r="K5" s="132"/>
    </row>
    <row r="6" spans="1:12" ht="30" customHeight="1" x14ac:dyDescent="0.25">
      <c r="B6" s="136">
        <f>SUMIF(AGENT_DATABASE!F:F,"Savings Deposit",AGENT_DATABASE!G:G)</f>
        <v>0</v>
      </c>
      <c r="C6" s="132"/>
      <c r="D6" s="135">
        <f>SUMIF(AGENT_DATABASE!F:F,"Loan Disbursement",AGENT_DATABASE!G:G)</f>
        <v>0</v>
      </c>
      <c r="E6" s="132"/>
      <c r="F6" s="133">
        <f>SUMIF(AGENT_DATABASE!F:F,"Withdrawal",AGENT_DATABASE!G:G)</f>
        <v>0</v>
      </c>
      <c r="G6" s="132"/>
      <c r="H6" s="145">
        <f>COUNTIF(AGENT_DATABASE!J:J,"Pending")</f>
        <v>0</v>
      </c>
      <c r="I6" s="132"/>
      <c r="J6" s="136">
        <f>COUNTA(Members!A4:A1003)</f>
        <v>0</v>
      </c>
      <c r="K6" s="132"/>
    </row>
    <row r="8" spans="1:12" ht="12" customHeight="1" x14ac:dyDescent="0.25"/>
    <row r="9" spans="1:12" ht="26.1" customHeight="1" x14ac:dyDescent="0.25">
      <c r="A9" s="151" t="s">
        <v>74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</row>
    <row r="10" spans="1:12" ht="20.100000000000001" customHeight="1" x14ac:dyDescent="0.25">
      <c r="A10" s="65" t="s">
        <v>40</v>
      </c>
      <c r="B10" s="65" t="s">
        <v>75</v>
      </c>
      <c r="C10" s="65" t="s">
        <v>42</v>
      </c>
      <c r="D10" s="65" t="s">
        <v>43</v>
      </c>
      <c r="E10" s="65" t="s">
        <v>76</v>
      </c>
      <c r="F10" s="65" t="s">
        <v>77</v>
      </c>
      <c r="G10" s="65" t="s">
        <v>78</v>
      </c>
      <c r="H10" s="65" t="s">
        <v>47</v>
      </c>
      <c r="I10" s="65" t="s">
        <v>79</v>
      </c>
      <c r="J10" s="65" t="s">
        <v>48</v>
      </c>
      <c r="K10" s="65" t="s">
        <v>80</v>
      </c>
      <c r="L10" s="65" t="s">
        <v>81</v>
      </c>
    </row>
    <row r="11" spans="1:12" ht="18" customHeight="1" x14ac:dyDescent="0.25">
      <c r="A11" s="66">
        <v>1</v>
      </c>
      <c r="B11" s="67"/>
      <c r="C11" s="67"/>
      <c r="D11" s="67" t="str">
        <f>IFERROR(INDEX(AGENT_DATABASE!D:D,MATCH("Pending",AGENT_DATABASE!J:J,0)+0),"")</f>
        <v/>
      </c>
      <c r="E11" s="67" t="str">
        <f>IFERROR(INDEX(AGENT_DATABASE!E:E,MATCH("Pending",AGENT_DATABASE!J:J,0)+0),"")</f>
        <v/>
      </c>
      <c r="F11" s="68" t="str">
        <f>IFERROR(INDEX(AGENT_DATABASE!G:G,MATCH("Pending",AGENT_DATABASE!J:J,0)+0),"")</f>
        <v/>
      </c>
      <c r="G11" s="69" t="str">
        <f>IFERROR(INDEX(AGENT_DATABASE!H:H,MATCH("Pending",AGENT_DATABASE!J:J,0)+0),"")</f>
        <v/>
      </c>
      <c r="H11" s="68" t="str">
        <f>IFERROR(INDEX(AGENT_DATABASE!I:I,MATCH("Pending",AGENT_DATABASE!J:J,0)+0),"")</f>
        <v/>
      </c>
      <c r="I11" s="70" t="str">
        <f>IFERROR(INDEX(AGENT_DATABASE!A:A,MATCH("Pending",AGENT_DATABASE!J:J,0)+0),"")</f>
        <v/>
      </c>
      <c r="J11" s="66" t="str">
        <f>IFERROR(INDEX(AGENT_DATABASE!J:J,MATCH("Pending",AGENT_DATABASE!J:J,0)+0),"")</f>
        <v/>
      </c>
      <c r="K11" s="66"/>
      <c r="L11" s="67"/>
    </row>
    <row r="12" spans="1:12" ht="18" customHeight="1" x14ac:dyDescent="0.25">
      <c r="A12" s="71">
        <v>2</v>
      </c>
      <c r="B12" s="72" t="str">
        <f>IFERROR(INDEX(AGENT_DATABASE!B:B,MATCH("Pending",AGENT_DATABASE!J:J,0)+1),"")</f>
        <v/>
      </c>
      <c r="C12" s="72" t="str">
        <f>IFERROR(INDEX(AGENT_DATABASE!C:C,MATCH("Pending",AGENT_DATABASE!J:J,0)+1),"")</f>
        <v/>
      </c>
      <c r="D12" s="72" t="str">
        <f>IFERROR(INDEX(AGENT_DATABASE!D:D,MATCH("Pending",AGENT_DATABASE!J:J,0)+1),"")</f>
        <v/>
      </c>
      <c r="E12" s="72" t="str">
        <f>IFERROR(INDEX(AGENT_DATABASE!E:E,MATCH("Pending",AGENT_DATABASE!J:J,0)+1),"")</f>
        <v/>
      </c>
      <c r="F12" s="73" t="str">
        <f>IFERROR(INDEX(AGENT_DATABASE!G:G,MATCH("Pending",AGENT_DATABASE!J:J,0)+1),"")</f>
        <v/>
      </c>
      <c r="G12" s="74" t="str">
        <f>IFERROR(INDEX(AGENT_DATABASE!H:H,MATCH("Pending",AGENT_DATABASE!J:J,0)+1),"")</f>
        <v/>
      </c>
      <c r="H12" s="73" t="str">
        <f>IFERROR(INDEX(AGENT_DATABASE!I:I,MATCH("Pending",AGENT_DATABASE!J:J,0)+1),"")</f>
        <v/>
      </c>
      <c r="I12" s="75" t="str">
        <f>IFERROR(INDEX(AGENT_DATABASE!A:A,MATCH("Pending",AGENT_DATABASE!J:J,0)+1),"")</f>
        <v/>
      </c>
      <c r="J12" s="71" t="str">
        <f>IFERROR(INDEX(AGENT_DATABASE!J:J,MATCH("Pending",AGENT_DATABASE!J:J,0)+1),"")</f>
        <v/>
      </c>
      <c r="K12" s="71"/>
      <c r="L12" s="72"/>
    </row>
    <row r="13" spans="1:12" ht="18" customHeight="1" x14ac:dyDescent="0.25">
      <c r="A13" s="66">
        <v>3</v>
      </c>
      <c r="B13" s="67" t="str">
        <f>IFERROR(INDEX(AGENT_DATABASE!B:B,MATCH("Pending",AGENT_DATABASE!J:J,0)+2),"")</f>
        <v/>
      </c>
      <c r="C13" s="67" t="str">
        <f>IFERROR(INDEX(AGENT_DATABASE!C:C,MATCH("Pending",AGENT_DATABASE!J:J,0)+2),"")</f>
        <v/>
      </c>
      <c r="D13" s="67" t="str">
        <f>IFERROR(INDEX(AGENT_DATABASE!D:D,MATCH("Pending",AGENT_DATABASE!J:J,0)+2),"")</f>
        <v/>
      </c>
      <c r="E13" s="67" t="str">
        <f>IFERROR(INDEX(AGENT_DATABASE!E:E,MATCH("Pending",AGENT_DATABASE!J:J,0)+2),"")</f>
        <v/>
      </c>
      <c r="F13" s="68" t="str">
        <f>IFERROR(INDEX(AGENT_DATABASE!G:G,MATCH("Pending",AGENT_DATABASE!J:J,0)+2),"")</f>
        <v/>
      </c>
      <c r="G13" s="69" t="str">
        <f>IFERROR(INDEX(AGENT_DATABASE!H:H,MATCH("Pending",AGENT_DATABASE!J:J,0)+2),"")</f>
        <v/>
      </c>
      <c r="H13" s="68" t="str">
        <f>IFERROR(INDEX(AGENT_DATABASE!I:I,MATCH("Pending",AGENT_DATABASE!J:J,0)+2),"")</f>
        <v/>
      </c>
      <c r="I13" s="70" t="str">
        <f>IFERROR(INDEX(AGENT_DATABASE!A:A,MATCH("Pending",AGENT_DATABASE!J:J,0)+2),"")</f>
        <v/>
      </c>
      <c r="J13" s="66" t="str">
        <f>IFERROR(INDEX(AGENT_DATABASE!J:J,MATCH("Pending",AGENT_DATABASE!J:J,0)+2),"")</f>
        <v/>
      </c>
      <c r="K13" s="66"/>
      <c r="L13" s="67"/>
    </row>
    <row r="14" spans="1:12" ht="18" customHeight="1" x14ac:dyDescent="0.25">
      <c r="A14" s="71">
        <v>4</v>
      </c>
      <c r="B14" s="72" t="str">
        <f>IFERROR(INDEX(AGENT_DATABASE!B:B,MATCH("Pending",AGENT_DATABASE!J:J,0)+3),"")</f>
        <v/>
      </c>
      <c r="C14" s="72" t="str">
        <f>IFERROR(INDEX(AGENT_DATABASE!C:C,MATCH("Pending",AGENT_DATABASE!J:J,0)+3),"")</f>
        <v/>
      </c>
      <c r="D14" s="72" t="str">
        <f>IFERROR(INDEX(AGENT_DATABASE!D:D,MATCH("Pending",AGENT_DATABASE!J:J,0)+3),"")</f>
        <v/>
      </c>
      <c r="E14" s="72" t="str">
        <f>IFERROR(INDEX(AGENT_DATABASE!E:E,MATCH("Pending",AGENT_DATABASE!J:J,0)+3),"")</f>
        <v/>
      </c>
      <c r="F14" s="73" t="str">
        <f>IFERROR(INDEX(AGENT_DATABASE!G:G,MATCH("Pending",AGENT_DATABASE!J:J,0)+3),"")</f>
        <v/>
      </c>
      <c r="G14" s="74" t="str">
        <f>IFERROR(INDEX(AGENT_DATABASE!H:H,MATCH("Pending",AGENT_DATABASE!J:J,0)+3),"")</f>
        <v/>
      </c>
      <c r="H14" s="73" t="str">
        <f>IFERROR(INDEX(AGENT_DATABASE!I:I,MATCH("Pending",AGENT_DATABASE!J:J,0)+3),"")</f>
        <v/>
      </c>
      <c r="I14" s="75" t="str">
        <f>IFERROR(INDEX(AGENT_DATABASE!A:A,MATCH("Pending",AGENT_DATABASE!J:J,0)+3),"")</f>
        <v/>
      </c>
      <c r="J14" s="71" t="str">
        <f>IFERROR(INDEX(AGENT_DATABASE!J:J,MATCH("Pending",AGENT_DATABASE!J:J,0)+3),"")</f>
        <v/>
      </c>
      <c r="K14" s="71"/>
      <c r="L14" s="72"/>
    </row>
    <row r="15" spans="1:12" ht="18" customHeight="1" x14ac:dyDescent="0.25">
      <c r="A15" s="66">
        <v>5</v>
      </c>
      <c r="B15" s="67" t="str">
        <f>IFERROR(INDEX(AGENT_DATABASE!B:B,MATCH("Pending",AGENT_DATABASE!J:J,0)+4),"")</f>
        <v/>
      </c>
      <c r="C15" s="67" t="str">
        <f>IFERROR(INDEX(AGENT_DATABASE!C:C,MATCH("Pending",AGENT_DATABASE!J:J,0)+4),"")</f>
        <v/>
      </c>
      <c r="D15" s="67" t="str">
        <f>IFERROR(INDEX(AGENT_DATABASE!D:D,MATCH("Pending",AGENT_DATABASE!J:J,0)+4),"")</f>
        <v/>
      </c>
      <c r="E15" s="67" t="str">
        <f>IFERROR(INDEX(AGENT_DATABASE!E:E,MATCH("Pending",AGENT_DATABASE!J:J,0)+4),"")</f>
        <v/>
      </c>
      <c r="F15" s="68" t="str">
        <f>IFERROR(INDEX(AGENT_DATABASE!G:G,MATCH("Pending",AGENT_DATABASE!J:J,0)+4),"")</f>
        <v/>
      </c>
      <c r="G15" s="69" t="str">
        <f>IFERROR(INDEX(AGENT_DATABASE!H:H,MATCH("Pending",AGENT_DATABASE!J:J,0)+4),"")</f>
        <v/>
      </c>
      <c r="H15" s="68" t="str">
        <f>IFERROR(INDEX(AGENT_DATABASE!I:I,MATCH("Pending",AGENT_DATABASE!J:J,0)+4),"")</f>
        <v/>
      </c>
      <c r="I15" s="70" t="str">
        <f>IFERROR(INDEX(AGENT_DATABASE!A:A,MATCH("Pending",AGENT_DATABASE!J:J,0)+4),"")</f>
        <v/>
      </c>
      <c r="J15" s="66" t="str">
        <f>IFERROR(INDEX(AGENT_DATABASE!J:J,MATCH("Pending",AGENT_DATABASE!J:J,0)+4),"")</f>
        <v/>
      </c>
      <c r="K15" s="66"/>
      <c r="L15" s="67"/>
    </row>
    <row r="16" spans="1:12" ht="18" customHeight="1" x14ac:dyDescent="0.25">
      <c r="A16" s="71">
        <v>6</v>
      </c>
      <c r="B16" s="72" t="str">
        <f>IFERROR(INDEX(AGENT_DATABASE!B:B,MATCH("Pending",AGENT_DATABASE!J:J,0)+5),"")</f>
        <v/>
      </c>
      <c r="C16" s="72" t="str">
        <f>IFERROR(INDEX(AGENT_DATABASE!C:C,MATCH("Pending",AGENT_DATABASE!J:J,0)+5),"")</f>
        <v/>
      </c>
      <c r="D16" s="72" t="str">
        <f>IFERROR(INDEX(AGENT_DATABASE!D:D,MATCH("Pending",AGENT_DATABASE!J:J,0)+5),"")</f>
        <v/>
      </c>
      <c r="E16" s="72" t="str">
        <f>IFERROR(INDEX(AGENT_DATABASE!E:E,MATCH("Pending",AGENT_DATABASE!J:J,0)+5),"")</f>
        <v/>
      </c>
      <c r="F16" s="73" t="str">
        <f>IFERROR(INDEX(AGENT_DATABASE!G:G,MATCH("Pending",AGENT_DATABASE!J:J,0)+5),"")</f>
        <v/>
      </c>
      <c r="G16" s="74" t="str">
        <f>IFERROR(INDEX(AGENT_DATABASE!H:H,MATCH("Pending",AGENT_DATABASE!J:J,0)+5),"")</f>
        <v/>
      </c>
      <c r="H16" s="73" t="str">
        <f>IFERROR(INDEX(AGENT_DATABASE!I:I,MATCH("Pending",AGENT_DATABASE!J:J,0)+5),"")</f>
        <v/>
      </c>
      <c r="I16" s="75" t="str">
        <f>IFERROR(INDEX(AGENT_DATABASE!A:A,MATCH("Pending",AGENT_DATABASE!J:J,0)+5),"")</f>
        <v/>
      </c>
      <c r="J16" s="71" t="str">
        <f>IFERROR(INDEX(AGENT_DATABASE!J:J,MATCH("Pending",AGENT_DATABASE!J:J,0)+5),"")</f>
        <v/>
      </c>
      <c r="K16" s="71"/>
      <c r="L16" s="72"/>
    </row>
    <row r="17" spans="1:12" ht="18" customHeight="1" x14ac:dyDescent="0.25">
      <c r="A17" s="66">
        <v>7</v>
      </c>
      <c r="B17" s="67" t="str">
        <f>IFERROR(INDEX(AGENT_DATABASE!B:B,MATCH("Pending",AGENT_DATABASE!J:J,0)+6),"")</f>
        <v/>
      </c>
      <c r="C17" s="67" t="str">
        <f>IFERROR(INDEX(AGENT_DATABASE!C:C,MATCH("Pending",AGENT_DATABASE!J:J,0)+6),"")</f>
        <v/>
      </c>
      <c r="D17" s="67" t="str">
        <f>IFERROR(INDEX(AGENT_DATABASE!D:D,MATCH("Pending",AGENT_DATABASE!J:J,0)+6),"")</f>
        <v/>
      </c>
      <c r="E17" s="67" t="str">
        <f>IFERROR(INDEX(AGENT_DATABASE!E:E,MATCH("Pending",AGENT_DATABASE!J:J,0)+6),"")</f>
        <v/>
      </c>
      <c r="F17" s="68" t="str">
        <f>IFERROR(INDEX(AGENT_DATABASE!G:G,MATCH("Pending",AGENT_DATABASE!J:J,0)+6),"")</f>
        <v/>
      </c>
      <c r="G17" s="69" t="str">
        <f>IFERROR(INDEX(AGENT_DATABASE!H:H,MATCH("Pending",AGENT_DATABASE!J:J,0)+6),"")</f>
        <v/>
      </c>
      <c r="H17" s="68" t="str">
        <f>IFERROR(INDEX(AGENT_DATABASE!I:I,MATCH("Pending",AGENT_DATABASE!J:J,0)+6),"")</f>
        <v/>
      </c>
      <c r="I17" s="70" t="str">
        <f>IFERROR(INDEX(AGENT_DATABASE!A:A,MATCH("Pending",AGENT_DATABASE!J:J,0)+6),"")</f>
        <v/>
      </c>
      <c r="J17" s="66" t="str">
        <f>IFERROR(INDEX(AGENT_DATABASE!J:J,MATCH("Pending",AGENT_DATABASE!J:J,0)+6),"")</f>
        <v/>
      </c>
      <c r="K17" s="66"/>
      <c r="L17" s="67"/>
    </row>
    <row r="18" spans="1:12" ht="18" customHeight="1" x14ac:dyDescent="0.25">
      <c r="A18" s="71">
        <v>8</v>
      </c>
      <c r="B18" s="72" t="str">
        <f>IFERROR(INDEX(AGENT_DATABASE!B:B,MATCH("Pending",AGENT_DATABASE!J:J,0)+7),"")</f>
        <v/>
      </c>
      <c r="C18" s="72" t="str">
        <f>IFERROR(INDEX(AGENT_DATABASE!C:C,MATCH("Pending",AGENT_DATABASE!J:J,0)+7),"")</f>
        <v/>
      </c>
      <c r="D18" s="72" t="str">
        <f>IFERROR(INDEX(AGENT_DATABASE!D:D,MATCH("Pending",AGENT_DATABASE!J:J,0)+7),"")</f>
        <v/>
      </c>
      <c r="E18" s="72" t="str">
        <f>IFERROR(INDEX(AGENT_DATABASE!E:E,MATCH("Pending",AGENT_DATABASE!J:J,0)+7),"")</f>
        <v/>
      </c>
      <c r="F18" s="73" t="str">
        <f>IFERROR(INDEX(AGENT_DATABASE!G:G,MATCH("Pending",AGENT_DATABASE!J:J,0)+7),"")</f>
        <v/>
      </c>
      <c r="G18" s="74" t="str">
        <f>IFERROR(INDEX(AGENT_DATABASE!H:H,MATCH("Pending",AGENT_DATABASE!J:J,0)+7),"")</f>
        <v/>
      </c>
      <c r="H18" s="73" t="str">
        <f>IFERROR(INDEX(AGENT_DATABASE!I:I,MATCH("Pending",AGENT_DATABASE!J:J,0)+7),"")</f>
        <v/>
      </c>
      <c r="I18" s="75" t="str">
        <f>IFERROR(INDEX(AGENT_DATABASE!A:A,MATCH("Pending",AGENT_DATABASE!J:J,0)+7),"")</f>
        <v/>
      </c>
      <c r="J18" s="71" t="str">
        <f>IFERROR(INDEX(AGENT_DATABASE!J:J,MATCH("Pending",AGENT_DATABASE!J:J,0)+7),"")</f>
        <v/>
      </c>
      <c r="K18" s="71"/>
      <c r="L18" s="72"/>
    </row>
    <row r="19" spans="1:12" ht="18" customHeight="1" x14ac:dyDescent="0.25">
      <c r="A19" s="66">
        <v>9</v>
      </c>
      <c r="B19" s="67" t="str">
        <f>IFERROR(INDEX(AGENT_DATABASE!B:B,MATCH("Pending",AGENT_DATABASE!J:J,0)+8),"")</f>
        <v/>
      </c>
      <c r="C19" s="67" t="str">
        <f>IFERROR(INDEX(AGENT_DATABASE!C:C,MATCH("Pending",AGENT_DATABASE!J:J,0)+8),"")</f>
        <v/>
      </c>
      <c r="D19" s="67" t="str">
        <f>IFERROR(INDEX(AGENT_DATABASE!D:D,MATCH("Pending",AGENT_DATABASE!J:J,0)+8),"")</f>
        <v/>
      </c>
      <c r="E19" s="67" t="str">
        <f>IFERROR(INDEX(AGENT_DATABASE!E:E,MATCH("Pending",AGENT_DATABASE!J:J,0)+8),"")</f>
        <v/>
      </c>
      <c r="F19" s="68" t="str">
        <f>IFERROR(INDEX(AGENT_DATABASE!G:G,MATCH("Pending",AGENT_DATABASE!J:J,0)+8),"")</f>
        <v/>
      </c>
      <c r="G19" s="69" t="str">
        <f>IFERROR(INDEX(AGENT_DATABASE!H:H,MATCH("Pending",AGENT_DATABASE!J:J,0)+8),"")</f>
        <v/>
      </c>
      <c r="H19" s="68" t="str">
        <f>IFERROR(INDEX(AGENT_DATABASE!I:I,MATCH("Pending",AGENT_DATABASE!J:J,0)+8),"")</f>
        <v/>
      </c>
      <c r="I19" s="70" t="str">
        <f>IFERROR(INDEX(AGENT_DATABASE!A:A,MATCH("Pending",AGENT_DATABASE!J:J,0)+8),"")</f>
        <v/>
      </c>
      <c r="J19" s="66" t="str">
        <f>IFERROR(INDEX(AGENT_DATABASE!J:J,MATCH("Pending",AGENT_DATABASE!J:J,0)+8),"")</f>
        <v/>
      </c>
      <c r="K19" s="66"/>
      <c r="L19" s="67"/>
    </row>
    <row r="20" spans="1:12" ht="18" customHeight="1" x14ac:dyDescent="0.25">
      <c r="A20" s="71">
        <v>10</v>
      </c>
      <c r="B20" s="72" t="str">
        <f>IFERROR(INDEX(AGENT_DATABASE!B:B,MATCH("Pending",AGENT_DATABASE!J:J,0)+9),"")</f>
        <v/>
      </c>
      <c r="C20" s="72" t="str">
        <f>IFERROR(INDEX(AGENT_DATABASE!C:C,MATCH("Pending",AGENT_DATABASE!J:J,0)+9),"")</f>
        <v/>
      </c>
      <c r="D20" s="72" t="str">
        <f>IFERROR(INDEX(AGENT_DATABASE!D:D,MATCH("Pending",AGENT_DATABASE!J:J,0)+9),"")</f>
        <v/>
      </c>
      <c r="E20" s="72" t="str">
        <f>IFERROR(INDEX(AGENT_DATABASE!E:E,MATCH("Pending",AGENT_DATABASE!J:J,0)+9),"")</f>
        <v/>
      </c>
      <c r="F20" s="73" t="str">
        <f>IFERROR(INDEX(AGENT_DATABASE!G:G,MATCH("Pending",AGENT_DATABASE!J:J,0)+9),"")</f>
        <v/>
      </c>
      <c r="G20" s="74" t="str">
        <f>IFERROR(INDEX(AGENT_DATABASE!H:H,MATCH("Pending",AGENT_DATABASE!J:J,0)+9),"")</f>
        <v/>
      </c>
      <c r="H20" s="73" t="str">
        <f>IFERROR(INDEX(AGENT_DATABASE!I:I,MATCH("Pending",AGENT_DATABASE!J:J,0)+9),"")</f>
        <v/>
      </c>
      <c r="I20" s="75" t="str">
        <f>IFERROR(INDEX(AGENT_DATABASE!A:A,MATCH("Pending",AGENT_DATABASE!J:J,0)+9),"")</f>
        <v/>
      </c>
      <c r="J20" s="71" t="str">
        <f>IFERROR(INDEX(AGENT_DATABASE!J:J,MATCH("Pending",AGENT_DATABASE!J:J,0)+9),"")</f>
        <v/>
      </c>
      <c r="K20" s="71"/>
      <c r="L20" s="72"/>
    </row>
    <row r="21" spans="1:12" ht="18" customHeight="1" x14ac:dyDescent="0.25">
      <c r="A21" s="66">
        <v>11</v>
      </c>
      <c r="B21" s="67" t="str">
        <f>IFERROR(INDEX(AGENT_DATABASE!B:B,MATCH("Pending",AGENT_DATABASE!J:J,0)+10),"")</f>
        <v/>
      </c>
      <c r="C21" s="67" t="str">
        <f>IFERROR(INDEX(AGENT_DATABASE!C:C,MATCH("Pending",AGENT_DATABASE!J:J,0)+10),"")</f>
        <v/>
      </c>
      <c r="D21" s="67" t="str">
        <f>IFERROR(INDEX(AGENT_DATABASE!D:D,MATCH("Pending",AGENT_DATABASE!J:J,0)+10),"")</f>
        <v/>
      </c>
      <c r="E21" s="67" t="str">
        <f>IFERROR(INDEX(AGENT_DATABASE!E:E,MATCH("Pending",AGENT_DATABASE!J:J,0)+10),"")</f>
        <v/>
      </c>
      <c r="F21" s="68" t="str">
        <f>IFERROR(INDEX(AGENT_DATABASE!G:G,MATCH("Pending",AGENT_DATABASE!J:J,0)+10),"")</f>
        <v/>
      </c>
      <c r="G21" s="69" t="str">
        <f>IFERROR(INDEX(AGENT_DATABASE!H:H,MATCH("Pending",AGENT_DATABASE!J:J,0)+10),"")</f>
        <v/>
      </c>
      <c r="H21" s="68" t="str">
        <f>IFERROR(INDEX(AGENT_DATABASE!I:I,MATCH("Pending",AGENT_DATABASE!J:J,0)+10),"")</f>
        <v/>
      </c>
      <c r="I21" s="70" t="str">
        <f>IFERROR(INDEX(AGENT_DATABASE!A:A,MATCH("Pending",AGENT_DATABASE!J:J,0)+10),"")</f>
        <v/>
      </c>
      <c r="J21" s="66" t="str">
        <f>IFERROR(INDEX(AGENT_DATABASE!J:J,MATCH("Pending",AGENT_DATABASE!J:J,0)+10),"")</f>
        <v/>
      </c>
      <c r="K21" s="66"/>
      <c r="L21" s="67"/>
    </row>
    <row r="22" spans="1:12" ht="18" customHeight="1" x14ac:dyDescent="0.25">
      <c r="A22" s="71">
        <v>12</v>
      </c>
      <c r="B22" s="72" t="str">
        <f>IFERROR(INDEX(AGENT_DATABASE!B:B,MATCH("Pending",AGENT_DATABASE!J:J,0)+11),"")</f>
        <v/>
      </c>
      <c r="C22" s="72" t="str">
        <f>IFERROR(INDEX(AGENT_DATABASE!C:C,MATCH("Pending",AGENT_DATABASE!J:J,0)+11),"")</f>
        <v/>
      </c>
      <c r="D22" s="72" t="str">
        <f>IFERROR(INDEX(AGENT_DATABASE!D:D,MATCH("Pending",AGENT_DATABASE!J:J,0)+11),"")</f>
        <v/>
      </c>
      <c r="E22" s="72" t="str">
        <f>IFERROR(INDEX(AGENT_DATABASE!E:E,MATCH("Pending",AGENT_DATABASE!J:J,0)+11),"")</f>
        <v/>
      </c>
      <c r="F22" s="73" t="str">
        <f>IFERROR(INDEX(AGENT_DATABASE!G:G,MATCH("Pending",AGENT_DATABASE!J:J,0)+11),"")</f>
        <v/>
      </c>
      <c r="G22" s="74" t="str">
        <f>IFERROR(INDEX(AGENT_DATABASE!H:H,MATCH("Pending",AGENT_DATABASE!J:J,0)+11),"")</f>
        <v/>
      </c>
      <c r="H22" s="73" t="str">
        <f>IFERROR(INDEX(AGENT_DATABASE!I:I,MATCH("Pending",AGENT_DATABASE!J:J,0)+11),"")</f>
        <v/>
      </c>
      <c r="I22" s="75" t="str">
        <f>IFERROR(INDEX(AGENT_DATABASE!A:A,MATCH("Pending",AGENT_DATABASE!J:J,0)+11),"")</f>
        <v/>
      </c>
      <c r="J22" s="71" t="str">
        <f>IFERROR(INDEX(AGENT_DATABASE!J:J,MATCH("Pending",AGENT_DATABASE!J:J,0)+11),"")</f>
        <v/>
      </c>
      <c r="K22" s="71"/>
      <c r="L22" s="72"/>
    </row>
    <row r="23" spans="1:12" ht="18" customHeight="1" x14ac:dyDescent="0.25">
      <c r="A23" s="66">
        <v>13</v>
      </c>
      <c r="B23" s="67" t="str">
        <f>IFERROR(INDEX(AGENT_DATABASE!B:B,MATCH("Pending",AGENT_DATABASE!J:J,0)+12),"")</f>
        <v/>
      </c>
      <c r="C23" s="67" t="str">
        <f>IFERROR(INDEX(AGENT_DATABASE!C:C,MATCH("Pending",AGENT_DATABASE!J:J,0)+12),"")</f>
        <v/>
      </c>
      <c r="D23" s="67" t="str">
        <f>IFERROR(INDEX(AGENT_DATABASE!D:D,MATCH("Pending",AGENT_DATABASE!J:J,0)+12),"")</f>
        <v/>
      </c>
      <c r="E23" s="67" t="str">
        <f>IFERROR(INDEX(AGENT_DATABASE!E:E,MATCH("Pending",AGENT_DATABASE!J:J,0)+12),"")</f>
        <v/>
      </c>
      <c r="F23" s="68" t="str">
        <f>IFERROR(INDEX(AGENT_DATABASE!G:G,MATCH("Pending",AGENT_DATABASE!J:J,0)+12),"")</f>
        <v/>
      </c>
      <c r="G23" s="69" t="str">
        <f>IFERROR(INDEX(AGENT_DATABASE!H:H,MATCH("Pending",AGENT_DATABASE!J:J,0)+12),"")</f>
        <v/>
      </c>
      <c r="H23" s="68" t="str">
        <f>IFERROR(INDEX(AGENT_DATABASE!I:I,MATCH("Pending",AGENT_DATABASE!J:J,0)+12),"")</f>
        <v/>
      </c>
      <c r="I23" s="70" t="str">
        <f>IFERROR(INDEX(AGENT_DATABASE!A:A,MATCH("Pending",AGENT_DATABASE!J:J,0)+12),"")</f>
        <v/>
      </c>
      <c r="J23" s="66" t="str">
        <f>IFERROR(INDEX(AGENT_DATABASE!J:J,MATCH("Pending",AGENT_DATABASE!J:J,0)+12),"")</f>
        <v/>
      </c>
      <c r="K23" s="66"/>
      <c r="L23" s="67"/>
    </row>
    <row r="24" spans="1:12" ht="18" customHeight="1" x14ac:dyDescent="0.25">
      <c r="A24" s="71">
        <v>14</v>
      </c>
      <c r="B24" s="72" t="str">
        <f>IFERROR(INDEX(AGENT_DATABASE!B:B,MATCH("Pending",AGENT_DATABASE!J:J,0)+13),"")</f>
        <v/>
      </c>
      <c r="C24" s="72" t="str">
        <f>IFERROR(INDEX(AGENT_DATABASE!C:C,MATCH("Pending",AGENT_DATABASE!J:J,0)+13),"")</f>
        <v/>
      </c>
      <c r="D24" s="72" t="str">
        <f>IFERROR(INDEX(AGENT_DATABASE!D:D,MATCH("Pending",AGENT_DATABASE!J:J,0)+13),"")</f>
        <v/>
      </c>
      <c r="E24" s="72" t="str">
        <f>IFERROR(INDEX(AGENT_DATABASE!E:E,MATCH("Pending",AGENT_DATABASE!J:J,0)+13),"")</f>
        <v/>
      </c>
      <c r="F24" s="73" t="str">
        <f>IFERROR(INDEX(AGENT_DATABASE!G:G,MATCH("Pending",AGENT_DATABASE!J:J,0)+13),"")</f>
        <v/>
      </c>
      <c r="G24" s="74" t="str">
        <f>IFERROR(INDEX(AGENT_DATABASE!H:H,MATCH("Pending",AGENT_DATABASE!J:J,0)+13),"")</f>
        <v/>
      </c>
      <c r="H24" s="73" t="str">
        <f>IFERROR(INDEX(AGENT_DATABASE!I:I,MATCH("Pending",AGENT_DATABASE!J:J,0)+13),"")</f>
        <v/>
      </c>
      <c r="I24" s="75" t="str">
        <f>IFERROR(INDEX(AGENT_DATABASE!A:A,MATCH("Pending",AGENT_DATABASE!J:J,0)+13),"")</f>
        <v/>
      </c>
      <c r="J24" s="71" t="str">
        <f>IFERROR(INDEX(AGENT_DATABASE!J:J,MATCH("Pending",AGENT_DATABASE!J:J,0)+13),"")</f>
        <v/>
      </c>
      <c r="K24" s="71"/>
      <c r="L24" s="72"/>
    </row>
    <row r="25" spans="1:12" ht="18" customHeight="1" x14ac:dyDescent="0.25">
      <c r="A25" s="66">
        <v>15</v>
      </c>
      <c r="B25" s="67" t="str">
        <f>IFERROR(INDEX(AGENT_DATABASE!B:B,MATCH("Pending",AGENT_DATABASE!J:J,0)+14),"")</f>
        <v/>
      </c>
      <c r="C25" s="67" t="str">
        <f>IFERROR(INDEX(AGENT_DATABASE!C:C,MATCH("Pending",AGENT_DATABASE!J:J,0)+14),"")</f>
        <v/>
      </c>
      <c r="D25" s="67" t="str">
        <f>IFERROR(INDEX(AGENT_DATABASE!D:D,MATCH("Pending",AGENT_DATABASE!J:J,0)+14),"")</f>
        <v/>
      </c>
      <c r="E25" s="67" t="str">
        <f>IFERROR(INDEX(AGENT_DATABASE!E:E,MATCH("Pending",AGENT_DATABASE!J:J,0)+14),"")</f>
        <v/>
      </c>
      <c r="F25" s="68" t="str">
        <f>IFERROR(INDEX(AGENT_DATABASE!G:G,MATCH("Pending",AGENT_DATABASE!J:J,0)+14),"")</f>
        <v/>
      </c>
      <c r="G25" s="69" t="str">
        <f>IFERROR(INDEX(AGENT_DATABASE!H:H,MATCH("Pending",AGENT_DATABASE!J:J,0)+14),"")</f>
        <v/>
      </c>
      <c r="H25" s="68" t="str">
        <f>IFERROR(INDEX(AGENT_DATABASE!I:I,MATCH("Pending",AGENT_DATABASE!J:J,0)+14),"")</f>
        <v/>
      </c>
      <c r="I25" s="70" t="str">
        <f>IFERROR(INDEX(AGENT_DATABASE!A:A,MATCH("Pending",AGENT_DATABASE!J:J,0)+14),"")</f>
        <v/>
      </c>
      <c r="J25" s="66" t="str">
        <f>IFERROR(INDEX(AGENT_DATABASE!J:J,MATCH("Pending",AGENT_DATABASE!J:J,0)+14),"")</f>
        <v/>
      </c>
      <c r="K25" s="66"/>
      <c r="L25" s="67"/>
    </row>
    <row r="26" spans="1:12" ht="18" customHeight="1" x14ac:dyDescent="0.25">
      <c r="A26" s="71">
        <v>16</v>
      </c>
      <c r="B26" s="72" t="str">
        <f>IFERROR(INDEX(AGENT_DATABASE!B:B,MATCH("Pending",AGENT_DATABASE!J:J,0)+15),"")</f>
        <v/>
      </c>
      <c r="C26" s="72" t="str">
        <f>IFERROR(INDEX(AGENT_DATABASE!C:C,MATCH("Pending",AGENT_DATABASE!J:J,0)+15),"")</f>
        <v/>
      </c>
      <c r="D26" s="72" t="str">
        <f>IFERROR(INDEX(AGENT_DATABASE!D:D,MATCH("Pending",AGENT_DATABASE!J:J,0)+15),"")</f>
        <v/>
      </c>
      <c r="E26" s="72" t="str">
        <f>IFERROR(INDEX(AGENT_DATABASE!E:E,MATCH("Pending",AGENT_DATABASE!J:J,0)+15),"")</f>
        <v/>
      </c>
      <c r="F26" s="73" t="str">
        <f>IFERROR(INDEX(AGENT_DATABASE!G:G,MATCH("Pending",AGENT_DATABASE!J:J,0)+15),"")</f>
        <v/>
      </c>
      <c r="G26" s="74" t="str">
        <f>IFERROR(INDEX(AGENT_DATABASE!H:H,MATCH("Pending",AGENT_DATABASE!J:J,0)+15),"")</f>
        <v/>
      </c>
      <c r="H26" s="73" t="str">
        <f>IFERROR(INDEX(AGENT_DATABASE!I:I,MATCH("Pending",AGENT_DATABASE!J:J,0)+15),"")</f>
        <v/>
      </c>
      <c r="I26" s="75" t="str">
        <f>IFERROR(INDEX(AGENT_DATABASE!A:A,MATCH("Pending",AGENT_DATABASE!J:J,0)+15),"")</f>
        <v/>
      </c>
      <c r="J26" s="71" t="str">
        <f>IFERROR(INDEX(AGENT_DATABASE!J:J,MATCH("Pending",AGENT_DATABASE!J:J,0)+15),"")</f>
        <v/>
      </c>
      <c r="K26" s="71"/>
      <c r="L26" s="72"/>
    </row>
    <row r="27" spans="1:12" ht="18" customHeight="1" x14ac:dyDescent="0.25">
      <c r="A27" s="66">
        <v>17</v>
      </c>
      <c r="B27" s="67" t="str">
        <f>IFERROR(INDEX(AGENT_DATABASE!B:B,MATCH("Pending",AGENT_DATABASE!J:J,0)+16),"")</f>
        <v/>
      </c>
      <c r="C27" s="67" t="str">
        <f>IFERROR(INDEX(AGENT_DATABASE!C:C,MATCH("Pending",AGENT_DATABASE!J:J,0)+16),"")</f>
        <v/>
      </c>
      <c r="D27" s="67" t="str">
        <f>IFERROR(INDEX(AGENT_DATABASE!D:D,MATCH("Pending",AGENT_DATABASE!J:J,0)+16),"")</f>
        <v/>
      </c>
      <c r="E27" s="67" t="str">
        <f>IFERROR(INDEX(AGENT_DATABASE!E:E,MATCH("Pending",AGENT_DATABASE!J:J,0)+16),"")</f>
        <v/>
      </c>
      <c r="F27" s="68" t="str">
        <f>IFERROR(INDEX(AGENT_DATABASE!G:G,MATCH("Pending",AGENT_DATABASE!J:J,0)+16),"")</f>
        <v/>
      </c>
      <c r="G27" s="69" t="str">
        <f>IFERROR(INDEX(AGENT_DATABASE!H:H,MATCH("Pending",AGENT_DATABASE!J:J,0)+16),"")</f>
        <v/>
      </c>
      <c r="H27" s="68" t="str">
        <f>IFERROR(INDEX(AGENT_DATABASE!I:I,MATCH("Pending",AGENT_DATABASE!J:J,0)+16),"")</f>
        <v/>
      </c>
      <c r="I27" s="70" t="str">
        <f>IFERROR(INDEX(AGENT_DATABASE!A:A,MATCH("Pending",AGENT_DATABASE!J:J,0)+16),"")</f>
        <v/>
      </c>
      <c r="J27" s="66" t="str">
        <f>IFERROR(INDEX(AGENT_DATABASE!J:J,MATCH("Pending",AGENT_DATABASE!J:J,0)+16),"")</f>
        <v/>
      </c>
      <c r="K27" s="66"/>
      <c r="L27" s="67"/>
    </row>
    <row r="28" spans="1:12" ht="18" customHeight="1" x14ac:dyDescent="0.25">
      <c r="A28" s="71">
        <v>18</v>
      </c>
      <c r="B28" s="72" t="str">
        <f>IFERROR(INDEX(AGENT_DATABASE!B:B,MATCH("Pending",AGENT_DATABASE!J:J,0)+17),"")</f>
        <v/>
      </c>
      <c r="C28" s="72" t="str">
        <f>IFERROR(INDEX(AGENT_DATABASE!C:C,MATCH("Pending",AGENT_DATABASE!J:J,0)+17),"")</f>
        <v/>
      </c>
      <c r="D28" s="72" t="str">
        <f>IFERROR(INDEX(AGENT_DATABASE!D:D,MATCH("Pending",AGENT_DATABASE!J:J,0)+17),"")</f>
        <v/>
      </c>
      <c r="E28" s="72" t="str">
        <f>IFERROR(INDEX(AGENT_DATABASE!E:E,MATCH("Pending",AGENT_DATABASE!J:J,0)+17),"")</f>
        <v/>
      </c>
      <c r="F28" s="73" t="str">
        <f>IFERROR(INDEX(AGENT_DATABASE!G:G,MATCH("Pending",AGENT_DATABASE!J:J,0)+17),"")</f>
        <v/>
      </c>
      <c r="G28" s="74" t="str">
        <f>IFERROR(INDEX(AGENT_DATABASE!H:H,MATCH("Pending",AGENT_DATABASE!J:J,0)+17),"")</f>
        <v/>
      </c>
      <c r="H28" s="73" t="str">
        <f>IFERROR(INDEX(AGENT_DATABASE!I:I,MATCH("Pending",AGENT_DATABASE!J:J,0)+17),"")</f>
        <v/>
      </c>
      <c r="I28" s="75" t="str">
        <f>IFERROR(INDEX(AGENT_DATABASE!A:A,MATCH("Pending",AGENT_DATABASE!J:J,0)+17),"")</f>
        <v/>
      </c>
      <c r="J28" s="71" t="str">
        <f>IFERROR(INDEX(AGENT_DATABASE!J:J,MATCH("Pending",AGENT_DATABASE!J:J,0)+17),"")</f>
        <v/>
      </c>
      <c r="K28" s="71"/>
      <c r="L28" s="72"/>
    </row>
    <row r="29" spans="1:12" ht="18" customHeight="1" x14ac:dyDescent="0.25">
      <c r="A29" s="66">
        <v>19</v>
      </c>
      <c r="B29" s="67" t="str">
        <f>IFERROR(INDEX(AGENT_DATABASE!B:B,MATCH("Pending",AGENT_DATABASE!J:J,0)+18),"")</f>
        <v/>
      </c>
      <c r="C29" s="67" t="str">
        <f>IFERROR(INDEX(AGENT_DATABASE!C:C,MATCH("Pending",AGENT_DATABASE!J:J,0)+18),"")</f>
        <v/>
      </c>
      <c r="D29" s="67" t="str">
        <f>IFERROR(INDEX(AGENT_DATABASE!D:D,MATCH("Pending",AGENT_DATABASE!J:J,0)+18),"")</f>
        <v/>
      </c>
      <c r="E29" s="67" t="str">
        <f>IFERROR(INDEX(AGENT_DATABASE!E:E,MATCH("Pending",AGENT_DATABASE!J:J,0)+18),"")</f>
        <v/>
      </c>
      <c r="F29" s="68" t="str">
        <f>IFERROR(INDEX(AGENT_DATABASE!G:G,MATCH("Pending",AGENT_DATABASE!J:J,0)+18),"")</f>
        <v/>
      </c>
      <c r="G29" s="69" t="str">
        <f>IFERROR(INDEX(AGENT_DATABASE!H:H,MATCH("Pending",AGENT_DATABASE!J:J,0)+18),"")</f>
        <v/>
      </c>
      <c r="H29" s="68" t="str">
        <f>IFERROR(INDEX(AGENT_DATABASE!I:I,MATCH("Pending",AGENT_DATABASE!J:J,0)+18),"")</f>
        <v/>
      </c>
      <c r="I29" s="70" t="str">
        <f>IFERROR(INDEX(AGENT_DATABASE!A:A,MATCH("Pending",AGENT_DATABASE!J:J,0)+18),"")</f>
        <v/>
      </c>
      <c r="J29" s="66" t="str">
        <f>IFERROR(INDEX(AGENT_DATABASE!J:J,MATCH("Pending",AGENT_DATABASE!J:J,0)+18),"")</f>
        <v/>
      </c>
      <c r="K29" s="66"/>
      <c r="L29" s="67"/>
    </row>
    <row r="30" spans="1:12" ht="18" customHeight="1" x14ac:dyDescent="0.25">
      <c r="A30" s="71">
        <v>20</v>
      </c>
      <c r="B30" s="72" t="str">
        <f>IFERROR(INDEX(AGENT_DATABASE!B:B,MATCH("Pending",AGENT_DATABASE!J:J,0)+19),"")</f>
        <v/>
      </c>
      <c r="C30" s="72" t="str">
        <f>IFERROR(INDEX(AGENT_DATABASE!C:C,MATCH("Pending",AGENT_DATABASE!J:J,0)+19),"")</f>
        <v/>
      </c>
      <c r="D30" s="72" t="str">
        <f>IFERROR(INDEX(AGENT_DATABASE!D:D,MATCH("Pending",AGENT_DATABASE!J:J,0)+19),"")</f>
        <v/>
      </c>
      <c r="E30" s="72" t="str">
        <f>IFERROR(INDEX(AGENT_DATABASE!E:E,MATCH("Pending",AGENT_DATABASE!J:J,0)+19),"")</f>
        <v/>
      </c>
      <c r="F30" s="73" t="str">
        <f>IFERROR(INDEX(AGENT_DATABASE!G:G,MATCH("Pending",AGENT_DATABASE!J:J,0)+19),"")</f>
        <v/>
      </c>
      <c r="G30" s="74" t="str">
        <f>IFERROR(INDEX(AGENT_DATABASE!H:H,MATCH("Pending",AGENT_DATABASE!J:J,0)+19),"")</f>
        <v/>
      </c>
      <c r="H30" s="73" t="str">
        <f>IFERROR(INDEX(AGENT_DATABASE!I:I,MATCH("Pending",AGENT_DATABASE!J:J,0)+19),"")</f>
        <v/>
      </c>
      <c r="I30" s="75" t="str">
        <f>IFERROR(INDEX(AGENT_DATABASE!A:A,MATCH("Pending",AGENT_DATABASE!J:J,0)+19),"")</f>
        <v/>
      </c>
      <c r="J30" s="71" t="str">
        <f>IFERROR(INDEX(AGENT_DATABASE!J:J,MATCH("Pending",AGENT_DATABASE!J:J,0)+19),"")</f>
        <v/>
      </c>
      <c r="K30" s="71"/>
      <c r="L30" s="72"/>
    </row>
    <row r="32" spans="1:12" ht="12" customHeight="1" x14ac:dyDescent="0.25"/>
    <row r="33" spans="1:12" ht="26.1" customHeight="1" x14ac:dyDescent="0.25">
      <c r="A33" s="147" t="s">
        <v>82</v>
      </c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</row>
    <row r="34" spans="1:12" ht="20.100000000000001" customHeight="1" x14ac:dyDescent="0.25">
      <c r="A34" s="65" t="s">
        <v>75</v>
      </c>
      <c r="B34" s="65" t="s">
        <v>83</v>
      </c>
      <c r="C34" s="65" t="s">
        <v>61</v>
      </c>
      <c r="D34" s="65" t="s">
        <v>84</v>
      </c>
      <c r="E34" s="65" t="s">
        <v>62</v>
      </c>
      <c r="F34" s="65" t="s">
        <v>63</v>
      </c>
      <c r="G34" s="65" t="s">
        <v>85</v>
      </c>
      <c r="H34" s="65" t="s">
        <v>64</v>
      </c>
      <c r="I34" s="65" t="s">
        <v>86</v>
      </c>
      <c r="J34" s="65" t="s">
        <v>48</v>
      </c>
      <c r="K34" s="65" t="s">
        <v>87</v>
      </c>
    </row>
    <row r="35" spans="1:12" ht="18" customHeight="1" x14ac:dyDescent="0.25">
      <c r="A35" s="77" t="s">
        <v>88</v>
      </c>
      <c r="B35" s="77" t="str">
        <f>IFERROR(INDEX(SETTINGS!E:E,4),"")</f>
        <v>Agent 1</v>
      </c>
      <c r="C35" s="78">
        <f>SUMPRODUCT((AGENT_DATABASE!B2:B5000="Agent 1")*(AGENT_DATABASE!F2:F5000="Savings Deposit")*AGENT_DATABASE!G2:G5000)</f>
        <v>0</v>
      </c>
      <c r="D35" s="77">
        <f>SUMPRODUCT((AGENT_DATABASE!B2:B5000="Agent 1")*(AGENT_DATABASE!F2:F5000="Loan Request")*1)</f>
        <v>0</v>
      </c>
      <c r="E35" s="78">
        <f>SUMPRODUCT((AGENT_DATABASE!B2:B5000="Agent 1")*(AGENT_DATABASE!F2:F5000="Loan Disbursement")*AGENT_DATABASE!G2:G5000)</f>
        <v>0</v>
      </c>
      <c r="F35" s="78">
        <f>SUMPRODUCT((AGENT_DATABASE!B2:B5000="Agent 1")*(AGENT_DATABASE!F2:F5000="Withdrawal")*AGENT_DATABASE!G2:G5000)</f>
        <v>0</v>
      </c>
      <c r="G35" s="77">
        <f>SUMPRODUCT((AGENT_DATABASE!B2:B5000="Agent 1")*(AGENT_DATABASE!F2:F5000="Account Opening")*1)</f>
        <v>0</v>
      </c>
      <c r="H35" s="78">
        <f t="shared" ref="H35:H44" si="0">C35-E35-F35</f>
        <v>0</v>
      </c>
      <c r="I35" s="77">
        <f>COUNTIF(AGENT_DATABASE!B2:B5000,"Agent 1")</f>
        <v>0</v>
      </c>
      <c r="J35" s="77" t="s">
        <v>89</v>
      </c>
      <c r="K35" s="77"/>
    </row>
    <row r="36" spans="1:12" ht="18" customHeight="1" x14ac:dyDescent="0.25">
      <c r="A36" s="71" t="s">
        <v>90</v>
      </c>
      <c r="B36" s="71" t="str">
        <f>IFERROR(INDEX(SETTINGS!E:E,5),"")</f>
        <v>Agent 2</v>
      </c>
      <c r="C36" s="73">
        <f>SUMPRODUCT((AGENT_DATABASE!B2:B5000="Agent 2")*(AGENT_DATABASE!F2:F5000="Savings Deposit")*AGENT_DATABASE!G2:G5000)</f>
        <v>0</v>
      </c>
      <c r="D36" s="71">
        <f>SUMPRODUCT((AGENT_DATABASE!B2:B5000="Agent 2")*(AGENT_DATABASE!F2:F5000="Loan Request")*1)</f>
        <v>0</v>
      </c>
      <c r="E36" s="73">
        <f>SUMPRODUCT((AGENT_DATABASE!B2:B5000="Agent 2")*(AGENT_DATABASE!F2:F5000="Loan Disbursement")*AGENT_DATABASE!G2:G5000)</f>
        <v>0</v>
      </c>
      <c r="F36" s="73">
        <f>SUMPRODUCT((AGENT_DATABASE!B2:B5000="Agent 2")*(AGENT_DATABASE!F2:F5000="Withdrawal")*AGENT_DATABASE!G2:G5000)</f>
        <v>0</v>
      </c>
      <c r="G36" s="71">
        <f>SUMPRODUCT((AGENT_DATABASE!B2:B5000="Agent 2")*(AGENT_DATABASE!F2:F5000="Account Opening")*1)</f>
        <v>0</v>
      </c>
      <c r="H36" s="73">
        <f t="shared" si="0"/>
        <v>0</v>
      </c>
      <c r="I36" s="71">
        <f>COUNTIF(AGENT_DATABASE!B2:B5000,"Agent 2")</f>
        <v>0</v>
      </c>
      <c r="J36" s="71" t="s">
        <v>89</v>
      </c>
      <c r="K36" s="71"/>
    </row>
    <row r="37" spans="1:12" ht="18" customHeight="1" x14ac:dyDescent="0.25">
      <c r="A37" s="77" t="s">
        <v>91</v>
      </c>
      <c r="B37" s="77" t="str">
        <f>IFERROR(INDEX(SETTINGS!E:E,6),"")</f>
        <v>Agent 3</v>
      </c>
      <c r="C37" s="78">
        <f>SUMPRODUCT((AGENT_DATABASE!B2:B5000="Agent 3")*(AGENT_DATABASE!F2:F5000="Savings Deposit")*AGENT_DATABASE!G2:G5000)</f>
        <v>0</v>
      </c>
      <c r="D37" s="77">
        <f>SUMPRODUCT((AGENT_DATABASE!B2:B5000="Agent 3")*(AGENT_DATABASE!F2:F5000="Loan Request")*1)</f>
        <v>0</v>
      </c>
      <c r="E37" s="78">
        <f>SUMPRODUCT((AGENT_DATABASE!B2:B5000="Agent 3")*(AGENT_DATABASE!F2:F5000="Loan Disbursement")*AGENT_DATABASE!G2:G5000)</f>
        <v>0</v>
      </c>
      <c r="F37" s="78">
        <f>SUMPRODUCT((AGENT_DATABASE!B2:B5000="Agent 3")*(AGENT_DATABASE!F2:F5000="Withdrawal")*AGENT_DATABASE!G2:G5000)</f>
        <v>0</v>
      </c>
      <c r="G37" s="77">
        <f>SUMPRODUCT((AGENT_DATABASE!B2:B5000="Agent 3")*(AGENT_DATABASE!F2:F5000="Account Opening")*1)</f>
        <v>0</v>
      </c>
      <c r="H37" s="78">
        <f t="shared" si="0"/>
        <v>0</v>
      </c>
      <c r="I37" s="77">
        <f>COUNTIF(AGENT_DATABASE!B2:B5000,"Agent 3")</f>
        <v>0</v>
      </c>
      <c r="J37" s="77" t="s">
        <v>89</v>
      </c>
      <c r="K37" s="77"/>
    </row>
    <row r="38" spans="1:12" ht="18" customHeight="1" x14ac:dyDescent="0.25">
      <c r="A38" s="71" t="s">
        <v>92</v>
      </c>
      <c r="B38" s="71" t="str">
        <f>IFERROR(INDEX(SETTINGS!E:E,7),"")</f>
        <v>Agent 4</v>
      </c>
      <c r="C38" s="73">
        <f>SUMPRODUCT((AGENT_DATABASE!B2:B5000="Agent 4")*(AGENT_DATABASE!F2:F5000="Savings Deposit")*AGENT_DATABASE!G2:G5000)</f>
        <v>0</v>
      </c>
      <c r="D38" s="71">
        <f>SUMPRODUCT((AGENT_DATABASE!B2:B5000="Agent 4")*(AGENT_DATABASE!F2:F5000="Loan Request")*1)</f>
        <v>0</v>
      </c>
      <c r="E38" s="73">
        <f>SUMPRODUCT((AGENT_DATABASE!B2:B5000="Agent 4")*(AGENT_DATABASE!F2:F5000="Loan Disbursement")*AGENT_DATABASE!G2:G5000)</f>
        <v>0</v>
      </c>
      <c r="F38" s="73">
        <f>SUMPRODUCT((AGENT_DATABASE!B2:B5000="Agent 4")*(AGENT_DATABASE!F2:F5000="Withdrawal")*AGENT_DATABASE!G2:G5000)</f>
        <v>0</v>
      </c>
      <c r="G38" s="71">
        <f>SUMPRODUCT((AGENT_DATABASE!B2:B5000="Agent 4")*(AGENT_DATABASE!F2:F5000="Account Opening")*1)</f>
        <v>0</v>
      </c>
      <c r="H38" s="73">
        <f t="shared" si="0"/>
        <v>0</v>
      </c>
      <c r="I38" s="71">
        <f>COUNTIF(AGENT_DATABASE!B2:B5000,"Agent 4")</f>
        <v>0</v>
      </c>
      <c r="J38" s="71" t="s">
        <v>89</v>
      </c>
      <c r="K38" s="71"/>
    </row>
    <row r="39" spans="1:12" ht="18" customHeight="1" x14ac:dyDescent="0.25">
      <c r="A39" s="77" t="s">
        <v>93</v>
      </c>
      <c r="B39" s="77" t="str">
        <f>IFERROR(INDEX(SETTINGS!E:E,8),"")</f>
        <v>Agent 5</v>
      </c>
      <c r="C39" s="78">
        <f>SUMPRODUCT((AGENT_DATABASE!B2:B5000="Agent 5")*(AGENT_DATABASE!F2:F5000="Savings Deposit")*AGENT_DATABASE!G2:G5000)</f>
        <v>0</v>
      </c>
      <c r="D39" s="77">
        <f>SUMPRODUCT((AGENT_DATABASE!B2:B5000="Agent 5")*(AGENT_DATABASE!F2:F5000="Loan Request")*1)</f>
        <v>0</v>
      </c>
      <c r="E39" s="78">
        <f>SUMPRODUCT((AGENT_DATABASE!B2:B5000="Agent 5")*(AGENT_DATABASE!F2:F5000="Loan Disbursement")*AGENT_DATABASE!G2:G5000)</f>
        <v>0</v>
      </c>
      <c r="F39" s="78">
        <f>SUMPRODUCT((AGENT_DATABASE!B2:B5000="Agent 5")*(AGENT_DATABASE!F2:F5000="Withdrawal")*AGENT_DATABASE!G2:G5000)</f>
        <v>0</v>
      </c>
      <c r="G39" s="77">
        <f>SUMPRODUCT((AGENT_DATABASE!B2:B5000="Agent 5")*(AGENT_DATABASE!F2:F5000="Account Opening")*1)</f>
        <v>0</v>
      </c>
      <c r="H39" s="78">
        <f t="shared" si="0"/>
        <v>0</v>
      </c>
      <c r="I39" s="77">
        <f>COUNTIF(AGENT_DATABASE!B2:B5000,"Agent 5")</f>
        <v>0</v>
      </c>
      <c r="J39" s="77" t="s">
        <v>89</v>
      </c>
      <c r="K39" s="77"/>
    </row>
    <row r="40" spans="1:12" ht="18" customHeight="1" x14ac:dyDescent="0.25">
      <c r="A40" s="71" t="s">
        <v>94</v>
      </c>
      <c r="B40" s="71" t="str">
        <f>IFERROR(INDEX(SETTINGS!E:E,9),"")</f>
        <v>Agent 6</v>
      </c>
      <c r="C40" s="73">
        <f>SUMPRODUCT((AGENT_DATABASE!B2:B5000="Agent 6")*(AGENT_DATABASE!F2:F5000="Savings Deposit")*AGENT_DATABASE!G2:G5000)</f>
        <v>0</v>
      </c>
      <c r="D40" s="71">
        <f>SUMPRODUCT((AGENT_DATABASE!B2:B5000="Agent 6")*(AGENT_DATABASE!F2:F5000="Loan Request")*1)</f>
        <v>0</v>
      </c>
      <c r="E40" s="73">
        <f>SUMPRODUCT((AGENT_DATABASE!B2:B5000="Agent 6")*(AGENT_DATABASE!F2:F5000="Loan Disbursement")*AGENT_DATABASE!G2:G5000)</f>
        <v>0</v>
      </c>
      <c r="F40" s="73">
        <f>SUMPRODUCT((AGENT_DATABASE!B2:B5000="Agent 6")*(AGENT_DATABASE!F2:F5000="Withdrawal")*AGENT_DATABASE!G2:G5000)</f>
        <v>0</v>
      </c>
      <c r="G40" s="71">
        <f>SUMPRODUCT((AGENT_DATABASE!B2:B5000="Agent 6")*(AGENT_DATABASE!F2:F5000="Account Opening")*1)</f>
        <v>0</v>
      </c>
      <c r="H40" s="73">
        <f t="shared" si="0"/>
        <v>0</v>
      </c>
      <c r="I40" s="71">
        <f>COUNTIF(AGENT_DATABASE!B2:B5000,"Agent 6")</f>
        <v>0</v>
      </c>
      <c r="J40" s="71" t="s">
        <v>89</v>
      </c>
      <c r="K40" s="71"/>
    </row>
    <row r="41" spans="1:12" ht="18" customHeight="1" x14ac:dyDescent="0.25">
      <c r="A41" s="77" t="s">
        <v>95</v>
      </c>
      <c r="B41" s="77" t="str">
        <f>IFERROR(INDEX(SETTINGS!E:E,10),"")</f>
        <v>Agent 7</v>
      </c>
      <c r="C41" s="78">
        <f>SUMPRODUCT((AGENT_DATABASE!B2:B5000="Agent 7")*(AGENT_DATABASE!F2:F5000="Savings Deposit")*AGENT_DATABASE!G2:G5000)</f>
        <v>0</v>
      </c>
      <c r="D41" s="77">
        <f>SUMPRODUCT((AGENT_DATABASE!B2:B5000="Agent 7")*(AGENT_DATABASE!F2:F5000="Loan Request")*1)</f>
        <v>0</v>
      </c>
      <c r="E41" s="78">
        <f>SUMPRODUCT((AGENT_DATABASE!B2:B5000="Agent 7")*(AGENT_DATABASE!F2:F5000="Loan Disbursement")*AGENT_DATABASE!G2:G5000)</f>
        <v>0</v>
      </c>
      <c r="F41" s="78">
        <f>SUMPRODUCT((AGENT_DATABASE!B2:B5000="Agent 7")*(AGENT_DATABASE!F2:F5000="Withdrawal")*AGENT_DATABASE!G2:G5000)</f>
        <v>0</v>
      </c>
      <c r="G41" s="77">
        <f>SUMPRODUCT((AGENT_DATABASE!B2:B5000="Agent 7")*(AGENT_DATABASE!F2:F5000="Account Opening")*1)</f>
        <v>0</v>
      </c>
      <c r="H41" s="78">
        <f t="shared" si="0"/>
        <v>0</v>
      </c>
      <c r="I41" s="77">
        <f>COUNTIF(AGENT_DATABASE!B2:B5000,"Agent 7")</f>
        <v>0</v>
      </c>
      <c r="J41" s="77" t="s">
        <v>89</v>
      </c>
      <c r="K41" s="77"/>
    </row>
    <row r="42" spans="1:12" ht="18" customHeight="1" x14ac:dyDescent="0.25">
      <c r="A42" s="71" t="s">
        <v>96</v>
      </c>
      <c r="B42" s="71" t="str">
        <f>IFERROR(INDEX(SETTINGS!E:E,11),"")</f>
        <v>Agent 8</v>
      </c>
      <c r="C42" s="73">
        <f>SUMPRODUCT((AGENT_DATABASE!B2:B5000="Agent 8")*(AGENT_DATABASE!F2:F5000="Savings Deposit")*AGENT_DATABASE!G2:G5000)</f>
        <v>0</v>
      </c>
      <c r="D42" s="71">
        <f>SUMPRODUCT((AGENT_DATABASE!B2:B5000="Agent 8")*(AGENT_DATABASE!F2:F5000="Loan Request")*1)</f>
        <v>0</v>
      </c>
      <c r="E42" s="73">
        <f>SUMPRODUCT((AGENT_DATABASE!B2:B5000="Agent 8")*(AGENT_DATABASE!F2:F5000="Loan Disbursement")*AGENT_DATABASE!G2:G5000)</f>
        <v>0</v>
      </c>
      <c r="F42" s="73">
        <f>SUMPRODUCT((AGENT_DATABASE!B2:B5000="Agent 8")*(AGENT_DATABASE!F2:F5000="Withdrawal")*AGENT_DATABASE!G2:G5000)</f>
        <v>0</v>
      </c>
      <c r="G42" s="71">
        <f>SUMPRODUCT((AGENT_DATABASE!B2:B5000="Agent 8")*(AGENT_DATABASE!F2:F5000="Account Opening")*1)</f>
        <v>0</v>
      </c>
      <c r="H42" s="73">
        <f t="shared" si="0"/>
        <v>0</v>
      </c>
      <c r="I42" s="71">
        <f>COUNTIF(AGENT_DATABASE!B2:B5000,"Agent 8")</f>
        <v>0</v>
      </c>
      <c r="J42" s="71" t="s">
        <v>89</v>
      </c>
      <c r="K42" s="71"/>
    </row>
    <row r="43" spans="1:12" ht="18" customHeight="1" x14ac:dyDescent="0.25">
      <c r="A43" s="77" t="s">
        <v>97</v>
      </c>
      <c r="B43" s="77" t="str">
        <f>IFERROR(INDEX(SETTINGS!E:E,12),"")</f>
        <v>Agent 9</v>
      </c>
      <c r="C43" s="78">
        <f>SUMPRODUCT((AGENT_DATABASE!B2:B5000="Agent 9")*(AGENT_DATABASE!F2:F5000="Savings Deposit")*AGENT_DATABASE!G2:G5000)</f>
        <v>0</v>
      </c>
      <c r="D43" s="77">
        <f>SUMPRODUCT((AGENT_DATABASE!B2:B5000="Agent 9")*(AGENT_DATABASE!F2:F5000="Loan Request")*1)</f>
        <v>0</v>
      </c>
      <c r="E43" s="78">
        <f>SUMPRODUCT((AGENT_DATABASE!B2:B5000="Agent 9")*(AGENT_DATABASE!F2:F5000="Loan Disbursement")*AGENT_DATABASE!G2:G5000)</f>
        <v>0</v>
      </c>
      <c r="F43" s="78">
        <f>SUMPRODUCT((AGENT_DATABASE!B2:B5000="Agent 9")*(AGENT_DATABASE!F2:F5000="Withdrawal")*AGENT_DATABASE!G2:G5000)</f>
        <v>0</v>
      </c>
      <c r="G43" s="77">
        <f>SUMPRODUCT((AGENT_DATABASE!B2:B5000="Agent 9")*(AGENT_DATABASE!F2:F5000="Account Opening")*1)</f>
        <v>0</v>
      </c>
      <c r="H43" s="78">
        <f t="shared" si="0"/>
        <v>0</v>
      </c>
      <c r="I43" s="77">
        <f>COUNTIF(AGENT_DATABASE!B2:B5000,"Agent 9")</f>
        <v>0</v>
      </c>
      <c r="J43" s="77" t="s">
        <v>89</v>
      </c>
      <c r="K43" s="77"/>
    </row>
    <row r="44" spans="1:12" ht="18" customHeight="1" x14ac:dyDescent="0.25">
      <c r="A44" s="71" t="s">
        <v>98</v>
      </c>
      <c r="B44" s="71" t="str">
        <f>IFERROR(INDEX(SETTINGS!E:E,13),"")</f>
        <v>Agent 10</v>
      </c>
      <c r="C44" s="73">
        <f>SUMPRODUCT((AGENT_DATABASE!B2:B5000="Agent 10")*(AGENT_DATABASE!F2:F5000="Savings Deposit")*AGENT_DATABASE!G2:G5000)</f>
        <v>0</v>
      </c>
      <c r="D44" s="71">
        <f>SUMPRODUCT((AGENT_DATABASE!B2:B5000="Agent 10")*(AGENT_DATABASE!F2:F5000="Loan Request")*1)</f>
        <v>0</v>
      </c>
      <c r="E44" s="73">
        <f>SUMPRODUCT((AGENT_DATABASE!B2:B5000="Agent 10")*(AGENT_DATABASE!F2:F5000="Loan Disbursement")*AGENT_DATABASE!G2:G5000)</f>
        <v>0</v>
      </c>
      <c r="F44" s="73">
        <f>SUMPRODUCT((AGENT_DATABASE!B2:B5000="Agent 10")*(AGENT_DATABASE!F2:F5000="Withdrawal")*AGENT_DATABASE!G2:G5000)</f>
        <v>0</v>
      </c>
      <c r="G44" s="71">
        <f>SUMPRODUCT((AGENT_DATABASE!B2:B5000="Agent 10")*(AGENT_DATABASE!F2:F5000="Account Opening")*1)</f>
        <v>0</v>
      </c>
      <c r="H44" s="73">
        <f t="shared" si="0"/>
        <v>0</v>
      </c>
      <c r="I44" s="71">
        <f>COUNTIF(AGENT_DATABASE!B2:B5000,"Agent 10")</f>
        <v>0</v>
      </c>
      <c r="J44" s="71" t="s">
        <v>89</v>
      </c>
      <c r="K44" s="71"/>
    </row>
    <row r="46" spans="1:12" ht="21.95" customHeight="1" x14ac:dyDescent="0.25">
      <c r="A46" s="149" t="s">
        <v>99</v>
      </c>
      <c r="B46" s="130"/>
      <c r="C46" s="130"/>
      <c r="D46" s="130"/>
      <c r="E46" s="130"/>
      <c r="F46" s="130"/>
      <c r="G46" s="130"/>
      <c r="H46" s="130"/>
      <c r="I46" s="130"/>
      <c r="J46" s="130"/>
      <c r="K46" s="130"/>
      <c r="L46" s="130"/>
    </row>
    <row r="47" spans="1:12" ht="20.100000000000001" customHeight="1" x14ac:dyDescent="0.25">
      <c r="A47" s="105" t="s">
        <v>75</v>
      </c>
      <c r="B47" s="105" t="s">
        <v>100</v>
      </c>
      <c r="C47" s="105" t="s">
        <v>101</v>
      </c>
      <c r="D47" s="105" t="s">
        <v>102</v>
      </c>
      <c r="E47" s="105" t="s">
        <v>103</v>
      </c>
      <c r="F47" s="105" t="s">
        <v>104</v>
      </c>
      <c r="G47" s="105" t="s">
        <v>105</v>
      </c>
      <c r="H47" s="105" t="s">
        <v>106</v>
      </c>
      <c r="I47" s="105" t="s">
        <v>107</v>
      </c>
      <c r="J47" s="105" t="s">
        <v>108</v>
      </c>
      <c r="K47" s="105" t="s">
        <v>48</v>
      </c>
    </row>
    <row r="48" spans="1:12" ht="18" customHeight="1" x14ac:dyDescent="0.25">
      <c r="A48" s="106" t="s">
        <v>109</v>
      </c>
      <c r="B48" s="107">
        <f>IFERROR(Daily_Balance_Control!C6,0)</f>
        <v>0</v>
      </c>
      <c r="C48" s="107">
        <f ca="1">IFERROR(Daily_Balance_Control!D6,0)</f>
        <v>0</v>
      </c>
      <c r="D48" s="107">
        <f ca="1">IFERROR(Daily_Balance_Control!E6,0)</f>
        <v>0</v>
      </c>
      <c r="E48" s="107">
        <f>IFERROR(Daily_Balance_Control!F6,0)</f>
        <v>0</v>
      </c>
      <c r="F48" s="107">
        <f ca="1">IFERROR(Daily_Balance_Control!G6,0)</f>
        <v>0</v>
      </c>
      <c r="G48" s="107">
        <f ca="1">IFERROR(Daily_Balance_Control!H6,0)</f>
        <v>0</v>
      </c>
      <c r="H48" s="107">
        <f>IFERROR(Daily_Balance_Control!I6,0)</f>
        <v>0</v>
      </c>
      <c r="I48" s="107">
        <f ca="1">IFERROR(Daily_Balance_Control!J6,0)</f>
        <v>0</v>
      </c>
      <c r="K48" s="108" t="str">
        <f ca="1">IF(AND(Daily_Balance_Control!E6=0,Daily_Balance_Control!H6=0),"✅ OK","🚨 GAP")</f>
        <v>✅ OK</v>
      </c>
    </row>
    <row r="49" spans="1:11" ht="18" customHeight="1" x14ac:dyDescent="0.25">
      <c r="A49" s="109" t="s">
        <v>110</v>
      </c>
      <c r="B49" s="110">
        <f>IFERROR(Daily_Balance_Control!C7,0)</f>
        <v>0</v>
      </c>
      <c r="C49" s="110">
        <f ca="1">IFERROR(Daily_Balance_Control!D7,0)</f>
        <v>0</v>
      </c>
      <c r="D49" s="110">
        <f ca="1">IFERROR(Daily_Balance_Control!E7,0)</f>
        <v>0</v>
      </c>
      <c r="E49" s="110">
        <f>IFERROR(Daily_Balance_Control!F7,0)</f>
        <v>0</v>
      </c>
      <c r="F49" s="110">
        <f ca="1">IFERROR(Daily_Balance_Control!G7,0)</f>
        <v>0</v>
      </c>
      <c r="G49" s="110">
        <f ca="1">IFERROR(Daily_Balance_Control!H7,0)</f>
        <v>0</v>
      </c>
      <c r="H49" s="110">
        <f>IFERROR(Daily_Balance_Control!I7,0)</f>
        <v>0</v>
      </c>
      <c r="I49" s="110">
        <f ca="1">IFERROR(Daily_Balance_Control!J7,0)</f>
        <v>0</v>
      </c>
      <c r="K49" s="111" t="str">
        <f ca="1">IF(AND(Daily_Balance_Control!E7=0,Daily_Balance_Control!H7=0),"✅ OK","🚨 GAP")</f>
        <v>✅ OK</v>
      </c>
    </row>
    <row r="50" spans="1:11" ht="18" customHeight="1" x14ac:dyDescent="0.25">
      <c r="A50" s="106" t="s">
        <v>111</v>
      </c>
      <c r="B50" s="107">
        <f>IFERROR(Daily_Balance_Control!C8,0)</f>
        <v>0</v>
      </c>
      <c r="C50" s="107">
        <f ca="1">IFERROR(Daily_Balance_Control!D8,0)</f>
        <v>0</v>
      </c>
      <c r="D50" s="107">
        <f ca="1">IFERROR(Daily_Balance_Control!E8,0)</f>
        <v>0</v>
      </c>
      <c r="E50" s="107">
        <f>IFERROR(Daily_Balance_Control!F8,0)</f>
        <v>0</v>
      </c>
      <c r="F50" s="107">
        <f ca="1">IFERROR(Daily_Balance_Control!G8,0)</f>
        <v>0</v>
      </c>
      <c r="G50" s="107">
        <f ca="1">IFERROR(Daily_Balance_Control!H8,0)</f>
        <v>0</v>
      </c>
      <c r="H50" s="107">
        <f>IFERROR(Daily_Balance_Control!I8,0)</f>
        <v>0</v>
      </c>
      <c r="I50" s="107">
        <f ca="1">IFERROR(Daily_Balance_Control!J8,0)</f>
        <v>0</v>
      </c>
      <c r="K50" s="108" t="str">
        <f ca="1">IF(AND(Daily_Balance_Control!E8=0,Daily_Balance_Control!H8=0),"✅ OK","🚨 GAP")</f>
        <v>✅ OK</v>
      </c>
    </row>
    <row r="51" spans="1:11" ht="18" customHeight="1" x14ac:dyDescent="0.25">
      <c r="A51" s="109" t="s">
        <v>112</v>
      </c>
      <c r="B51" s="110">
        <f>IFERROR(Daily_Balance_Control!C9,0)</f>
        <v>0</v>
      </c>
      <c r="C51" s="110">
        <f ca="1">IFERROR(Daily_Balance_Control!D9,0)</f>
        <v>0</v>
      </c>
      <c r="D51" s="110">
        <f ca="1">IFERROR(Daily_Balance_Control!E9,0)</f>
        <v>0</v>
      </c>
      <c r="E51" s="110">
        <f>IFERROR(Daily_Balance_Control!F9,0)</f>
        <v>0</v>
      </c>
      <c r="F51" s="110">
        <f ca="1">IFERROR(Daily_Balance_Control!G9,0)</f>
        <v>0</v>
      </c>
      <c r="G51" s="110">
        <f ca="1">IFERROR(Daily_Balance_Control!H9,0)</f>
        <v>0</v>
      </c>
      <c r="H51" s="110">
        <f>IFERROR(Daily_Balance_Control!I9,0)</f>
        <v>0</v>
      </c>
      <c r="I51" s="110">
        <f ca="1">IFERROR(Daily_Balance_Control!J9,0)</f>
        <v>0</v>
      </c>
      <c r="K51" s="111" t="str">
        <f ca="1">IF(AND(Daily_Balance_Control!E9=0,Daily_Balance_Control!H9=0),"✅ OK","🚨 GAP")</f>
        <v>✅ OK</v>
      </c>
    </row>
    <row r="52" spans="1:11" ht="18" customHeight="1" x14ac:dyDescent="0.25">
      <c r="A52" s="106" t="s">
        <v>113</v>
      </c>
      <c r="B52" s="107">
        <f>IFERROR(Daily_Balance_Control!C10,0)</f>
        <v>0</v>
      </c>
      <c r="C52" s="107">
        <f ca="1">IFERROR(Daily_Balance_Control!D10,0)</f>
        <v>0</v>
      </c>
      <c r="D52" s="107">
        <f ca="1">IFERROR(Daily_Balance_Control!E10,0)</f>
        <v>0</v>
      </c>
      <c r="E52" s="107">
        <f>IFERROR(Daily_Balance_Control!F10,0)</f>
        <v>0</v>
      </c>
      <c r="F52" s="107">
        <f ca="1">IFERROR(Daily_Balance_Control!G10,0)</f>
        <v>0</v>
      </c>
      <c r="G52" s="107">
        <f ca="1">IFERROR(Daily_Balance_Control!H10,0)</f>
        <v>0</v>
      </c>
      <c r="H52" s="107">
        <f>IFERROR(Daily_Balance_Control!I10,0)</f>
        <v>0</v>
      </c>
      <c r="I52" s="107">
        <f ca="1">IFERROR(Daily_Balance_Control!J10,0)</f>
        <v>0</v>
      </c>
      <c r="K52" s="108" t="str">
        <f ca="1">IF(AND(Daily_Balance_Control!E10=0,Daily_Balance_Control!H10=0),"✅ OK","🚨 GAP")</f>
        <v>✅ OK</v>
      </c>
    </row>
    <row r="53" spans="1:11" ht="18" customHeight="1" x14ac:dyDescent="0.25">
      <c r="A53" s="109" t="s">
        <v>114</v>
      </c>
      <c r="B53" s="110">
        <f>IFERROR(Daily_Balance_Control!C11,0)</f>
        <v>0</v>
      </c>
      <c r="C53" s="110">
        <f ca="1">IFERROR(Daily_Balance_Control!D11,0)</f>
        <v>0</v>
      </c>
      <c r="D53" s="110">
        <f ca="1">IFERROR(Daily_Balance_Control!E11,0)</f>
        <v>0</v>
      </c>
      <c r="E53" s="110">
        <f>IFERROR(Daily_Balance_Control!F11,0)</f>
        <v>0</v>
      </c>
      <c r="F53" s="110">
        <f ca="1">IFERROR(Daily_Balance_Control!G11,0)</f>
        <v>0</v>
      </c>
      <c r="G53" s="110">
        <f ca="1">IFERROR(Daily_Balance_Control!H11,0)</f>
        <v>0</v>
      </c>
      <c r="H53" s="110">
        <f>IFERROR(Daily_Balance_Control!I11,0)</f>
        <v>0</v>
      </c>
      <c r="I53" s="110">
        <f ca="1">IFERROR(Daily_Balance_Control!J11,0)</f>
        <v>0</v>
      </c>
      <c r="K53" s="111" t="str">
        <f ca="1">IF(AND(Daily_Balance_Control!E11=0,Daily_Balance_Control!H11=0),"✅ OK","🚨 GAP")</f>
        <v>✅ OK</v>
      </c>
    </row>
    <row r="54" spans="1:11" ht="18" customHeight="1" x14ac:dyDescent="0.25">
      <c r="A54" s="106" t="s">
        <v>115</v>
      </c>
      <c r="B54" s="107">
        <f>IFERROR(Daily_Balance_Control!C12,0)</f>
        <v>0</v>
      </c>
      <c r="C54" s="107">
        <f ca="1">IFERROR(Daily_Balance_Control!D12,0)</f>
        <v>0</v>
      </c>
      <c r="D54" s="107">
        <f ca="1">IFERROR(Daily_Balance_Control!E12,0)</f>
        <v>0</v>
      </c>
      <c r="E54" s="107">
        <f>IFERROR(Daily_Balance_Control!F12,0)</f>
        <v>0</v>
      </c>
      <c r="F54" s="107">
        <f ca="1">IFERROR(Daily_Balance_Control!G12,0)</f>
        <v>0</v>
      </c>
      <c r="G54" s="107">
        <f ca="1">IFERROR(Daily_Balance_Control!H12,0)</f>
        <v>0</v>
      </c>
      <c r="H54" s="107">
        <f>IFERROR(Daily_Balance_Control!I12,0)</f>
        <v>0</v>
      </c>
      <c r="I54" s="107">
        <f ca="1">IFERROR(Daily_Balance_Control!J12,0)</f>
        <v>0</v>
      </c>
      <c r="K54" s="108" t="str">
        <f ca="1">IF(AND(Daily_Balance_Control!E12=0,Daily_Balance_Control!H12=0),"✅ OK","🚨 GAP")</f>
        <v>✅ OK</v>
      </c>
    </row>
    <row r="55" spans="1:11" ht="18" customHeight="1" x14ac:dyDescent="0.25">
      <c r="A55" s="109" t="s">
        <v>116</v>
      </c>
      <c r="B55" s="110">
        <f>IFERROR(Daily_Balance_Control!C13,0)</f>
        <v>0</v>
      </c>
      <c r="C55" s="110">
        <f ca="1">IFERROR(Daily_Balance_Control!D13,0)</f>
        <v>0</v>
      </c>
      <c r="D55" s="110">
        <f ca="1">IFERROR(Daily_Balance_Control!E13,0)</f>
        <v>0</v>
      </c>
      <c r="E55" s="110">
        <f>IFERROR(Daily_Balance_Control!F13,0)</f>
        <v>0</v>
      </c>
      <c r="F55" s="110">
        <f ca="1">IFERROR(Daily_Balance_Control!G13,0)</f>
        <v>0</v>
      </c>
      <c r="G55" s="110">
        <f ca="1">IFERROR(Daily_Balance_Control!H13,0)</f>
        <v>0</v>
      </c>
      <c r="H55" s="110">
        <f>IFERROR(Daily_Balance_Control!I13,0)</f>
        <v>0</v>
      </c>
      <c r="I55" s="110">
        <f ca="1">IFERROR(Daily_Balance_Control!J13,0)</f>
        <v>0</v>
      </c>
      <c r="K55" s="111" t="str">
        <f ca="1">IF(AND(Daily_Balance_Control!E13=0,Daily_Balance_Control!H13=0),"✅ OK","🚨 GAP")</f>
        <v>✅ OK</v>
      </c>
    </row>
    <row r="56" spans="1:11" ht="18" customHeight="1" x14ac:dyDescent="0.25">
      <c r="A56" s="106" t="s">
        <v>117</v>
      </c>
      <c r="B56" s="107">
        <f>IFERROR(Daily_Balance_Control!C14,0)</f>
        <v>0</v>
      </c>
      <c r="C56" s="107">
        <f ca="1">IFERROR(Daily_Balance_Control!D14,0)</f>
        <v>0</v>
      </c>
      <c r="D56" s="107">
        <f ca="1">IFERROR(Daily_Balance_Control!E14,0)</f>
        <v>0</v>
      </c>
      <c r="E56" s="107">
        <f>IFERROR(Daily_Balance_Control!F14,0)</f>
        <v>0</v>
      </c>
      <c r="F56" s="107">
        <f ca="1">IFERROR(Daily_Balance_Control!G14,0)</f>
        <v>0</v>
      </c>
      <c r="G56" s="107">
        <f ca="1">IFERROR(Daily_Balance_Control!H14,0)</f>
        <v>0</v>
      </c>
      <c r="H56" s="107">
        <f>IFERROR(Daily_Balance_Control!I14,0)</f>
        <v>0</v>
      </c>
      <c r="I56" s="107">
        <f ca="1">IFERROR(Daily_Balance_Control!J14,0)</f>
        <v>0</v>
      </c>
      <c r="K56" s="108" t="str">
        <f ca="1">IF(AND(Daily_Balance_Control!E14=0,Daily_Balance_Control!H14=0),"✅ OK","🚨 GAP")</f>
        <v>✅ OK</v>
      </c>
    </row>
    <row r="57" spans="1:11" ht="18" customHeight="1" x14ac:dyDescent="0.25">
      <c r="A57" s="109" t="s">
        <v>118</v>
      </c>
      <c r="B57" s="110">
        <f>IFERROR(Daily_Balance_Control!C15,0)</f>
        <v>0</v>
      </c>
      <c r="C57" s="110">
        <f ca="1">IFERROR(Daily_Balance_Control!D15,0)</f>
        <v>0</v>
      </c>
      <c r="D57" s="110">
        <f ca="1">IFERROR(Daily_Balance_Control!E15,0)</f>
        <v>0</v>
      </c>
      <c r="E57" s="110">
        <f>IFERROR(Daily_Balance_Control!F15,0)</f>
        <v>0</v>
      </c>
      <c r="F57" s="110">
        <f ca="1">IFERROR(Daily_Balance_Control!G15,0)</f>
        <v>0</v>
      </c>
      <c r="G57" s="110">
        <f ca="1">IFERROR(Daily_Balance_Control!H15,0)</f>
        <v>0</v>
      </c>
      <c r="H57" s="110">
        <f>IFERROR(Daily_Balance_Control!I15,0)</f>
        <v>0</v>
      </c>
      <c r="I57" s="110">
        <f ca="1">IFERROR(Daily_Balance_Control!J15,0)</f>
        <v>0</v>
      </c>
      <c r="K57" s="111" t="str">
        <f ca="1">IF(AND(Daily_Balance_Control!E15=0,Daily_Balance_Control!H15=0),"✅ OK","🚨 GAP")</f>
        <v>✅ OK</v>
      </c>
    </row>
  </sheetData>
  <mergeCells count="17">
    <mergeCell ref="A46:L46"/>
    <mergeCell ref="F6:G6"/>
    <mergeCell ref="H5:I5"/>
    <mergeCell ref="A9:L9"/>
    <mergeCell ref="A4:L4"/>
    <mergeCell ref="A33:L33"/>
    <mergeCell ref="J6:K6"/>
    <mergeCell ref="B5:C5"/>
    <mergeCell ref="A1:L1"/>
    <mergeCell ref="D5:E5"/>
    <mergeCell ref="F5:G5"/>
    <mergeCell ref="A2:F2"/>
    <mergeCell ref="B6:C6"/>
    <mergeCell ref="D6:E6"/>
    <mergeCell ref="H6:I6"/>
    <mergeCell ref="G2:L2"/>
    <mergeCell ref="J5:K5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K44"/>
  <sheetViews>
    <sheetView showGridLines="0" workbookViewId="0"/>
  </sheetViews>
  <sheetFormatPr defaultRowHeight="15" x14ac:dyDescent="0.25"/>
  <cols>
    <col min="1" max="1" width="2" customWidth="1"/>
    <col min="2" max="2" width="20" customWidth="1"/>
    <col min="3" max="10" width="17" customWidth="1"/>
    <col min="11" max="11" width="2" customWidth="1"/>
  </cols>
  <sheetData>
    <row r="1" spans="2:11" ht="39.950000000000003" customHeight="1" x14ac:dyDescent="0.25">
      <c r="B1" s="155" t="s">
        <v>119</v>
      </c>
      <c r="C1" s="130"/>
      <c r="D1" s="130"/>
      <c r="E1" s="130"/>
      <c r="F1" s="130"/>
      <c r="G1" s="130"/>
      <c r="H1" s="130"/>
      <c r="I1" s="130"/>
      <c r="J1" s="130"/>
    </row>
    <row r="2" spans="2:11" ht="21.95" customHeight="1" x14ac:dyDescent="0.25">
      <c r="B2" s="156" t="str">
        <f ca="1">TEXT(TODAY(),"DD MMM YYYY")</f>
        <v>12 Apr 2026</v>
      </c>
      <c r="C2" s="130"/>
      <c r="D2" s="130"/>
      <c r="E2" s="130"/>
      <c r="F2" s="158" t="s">
        <v>120</v>
      </c>
      <c r="G2" s="130"/>
      <c r="H2" s="130"/>
      <c r="I2" s="130"/>
      <c r="J2" s="130"/>
    </row>
    <row r="4" spans="2:11" ht="21.95" customHeight="1" x14ac:dyDescent="0.25">
      <c r="B4" s="153" t="s">
        <v>121</v>
      </c>
      <c r="C4" s="130"/>
      <c r="D4" s="130"/>
      <c r="E4" s="130"/>
      <c r="F4" s="130"/>
      <c r="G4" s="130"/>
      <c r="H4" s="130"/>
      <c r="I4" s="130"/>
      <c r="J4" s="130"/>
    </row>
    <row r="5" spans="2:11" ht="27.95" customHeight="1" x14ac:dyDescent="0.25">
      <c r="B5" s="105" t="s">
        <v>75</v>
      </c>
      <c r="C5" s="105" t="s">
        <v>122</v>
      </c>
      <c r="D5" s="105" t="s">
        <v>123</v>
      </c>
      <c r="E5" s="105" t="s">
        <v>102</v>
      </c>
      <c r="F5" s="105" t="s">
        <v>124</v>
      </c>
      <c r="G5" s="105" t="s">
        <v>125</v>
      </c>
      <c r="H5" s="105" t="s">
        <v>105</v>
      </c>
      <c r="I5" s="105" t="s">
        <v>126</v>
      </c>
      <c r="J5" s="105" t="s">
        <v>127</v>
      </c>
      <c r="K5" s="105" t="s">
        <v>108</v>
      </c>
    </row>
    <row r="6" spans="2:11" ht="20.100000000000001" customHeight="1" x14ac:dyDescent="0.25">
      <c r="B6" s="106" t="s">
        <v>109</v>
      </c>
      <c r="C6" s="113">
        <v>0</v>
      </c>
      <c r="D6" s="107">
        <f ca="1">IFERROR(SUMPRODUCT((AGENT_DATABASE!B2:B5000="Agent 1")*(AGENT_DATABASE!F2:F5000="Savings Deposit")*(TEXT(AGENT_DATABASE!A2:A5000,"DD/MM/YYYY")=TEXT(TODAY(),"DD/MM/YYYY"))*AGENT_DATABASE!G2:G5000),0)</f>
        <v>0</v>
      </c>
      <c r="E6" s="118">
        <f t="shared" ref="E6:E15" ca="1" si="0">C6-D6</f>
        <v>0</v>
      </c>
      <c r="F6" s="113">
        <v>0</v>
      </c>
      <c r="G6" s="107">
        <f ca="1">IFERROR(SUMPRODUCT((AGENT_DATABASE!B2:B5000="Agent 1")*(AGENT_DATABASE!F2:F5000="Withdrawal")*(TEXT(AGENT_DATABASE!A2:A5000,"DD/MM/YYYY")=TEXT(TODAY(),"DD/MM/YYYY"))*AGENT_DATABASE!G2:G5000),0)</f>
        <v>0</v>
      </c>
      <c r="H6" s="118">
        <f t="shared" ref="H6:H15" ca="1" si="1">F6-G6</f>
        <v>0</v>
      </c>
      <c r="I6" s="113">
        <v>0</v>
      </c>
      <c r="J6" s="107">
        <f ca="1">IFERROR(SUMPRODUCT((AGENT_DATABASE!B2:B5000="Agent 1")*(AGENT_DATABASE!F2:F5000="Loan Request")*(TEXT(AGENT_DATABASE!A2:A5000,"DD/MM/YYYY")=TEXT(TODAY(),"DD/MM/YYYY"))*AGENT_DATABASE!G2:G5000),0)</f>
        <v>0</v>
      </c>
    </row>
    <row r="7" spans="2:11" ht="20.100000000000001" customHeight="1" x14ac:dyDescent="0.25">
      <c r="B7" s="109" t="s">
        <v>110</v>
      </c>
      <c r="C7" s="113">
        <v>0</v>
      </c>
      <c r="D7" s="110">
        <f ca="1">IFERROR(SUMPRODUCT((AGENT_DATABASE!B2:B5000="Agent 2")*(AGENT_DATABASE!F2:F5000="Savings Deposit")*(TEXT(AGENT_DATABASE!A2:A5000,"DD/MM/YYYY")=TEXT(TODAY(),"DD/MM/YYYY"))*AGENT_DATABASE!G2:G5000),0)</f>
        <v>0</v>
      </c>
      <c r="E7" s="119">
        <f t="shared" ca="1" si="0"/>
        <v>0</v>
      </c>
      <c r="F7" s="113">
        <v>0</v>
      </c>
      <c r="G7" s="110">
        <f ca="1">IFERROR(SUMPRODUCT((AGENT_DATABASE!B2:B5000="Agent 2")*(AGENT_DATABASE!F2:F5000="Withdrawal")*(TEXT(AGENT_DATABASE!A2:A5000,"DD/MM/YYYY")=TEXT(TODAY(),"DD/MM/YYYY"))*AGENT_DATABASE!G2:G5000),0)</f>
        <v>0</v>
      </c>
      <c r="H7" s="119">
        <f t="shared" ca="1" si="1"/>
        <v>0</v>
      </c>
      <c r="I7" s="113">
        <v>0</v>
      </c>
      <c r="J7" s="110">
        <f ca="1">IFERROR(SUMPRODUCT((AGENT_DATABASE!B2:B5000="Agent 2")*(AGENT_DATABASE!F2:F5000="Loan Request")*(TEXT(AGENT_DATABASE!A2:A5000,"DD/MM/YYYY")=TEXT(TODAY(),"DD/MM/YYYY"))*AGENT_DATABASE!G2:G5000),0)</f>
        <v>0</v>
      </c>
    </row>
    <row r="8" spans="2:11" ht="20.100000000000001" customHeight="1" x14ac:dyDescent="0.25">
      <c r="B8" s="106" t="s">
        <v>111</v>
      </c>
      <c r="C8" s="113">
        <v>0</v>
      </c>
      <c r="D8" s="107">
        <f ca="1">IFERROR(SUMPRODUCT((AGENT_DATABASE!B2:B5000="Agent 3")*(AGENT_DATABASE!F2:F5000="Savings Deposit")*(TEXT(AGENT_DATABASE!A2:A5000,"DD/MM/YYYY")=TEXT(TODAY(),"DD/MM/YYYY"))*AGENT_DATABASE!G2:G5000),0)</f>
        <v>0</v>
      </c>
      <c r="E8" s="118">
        <f t="shared" ca="1" si="0"/>
        <v>0</v>
      </c>
      <c r="F8" s="113">
        <v>0</v>
      </c>
      <c r="G8" s="107">
        <f ca="1">IFERROR(SUMPRODUCT((AGENT_DATABASE!B2:B5000="Agent 3")*(AGENT_DATABASE!F2:F5000="Withdrawal")*(TEXT(AGENT_DATABASE!A2:A5000,"DD/MM/YYYY")=TEXT(TODAY(),"DD/MM/YYYY"))*AGENT_DATABASE!G2:G5000),0)</f>
        <v>0</v>
      </c>
      <c r="H8" s="118">
        <f t="shared" ca="1" si="1"/>
        <v>0</v>
      </c>
      <c r="I8" s="113">
        <v>0</v>
      </c>
      <c r="J8" s="107">
        <f ca="1">IFERROR(SUMPRODUCT((AGENT_DATABASE!B2:B5000="Agent 3")*(AGENT_DATABASE!F2:F5000="Loan Request")*(TEXT(AGENT_DATABASE!A2:A5000,"DD/MM/YYYY")=TEXT(TODAY(),"DD/MM/YYYY"))*AGENT_DATABASE!G2:G5000),0)</f>
        <v>0</v>
      </c>
    </row>
    <row r="9" spans="2:11" ht="20.100000000000001" customHeight="1" x14ac:dyDescent="0.25">
      <c r="B9" s="109" t="s">
        <v>112</v>
      </c>
      <c r="C9" s="113">
        <v>0</v>
      </c>
      <c r="D9" s="110">
        <f ca="1">IFERROR(SUMPRODUCT((AGENT_DATABASE!B2:B5000="Agent 4")*(AGENT_DATABASE!F2:F5000="Savings Deposit")*(TEXT(AGENT_DATABASE!A2:A5000,"DD/MM/YYYY")=TEXT(TODAY(),"DD/MM/YYYY"))*AGENT_DATABASE!G2:G5000),0)</f>
        <v>0</v>
      </c>
      <c r="E9" s="119">
        <f t="shared" ca="1" si="0"/>
        <v>0</v>
      </c>
      <c r="F9" s="113">
        <v>0</v>
      </c>
      <c r="G9" s="110">
        <f ca="1">IFERROR(SUMPRODUCT((AGENT_DATABASE!B2:B5000="Agent 4")*(AGENT_DATABASE!F2:F5000="Withdrawal")*(TEXT(AGENT_DATABASE!A2:A5000,"DD/MM/YYYY")=TEXT(TODAY(),"DD/MM/YYYY"))*AGENT_DATABASE!G2:G5000),0)</f>
        <v>0</v>
      </c>
      <c r="H9" s="119">
        <f t="shared" ca="1" si="1"/>
        <v>0</v>
      </c>
      <c r="I9" s="113">
        <v>0</v>
      </c>
      <c r="J9" s="110">
        <f ca="1">IFERROR(SUMPRODUCT((AGENT_DATABASE!B2:B5000="Agent 4")*(AGENT_DATABASE!F2:F5000="Loan Request")*(TEXT(AGENT_DATABASE!A2:A5000,"DD/MM/YYYY")=TEXT(TODAY(),"DD/MM/YYYY"))*AGENT_DATABASE!G2:G5000),0)</f>
        <v>0</v>
      </c>
    </row>
    <row r="10" spans="2:11" ht="20.100000000000001" customHeight="1" x14ac:dyDescent="0.25">
      <c r="B10" s="106" t="s">
        <v>113</v>
      </c>
      <c r="C10" s="113">
        <v>0</v>
      </c>
      <c r="D10" s="107">
        <f ca="1">IFERROR(SUMPRODUCT((AGENT_DATABASE!B2:B5000="Agent 5")*(AGENT_DATABASE!F2:F5000="Savings Deposit")*(TEXT(AGENT_DATABASE!A2:A5000,"DD/MM/YYYY")=TEXT(TODAY(),"DD/MM/YYYY"))*AGENT_DATABASE!G2:G5000),0)</f>
        <v>0</v>
      </c>
      <c r="E10" s="118">
        <f t="shared" ca="1" si="0"/>
        <v>0</v>
      </c>
      <c r="F10" s="113">
        <v>0</v>
      </c>
      <c r="G10" s="107">
        <f ca="1">IFERROR(SUMPRODUCT((AGENT_DATABASE!B2:B5000="Agent 5")*(AGENT_DATABASE!F2:F5000="Withdrawal")*(TEXT(AGENT_DATABASE!A2:A5000,"DD/MM/YYYY")=TEXT(TODAY(),"DD/MM/YYYY"))*AGENT_DATABASE!G2:G5000),0)</f>
        <v>0</v>
      </c>
      <c r="H10" s="118">
        <f t="shared" ca="1" si="1"/>
        <v>0</v>
      </c>
      <c r="I10" s="113">
        <v>0</v>
      </c>
      <c r="J10" s="107">
        <f ca="1">IFERROR(SUMPRODUCT((AGENT_DATABASE!B2:B5000="Agent 5")*(AGENT_DATABASE!F2:F5000="Loan Request")*(TEXT(AGENT_DATABASE!A2:A5000,"DD/MM/YYYY")=TEXT(TODAY(),"DD/MM/YYYY"))*AGENT_DATABASE!G2:G5000),0)</f>
        <v>0</v>
      </c>
    </row>
    <row r="11" spans="2:11" ht="20.100000000000001" customHeight="1" x14ac:dyDescent="0.25">
      <c r="B11" s="109" t="s">
        <v>114</v>
      </c>
      <c r="C11" s="113">
        <v>0</v>
      </c>
      <c r="D11" s="110">
        <f ca="1">IFERROR(SUMPRODUCT((AGENT_DATABASE!B2:B5000="Agent 6")*(AGENT_DATABASE!F2:F5000="Savings Deposit")*(TEXT(AGENT_DATABASE!A2:A5000,"DD/MM/YYYY")=TEXT(TODAY(),"DD/MM/YYYY"))*AGENT_DATABASE!G2:G5000),0)</f>
        <v>0</v>
      </c>
      <c r="E11" s="119">
        <f t="shared" ca="1" si="0"/>
        <v>0</v>
      </c>
      <c r="F11" s="113">
        <v>0</v>
      </c>
      <c r="G11" s="110">
        <f ca="1">IFERROR(SUMPRODUCT((AGENT_DATABASE!B2:B5000="Agent 6")*(AGENT_DATABASE!F2:F5000="Withdrawal")*(TEXT(AGENT_DATABASE!A2:A5000,"DD/MM/YYYY")=TEXT(TODAY(),"DD/MM/YYYY"))*AGENT_DATABASE!G2:G5000),0)</f>
        <v>0</v>
      </c>
      <c r="H11" s="119">
        <f t="shared" ca="1" si="1"/>
        <v>0</v>
      </c>
      <c r="I11" s="113">
        <v>0</v>
      </c>
      <c r="J11" s="110">
        <f ca="1">IFERROR(SUMPRODUCT((AGENT_DATABASE!B2:B5000="Agent 6")*(AGENT_DATABASE!F2:F5000="Loan Request")*(TEXT(AGENT_DATABASE!A2:A5000,"DD/MM/YYYY")=TEXT(TODAY(),"DD/MM/YYYY"))*AGENT_DATABASE!G2:G5000),0)</f>
        <v>0</v>
      </c>
    </row>
    <row r="12" spans="2:11" ht="20.100000000000001" customHeight="1" x14ac:dyDescent="0.25">
      <c r="B12" s="106" t="s">
        <v>115</v>
      </c>
      <c r="C12" s="113">
        <v>0</v>
      </c>
      <c r="D12" s="107">
        <f ca="1">IFERROR(SUMPRODUCT((AGENT_DATABASE!B2:B5000="Agent 7")*(AGENT_DATABASE!F2:F5000="Savings Deposit")*(TEXT(AGENT_DATABASE!A2:A5000,"DD/MM/YYYY")=TEXT(TODAY(),"DD/MM/YYYY"))*AGENT_DATABASE!G2:G5000),0)</f>
        <v>0</v>
      </c>
      <c r="E12" s="118">
        <f t="shared" ca="1" si="0"/>
        <v>0</v>
      </c>
      <c r="F12" s="113">
        <v>0</v>
      </c>
      <c r="G12" s="107">
        <f ca="1">IFERROR(SUMPRODUCT((AGENT_DATABASE!B2:B5000="Agent 7")*(AGENT_DATABASE!F2:F5000="Withdrawal")*(TEXT(AGENT_DATABASE!A2:A5000,"DD/MM/YYYY")=TEXT(TODAY(),"DD/MM/YYYY"))*AGENT_DATABASE!G2:G5000),0)</f>
        <v>0</v>
      </c>
      <c r="H12" s="118">
        <f t="shared" ca="1" si="1"/>
        <v>0</v>
      </c>
      <c r="I12" s="113">
        <v>0</v>
      </c>
      <c r="J12" s="107">
        <f ca="1">IFERROR(SUMPRODUCT((AGENT_DATABASE!B2:B5000="Agent 7")*(AGENT_DATABASE!F2:F5000="Loan Request")*(TEXT(AGENT_DATABASE!A2:A5000,"DD/MM/YYYY")=TEXT(TODAY(),"DD/MM/YYYY"))*AGENT_DATABASE!G2:G5000),0)</f>
        <v>0</v>
      </c>
    </row>
    <row r="13" spans="2:11" ht="20.100000000000001" customHeight="1" x14ac:dyDescent="0.25">
      <c r="B13" s="109" t="s">
        <v>116</v>
      </c>
      <c r="C13" s="113">
        <v>0</v>
      </c>
      <c r="D13" s="110">
        <f ca="1">IFERROR(SUMPRODUCT((AGENT_DATABASE!B2:B5000="Agent 8")*(AGENT_DATABASE!F2:F5000="Savings Deposit")*(TEXT(AGENT_DATABASE!A2:A5000,"DD/MM/YYYY")=TEXT(TODAY(),"DD/MM/YYYY"))*AGENT_DATABASE!G2:G5000),0)</f>
        <v>0</v>
      </c>
      <c r="E13" s="119">
        <f t="shared" ca="1" si="0"/>
        <v>0</v>
      </c>
      <c r="F13" s="113">
        <v>0</v>
      </c>
      <c r="G13" s="110">
        <f ca="1">IFERROR(SUMPRODUCT((AGENT_DATABASE!B2:B5000="Agent 8")*(AGENT_DATABASE!F2:F5000="Withdrawal")*(TEXT(AGENT_DATABASE!A2:A5000,"DD/MM/YYYY")=TEXT(TODAY(),"DD/MM/YYYY"))*AGENT_DATABASE!G2:G5000),0)</f>
        <v>0</v>
      </c>
      <c r="H13" s="119">
        <f t="shared" ca="1" si="1"/>
        <v>0</v>
      </c>
      <c r="I13" s="113">
        <v>0</v>
      </c>
      <c r="J13" s="110">
        <f ca="1">IFERROR(SUMPRODUCT((AGENT_DATABASE!B2:B5000="Agent 8")*(AGENT_DATABASE!F2:F5000="Loan Request")*(TEXT(AGENT_DATABASE!A2:A5000,"DD/MM/YYYY")=TEXT(TODAY(),"DD/MM/YYYY"))*AGENT_DATABASE!G2:G5000),0)</f>
        <v>0</v>
      </c>
    </row>
    <row r="14" spans="2:11" ht="20.100000000000001" customHeight="1" x14ac:dyDescent="0.25">
      <c r="B14" s="106" t="s">
        <v>117</v>
      </c>
      <c r="C14" s="113">
        <v>0</v>
      </c>
      <c r="D14" s="107">
        <f ca="1">IFERROR(SUMPRODUCT((AGENT_DATABASE!B2:B5000="Agent 9")*(AGENT_DATABASE!F2:F5000="Savings Deposit")*(TEXT(AGENT_DATABASE!A2:A5000,"DD/MM/YYYY")=TEXT(TODAY(),"DD/MM/YYYY"))*AGENT_DATABASE!G2:G5000),0)</f>
        <v>0</v>
      </c>
      <c r="E14" s="118">
        <f t="shared" ca="1" si="0"/>
        <v>0</v>
      </c>
      <c r="F14" s="113">
        <v>0</v>
      </c>
      <c r="G14" s="107">
        <f ca="1">IFERROR(SUMPRODUCT((AGENT_DATABASE!B2:B5000="Agent 9")*(AGENT_DATABASE!F2:F5000="Withdrawal")*(TEXT(AGENT_DATABASE!A2:A5000,"DD/MM/YYYY")=TEXT(TODAY(),"DD/MM/YYYY"))*AGENT_DATABASE!G2:G5000),0)</f>
        <v>0</v>
      </c>
      <c r="H14" s="118">
        <f t="shared" ca="1" si="1"/>
        <v>0</v>
      </c>
      <c r="I14" s="113">
        <v>0</v>
      </c>
      <c r="J14" s="107">
        <f ca="1">IFERROR(SUMPRODUCT((AGENT_DATABASE!B2:B5000="Agent 9")*(AGENT_DATABASE!F2:F5000="Loan Request")*(TEXT(AGENT_DATABASE!A2:A5000,"DD/MM/YYYY")=TEXT(TODAY(),"DD/MM/YYYY"))*AGENT_DATABASE!G2:G5000),0)</f>
        <v>0</v>
      </c>
    </row>
    <row r="15" spans="2:11" ht="20.100000000000001" customHeight="1" x14ac:dyDescent="0.25">
      <c r="B15" s="109" t="s">
        <v>118</v>
      </c>
      <c r="C15" s="113">
        <v>0</v>
      </c>
      <c r="D15" s="110">
        <f ca="1">IFERROR(SUMPRODUCT((AGENT_DATABASE!B2:B5000="Agent 10")*(AGENT_DATABASE!F2:F5000="Savings Deposit")*(TEXT(AGENT_DATABASE!A2:A5000,"DD/MM/YYYY")=TEXT(TODAY(),"DD/MM/YYYY"))*AGENT_DATABASE!G2:G5000),0)</f>
        <v>0</v>
      </c>
      <c r="E15" s="119">
        <f t="shared" ca="1" si="0"/>
        <v>0</v>
      </c>
      <c r="F15" s="113">
        <v>0</v>
      </c>
      <c r="G15" s="110">
        <f ca="1">IFERROR(SUMPRODUCT((AGENT_DATABASE!B2:B5000="Agent 10")*(AGENT_DATABASE!F2:F5000="Withdrawal")*(TEXT(AGENT_DATABASE!A2:A5000,"DD/MM/YYYY")=TEXT(TODAY(),"DD/MM/YYYY"))*AGENT_DATABASE!G2:G5000),0)</f>
        <v>0</v>
      </c>
      <c r="H15" s="119">
        <f t="shared" ca="1" si="1"/>
        <v>0</v>
      </c>
      <c r="I15" s="113">
        <v>0</v>
      </c>
      <c r="J15" s="110">
        <f ca="1">IFERROR(SUMPRODUCT((AGENT_DATABASE!B2:B5000="Agent 10")*(AGENT_DATABASE!F2:F5000="Loan Request")*(TEXT(AGENT_DATABASE!A2:A5000,"DD/MM/YYYY")=TEXT(TODAY(),"DD/MM/YYYY"))*AGENT_DATABASE!G2:G5000),0)</f>
        <v>0</v>
      </c>
    </row>
    <row r="16" spans="2:11" ht="21.95" customHeight="1" x14ac:dyDescent="0.25">
      <c r="B16" s="120" t="s">
        <v>128</v>
      </c>
      <c r="C16" s="121">
        <f t="shared" ref="C16:J16" si="2">SUM(C6:C15)</f>
        <v>0</v>
      </c>
      <c r="D16" s="121">
        <f t="shared" ca="1" si="2"/>
        <v>0</v>
      </c>
      <c r="E16" s="121">
        <f t="shared" ca="1" si="2"/>
        <v>0</v>
      </c>
      <c r="F16" s="121">
        <f t="shared" si="2"/>
        <v>0</v>
      </c>
      <c r="G16" s="121">
        <f t="shared" ca="1" si="2"/>
        <v>0</v>
      </c>
      <c r="H16" s="121">
        <f t="shared" ca="1" si="2"/>
        <v>0</v>
      </c>
      <c r="I16" s="121">
        <f t="shared" si="2"/>
        <v>0</v>
      </c>
      <c r="J16" s="121">
        <f t="shared" ca="1" si="2"/>
        <v>0</v>
      </c>
    </row>
    <row r="18" spans="2:10" ht="21.95" customHeight="1" x14ac:dyDescent="0.25">
      <c r="B18" s="154" t="s">
        <v>129</v>
      </c>
      <c r="C18" s="130"/>
      <c r="D18" s="130"/>
      <c r="E18" s="130"/>
      <c r="F18" s="130"/>
      <c r="G18" s="130"/>
      <c r="H18" s="130"/>
      <c r="I18" s="130"/>
      <c r="J18" s="130"/>
    </row>
    <row r="19" spans="2:10" ht="20.100000000000001" customHeight="1" x14ac:dyDescent="0.25">
      <c r="B19" s="122" t="s">
        <v>53</v>
      </c>
      <c r="C19" s="122" t="s">
        <v>130</v>
      </c>
      <c r="D19" s="122" t="s">
        <v>131</v>
      </c>
      <c r="E19" s="122" t="s">
        <v>132</v>
      </c>
      <c r="F19" s="122" t="s">
        <v>133</v>
      </c>
    </row>
    <row r="20" spans="2:10" ht="24.95" customHeight="1" x14ac:dyDescent="0.25">
      <c r="B20" s="106" t="s">
        <v>134</v>
      </c>
      <c r="C20" s="123">
        <f ca="1">E16</f>
        <v>0</v>
      </c>
      <c r="D20" s="123">
        <f ca="1">H16</f>
        <v>0</v>
      </c>
      <c r="E20" s="123">
        <f ca="1">J16-I16</f>
        <v>0</v>
      </c>
      <c r="F20" s="108" t="str">
        <f ca="1">IF(AND(ROUND(C20,2)=0,ROUND(D20,2)=0,ROUND(E20,2)=0),"✅ SESSION BALANCED — SAFE TO CLOSE","🚨 UNBALANCED — CONTINUE RECORDING")</f>
        <v>✅ SESSION BALANCED — SAFE TO CLOSE</v>
      </c>
    </row>
    <row r="22" spans="2:10" ht="21.95" customHeight="1" x14ac:dyDescent="0.25">
      <c r="B22" s="153" t="s">
        <v>135</v>
      </c>
      <c r="C22" s="130"/>
      <c r="D22" s="130"/>
      <c r="E22" s="130"/>
      <c r="F22" s="130"/>
      <c r="G22" s="130"/>
      <c r="H22" s="130"/>
      <c r="I22" s="130"/>
      <c r="J22" s="130"/>
    </row>
    <row r="23" spans="2:10" ht="20.100000000000001" customHeight="1" x14ac:dyDescent="0.25">
      <c r="B23" s="122" t="s">
        <v>136</v>
      </c>
      <c r="C23" s="122" t="s">
        <v>137</v>
      </c>
      <c r="D23" s="122" t="s">
        <v>138</v>
      </c>
      <c r="E23" s="122" t="s">
        <v>139</v>
      </c>
      <c r="F23" s="122" t="s">
        <v>140</v>
      </c>
      <c r="G23" s="122" t="s">
        <v>86</v>
      </c>
    </row>
    <row r="24" spans="2:10" ht="18" customHeight="1" x14ac:dyDescent="0.25">
      <c r="B24" s="124" t="s">
        <v>141</v>
      </c>
      <c r="C24" s="107">
        <f ca="1">IFERROR(SUMPRODUCT((AGENT_DATABASE!A2:A5000&gt;=DATE(YEAR(TODAY()),MONTH(TODAY()),(1-1)*7+1))*(AGENT_DATABASE!A2:A5000&lt;=DATE(YEAR(TODAY()),MONTH(TODAY()),1*7))*(AGENT_DATABASE!F2:F5000="Savings Deposit")*AGENT_DATABASE!G2:G5000),0)</f>
        <v>0</v>
      </c>
      <c r="D24" s="107">
        <f ca="1">IFERROR(SUMPRODUCT((AGENT_DATABASE!A2:A5000&gt;=DATE(YEAR(TODAY()),MONTH(TODAY()),(1-1)*7+1))*(AGENT_DATABASE!A2:A5000&lt;=DATE(YEAR(TODAY()),MONTH(TODAY()),1*7))*(AGENT_DATABASE!F2:F5000="Withdrawal")*AGENT_DATABASE!G2:G5000),0)</f>
        <v>0</v>
      </c>
      <c r="E24" s="107">
        <f ca="1">IFERROR(SUMPRODUCT((AGENT_DATABASE!A2:A5000&gt;=DATE(YEAR(TODAY()),MONTH(TODAY()),(1-1)*7+1))*(AGENT_DATABASE!A2:A5000&lt;=DATE(YEAR(TODAY()),MONTH(TODAY()),1*7))*(AGENT_DATABASE!F2:F5000="Loan Request")*AGENT_DATABASE!G2:G5000),0)</f>
        <v>0</v>
      </c>
      <c r="F24" s="107">
        <f ca="1">C24-D24-E24</f>
        <v>0</v>
      </c>
      <c r="G24" s="107">
        <f ca="1">IFERROR(SUMPRODUCT((AGENT_DATABASE!A2:A5000&gt;=DATE(YEAR(TODAY()),MONTH(TODAY()),(1-1)*7+1))*(AGENT_DATABASE!A2:A5000&lt;=DATE(YEAR(TODAY()),MONTH(TODAY()),1*7))*1),0)</f>
        <v>0</v>
      </c>
    </row>
    <row r="25" spans="2:10" ht="18" customHeight="1" x14ac:dyDescent="0.25">
      <c r="B25" s="125" t="s">
        <v>142</v>
      </c>
      <c r="C25" s="110">
        <f ca="1">IFERROR(SUMPRODUCT((AGENT_DATABASE!A2:A5000&gt;=DATE(YEAR(TODAY()),MONTH(TODAY()),(2-1)*7+1))*(AGENT_DATABASE!A2:A5000&lt;=DATE(YEAR(TODAY()),MONTH(TODAY()),2*7))*(AGENT_DATABASE!F2:F5000="Savings Deposit")*AGENT_DATABASE!G2:G5000),0)</f>
        <v>0</v>
      </c>
      <c r="D25" s="110">
        <f ca="1">IFERROR(SUMPRODUCT((AGENT_DATABASE!A2:A5000&gt;=DATE(YEAR(TODAY()),MONTH(TODAY()),(2-1)*7+1))*(AGENT_DATABASE!A2:A5000&lt;=DATE(YEAR(TODAY()),MONTH(TODAY()),2*7))*(AGENT_DATABASE!F2:F5000="Withdrawal")*AGENT_DATABASE!G2:G5000),0)</f>
        <v>0</v>
      </c>
      <c r="E25" s="110">
        <f ca="1">IFERROR(SUMPRODUCT((AGENT_DATABASE!A2:A5000&gt;=DATE(YEAR(TODAY()),MONTH(TODAY()),(2-1)*7+1))*(AGENT_DATABASE!A2:A5000&lt;=DATE(YEAR(TODAY()),MONTH(TODAY()),2*7))*(AGENT_DATABASE!F2:F5000="Loan Request")*AGENT_DATABASE!G2:G5000),0)</f>
        <v>0</v>
      </c>
      <c r="F25" s="110">
        <f ca="1">C25-D25-E25</f>
        <v>0</v>
      </c>
      <c r="G25" s="110">
        <f ca="1">IFERROR(SUMPRODUCT((AGENT_DATABASE!A2:A5000&gt;=DATE(YEAR(TODAY()),MONTH(TODAY()),(2-1)*7+1))*(AGENT_DATABASE!A2:A5000&lt;=DATE(YEAR(TODAY()),MONTH(TODAY()),2*7))*1),0)</f>
        <v>0</v>
      </c>
    </row>
    <row r="26" spans="2:10" ht="18" customHeight="1" x14ac:dyDescent="0.25">
      <c r="B26" s="124" t="s">
        <v>143</v>
      </c>
      <c r="C26" s="107">
        <f ca="1">IFERROR(SUMPRODUCT((AGENT_DATABASE!A2:A5000&gt;=DATE(YEAR(TODAY()),MONTH(TODAY()),(3-1)*7+1))*(AGENT_DATABASE!A2:A5000&lt;=DATE(YEAR(TODAY()),MONTH(TODAY()),3*7))*(AGENT_DATABASE!F2:F5000="Savings Deposit")*AGENT_DATABASE!G2:G5000),0)</f>
        <v>0</v>
      </c>
      <c r="D26" s="107">
        <f ca="1">IFERROR(SUMPRODUCT((AGENT_DATABASE!A2:A5000&gt;=DATE(YEAR(TODAY()),MONTH(TODAY()),(3-1)*7+1))*(AGENT_DATABASE!A2:A5000&lt;=DATE(YEAR(TODAY()),MONTH(TODAY()),3*7))*(AGENT_DATABASE!F2:F5000="Withdrawal")*AGENT_DATABASE!G2:G5000),0)</f>
        <v>0</v>
      </c>
      <c r="E26" s="107">
        <f ca="1">IFERROR(SUMPRODUCT((AGENT_DATABASE!A2:A5000&gt;=DATE(YEAR(TODAY()),MONTH(TODAY()),(3-1)*7+1))*(AGENT_DATABASE!A2:A5000&lt;=DATE(YEAR(TODAY()),MONTH(TODAY()),3*7))*(AGENT_DATABASE!F2:F5000="Loan Request")*AGENT_DATABASE!G2:G5000),0)</f>
        <v>0</v>
      </c>
      <c r="F26" s="107">
        <f ca="1">C26-D26-E26</f>
        <v>0</v>
      </c>
      <c r="G26" s="107">
        <f ca="1">IFERROR(SUMPRODUCT((AGENT_DATABASE!A2:A5000&gt;=DATE(YEAR(TODAY()),MONTH(TODAY()),(3-1)*7+1))*(AGENT_DATABASE!A2:A5000&lt;=DATE(YEAR(TODAY()),MONTH(TODAY()),3*7))*1),0)</f>
        <v>0</v>
      </c>
    </row>
    <row r="27" spans="2:10" ht="18" customHeight="1" x14ac:dyDescent="0.25">
      <c r="B27" s="125" t="s">
        <v>144</v>
      </c>
      <c r="C27" s="110">
        <f ca="1">IFERROR(SUMPRODUCT((AGENT_DATABASE!A2:A5000&gt;=DATE(YEAR(TODAY()),MONTH(TODAY()),(4-1)*7+1))*(AGENT_DATABASE!A2:A5000&lt;=DATE(YEAR(TODAY()),MONTH(TODAY()),4*7))*(AGENT_DATABASE!F2:F5000="Savings Deposit")*AGENT_DATABASE!G2:G5000),0)</f>
        <v>0</v>
      </c>
      <c r="D27" s="110">
        <f ca="1">IFERROR(SUMPRODUCT((AGENT_DATABASE!A2:A5000&gt;=DATE(YEAR(TODAY()),MONTH(TODAY()),(4-1)*7+1))*(AGENT_DATABASE!A2:A5000&lt;=DATE(YEAR(TODAY()),MONTH(TODAY()),4*7))*(AGENT_DATABASE!F2:F5000="Withdrawal")*AGENT_DATABASE!G2:G5000),0)</f>
        <v>0</v>
      </c>
      <c r="E27" s="110">
        <f ca="1">IFERROR(SUMPRODUCT((AGENT_DATABASE!A2:A5000&gt;=DATE(YEAR(TODAY()),MONTH(TODAY()),(4-1)*7+1))*(AGENT_DATABASE!A2:A5000&lt;=DATE(YEAR(TODAY()),MONTH(TODAY()),4*7))*(AGENT_DATABASE!F2:F5000="Loan Request")*AGENT_DATABASE!G2:G5000),0)</f>
        <v>0</v>
      </c>
      <c r="F27" s="110">
        <f ca="1">C27-D27-E27</f>
        <v>0</v>
      </c>
      <c r="G27" s="110">
        <f ca="1">IFERROR(SUMPRODUCT((AGENT_DATABASE!A2:A5000&gt;=DATE(YEAR(TODAY()),MONTH(TODAY()),(4-1)*7+1))*(AGENT_DATABASE!A2:A5000&lt;=DATE(YEAR(TODAY()),MONTH(TODAY()),4*7))*1),0)</f>
        <v>0</v>
      </c>
    </row>
    <row r="28" spans="2:10" ht="21.95" customHeight="1" x14ac:dyDescent="0.25">
      <c r="B28" s="126" t="s">
        <v>145</v>
      </c>
      <c r="C28" s="121">
        <f ca="1">SUM(C24:C27)</f>
        <v>0</v>
      </c>
      <c r="D28" s="121">
        <f ca="1">SUM(D24:D27)</f>
        <v>0</v>
      </c>
      <c r="E28" s="121">
        <f ca="1">SUM(E24:E27)</f>
        <v>0</v>
      </c>
      <c r="F28" s="121">
        <f ca="1">SUM(F24:F27)</f>
        <v>0</v>
      </c>
      <c r="G28" s="121">
        <f ca="1">SUM(G24:G27)</f>
        <v>0</v>
      </c>
    </row>
    <row r="30" spans="2:10" ht="21.95" customHeight="1" x14ac:dyDescent="0.25">
      <c r="B30" s="157" t="s">
        <v>146</v>
      </c>
      <c r="C30" s="130"/>
      <c r="D30" s="130"/>
      <c r="E30" s="130"/>
      <c r="F30" s="130"/>
      <c r="G30" s="130"/>
      <c r="H30" s="130"/>
      <c r="I30" s="130"/>
      <c r="J30" s="130"/>
    </row>
    <row r="31" spans="2:10" ht="20.100000000000001" customHeight="1" x14ac:dyDescent="0.25">
      <c r="B31" s="122" t="s">
        <v>147</v>
      </c>
      <c r="C31" s="122" t="s">
        <v>137</v>
      </c>
      <c r="D31" s="122" t="s">
        <v>138</v>
      </c>
      <c r="E31" s="122" t="s">
        <v>139</v>
      </c>
      <c r="F31" s="122" t="s">
        <v>140</v>
      </c>
      <c r="G31" s="122" t="s">
        <v>86</v>
      </c>
    </row>
    <row r="32" spans="2:10" ht="18" customHeight="1" x14ac:dyDescent="0.25">
      <c r="B32" s="106" t="s">
        <v>148</v>
      </c>
      <c r="C32" s="107">
        <f ca="1">IFERROR(SUMPRODUCT((MONTH(AGENT_DATABASE!A2:A5000)=1)*(YEAR(AGENT_DATABASE!A2:A5000)=YEAR(TODAY()))*(AGENT_DATABASE!F2:F5000="Savings Deposit")*AGENT_DATABASE!G2:G5000),0)</f>
        <v>0</v>
      </c>
      <c r="D32" s="107">
        <f ca="1">IFERROR(SUMPRODUCT((MONTH(AGENT_DATABASE!A2:A5000)=1)*(YEAR(AGENT_DATABASE!A2:A5000)=YEAR(TODAY()))*(AGENT_DATABASE!F2:F5000="Withdrawal")*AGENT_DATABASE!G2:G5000),0)</f>
        <v>0</v>
      </c>
      <c r="E32" s="107">
        <f ca="1">IFERROR(SUMPRODUCT((MONTH(AGENT_DATABASE!A2:A5000)=1)*(YEAR(AGENT_DATABASE!A2:A5000)=YEAR(TODAY()))*(AGENT_DATABASE!F2:F5000="Loan Request")*AGENT_DATABASE!G2:G5000),0)</f>
        <v>0</v>
      </c>
      <c r="F32" s="107">
        <f t="shared" ref="F32:F43" ca="1" si="3">C32-D32-E32</f>
        <v>0</v>
      </c>
      <c r="G32" s="107">
        <f ca="1">IFERROR(SUMPRODUCT((MONTH(AGENT_DATABASE!A2:A5000)=1)*(YEAR(AGENT_DATABASE!A2:A5000)=YEAR(TODAY()))*1),0)</f>
        <v>0</v>
      </c>
    </row>
    <row r="33" spans="2:7" ht="18" customHeight="1" x14ac:dyDescent="0.25">
      <c r="B33" s="109" t="s">
        <v>149</v>
      </c>
      <c r="C33" s="110">
        <f ca="1">IFERROR(SUMPRODUCT((MONTH(AGENT_DATABASE!A2:A5000)=2)*(YEAR(AGENT_DATABASE!A2:A5000)=YEAR(TODAY()))*(AGENT_DATABASE!F2:F5000="Savings Deposit")*AGENT_DATABASE!G2:G5000),0)</f>
        <v>0</v>
      </c>
      <c r="D33" s="110">
        <f ca="1">IFERROR(SUMPRODUCT((MONTH(AGENT_DATABASE!A2:A5000)=2)*(YEAR(AGENT_DATABASE!A2:A5000)=YEAR(TODAY()))*(AGENT_DATABASE!F2:F5000="Withdrawal")*AGENT_DATABASE!G2:G5000),0)</f>
        <v>0</v>
      </c>
      <c r="E33" s="110">
        <f ca="1">IFERROR(SUMPRODUCT((MONTH(AGENT_DATABASE!A2:A5000)=2)*(YEAR(AGENT_DATABASE!A2:A5000)=YEAR(TODAY()))*(AGENT_DATABASE!F2:F5000="Loan Request")*AGENT_DATABASE!G2:G5000),0)</f>
        <v>0</v>
      </c>
      <c r="F33" s="110">
        <f t="shared" ca="1" si="3"/>
        <v>0</v>
      </c>
      <c r="G33" s="110">
        <f ca="1">IFERROR(SUMPRODUCT((MONTH(AGENT_DATABASE!A2:A5000)=2)*(YEAR(AGENT_DATABASE!A2:A5000)=YEAR(TODAY()))*1),0)</f>
        <v>0</v>
      </c>
    </row>
    <row r="34" spans="2:7" ht="18" customHeight="1" x14ac:dyDescent="0.25">
      <c r="B34" s="106" t="s">
        <v>150</v>
      </c>
      <c r="C34" s="107">
        <f ca="1">IFERROR(SUMPRODUCT((MONTH(AGENT_DATABASE!A2:A5000)=3)*(YEAR(AGENT_DATABASE!A2:A5000)=YEAR(TODAY()))*(AGENT_DATABASE!F2:F5000="Savings Deposit")*AGENT_DATABASE!G2:G5000),0)</f>
        <v>0</v>
      </c>
      <c r="D34" s="107">
        <f ca="1">IFERROR(SUMPRODUCT((MONTH(AGENT_DATABASE!A2:A5000)=3)*(YEAR(AGENT_DATABASE!A2:A5000)=YEAR(TODAY()))*(AGENT_DATABASE!F2:F5000="Withdrawal")*AGENT_DATABASE!G2:G5000),0)</f>
        <v>0</v>
      </c>
      <c r="E34" s="107">
        <f ca="1">IFERROR(SUMPRODUCT((MONTH(AGENT_DATABASE!A2:A5000)=3)*(YEAR(AGENT_DATABASE!A2:A5000)=YEAR(TODAY()))*(AGENT_DATABASE!F2:F5000="Loan Request")*AGENT_DATABASE!G2:G5000),0)</f>
        <v>0</v>
      </c>
      <c r="F34" s="107">
        <f t="shared" ca="1" si="3"/>
        <v>0</v>
      </c>
      <c r="G34" s="107">
        <f ca="1">IFERROR(SUMPRODUCT((MONTH(AGENT_DATABASE!A2:A5000)=3)*(YEAR(AGENT_DATABASE!A2:A5000)=YEAR(TODAY()))*1),0)</f>
        <v>0</v>
      </c>
    </row>
    <row r="35" spans="2:7" ht="18" customHeight="1" x14ac:dyDescent="0.25">
      <c r="B35" s="109" t="s">
        <v>151</v>
      </c>
      <c r="C35" s="110">
        <f ca="1">IFERROR(SUMPRODUCT((MONTH(AGENT_DATABASE!A2:A5000)=4)*(YEAR(AGENT_DATABASE!A2:A5000)=YEAR(TODAY()))*(AGENT_DATABASE!F2:F5000="Savings Deposit")*AGENT_DATABASE!G2:G5000),0)</f>
        <v>0</v>
      </c>
      <c r="D35" s="110">
        <f ca="1">IFERROR(SUMPRODUCT((MONTH(AGENT_DATABASE!A2:A5000)=4)*(YEAR(AGENT_DATABASE!A2:A5000)=YEAR(TODAY()))*(AGENT_DATABASE!F2:F5000="Withdrawal")*AGENT_DATABASE!G2:G5000),0)</f>
        <v>0</v>
      </c>
      <c r="E35" s="110">
        <f ca="1">IFERROR(SUMPRODUCT((MONTH(AGENT_DATABASE!A2:A5000)=4)*(YEAR(AGENT_DATABASE!A2:A5000)=YEAR(TODAY()))*(AGENT_DATABASE!F2:F5000="Loan Request")*AGENT_DATABASE!G2:G5000),0)</f>
        <v>0</v>
      </c>
      <c r="F35" s="110">
        <f t="shared" ca="1" si="3"/>
        <v>0</v>
      </c>
      <c r="G35" s="110">
        <f ca="1">IFERROR(SUMPRODUCT((MONTH(AGENT_DATABASE!A2:A5000)=4)*(YEAR(AGENT_DATABASE!A2:A5000)=YEAR(TODAY()))*1),0)</f>
        <v>0</v>
      </c>
    </row>
    <row r="36" spans="2:7" ht="18" customHeight="1" x14ac:dyDescent="0.25">
      <c r="B36" s="106" t="s">
        <v>152</v>
      </c>
      <c r="C36" s="107">
        <f ca="1">IFERROR(SUMPRODUCT((MONTH(AGENT_DATABASE!A2:A5000)=5)*(YEAR(AGENT_DATABASE!A2:A5000)=YEAR(TODAY()))*(AGENT_DATABASE!F2:F5000="Savings Deposit")*AGENT_DATABASE!G2:G5000),0)</f>
        <v>0</v>
      </c>
      <c r="D36" s="107">
        <f ca="1">IFERROR(SUMPRODUCT((MONTH(AGENT_DATABASE!A2:A5000)=5)*(YEAR(AGENT_DATABASE!A2:A5000)=YEAR(TODAY()))*(AGENT_DATABASE!F2:F5000="Withdrawal")*AGENT_DATABASE!G2:G5000),0)</f>
        <v>0</v>
      </c>
      <c r="E36" s="107">
        <f ca="1">IFERROR(SUMPRODUCT((MONTH(AGENT_DATABASE!A2:A5000)=5)*(YEAR(AGENT_DATABASE!A2:A5000)=YEAR(TODAY()))*(AGENT_DATABASE!F2:F5000="Loan Request")*AGENT_DATABASE!G2:G5000),0)</f>
        <v>0</v>
      </c>
      <c r="F36" s="107">
        <f t="shared" ca="1" si="3"/>
        <v>0</v>
      </c>
      <c r="G36" s="107">
        <f ca="1">IFERROR(SUMPRODUCT((MONTH(AGENT_DATABASE!A2:A5000)=5)*(YEAR(AGENT_DATABASE!A2:A5000)=YEAR(TODAY()))*1),0)</f>
        <v>0</v>
      </c>
    </row>
    <row r="37" spans="2:7" ht="18" customHeight="1" x14ac:dyDescent="0.25">
      <c r="B37" s="109" t="s">
        <v>153</v>
      </c>
      <c r="C37" s="110">
        <f ca="1">IFERROR(SUMPRODUCT((MONTH(AGENT_DATABASE!A2:A5000)=6)*(YEAR(AGENT_DATABASE!A2:A5000)=YEAR(TODAY()))*(AGENT_DATABASE!F2:F5000="Savings Deposit")*AGENT_DATABASE!G2:G5000),0)</f>
        <v>0</v>
      </c>
      <c r="D37" s="110">
        <f ca="1">IFERROR(SUMPRODUCT((MONTH(AGENT_DATABASE!A2:A5000)=6)*(YEAR(AGENT_DATABASE!A2:A5000)=YEAR(TODAY()))*(AGENT_DATABASE!F2:F5000="Withdrawal")*AGENT_DATABASE!G2:G5000),0)</f>
        <v>0</v>
      </c>
      <c r="E37" s="110">
        <f ca="1">IFERROR(SUMPRODUCT((MONTH(AGENT_DATABASE!A2:A5000)=6)*(YEAR(AGENT_DATABASE!A2:A5000)=YEAR(TODAY()))*(AGENT_DATABASE!F2:F5000="Loan Request")*AGENT_DATABASE!G2:G5000),0)</f>
        <v>0</v>
      </c>
      <c r="F37" s="110">
        <f t="shared" ca="1" si="3"/>
        <v>0</v>
      </c>
      <c r="G37" s="110">
        <f ca="1">IFERROR(SUMPRODUCT((MONTH(AGENT_DATABASE!A2:A5000)=6)*(YEAR(AGENT_DATABASE!A2:A5000)=YEAR(TODAY()))*1),0)</f>
        <v>0</v>
      </c>
    </row>
    <row r="38" spans="2:7" ht="18" customHeight="1" x14ac:dyDescent="0.25">
      <c r="B38" s="106" t="s">
        <v>154</v>
      </c>
      <c r="C38" s="107">
        <f ca="1">IFERROR(SUMPRODUCT((MONTH(AGENT_DATABASE!A2:A5000)=7)*(YEAR(AGENT_DATABASE!A2:A5000)=YEAR(TODAY()))*(AGENT_DATABASE!F2:F5000="Savings Deposit")*AGENT_DATABASE!G2:G5000),0)</f>
        <v>0</v>
      </c>
      <c r="D38" s="107">
        <f ca="1">IFERROR(SUMPRODUCT((MONTH(AGENT_DATABASE!A2:A5000)=7)*(YEAR(AGENT_DATABASE!A2:A5000)=YEAR(TODAY()))*(AGENT_DATABASE!F2:F5000="Withdrawal")*AGENT_DATABASE!G2:G5000),0)</f>
        <v>0</v>
      </c>
      <c r="E38" s="107">
        <f ca="1">IFERROR(SUMPRODUCT((MONTH(AGENT_DATABASE!A2:A5000)=7)*(YEAR(AGENT_DATABASE!A2:A5000)=YEAR(TODAY()))*(AGENT_DATABASE!F2:F5000="Loan Request")*AGENT_DATABASE!G2:G5000),0)</f>
        <v>0</v>
      </c>
      <c r="F38" s="107">
        <f t="shared" ca="1" si="3"/>
        <v>0</v>
      </c>
      <c r="G38" s="107">
        <f ca="1">IFERROR(SUMPRODUCT((MONTH(AGENT_DATABASE!A2:A5000)=7)*(YEAR(AGENT_DATABASE!A2:A5000)=YEAR(TODAY()))*1),0)</f>
        <v>0</v>
      </c>
    </row>
    <row r="39" spans="2:7" ht="18" customHeight="1" x14ac:dyDescent="0.25">
      <c r="B39" s="109" t="s">
        <v>155</v>
      </c>
      <c r="C39" s="110">
        <f ca="1">IFERROR(SUMPRODUCT((MONTH(AGENT_DATABASE!A2:A5000)=8)*(YEAR(AGENT_DATABASE!A2:A5000)=YEAR(TODAY()))*(AGENT_DATABASE!F2:F5000="Savings Deposit")*AGENT_DATABASE!G2:G5000),0)</f>
        <v>0</v>
      </c>
      <c r="D39" s="110">
        <f ca="1">IFERROR(SUMPRODUCT((MONTH(AGENT_DATABASE!A2:A5000)=8)*(YEAR(AGENT_DATABASE!A2:A5000)=YEAR(TODAY()))*(AGENT_DATABASE!F2:F5000="Withdrawal")*AGENT_DATABASE!G2:G5000),0)</f>
        <v>0</v>
      </c>
      <c r="E39" s="110">
        <f ca="1">IFERROR(SUMPRODUCT((MONTH(AGENT_DATABASE!A2:A5000)=8)*(YEAR(AGENT_DATABASE!A2:A5000)=YEAR(TODAY()))*(AGENT_DATABASE!F2:F5000="Loan Request")*AGENT_DATABASE!G2:G5000),0)</f>
        <v>0</v>
      </c>
      <c r="F39" s="110">
        <f t="shared" ca="1" si="3"/>
        <v>0</v>
      </c>
      <c r="G39" s="110">
        <f ca="1">IFERROR(SUMPRODUCT((MONTH(AGENT_DATABASE!A2:A5000)=8)*(YEAR(AGENT_DATABASE!A2:A5000)=YEAR(TODAY()))*1),0)</f>
        <v>0</v>
      </c>
    </row>
    <row r="40" spans="2:7" ht="18" customHeight="1" x14ac:dyDescent="0.25">
      <c r="B40" s="106" t="s">
        <v>156</v>
      </c>
      <c r="C40" s="107">
        <f ca="1">IFERROR(SUMPRODUCT((MONTH(AGENT_DATABASE!A2:A5000)=9)*(YEAR(AGENT_DATABASE!A2:A5000)=YEAR(TODAY()))*(AGENT_DATABASE!F2:F5000="Savings Deposit")*AGENT_DATABASE!G2:G5000),0)</f>
        <v>0</v>
      </c>
      <c r="D40" s="107">
        <f ca="1">IFERROR(SUMPRODUCT((MONTH(AGENT_DATABASE!A2:A5000)=9)*(YEAR(AGENT_DATABASE!A2:A5000)=YEAR(TODAY()))*(AGENT_DATABASE!F2:F5000="Withdrawal")*AGENT_DATABASE!G2:G5000),0)</f>
        <v>0</v>
      </c>
      <c r="E40" s="107">
        <f ca="1">IFERROR(SUMPRODUCT((MONTH(AGENT_DATABASE!A2:A5000)=9)*(YEAR(AGENT_DATABASE!A2:A5000)=YEAR(TODAY()))*(AGENT_DATABASE!F2:F5000="Loan Request")*AGENT_DATABASE!G2:G5000),0)</f>
        <v>0</v>
      </c>
      <c r="F40" s="107">
        <f t="shared" ca="1" si="3"/>
        <v>0</v>
      </c>
      <c r="G40" s="107">
        <f ca="1">IFERROR(SUMPRODUCT((MONTH(AGENT_DATABASE!A2:A5000)=9)*(YEAR(AGENT_DATABASE!A2:A5000)=YEAR(TODAY()))*1),0)</f>
        <v>0</v>
      </c>
    </row>
    <row r="41" spans="2:7" ht="18" customHeight="1" x14ac:dyDescent="0.25">
      <c r="B41" s="109" t="s">
        <v>157</v>
      </c>
      <c r="C41" s="110">
        <f ca="1">IFERROR(SUMPRODUCT((MONTH(AGENT_DATABASE!A2:A5000)=10)*(YEAR(AGENT_DATABASE!A2:A5000)=YEAR(TODAY()))*(AGENT_DATABASE!F2:F5000="Savings Deposit")*AGENT_DATABASE!G2:G5000),0)</f>
        <v>0</v>
      </c>
      <c r="D41" s="110">
        <f ca="1">IFERROR(SUMPRODUCT((MONTH(AGENT_DATABASE!A2:A5000)=10)*(YEAR(AGENT_DATABASE!A2:A5000)=YEAR(TODAY()))*(AGENT_DATABASE!F2:F5000="Withdrawal")*AGENT_DATABASE!G2:G5000),0)</f>
        <v>0</v>
      </c>
      <c r="E41" s="110">
        <f ca="1">IFERROR(SUMPRODUCT((MONTH(AGENT_DATABASE!A2:A5000)=10)*(YEAR(AGENT_DATABASE!A2:A5000)=YEAR(TODAY()))*(AGENT_DATABASE!F2:F5000="Loan Request")*AGENT_DATABASE!G2:G5000),0)</f>
        <v>0</v>
      </c>
      <c r="F41" s="110">
        <f t="shared" ca="1" si="3"/>
        <v>0</v>
      </c>
      <c r="G41" s="110">
        <f ca="1">IFERROR(SUMPRODUCT((MONTH(AGENT_DATABASE!A2:A5000)=10)*(YEAR(AGENT_DATABASE!A2:A5000)=YEAR(TODAY()))*1),0)</f>
        <v>0</v>
      </c>
    </row>
    <row r="42" spans="2:7" ht="18" customHeight="1" x14ac:dyDescent="0.25">
      <c r="B42" s="106" t="s">
        <v>158</v>
      </c>
      <c r="C42" s="107">
        <f ca="1">IFERROR(SUMPRODUCT((MONTH(AGENT_DATABASE!A2:A5000)=11)*(YEAR(AGENT_DATABASE!A2:A5000)=YEAR(TODAY()))*(AGENT_DATABASE!F2:F5000="Savings Deposit")*AGENT_DATABASE!G2:G5000),0)</f>
        <v>0</v>
      </c>
      <c r="D42" s="107">
        <f ca="1">IFERROR(SUMPRODUCT((MONTH(AGENT_DATABASE!A2:A5000)=11)*(YEAR(AGENT_DATABASE!A2:A5000)=YEAR(TODAY()))*(AGENT_DATABASE!F2:F5000="Withdrawal")*AGENT_DATABASE!G2:G5000),0)</f>
        <v>0</v>
      </c>
      <c r="E42" s="107">
        <f ca="1">IFERROR(SUMPRODUCT((MONTH(AGENT_DATABASE!A2:A5000)=11)*(YEAR(AGENT_DATABASE!A2:A5000)=YEAR(TODAY()))*(AGENT_DATABASE!F2:F5000="Loan Request")*AGENT_DATABASE!G2:G5000),0)</f>
        <v>0</v>
      </c>
      <c r="F42" s="107">
        <f t="shared" ca="1" si="3"/>
        <v>0</v>
      </c>
      <c r="G42" s="107">
        <f ca="1">IFERROR(SUMPRODUCT((MONTH(AGENT_DATABASE!A2:A5000)=11)*(YEAR(AGENT_DATABASE!A2:A5000)=YEAR(TODAY()))*1),0)</f>
        <v>0</v>
      </c>
    </row>
    <row r="43" spans="2:7" ht="18" customHeight="1" x14ac:dyDescent="0.25">
      <c r="B43" s="109" t="s">
        <v>159</v>
      </c>
      <c r="C43" s="110">
        <f ca="1">IFERROR(SUMPRODUCT((MONTH(AGENT_DATABASE!A2:A5000)=12)*(YEAR(AGENT_DATABASE!A2:A5000)=YEAR(TODAY()))*(AGENT_DATABASE!F2:F5000="Savings Deposit")*AGENT_DATABASE!G2:G5000),0)</f>
        <v>0</v>
      </c>
      <c r="D43" s="110">
        <f ca="1">IFERROR(SUMPRODUCT((MONTH(AGENT_DATABASE!A2:A5000)=12)*(YEAR(AGENT_DATABASE!A2:A5000)=YEAR(TODAY()))*(AGENT_DATABASE!F2:F5000="Withdrawal")*AGENT_DATABASE!G2:G5000),0)</f>
        <v>0</v>
      </c>
      <c r="E43" s="110">
        <f ca="1">IFERROR(SUMPRODUCT((MONTH(AGENT_DATABASE!A2:A5000)=12)*(YEAR(AGENT_DATABASE!A2:A5000)=YEAR(TODAY()))*(AGENT_DATABASE!F2:F5000="Loan Request")*AGENT_DATABASE!G2:G5000),0)</f>
        <v>0</v>
      </c>
      <c r="F43" s="110">
        <f t="shared" ca="1" si="3"/>
        <v>0</v>
      </c>
      <c r="G43" s="110">
        <f ca="1">IFERROR(SUMPRODUCT((MONTH(AGENT_DATABASE!A2:A5000)=12)*(YEAR(AGENT_DATABASE!A2:A5000)=YEAR(TODAY()))*1),0)</f>
        <v>0</v>
      </c>
    </row>
    <row r="44" spans="2:7" ht="21.95" customHeight="1" x14ac:dyDescent="0.25">
      <c r="B44" s="127" t="s">
        <v>160</v>
      </c>
      <c r="C44" s="128">
        <f ca="1">SUM(C32:C43)</f>
        <v>0</v>
      </c>
      <c r="D44" s="128">
        <f ca="1">SUM(D32:D43)</f>
        <v>0</v>
      </c>
      <c r="E44" s="128">
        <f ca="1">SUM(E32:E43)</f>
        <v>0</v>
      </c>
      <c r="F44" s="128">
        <f ca="1">SUM(F32:F43)</f>
        <v>0</v>
      </c>
      <c r="G44" s="128">
        <f ca="1">SUM(G32:G43)</f>
        <v>0</v>
      </c>
    </row>
  </sheetData>
  <mergeCells count="7">
    <mergeCell ref="B30:J30"/>
    <mergeCell ref="F2:J2"/>
    <mergeCell ref="B22:J22"/>
    <mergeCell ref="B18:J18"/>
    <mergeCell ref="B1:J1"/>
    <mergeCell ref="B4:J4"/>
    <mergeCell ref="B2:E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1E6B3A"/>
  </sheetPr>
  <dimension ref="A1:L60"/>
  <sheetViews>
    <sheetView tabSelected="1" topLeftCell="B1" workbookViewId="0">
      <pane ySplit="2" topLeftCell="A5" activePane="bottomLeft" state="frozen"/>
      <selection pane="bottomLeft" activeCell="C9" sqref="C9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v>3000</v>
      </c>
      <c r="C6" s="132"/>
      <c r="D6" s="135">
        <f ca="1">SUMPRODUCT((AGENT_DATABASE!B2:B5000="Agent 1")*(AGENT_DATABASE!F2:F5000="Loan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1")*(AGENT_DATABASE!F2:F5000="Withdrawal")*(TEXT(AGENT_DATABASE!A2:A5000,"DD/MM/YYYY")=TEXT(TODAY(),"DD/MM/YYYY"))*AGENT_DATABASE!G2:G5000)</f>
        <v>0</v>
      </c>
      <c r="G6" s="132"/>
      <c r="H6" s="135">
        <f ca="1">IFERROR(B6-F6-D6,0)</f>
        <v>3000</v>
      </c>
      <c r="I6" s="132"/>
      <c r="J6" s="136">
        <f ca="1">SUMPRODUCT((AGENT_DATABASE!B2:B5000="Agent 1")*(TEXT(AGENT_DATABASE!A2:A5000,"DD/MM/YYYY")=TEXT(TODAY(),"DD/MM/YYYY"))*1)</f>
        <v>0</v>
      </c>
      <c r="K6" s="132"/>
    </row>
    <row r="7" spans="1:12" ht="27.95" customHeight="1" x14ac:dyDescent="0.25">
      <c r="A7" s="129" t="s">
        <v>9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1")*(AGENT_DATABASE!F2:F5000="Savings Deposit")*(TEXT(AGENT_DATABASE!A2:A5000,"DD/MM/YYYY")=TEXT(TODAY(),"DD/MM/YYYY"))*AGENT_DATABASE!G2:G5000),2)=0,ROUND(E9-SUMPRODUCT((AGENT_DATABASE!B2:B5000="Agent 1")*(AGENT_DATABASE!F2:F5000="Withdrawal")*(TEXT(AGENT_DATABASE!A2:A5000,"DD/MM/YYYY")=TEXT(TODAY(),"DD/MM/YYYY"))*AGENT_DATABASE!G2:G5000),2)=0,ROUND(G9-SUMPRODUCT((AGENT_DATABASE!B2:B5000="Agent 1")*(AGENT_DATABASE!F2:F5000="Loan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1")*1,0)+0),"")</f>
        <v/>
      </c>
      <c r="C24" s="89" t="str">
        <f>IFERROR(INDEX(AGENT_DATABASE!C:C,MATCH(1,(AGENT_DATABASE!B2:B5000="Agent 1")*1,0)+0),"")</f>
        <v/>
      </c>
      <c r="D24" s="89" t="str">
        <f>IFERROR(INDEX(AGENT_DATABASE!D:D,MATCH(1,(AGENT_DATABASE!B2:B5000="Agent 1")*1,0)+0),"")</f>
        <v/>
      </c>
      <c r="E24" s="89" t="str">
        <f>IFERROR(INDEX(AGENT_DATABASE!F:F,MATCH(1,(AGENT_DATABASE!B2:B5000="Agent 1")*1,0)+0),"")</f>
        <v/>
      </c>
      <c r="F24" s="90" t="str">
        <f>IFERROR(INDEX(AGENT_DATABASE!G:G,MATCH(1,(AGENT_DATABASE!B2:B5000="Agent 1")*1,0)+0),"")</f>
        <v/>
      </c>
      <c r="G24" s="91" t="str">
        <f>IFERROR(INDEX(AGENT_DATABASE!H:H,MATCH(1,(AGENT_DATABASE!B2:B5000="Agent 1")*1,0)+0),"")</f>
        <v/>
      </c>
      <c r="H24" s="90" t="str">
        <f>IFERROR(INDEX(AGENT_DATABASE!I:I,MATCH(1,(AGENT_DATABASE!B2:B5000="Agent 1")*1,0)+0),"")</f>
        <v/>
      </c>
      <c r="I24" s="87" t="str">
        <f>IFERROR(INDEX(AGENT_DATABASE!J:J,MATCH(1,(AGENT_DATABASE!B2:B5000="Agent 1")*1,0)+0),"")</f>
        <v/>
      </c>
      <c r="J24" s="87" t="str">
        <f>IFERROR(INDEX(AGENT_DATABASE!L:L,MATCH(1,(AGENT_DATABASE!B2:B5000="Agent 1")*1,0)+0),"")</f>
        <v/>
      </c>
      <c r="K24" s="87" t="str">
        <f>IFERROR(INDEX(AGENT_DATABASE!M:M,MATCH(1,(AGENT_DATABASE!B2:B5000="Agent 1")*1,0)+0),"")</f>
        <v/>
      </c>
      <c r="L24" s="89" t="str">
        <f>IFERROR(INDEX(AGENT_DATABASE!K:K,MATCH(1,(AGENT_DATABASE!B2:B5000="Agent 1")*1,0)+0),"")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1")*1,0)+1),"")</f>
        <v/>
      </c>
      <c r="C25" s="94" t="str">
        <f>IFERROR(INDEX(AGENT_DATABASE!C:C,MATCH(1,(AGENT_DATABASE!B2:B5000="Agent 1")*1,0)+1),"")</f>
        <v/>
      </c>
      <c r="D25" s="94" t="str">
        <f>IFERROR(INDEX(AGENT_DATABASE!D:D,MATCH(1,(AGENT_DATABASE!B2:B5000="Agent 1")*1,0)+1),"")</f>
        <v/>
      </c>
      <c r="E25" s="94" t="str">
        <f>IFERROR(INDEX(AGENT_DATABASE!F:F,MATCH(1,(AGENT_DATABASE!B2:B5000="Agent 1")*1,0)+1),"")</f>
        <v/>
      </c>
      <c r="F25" s="95" t="str">
        <f>IFERROR(INDEX(AGENT_DATABASE!G:G,MATCH(1,(AGENT_DATABASE!B2:B5000="Agent 1")*1,0)+1),"")</f>
        <v/>
      </c>
      <c r="G25" s="96" t="str">
        <f>IFERROR(INDEX(AGENT_DATABASE!H:H,MATCH(1,(AGENT_DATABASE!B2:B5000="Agent 1")*1,0)+1),"")</f>
        <v/>
      </c>
      <c r="H25" s="95" t="str">
        <f>IFERROR(INDEX(AGENT_DATABASE!I:I,MATCH(1,(AGENT_DATABASE!B2:B5000="Agent 1")*1,0)+1),"")</f>
        <v/>
      </c>
      <c r="I25" s="92" t="str">
        <f>IFERROR(INDEX(AGENT_DATABASE!J:J,MATCH(1,(AGENT_DATABASE!B2:B5000="Agent 1")*1,0)+1),"")</f>
        <v/>
      </c>
      <c r="J25" s="92" t="str">
        <f>IFERROR(INDEX(AGENT_DATABASE!L:L,MATCH(1,(AGENT_DATABASE!B2:B5000="Agent 1")*1,0)+1),"")</f>
        <v/>
      </c>
      <c r="K25" s="92" t="str">
        <f>IFERROR(INDEX(AGENT_DATABASE!M:M,MATCH(1,(AGENT_DATABASE!B2:B5000="Agent 1")*1,0)+1),"")</f>
        <v/>
      </c>
      <c r="L25" s="94" t="str">
        <f>IFERROR(INDEX(AGENT_DATABASE!K:K,MATCH(1,(AGENT_DATABASE!B2:B5000="Agent 1")*1,0)+1),"")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1")*1,0)+2),"")</f>
        <v/>
      </c>
      <c r="C26" s="89" t="str">
        <f>IFERROR(INDEX(AGENT_DATABASE!C:C,MATCH(1,(AGENT_DATABASE!B2:B5000="Agent 1")*1,0)+2),"")</f>
        <v/>
      </c>
      <c r="D26" s="89" t="str">
        <f>IFERROR(INDEX(AGENT_DATABASE!D:D,MATCH(1,(AGENT_DATABASE!B2:B5000="Agent 1")*1,0)+2),"")</f>
        <v/>
      </c>
      <c r="E26" s="89" t="str">
        <f>IFERROR(INDEX(AGENT_DATABASE!F:F,MATCH(1,(AGENT_DATABASE!B2:B5000="Agent 1")*1,0)+2),"")</f>
        <v/>
      </c>
      <c r="F26" s="90" t="str">
        <f>IFERROR(INDEX(AGENT_DATABASE!G:G,MATCH(1,(AGENT_DATABASE!B2:B5000="Agent 1")*1,0)+2),"")</f>
        <v/>
      </c>
      <c r="G26" s="91" t="str">
        <f>IFERROR(INDEX(AGENT_DATABASE!H:H,MATCH(1,(AGENT_DATABASE!B2:B5000="Agent 1")*1,0)+2),"")</f>
        <v/>
      </c>
      <c r="H26" s="90" t="str">
        <f>IFERROR(INDEX(AGENT_DATABASE!I:I,MATCH(1,(AGENT_DATABASE!B2:B5000="Agent 1")*1,0)+2),"")</f>
        <v/>
      </c>
      <c r="I26" s="87" t="str">
        <f>IFERROR(INDEX(AGENT_DATABASE!J:J,MATCH(1,(AGENT_DATABASE!B2:B5000="Agent 1")*1,0)+2),"")</f>
        <v/>
      </c>
      <c r="J26" s="87" t="str">
        <f>IFERROR(INDEX(AGENT_DATABASE!L:L,MATCH(1,(AGENT_DATABASE!B2:B5000="Agent 1")*1,0)+2),"")</f>
        <v/>
      </c>
      <c r="K26" s="87" t="str">
        <f>IFERROR(INDEX(AGENT_DATABASE!M:M,MATCH(1,(AGENT_DATABASE!B2:B5000="Agent 1")*1,0)+2),"")</f>
        <v/>
      </c>
      <c r="L26" s="89" t="str">
        <f>IFERROR(INDEX(AGENT_DATABASE!K:K,MATCH(1,(AGENT_DATABASE!B2:B5000="Agent 1")*1,0)+2),"")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1")*1,0)+3),"")</f>
        <v/>
      </c>
      <c r="C27" s="94" t="str">
        <f>IFERROR(INDEX(AGENT_DATABASE!C:C,MATCH(1,(AGENT_DATABASE!B2:B5000="Agent 1")*1,0)+3),"")</f>
        <v/>
      </c>
      <c r="D27" s="94" t="str">
        <f>IFERROR(INDEX(AGENT_DATABASE!D:D,MATCH(1,(AGENT_DATABASE!B2:B5000="Agent 1")*1,0)+3),"")</f>
        <v/>
      </c>
      <c r="E27" s="94" t="str">
        <f>IFERROR(INDEX(AGENT_DATABASE!F:F,MATCH(1,(AGENT_DATABASE!B2:B5000="Agent 1")*1,0)+3),"")</f>
        <v/>
      </c>
      <c r="F27" s="95" t="str">
        <f>IFERROR(INDEX(AGENT_DATABASE!G:G,MATCH(1,(AGENT_DATABASE!B2:B5000="Agent 1")*1,0)+3),"")</f>
        <v/>
      </c>
      <c r="G27" s="96" t="str">
        <f>IFERROR(INDEX(AGENT_DATABASE!H:H,MATCH(1,(AGENT_DATABASE!B2:B5000="Agent 1")*1,0)+3),"")</f>
        <v/>
      </c>
      <c r="H27" s="95" t="str">
        <f>IFERROR(INDEX(AGENT_DATABASE!I:I,MATCH(1,(AGENT_DATABASE!B2:B5000="Agent 1")*1,0)+3),"")</f>
        <v/>
      </c>
      <c r="I27" s="92" t="str">
        <f>IFERROR(INDEX(AGENT_DATABASE!J:J,MATCH(1,(AGENT_DATABASE!B2:B5000="Agent 1")*1,0)+3),"")</f>
        <v/>
      </c>
      <c r="J27" s="92" t="str">
        <f>IFERROR(INDEX(AGENT_DATABASE!L:L,MATCH(1,(AGENT_DATABASE!B2:B5000="Agent 1")*1,0)+3),"")</f>
        <v/>
      </c>
      <c r="K27" s="92" t="str">
        <f>IFERROR(INDEX(AGENT_DATABASE!M:M,MATCH(1,(AGENT_DATABASE!B2:B5000="Agent 1")*1,0)+3),"")</f>
        <v/>
      </c>
      <c r="L27" s="94" t="str">
        <f>IFERROR(INDEX(AGENT_DATABASE!K:K,MATCH(1,(AGENT_DATABASE!B2:B5000="Agent 1")*1,0)+3),"")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1")*1,0)+4),"")</f>
        <v/>
      </c>
      <c r="C28" s="89" t="str">
        <f>IFERROR(INDEX(AGENT_DATABASE!C:C,MATCH(1,(AGENT_DATABASE!B2:B5000="Agent 1")*1,0)+4),"")</f>
        <v/>
      </c>
      <c r="D28" s="89" t="str">
        <f>IFERROR(INDEX(AGENT_DATABASE!D:D,MATCH(1,(AGENT_DATABASE!B2:B5000="Agent 1")*1,0)+4),"")</f>
        <v/>
      </c>
      <c r="E28" s="89" t="str">
        <f>IFERROR(INDEX(AGENT_DATABASE!F:F,MATCH(1,(AGENT_DATABASE!B2:B5000="Agent 1")*1,0)+4),"")</f>
        <v/>
      </c>
      <c r="F28" s="90" t="str">
        <f>IFERROR(INDEX(AGENT_DATABASE!G:G,MATCH(1,(AGENT_DATABASE!B2:B5000="Agent 1")*1,0)+4),"")</f>
        <v/>
      </c>
      <c r="G28" s="91" t="str">
        <f>IFERROR(INDEX(AGENT_DATABASE!H:H,MATCH(1,(AGENT_DATABASE!B2:B5000="Agent 1")*1,0)+4),"")</f>
        <v/>
      </c>
      <c r="H28" s="90" t="str">
        <f>IFERROR(INDEX(AGENT_DATABASE!I:I,MATCH(1,(AGENT_DATABASE!B2:B5000="Agent 1")*1,0)+4),"")</f>
        <v/>
      </c>
      <c r="I28" s="87" t="str">
        <f>IFERROR(INDEX(AGENT_DATABASE!J:J,MATCH(1,(AGENT_DATABASE!B2:B5000="Agent 1")*1,0)+4),"")</f>
        <v/>
      </c>
      <c r="J28" s="87" t="str">
        <f>IFERROR(INDEX(AGENT_DATABASE!L:L,MATCH(1,(AGENT_DATABASE!B2:B5000="Agent 1")*1,0)+4),"")</f>
        <v/>
      </c>
      <c r="K28" s="87" t="str">
        <f>IFERROR(INDEX(AGENT_DATABASE!M:M,MATCH(1,(AGENT_DATABASE!B2:B5000="Agent 1")*1,0)+4),"")</f>
        <v/>
      </c>
      <c r="L28" s="89" t="str">
        <f>IFERROR(INDEX(AGENT_DATABASE!K:K,MATCH(1,(AGENT_DATABASE!B2:B5000="Agent 1")*1,0)+4),"")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1")*1,0)+5),"")</f>
        <v/>
      </c>
      <c r="C29" s="94" t="str">
        <f>IFERROR(INDEX(AGENT_DATABASE!C:C,MATCH(1,(AGENT_DATABASE!B2:B5000="Agent 1")*1,0)+5),"")</f>
        <v/>
      </c>
      <c r="D29" s="94" t="str">
        <f>IFERROR(INDEX(AGENT_DATABASE!D:D,MATCH(1,(AGENT_DATABASE!B2:B5000="Agent 1")*1,0)+5),"")</f>
        <v/>
      </c>
      <c r="E29" s="94" t="str">
        <f>IFERROR(INDEX(AGENT_DATABASE!F:F,MATCH(1,(AGENT_DATABASE!B2:B5000="Agent 1")*1,0)+5),"")</f>
        <v/>
      </c>
      <c r="F29" s="95" t="str">
        <f>IFERROR(INDEX(AGENT_DATABASE!G:G,MATCH(1,(AGENT_DATABASE!B2:B5000="Agent 1")*1,0)+5),"")</f>
        <v/>
      </c>
      <c r="G29" s="96" t="str">
        <f>IFERROR(INDEX(AGENT_DATABASE!H:H,MATCH(1,(AGENT_DATABASE!B2:B5000="Agent 1")*1,0)+5),"")</f>
        <v/>
      </c>
      <c r="H29" s="95" t="str">
        <f>IFERROR(INDEX(AGENT_DATABASE!I:I,MATCH(1,(AGENT_DATABASE!B2:B5000="Agent 1")*1,0)+5),"")</f>
        <v/>
      </c>
      <c r="I29" s="92" t="str">
        <f>IFERROR(INDEX(AGENT_DATABASE!J:J,MATCH(1,(AGENT_DATABASE!B2:B5000="Agent 1")*1,0)+5),"")</f>
        <v/>
      </c>
      <c r="J29" s="92" t="str">
        <f>IFERROR(INDEX(AGENT_DATABASE!L:L,MATCH(1,(AGENT_DATABASE!B2:B5000="Agent 1")*1,0)+5),"")</f>
        <v/>
      </c>
      <c r="K29" s="92" t="str">
        <f>IFERROR(INDEX(AGENT_DATABASE!M:M,MATCH(1,(AGENT_DATABASE!B2:B5000="Agent 1")*1,0)+5),"")</f>
        <v/>
      </c>
      <c r="L29" s="94" t="str">
        <f>IFERROR(INDEX(AGENT_DATABASE!K:K,MATCH(1,(AGENT_DATABASE!B2:B5000="Agent 1")*1,0)+5),"")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1")*1,0)+6),"")</f>
        <v/>
      </c>
      <c r="C30" s="89" t="str">
        <f>IFERROR(INDEX(AGENT_DATABASE!C:C,MATCH(1,(AGENT_DATABASE!B2:B5000="Agent 1")*1,0)+6),"")</f>
        <v/>
      </c>
      <c r="D30" s="89" t="str">
        <f>IFERROR(INDEX(AGENT_DATABASE!D:D,MATCH(1,(AGENT_DATABASE!B2:B5000="Agent 1")*1,0)+6),"")</f>
        <v/>
      </c>
      <c r="E30" s="89" t="str">
        <f>IFERROR(INDEX(AGENT_DATABASE!F:F,MATCH(1,(AGENT_DATABASE!B2:B5000="Agent 1")*1,0)+6),"")</f>
        <v/>
      </c>
      <c r="F30" s="90" t="str">
        <f>IFERROR(INDEX(AGENT_DATABASE!G:G,MATCH(1,(AGENT_DATABASE!B2:B5000="Agent 1")*1,0)+6),"")</f>
        <v/>
      </c>
      <c r="G30" s="91" t="str">
        <f>IFERROR(INDEX(AGENT_DATABASE!H:H,MATCH(1,(AGENT_DATABASE!B2:B5000="Agent 1")*1,0)+6),"")</f>
        <v/>
      </c>
      <c r="H30" s="90" t="str">
        <f>IFERROR(INDEX(AGENT_DATABASE!I:I,MATCH(1,(AGENT_DATABASE!B2:B5000="Agent 1")*1,0)+6),"")</f>
        <v/>
      </c>
      <c r="I30" s="87" t="str">
        <f>IFERROR(INDEX(AGENT_DATABASE!J:J,MATCH(1,(AGENT_DATABASE!B2:B5000="Agent 1")*1,0)+6),"")</f>
        <v/>
      </c>
      <c r="J30" s="87" t="str">
        <f>IFERROR(INDEX(AGENT_DATABASE!L:L,MATCH(1,(AGENT_DATABASE!B2:B5000="Agent 1")*1,0)+6),"")</f>
        <v/>
      </c>
      <c r="K30" s="87" t="str">
        <f>IFERROR(INDEX(AGENT_DATABASE!M:M,MATCH(1,(AGENT_DATABASE!B2:B5000="Agent 1")*1,0)+6),"")</f>
        <v/>
      </c>
      <c r="L30" s="89" t="str">
        <f>IFERROR(INDEX(AGENT_DATABASE!K:K,MATCH(1,(AGENT_DATABASE!B2:B5000="Agent 1")*1,0)+6),"")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1")*1,0)+7),"")</f>
        <v/>
      </c>
      <c r="C31" s="94" t="str">
        <f>IFERROR(INDEX(AGENT_DATABASE!C:C,MATCH(1,(AGENT_DATABASE!B2:B5000="Agent 1")*1,0)+7),"")</f>
        <v/>
      </c>
      <c r="D31" s="94" t="str">
        <f>IFERROR(INDEX(AGENT_DATABASE!D:D,MATCH(1,(AGENT_DATABASE!B2:B5000="Agent 1")*1,0)+7),"")</f>
        <v/>
      </c>
      <c r="E31" s="94" t="str">
        <f>IFERROR(INDEX(AGENT_DATABASE!F:F,MATCH(1,(AGENT_DATABASE!B2:B5000="Agent 1")*1,0)+7),"")</f>
        <v/>
      </c>
      <c r="F31" s="95" t="str">
        <f>IFERROR(INDEX(AGENT_DATABASE!G:G,MATCH(1,(AGENT_DATABASE!B2:B5000="Agent 1")*1,0)+7),"")</f>
        <v/>
      </c>
      <c r="G31" s="96" t="str">
        <f>IFERROR(INDEX(AGENT_DATABASE!H:H,MATCH(1,(AGENT_DATABASE!B2:B5000="Agent 1")*1,0)+7),"")</f>
        <v/>
      </c>
      <c r="H31" s="95" t="str">
        <f>IFERROR(INDEX(AGENT_DATABASE!I:I,MATCH(1,(AGENT_DATABASE!B2:B5000="Agent 1")*1,0)+7),"")</f>
        <v/>
      </c>
      <c r="I31" s="92" t="str">
        <f>IFERROR(INDEX(AGENT_DATABASE!J:J,MATCH(1,(AGENT_DATABASE!B2:B5000="Agent 1")*1,0)+7),"")</f>
        <v/>
      </c>
      <c r="J31" s="92" t="str">
        <f>IFERROR(INDEX(AGENT_DATABASE!L:L,MATCH(1,(AGENT_DATABASE!B2:B5000="Agent 1")*1,0)+7),"")</f>
        <v/>
      </c>
      <c r="K31" s="92" t="str">
        <f>IFERROR(INDEX(AGENT_DATABASE!M:M,MATCH(1,(AGENT_DATABASE!B2:B5000="Agent 1")*1,0)+7),"")</f>
        <v/>
      </c>
      <c r="L31" s="94" t="str">
        <f>IFERROR(INDEX(AGENT_DATABASE!K:K,MATCH(1,(AGENT_DATABASE!B2:B5000="Agent 1")*1,0)+7),"")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1")*1,0)+8),"")</f>
        <v/>
      </c>
      <c r="C32" s="89" t="str">
        <f>IFERROR(INDEX(AGENT_DATABASE!C:C,MATCH(1,(AGENT_DATABASE!B2:B5000="Agent 1")*1,0)+8),"")</f>
        <v/>
      </c>
      <c r="D32" s="89" t="str">
        <f>IFERROR(INDEX(AGENT_DATABASE!D:D,MATCH(1,(AGENT_DATABASE!B2:B5000="Agent 1")*1,0)+8),"")</f>
        <v/>
      </c>
      <c r="E32" s="89" t="str">
        <f>IFERROR(INDEX(AGENT_DATABASE!F:F,MATCH(1,(AGENT_DATABASE!B2:B5000="Agent 1")*1,0)+8),"")</f>
        <v/>
      </c>
      <c r="F32" s="90" t="str">
        <f>IFERROR(INDEX(AGENT_DATABASE!G:G,MATCH(1,(AGENT_DATABASE!B2:B5000="Agent 1")*1,0)+8),"")</f>
        <v/>
      </c>
      <c r="G32" s="91" t="str">
        <f>IFERROR(INDEX(AGENT_DATABASE!H:H,MATCH(1,(AGENT_DATABASE!B2:B5000="Agent 1")*1,0)+8),"")</f>
        <v/>
      </c>
      <c r="H32" s="90" t="str">
        <f>IFERROR(INDEX(AGENT_DATABASE!I:I,MATCH(1,(AGENT_DATABASE!B2:B5000="Agent 1")*1,0)+8),"")</f>
        <v/>
      </c>
      <c r="I32" s="87" t="str">
        <f>IFERROR(INDEX(AGENT_DATABASE!J:J,MATCH(1,(AGENT_DATABASE!B2:B5000="Agent 1")*1,0)+8),"")</f>
        <v/>
      </c>
      <c r="J32" s="87" t="str">
        <f>IFERROR(INDEX(AGENT_DATABASE!L:L,MATCH(1,(AGENT_DATABASE!B2:B5000="Agent 1")*1,0)+8),"")</f>
        <v/>
      </c>
      <c r="K32" s="87" t="str">
        <f>IFERROR(INDEX(AGENT_DATABASE!M:M,MATCH(1,(AGENT_DATABASE!B2:B5000="Agent 1")*1,0)+8),"")</f>
        <v/>
      </c>
      <c r="L32" s="89" t="str">
        <f>IFERROR(INDEX(AGENT_DATABASE!K:K,MATCH(1,(AGENT_DATABASE!B2:B5000="Agent 1")*1,0)+8),"")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1")*1,0)+9),"")</f>
        <v/>
      </c>
      <c r="C33" s="94" t="str">
        <f>IFERROR(INDEX(AGENT_DATABASE!C:C,MATCH(1,(AGENT_DATABASE!B2:B5000="Agent 1")*1,0)+9),"")</f>
        <v/>
      </c>
      <c r="D33" s="94" t="str">
        <f>IFERROR(INDEX(AGENT_DATABASE!D:D,MATCH(1,(AGENT_DATABASE!B2:B5000="Agent 1")*1,0)+9),"")</f>
        <v/>
      </c>
      <c r="E33" s="94" t="str">
        <f>IFERROR(INDEX(AGENT_DATABASE!F:F,MATCH(1,(AGENT_DATABASE!B2:B5000="Agent 1")*1,0)+9),"")</f>
        <v/>
      </c>
      <c r="F33" s="95" t="str">
        <f>IFERROR(INDEX(AGENT_DATABASE!G:G,MATCH(1,(AGENT_DATABASE!B2:B5000="Agent 1")*1,0)+9),"")</f>
        <v/>
      </c>
      <c r="G33" s="96" t="str">
        <f>IFERROR(INDEX(AGENT_DATABASE!H:H,MATCH(1,(AGENT_DATABASE!B2:B5000="Agent 1")*1,0)+9),"")</f>
        <v/>
      </c>
      <c r="H33" s="95" t="str">
        <f>IFERROR(INDEX(AGENT_DATABASE!I:I,MATCH(1,(AGENT_DATABASE!B2:B5000="Agent 1")*1,0)+9),"")</f>
        <v/>
      </c>
      <c r="I33" s="92" t="str">
        <f>IFERROR(INDEX(AGENT_DATABASE!J:J,MATCH(1,(AGENT_DATABASE!B2:B5000="Agent 1")*1,0)+9),"")</f>
        <v/>
      </c>
      <c r="J33" s="92" t="str">
        <f>IFERROR(INDEX(AGENT_DATABASE!L:L,MATCH(1,(AGENT_DATABASE!B2:B5000="Agent 1")*1,0)+9),"")</f>
        <v/>
      </c>
      <c r="K33" s="92" t="str">
        <f>IFERROR(INDEX(AGENT_DATABASE!M:M,MATCH(1,(AGENT_DATABASE!B2:B5000="Agent 1")*1,0)+9),"")</f>
        <v/>
      </c>
      <c r="L33" s="94" t="str">
        <f>IFERROR(INDEX(AGENT_DATABASE!K:K,MATCH(1,(AGENT_DATABASE!B2:B5000="Agent 1")*1,0)+9),"")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1")*1,0)+10),"")</f>
        <v/>
      </c>
      <c r="C34" s="89" t="str">
        <f>IFERROR(INDEX(AGENT_DATABASE!C:C,MATCH(1,(AGENT_DATABASE!B2:B5000="Agent 1")*1,0)+10),"")</f>
        <v/>
      </c>
      <c r="D34" s="89" t="str">
        <f>IFERROR(INDEX(AGENT_DATABASE!D:D,MATCH(1,(AGENT_DATABASE!B2:B5000="Agent 1")*1,0)+10),"")</f>
        <v/>
      </c>
      <c r="E34" s="89" t="str">
        <f>IFERROR(INDEX(AGENT_DATABASE!F:F,MATCH(1,(AGENT_DATABASE!B2:B5000="Agent 1")*1,0)+10),"")</f>
        <v/>
      </c>
      <c r="F34" s="90" t="str">
        <f>IFERROR(INDEX(AGENT_DATABASE!G:G,MATCH(1,(AGENT_DATABASE!B2:B5000="Agent 1")*1,0)+10),"")</f>
        <v/>
      </c>
      <c r="G34" s="91" t="str">
        <f>IFERROR(INDEX(AGENT_DATABASE!H:H,MATCH(1,(AGENT_DATABASE!B2:B5000="Agent 1")*1,0)+10),"")</f>
        <v/>
      </c>
      <c r="H34" s="90" t="str">
        <f>IFERROR(INDEX(AGENT_DATABASE!I:I,MATCH(1,(AGENT_DATABASE!B2:B5000="Agent 1")*1,0)+10),"")</f>
        <v/>
      </c>
      <c r="I34" s="87" t="str">
        <f>IFERROR(INDEX(AGENT_DATABASE!J:J,MATCH(1,(AGENT_DATABASE!B2:B5000="Agent 1")*1,0)+10),"")</f>
        <v/>
      </c>
      <c r="J34" s="87" t="str">
        <f>IFERROR(INDEX(AGENT_DATABASE!L:L,MATCH(1,(AGENT_DATABASE!B2:B5000="Agent 1")*1,0)+10),"")</f>
        <v/>
      </c>
      <c r="K34" s="87" t="str">
        <f>IFERROR(INDEX(AGENT_DATABASE!M:M,MATCH(1,(AGENT_DATABASE!B2:B5000="Agent 1")*1,0)+10),"")</f>
        <v/>
      </c>
      <c r="L34" s="89" t="str">
        <f>IFERROR(INDEX(AGENT_DATABASE!K:K,MATCH(1,(AGENT_DATABASE!B2:B5000="Agent 1")*1,0)+10),"")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1")*1,0)+11),"")</f>
        <v/>
      </c>
      <c r="C35" s="94" t="str">
        <f>IFERROR(INDEX(AGENT_DATABASE!C:C,MATCH(1,(AGENT_DATABASE!B2:B5000="Agent 1")*1,0)+11),"")</f>
        <v/>
      </c>
      <c r="D35" s="94" t="str">
        <f>IFERROR(INDEX(AGENT_DATABASE!D:D,MATCH(1,(AGENT_DATABASE!B2:B5000="Agent 1")*1,0)+11),"")</f>
        <v/>
      </c>
      <c r="E35" s="94" t="str">
        <f>IFERROR(INDEX(AGENT_DATABASE!F:F,MATCH(1,(AGENT_DATABASE!B2:B5000="Agent 1")*1,0)+11),"")</f>
        <v/>
      </c>
      <c r="F35" s="95" t="str">
        <f>IFERROR(INDEX(AGENT_DATABASE!G:G,MATCH(1,(AGENT_DATABASE!B2:B5000="Agent 1")*1,0)+11),"")</f>
        <v/>
      </c>
      <c r="G35" s="96" t="str">
        <f>IFERROR(INDEX(AGENT_DATABASE!H:H,MATCH(1,(AGENT_DATABASE!B2:B5000="Agent 1")*1,0)+11),"")</f>
        <v/>
      </c>
      <c r="H35" s="95" t="str">
        <f>IFERROR(INDEX(AGENT_DATABASE!I:I,MATCH(1,(AGENT_DATABASE!B2:B5000="Agent 1")*1,0)+11),"")</f>
        <v/>
      </c>
      <c r="I35" s="92" t="str">
        <f>IFERROR(INDEX(AGENT_DATABASE!J:J,MATCH(1,(AGENT_DATABASE!B2:B5000="Agent 1")*1,0)+11),"")</f>
        <v/>
      </c>
      <c r="J35" s="92" t="str">
        <f>IFERROR(INDEX(AGENT_DATABASE!L:L,MATCH(1,(AGENT_DATABASE!B2:B5000="Agent 1")*1,0)+11),"")</f>
        <v/>
      </c>
      <c r="K35" s="92" t="str">
        <f>IFERROR(INDEX(AGENT_DATABASE!M:M,MATCH(1,(AGENT_DATABASE!B2:B5000="Agent 1")*1,0)+11),"")</f>
        <v/>
      </c>
      <c r="L35" s="94" t="str">
        <f>IFERROR(INDEX(AGENT_DATABASE!K:K,MATCH(1,(AGENT_DATABASE!B2:B5000="Agent 1")*1,0)+11),"")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1")*1,0)+12),"")</f>
        <v/>
      </c>
      <c r="C36" s="89" t="str">
        <f>IFERROR(INDEX(AGENT_DATABASE!C:C,MATCH(1,(AGENT_DATABASE!B2:B5000="Agent 1")*1,0)+12),"")</f>
        <v/>
      </c>
      <c r="D36" s="89" t="str">
        <f>IFERROR(INDEX(AGENT_DATABASE!D:D,MATCH(1,(AGENT_DATABASE!B2:B5000="Agent 1")*1,0)+12),"")</f>
        <v/>
      </c>
      <c r="E36" s="89" t="str">
        <f>IFERROR(INDEX(AGENT_DATABASE!F:F,MATCH(1,(AGENT_DATABASE!B2:B5000="Agent 1")*1,0)+12),"")</f>
        <v/>
      </c>
      <c r="F36" s="90" t="str">
        <f>IFERROR(INDEX(AGENT_DATABASE!G:G,MATCH(1,(AGENT_DATABASE!B2:B5000="Agent 1")*1,0)+12),"")</f>
        <v/>
      </c>
      <c r="G36" s="91" t="str">
        <f>IFERROR(INDEX(AGENT_DATABASE!H:H,MATCH(1,(AGENT_DATABASE!B2:B5000="Agent 1")*1,0)+12),"")</f>
        <v/>
      </c>
      <c r="H36" s="90" t="str">
        <f>IFERROR(INDEX(AGENT_DATABASE!I:I,MATCH(1,(AGENT_DATABASE!B2:B5000="Agent 1")*1,0)+12),"")</f>
        <v/>
      </c>
      <c r="I36" s="87" t="str">
        <f>IFERROR(INDEX(AGENT_DATABASE!J:J,MATCH(1,(AGENT_DATABASE!B2:B5000="Agent 1")*1,0)+12),"")</f>
        <v/>
      </c>
      <c r="J36" s="87" t="str">
        <f>IFERROR(INDEX(AGENT_DATABASE!L:L,MATCH(1,(AGENT_DATABASE!B2:B5000="Agent 1")*1,0)+12),"")</f>
        <v/>
      </c>
      <c r="K36" s="87" t="str">
        <f>IFERROR(INDEX(AGENT_DATABASE!M:M,MATCH(1,(AGENT_DATABASE!B2:B5000="Agent 1")*1,0)+12),"")</f>
        <v/>
      </c>
      <c r="L36" s="89" t="str">
        <f>IFERROR(INDEX(AGENT_DATABASE!K:K,MATCH(1,(AGENT_DATABASE!B2:B5000="Agent 1")*1,0)+12),"")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1")*1,0)+13),"")</f>
        <v/>
      </c>
      <c r="C37" s="94" t="str">
        <f>IFERROR(INDEX(AGENT_DATABASE!C:C,MATCH(1,(AGENT_DATABASE!B2:B5000="Agent 1")*1,0)+13),"")</f>
        <v/>
      </c>
      <c r="D37" s="94" t="str">
        <f>IFERROR(INDEX(AGENT_DATABASE!D:D,MATCH(1,(AGENT_DATABASE!B2:B5000="Agent 1")*1,0)+13),"")</f>
        <v/>
      </c>
      <c r="E37" s="94" t="str">
        <f>IFERROR(INDEX(AGENT_DATABASE!F:F,MATCH(1,(AGENT_DATABASE!B2:B5000="Agent 1")*1,0)+13),"")</f>
        <v/>
      </c>
      <c r="F37" s="95" t="str">
        <f>IFERROR(INDEX(AGENT_DATABASE!G:G,MATCH(1,(AGENT_DATABASE!B2:B5000="Agent 1")*1,0)+13),"")</f>
        <v/>
      </c>
      <c r="G37" s="96" t="str">
        <f>IFERROR(INDEX(AGENT_DATABASE!H:H,MATCH(1,(AGENT_DATABASE!B2:B5000="Agent 1")*1,0)+13),"")</f>
        <v/>
      </c>
      <c r="H37" s="95" t="str">
        <f>IFERROR(INDEX(AGENT_DATABASE!I:I,MATCH(1,(AGENT_DATABASE!B2:B5000="Agent 1")*1,0)+13),"")</f>
        <v/>
      </c>
      <c r="I37" s="92" t="str">
        <f>IFERROR(INDEX(AGENT_DATABASE!J:J,MATCH(1,(AGENT_DATABASE!B2:B5000="Agent 1")*1,0)+13),"")</f>
        <v/>
      </c>
      <c r="J37" s="92" t="str">
        <f>IFERROR(INDEX(AGENT_DATABASE!L:L,MATCH(1,(AGENT_DATABASE!B2:B5000="Agent 1")*1,0)+13),"")</f>
        <v/>
      </c>
      <c r="K37" s="92" t="str">
        <f>IFERROR(INDEX(AGENT_DATABASE!M:M,MATCH(1,(AGENT_DATABASE!B2:B5000="Agent 1")*1,0)+13),"")</f>
        <v/>
      </c>
      <c r="L37" s="94" t="str">
        <f>IFERROR(INDEX(AGENT_DATABASE!K:K,MATCH(1,(AGENT_DATABASE!B2:B5000="Agent 1")*1,0)+13),"")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1")*1,0)+14),"")</f>
        <v/>
      </c>
      <c r="C38" s="89" t="str">
        <f>IFERROR(INDEX(AGENT_DATABASE!C:C,MATCH(1,(AGENT_DATABASE!B2:B5000="Agent 1")*1,0)+14),"")</f>
        <v/>
      </c>
      <c r="D38" s="89" t="str">
        <f>IFERROR(INDEX(AGENT_DATABASE!D:D,MATCH(1,(AGENT_DATABASE!B2:B5000="Agent 1")*1,0)+14),"")</f>
        <v/>
      </c>
      <c r="E38" s="89" t="str">
        <f>IFERROR(INDEX(AGENT_DATABASE!F:F,MATCH(1,(AGENT_DATABASE!B2:B5000="Agent 1")*1,0)+14),"")</f>
        <v/>
      </c>
      <c r="F38" s="90" t="str">
        <f>IFERROR(INDEX(AGENT_DATABASE!G:G,MATCH(1,(AGENT_DATABASE!B2:B5000="Agent 1")*1,0)+14),"")</f>
        <v/>
      </c>
      <c r="G38" s="91" t="str">
        <f>IFERROR(INDEX(AGENT_DATABASE!H:H,MATCH(1,(AGENT_DATABASE!B2:B5000="Agent 1")*1,0)+14),"")</f>
        <v/>
      </c>
      <c r="H38" s="90" t="str">
        <f>IFERROR(INDEX(AGENT_DATABASE!I:I,MATCH(1,(AGENT_DATABASE!B2:B5000="Agent 1")*1,0)+14),"")</f>
        <v/>
      </c>
      <c r="I38" s="87" t="str">
        <f>IFERROR(INDEX(AGENT_DATABASE!J:J,MATCH(1,(AGENT_DATABASE!B2:B5000="Agent 1")*1,0)+14),"")</f>
        <v/>
      </c>
      <c r="J38" s="87" t="str">
        <f>IFERROR(INDEX(AGENT_DATABASE!L:L,MATCH(1,(AGENT_DATABASE!B2:B5000="Agent 1")*1,0)+14),"")</f>
        <v/>
      </c>
      <c r="K38" s="87" t="str">
        <f>IFERROR(INDEX(AGENT_DATABASE!M:M,MATCH(1,(AGENT_DATABASE!B2:B5000="Agent 1")*1,0)+14),"")</f>
        <v/>
      </c>
      <c r="L38" s="89" t="str">
        <f>IFERROR(INDEX(AGENT_DATABASE!K:K,MATCH(1,(AGENT_DATABASE!B2:B5000="Agent 1")*1,0)+14),"")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1")*1,0)+15),"")</f>
        <v/>
      </c>
      <c r="C39" s="94" t="str">
        <f>IFERROR(INDEX(AGENT_DATABASE!C:C,MATCH(1,(AGENT_DATABASE!B2:B5000="Agent 1")*1,0)+15),"")</f>
        <v/>
      </c>
      <c r="D39" s="94" t="str">
        <f>IFERROR(INDEX(AGENT_DATABASE!D:D,MATCH(1,(AGENT_DATABASE!B2:B5000="Agent 1")*1,0)+15),"")</f>
        <v/>
      </c>
      <c r="E39" s="94" t="str">
        <f>IFERROR(INDEX(AGENT_DATABASE!F:F,MATCH(1,(AGENT_DATABASE!B2:B5000="Agent 1")*1,0)+15),"")</f>
        <v/>
      </c>
      <c r="F39" s="95" t="str">
        <f>IFERROR(INDEX(AGENT_DATABASE!G:G,MATCH(1,(AGENT_DATABASE!B2:B5000="Agent 1")*1,0)+15),"")</f>
        <v/>
      </c>
      <c r="G39" s="96" t="str">
        <f>IFERROR(INDEX(AGENT_DATABASE!H:H,MATCH(1,(AGENT_DATABASE!B2:B5000="Agent 1")*1,0)+15),"")</f>
        <v/>
      </c>
      <c r="H39" s="95" t="str">
        <f>IFERROR(INDEX(AGENT_DATABASE!I:I,MATCH(1,(AGENT_DATABASE!B2:B5000="Agent 1")*1,0)+15),"")</f>
        <v/>
      </c>
      <c r="I39" s="92" t="str">
        <f>IFERROR(INDEX(AGENT_DATABASE!J:J,MATCH(1,(AGENT_DATABASE!B2:B5000="Agent 1")*1,0)+15),"")</f>
        <v/>
      </c>
      <c r="J39" s="92" t="str">
        <f>IFERROR(INDEX(AGENT_DATABASE!L:L,MATCH(1,(AGENT_DATABASE!B2:B5000="Agent 1")*1,0)+15),"")</f>
        <v/>
      </c>
      <c r="K39" s="92" t="str">
        <f>IFERROR(INDEX(AGENT_DATABASE!M:M,MATCH(1,(AGENT_DATABASE!B2:B5000="Agent 1")*1,0)+15),"")</f>
        <v/>
      </c>
      <c r="L39" s="94" t="str">
        <f>IFERROR(INDEX(AGENT_DATABASE!K:K,MATCH(1,(AGENT_DATABASE!B2:B5000="Agent 1")*1,0)+15),"")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1")*1,0)+16),"")</f>
        <v/>
      </c>
      <c r="C40" s="89" t="str">
        <f>IFERROR(INDEX(AGENT_DATABASE!C:C,MATCH(1,(AGENT_DATABASE!B2:B5000="Agent 1")*1,0)+16),"")</f>
        <v/>
      </c>
      <c r="D40" s="89" t="str">
        <f>IFERROR(INDEX(AGENT_DATABASE!D:D,MATCH(1,(AGENT_DATABASE!B2:B5000="Agent 1")*1,0)+16),"")</f>
        <v/>
      </c>
      <c r="E40" s="89" t="str">
        <f>IFERROR(INDEX(AGENT_DATABASE!F:F,MATCH(1,(AGENT_DATABASE!B2:B5000="Agent 1")*1,0)+16),"")</f>
        <v/>
      </c>
      <c r="F40" s="90" t="str">
        <f>IFERROR(INDEX(AGENT_DATABASE!G:G,MATCH(1,(AGENT_DATABASE!B2:B5000="Agent 1")*1,0)+16),"")</f>
        <v/>
      </c>
      <c r="G40" s="91" t="str">
        <f>IFERROR(INDEX(AGENT_DATABASE!H:H,MATCH(1,(AGENT_DATABASE!B2:B5000="Agent 1")*1,0)+16),"")</f>
        <v/>
      </c>
      <c r="H40" s="90" t="str">
        <f>IFERROR(INDEX(AGENT_DATABASE!I:I,MATCH(1,(AGENT_DATABASE!B2:B5000="Agent 1")*1,0)+16),"")</f>
        <v/>
      </c>
      <c r="I40" s="87" t="str">
        <f>IFERROR(INDEX(AGENT_DATABASE!J:J,MATCH(1,(AGENT_DATABASE!B2:B5000="Agent 1")*1,0)+16),"")</f>
        <v/>
      </c>
      <c r="J40" s="87" t="str">
        <f>IFERROR(INDEX(AGENT_DATABASE!L:L,MATCH(1,(AGENT_DATABASE!B2:B5000="Agent 1")*1,0)+16),"")</f>
        <v/>
      </c>
      <c r="K40" s="87" t="str">
        <f>IFERROR(INDEX(AGENT_DATABASE!M:M,MATCH(1,(AGENT_DATABASE!B2:B5000="Agent 1")*1,0)+16),"")</f>
        <v/>
      </c>
      <c r="L40" s="89" t="str">
        <f>IFERROR(INDEX(AGENT_DATABASE!K:K,MATCH(1,(AGENT_DATABASE!B2:B5000="Agent 1")*1,0)+16),"")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1")*1,0)+17),"")</f>
        <v/>
      </c>
      <c r="C41" s="94" t="str">
        <f>IFERROR(INDEX(AGENT_DATABASE!C:C,MATCH(1,(AGENT_DATABASE!B2:B5000="Agent 1")*1,0)+17),"")</f>
        <v/>
      </c>
      <c r="D41" s="94" t="str">
        <f>IFERROR(INDEX(AGENT_DATABASE!D:D,MATCH(1,(AGENT_DATABASE!B2:B5000="Agent 1")*1,0)+17),"")</f>
        <v/>
      </c>
      <c r="E41" s="94" t="str">
        <f>IFERROR(INDEX(AGENT_DATABASE!F:F,MATCH(1,(AGENT_DATABASE!B2:B5000="Agent 1")*1,0)+17),"")</f>
        <v/>
      </c>
      <c r="F41" s="95" t="str">
        <f>IFERROR(INDEX(AGENT_DATABASE!G:G,MATCH(1,(AGENT_DATABASE!B2:B5000="Agent 1")*1,0)+17),"")</f>
        <v/>
      </c>
      <c r="G41" s="96" t="str">
        <f>IFERROR(INDEX(AGENT_DATABASE!H:H,MATCH(1,(AGENT_DATABASE!B2:B5000="Agent 1")*1,0)+17),"")</f>
        <v/>
      </c>
      <c r="H41" s="95" t="str">
        <f>IFERROR(INDEX(AGENT_DATABASE!I:I,MATCH(1,(AGENT_DATABASE!B2:B5000="Agent 1")*1,0)+17),"")</f>
        <v/>
      </c>
      <c r="I41" s="92" t="str">
        <f>IFERROR(INDEX(AGENT_DATABASE!J:J,MATCH(1,(AGENT_DATABASE!B2:B5000="Agent 1")*1,0)+17),"")</f>
        <v/>
      </c>
      <c r="J41" s="92" t="str">
        <f>IFERROR(INDEX(AGENT_DATABASE!L:L,MATCH(1,(AGENT_DATABASE!B2:B5000="Agent 1")*1,0)+17),"")</f>
        <v/>
      </c>
      <c r="K41" s="92" t="str">
        <f>IFERROR(INDEX(AGENT_DATABASE!M:M,MATCH(1,(AGENT_DATABASE!B2:B5000="Agent 1")*1,0)+17),"")</f>
        <v/>
      </c>
      <c r="L41" s="94" t="str">
        <f>IFERROR(INDEX(AGENT_DATABASE!K:K,MATCH(1,(AGENT_DATABASE!B2:B5000="Agent 1")*1,0)+17),"")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1")*1,0)+18),"")</f>
        <v/>
      </c>
      <c r="C42" s="89" t="str">
        <f>IFERROR(INDEX(AGENT_DATABASE!C:C,MATCH(1,(AGENT_DATABASE!B2:B5000="Agent 1")*1,0)+18),"")</f>
        <v/>
      </c>
      <c r="D42" s="89" t="str">
        <f>IFERROR(INDEX(AGENT_DATABASE!D:D,MATCH(1,(AGENT_DATABASE!B2:B5000="Agent 1")*1,0)+18),"")</f>
        <v/>
      </c>
      <c r="E42" s="89" t="str">
        <f>IFERROR(INDEX(AGENT_DATABASE!F:F,MATCH(1,(AGENT_DATABASE!B2:B5000="Agent 1")*1,0)+18),"")</f>
        <v/>
      </c>
      <c r="F42" s="90" t="str">
        <f>IFERROR(INDEX(AGENT_DATABASE!G:G,MATCH(1,(AGENT_DATABASE!B2:B5000="Agent 1")*1,0)+18),"")</f>
        <v/>
      </c>
      <c r="G42" s="91" t="str">
        <f>IFERROR(INDEX(AGENT_DATABASE!H:H,MATCH(1,(AGENT_DATABASE!B2:B5000="Agent 1")*1,0)+18),"")</f>
        <v/>
      </c>
      <c r="H42" s="90" t="str">
        <f>IFERROR(INDEX(AGENT_DATABASE!I:I,MATCH(1,(AGENT_DATABASE!B2:B5000="Agent 1")*1,0)+18),"")</f>
        <v/>
      </c>
      <c r="I42" s="87" t="str">
        <f>IFERROR(INDEX(AGENT_DATABASE!J:J,MATCH(1,(AGENT_DATABASE!B2:B5000="Agent 1")*1,0)+18),"")</f>
        <v/>
      </c>
      <c r="J42" s="87" t="str">
        <f>IFERROR(INDEX(AGENT_DATABASE!L:L,MATCH(1,(AGENT_DATABASE!B2:B5000="Agent 1")*1,0)+18),"")</f>
        <v/>
      </c>
      <c r="K42" s="87" t="str">
        <f>IFERROR(INDEX(AGENT_DATABASE!M:M,MATCH(1,(AGENT_DATABASE!B2:B5000="Agent 1")*1,0)+18),"")</f>
        <v/>
      </c>
      <c r="L42" s="89" t="str">
        <f>IFERROR(INDEX(AGENT_DATABASE!K:K,MATCH(1,(AGENT_DATABASE!B2:B5000="Agent 1")*1,0)+18),"")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1")*1,0)+19),"")</f>
        <v/>
      </c>
      <c r="C43" s="94" t="str">
        <f>IFERROR(INDEX(AGENT_DATABASE!C:C,MATCH(1,(AGENT_DATABASE!B2:B5000="Agent 1")*1,0)+19),"")</f>
        <v/>
      </c>
      <c r="D43" s="94" t="str">
        <f>IFERROR(INDEX(AGENT_DATABASE!D:D,MATCH(1,(AGENT_DATABASE!B2:B5000="Agent 1")*1,0)+19),"")</f>
        <v/>
      </c>
      <c r="E43" s="94" t="str">
        <f>IFERROR(INDEX(AGENT_DATABASE!F:F,MATCH(1,(AGENT_DATABASE!B2:B5000="Agent 1")*1,0)+19),"")</f>
        <v/>
      </c>
      <c r="F43" s="95" t="str">
        <f>IFERROR(INDEX(AGENT_DATABASE!G:G,MATCH(1,(AGENT_DATABASE!B2:B5000="Agent 1")*1,0)+19),"")</f>
        <v/>
      </c>
      <c r="G43" s="96" t="str">
        <f>IFERROR(INDEX(AGENT_DATABASE!H:H,MATCH(1,(AGENT_DATABASE!B2:B5000="Agent 1")*1,0)+19),"")</f>
        <v/>
      </c>
      <c r="H43" s="95" t="str">
        <f>IFERROR(INDEX(AGENT_DATABASE!I:I,MATCH(1,(AGENT_DATABASE!B2:B5000="Agent 1")*1,0)+19),"")</f>
        <v/>
      </c>
      <c r="I43" s="92" t="str">
        <f>IFERROR(INDEX(AGENT_DATABASE!J:J,MATCH(1,(AGENT_DATABASE!B2:B5000="Agent 1")*1,0)+19),"")</f>
        <v/>
      </c>
      <c r="J43" s="92" t="str">
        <f>IFERROR(INDEX(AGENT_DATABASE!L:L,MATCH(1,(AGENT_DATABASE!B2:B5000="Agent 1")*1,0)+19),"")</f>
        <v/>
      </c>
      <c r="K43" s="92" t="str">
        <f>IFERROR(INDEX(AGENT_DATABASE!M:M,MATCH(1,(AGENT_DATABASE!B2:B5000="Agent 1")*1,0)+19),"")</f>
        <v/>
      </c>
      <c r="L43" s="94" t="str">
        <f>IFERROR(INDEX(AGENT_DATABASE!K:K,MATCH(1,(AGENT_DATABASE!B2:B5000="Agent 1")*1,0)+19),"")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1")*1,0)+20),"")</f>
        <v/>
      </c>
      <c r="C44" s="89" t="str">
        <f>IFERROR(INDEX(AGENT_DATABASE!C:C,MATCH(1,(AGENT_DATABASE!B2:B5000="Agent 1")*1,0)+20),"")</f>
        <v/>
      </c>
      <c r="D44" s="89" t="str">
        <f>IFERROR(INDEX(AGENT_DATABASE!D:D,MATCH(1,(AGENT_DATABASE!B2:B5000="Agent 1")*1,0)+20),"")</f>
        <v/>
      </c>
      <c r="E44" s="89" t="str">
        <f>IFERROR(INDEX(AGENT_DATABASE!F:F,MATCH(1,(AGENT_DATABASE!B2:B5000="Agent 1")*1,0)+20),"")</f>
        <v/>
      </c>
      <c r="F44" s="90" t="str">
        <f>IFERROR(INDEX(AGENT_DATABASE!G:G,MATCH(1,(AGENT_DATABASE!B2:B5000="Agent 1")*1,0)+20),"")</f>
        <v/>
      </c>
      <c r="G44" s="91" t="str">
        <f>IFERROR(INDEX(AGENT_DATABASE!H:H,MATCH(1,(AGENT_DATABASE!B2:B5000="Agent 1")*1,0)+20),"")</f>
        <v/>
      </c>
      <c r="H44" s="90" t="str">
        <f>IFERROR(INDEX(AGENT_DATABASE!I:I,MATCH(1,(AGENT_DATABASE!B2:B5000="Agent 1")*1,0)+20),"")</f>
        <v/>
      </c>
      <c r="I44" s="87" t="str">
        <f>IFERROR(INDEX(AGENT_DATABASE!J:J,MATCH(1,(AGENT_DATABASE!B2:B5000="Agent 1")*1,0)+20),"")</f>
        <v/>
      </c>
      <c r="J44" s="87" t="str">
        <f>IFERROR(INDEX(AGENT_DATABASE!L:L,MATCH(1,(AGENT_DATABASE!B2:B5000="Agent 1")*1,0)+20),"")</f>
        <v/>
      </c>
      <c r="K44" s="87" t="str">
        <f>IFERROR(INDEX(AGENT_DATABASE!M:M,MATCH(1,(AGENT_DATABASE!B2:B5000="Agent 1")*1,0)+20),"")</f>
        <v/>
      </c>
      <c r="L44" s="89" t="str">
        <f>IFERROR(INDEX(AGENT_DATABASE!K:K,MATCH(1,(AGENT_DATABASE!B2:B5000="Agent 1")*1,0)+20),"")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1")*1,0)+21),"")</f>
        <v/>
      </c>
      <c r="C45" s="94" t="str">
        <f>IFERROR(INDEX(AGENT_DATABASE!C:C,MATCH(1,(AGENT_DATABASE!B2:B5000="Agent 1")*1,0)+21),"")</f>
        <v/>
      </c>
      <c r="D45" s="94" t="str">
        <f>IFERROR(INDEX(AGENT_DATABASE!D:D,MATCH(1,(AGENT_DATABASE!B2:B5000="Agent 1")*1,0)+21),"")</f>
        <v/>
      </c>
      <c r="E45" s="94" t="str">
        <f>IFERROR(INDEX(AGENT_DATABASE!F:F,MATCH(1,(AGENT_DATABASE!B2:B5000="Agent 1")*1,0)+21),"")</f>
        <v/>
      </c>
      <c r="F45" s="95" t="str">
        <f>IFERROR(INDEX(AGENT_DATABASE!G:G,MATCH(1,(AGENT_DATABASE!B2:B5000="Agent 1")*1,0)+21),"")</f>
        <v/>
      </c>
      <c r="G45" s="96" t="str">
        <f>IFERROR(INDEX(AGENT_DATABASE!H:H,MATCH(1,(AGENT_DATABASE!B2:B5000="Agent 1")*1,0)+21),"")</f>
        <v/>
      </c>
      <c r="H45" s="95" t="str">
        <f>IFERROR(INDEX(AGENT_DATABASE!I:I,MATCH(1,(AGENT_DATABASE!B2:B5000="Agent 1")*1,0)+21),"")</f>
        <v/>
      </c>
      <c r="I45" s="92" t="str">
        <f>IFERROR(INDEX(AGENT_DATABASE!J:J,MATCH(1,(AGENT_DATABASE!B2:B5000="Agent 1")*1,0)+21),"")</f>
        <v/>
      </c>
      <c r="J45" s="92" t="str">
        <f>IFERROR(INDEX(AGENT_DATABASE!L:L,MATCH(1,(AGENT_DATABASE!B2:B5000="Agent 1")*1,0)+21),"")</f>
        <v/>
      </c>
      <c r="K45" s="92" t="str">
        <f>IFERROR(INDEX(AGENT_DATABASE!M:M,MATCH(1,(AGENT_DATABASE!B2:B5000="Agent 1")*1,0)+21),"")</f>
        <v/>
      </c>
      <c r="L45" s="94" t="str">
        <f>IFERROR(INDEX(AGENT_DATABASE!K:K,MATCH(1,(AGENT_DATABASE!B2:B5000="Agent 1")*1,0)+21),"")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1")*1,0)+22),"")</f>
        <v/>
      </c>
      <c r="C46" s="89" t="str">
        <f>IFERROR(INDEX(AGENT_DATABASE!C:C,MATCH(1,(AGENT_DATABASE!B2:B5000="Agent 1")*1,0)+22),"")</f>
        <v/>
      </c>
      <c r="D46" s="89" t="str">
        <f>IFERROR(INDEX(AGENT_DATABASE!D:D,MATCH(1,(AGENT_DATABASE!B2:B5000="Agent 1")*1,0)+22),"")</f>
        <v/>
      </c>
      <c r="E46" s="89" t="str">
        <f>IFERROR(INDEX(AGENT_DATABASE!F:F,MATCH(1,(AGENT_DATABASE!B2:B5000="Agent 1")*1,0)+22),"")</f>
        <v/>
      </c>
      <c r="F46" s="90" t="str">
        <f>IFERROR(INDEX(AGENT_DATABASE!G:G,MATCH(1,(AGENT_DATABASE!B2:B5000="Agent 1")*1,0)+22),"")</f>
        <v/>
      </c>
      <c r="G46" s="91" t="str">
        <f>IFERROR(INDEX(AGENT_DATABASE!H:H,MATCH(1,(AGENT_DATABASE!B2:B5000="Agent 1")*1,0)+22),"")</f>
        <v/>
      </c>
      <c r="H46" s="90" t="str">
        <f>IFERROR(INDEX(AGENT_DATABASE!I:I,MATCH(1,(AGENT_DATABASE!B2:B5000="Agent 1")*1,0)+22),"")</f>
        <v/>
      </c>
      <c r="I46" s="87" t="str">
        <f>IFERROR(INDEX(AGENT_DATABASE!J:J,MATCH(1,(AGENT_DATABASE!B2:B5000="Agent 1")*1,0)+22),"")</f>
        <v/>
      </c>
      <c r="J46" s="87" t="str">
        <f>IFERROR(INDEX(AGENT_DATABASE!L:L,MATCH(1,(AGENT_DATABASE!B2:B5000="Agent 1")*1,0)+22),"")</f>
        <v/>
      </c>
      <c r="K46" s="87" t="str">
        <f>IFERROR(INDEX(AGENT_DATABASE!M:M,MATCH(1,(AGENT_DATABASE!B2:B5000="Agent 1")*1,0)+22),"")</f>
        <v/>
      </c>
      <c r="L46" s="89" t="str">
        <f>IFERROR(INDEX(AGENT_DATABASE!K:K,MATCH(1,(AGENT_DATABASE!B2:B5000="Agent 1")*1,0)+22),"")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1")*1,0)+23),"")</f>
        <v/>
      </c>
      <c r="C47" s="94" t="str">
        <f>IFERROR(INDEX(AGENT_DATABASE!C:C,MATCH(1,(AGENT_DATABASE!B2:B5000="Agent 1")*1,0)+23),"")</f>
        <v/>
      </c>
      <c r="D47" s="94" t="str">
        <f>IFERROR(INDEX(AGENT_DATABASE!D:D,MATCH(1,(AGENT_DATABASE!B2:B5000="Agent 1")*1,0)+23),"")</f>
        <v/>
      </c>
      <c r="E47" s="94" t="str">
        <f>IFERROR(INDEX(AGENT_DATABASE!F:F,MATCH(1,(AGENT_DATABASE!B2:B5000="Agent 1")*1,0)+23),"")</f>
        <v/>
      </c>
      <c r="F47" s="95" t="str">
        <f>IFERROR(INDEX(AGENT_DATABASE!G:G,MATCH(1,(AGENT_DATABASE!B2:B5000="Agent 1")*1,0)+23),"")</f>
        <v/>
      </c>
      <c r="G47" s="96" t="str">
        <f>IFERROR(INDEX(AGENT_DATABASE!H:H,MATCH(1,(AGENT_DATABASE!B2:B5000="Agent 1")*1,0)+23),"")</f>
        <v/>
      </c>
      <c r="H47" s="95" t="str">
        <f>IFERROR(INDEX(AGENT_DATABASE!I:I,MATCH(1,(AGENT_DATABASE!B2:B5000="Agent 1")*1,0)+23),"")</f>
        <v/>
      </c>
      <c r="I47" s="92" t="str">
        <f>IFERROR(INDEX(AGENT_DATABASE!J:J,MATCH(1,(AGENT_DATABASE!B2:B5000="Agent 1")*1,0)+23),"")</f>
        <v/>
      </c>
      <c r="J47" s="92" t="str">
        <f>IFERROR(INDEX(AGENT_DATABASE!L:L,MATCH(1,(AGENT_DATABASE!B2:B5000="Agent 1")*1,0)+23),"")</f>
        <v/>
      </c>
      <c r="K47" s="92" t="str">
        <f>IFERROR(INDEX(AGENT_DATABASE!M:M,MATCH(1,(AGENT_DATABASE!B2:B5000="Agent 1")*1,0)+23),"")</f>
        <v/>
      </c>
      <c r="L47" s="94" t="str">
        <f>IFERROR(INDEX(AGENT_DATABASE!K:K,MATCH(1,(AGENT_DATABASE!B2:B5000="Agent 1")*1,0)+23),"")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1")*1,0)+24),"")</f>
        <v/>
      </c>
      <c r="C48" s="89" t="str">
        <f>IFERROR(INDEX(AGENT_DATABASE!C:C,MATCH(1,(AGENT_DATABASE!B2:B5000="Agent 1")*1,0)+24),"")</f>
        <v/>
      </c>
      <c r="D48" s="89" t="str">
        <f>IFERROR(INDEX(AGENT_DATABASE!D:D,MATCH(1,(AGENT_DATABASE!B2:B5000="Agent 1")*1,0)+24),"")</f>
        <v/>
      </c>
      <c r="E48" s="89" t="str">
        <f>IFERROR(INDEX(AGENT_DATABASE!F:F,MATCH(1,(AGENT_DATABASE!B2:B5000="Agent 1")*1,0)+24),"")</f>
        <v/>
      </c>
      <c r="F48" s="90" t="str">
        <f>IFERROR(INDEX(AGENT_DATABASE!G:G,MATCH(1,(AGENT_DATABASE!B2:B5000="Agent 1")*1,0)+24),"")</f>
        <v/>
      </c>
      <c r="G48" s="91" t="str">
        <f>IFERROR(INDEX(AGENT_DATABASE!H:H,MATCH(1,(AGENT_DATABASE!B2:B5000="Agent 1")*1,0)+24),"")</f>
        <v/>
      </c>
      <c r="H48" s="90" t="str">
        <f>IFERROR(INDEX(AGENT_DATABASE!I:I,MATCH(1,(AGENT_DATABASE!B2:B5000="Agent 1")*1,0)+24),"")</f>
        <v/>
      </c>
      <c r="I48" s="87" t="str">
        <f>IFERROR(INDEX(AGENT_DATABASE!J:J,MATCH(1,(AGENT_DATABASE!B2:B5000="Agent 1")*1,0)+24),"")</f>
        <v/>
      </c>
      <c r="J48" s="87" t="str">
        <f>IFERROR(INDEX(AGENT_DATABASE!L:L,MATCH(1,(AGENT_DATABASE!B2:B5000="Agent 1")*1,0)+24),"")</f>
        <v/>
      </c>
      <c r="K48" s="87" t="str">
        <f>IFERROR(INDEX(AGENT_DATABASE!M:M,MATCH(1,(AGENT_DATABASE!B2:B5000="Agent 1")*1,0)+24),"")</f>
        <v/>
      </c>
      <c r="L48" s="89" t="str">
        <f>IFERROR(INDEX(AGENT_DATABASE!K:K,MATCH(1,(AGENT_DATABASE!B2:B5000="Agent 1")*1,0)+24),"")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1")*1,0)+25),"")</f>
        <v/>
      </c>
      <c r="C49" s="94" t="str">
        <f>IFERROR(INDEX(AGENT_DATABASE!C:C,MATCH(1,(AGENT_DATABASE!B2:B5000="Agent 1")*1,0)+25),"")</f>
        <v/>
      </c>
      <c r="D49" s="94" t="str">
        <f>IFERROR(INDEX(AGENT_DATABASE!D:D,MATCH(1,(AGENT_DATABASE!B2:B5000="Agent 1")*1,0)+25),"")</f>
        <v/>
      </c>
      <c r="E49" s="94" t="str">
        <f>IFERROR(INDEX(AGENT_DATABASE!F:F,MATCH(1,(AGENT_DATABASE!B2:B5000="Agent 1")*1,0)+25),"")</f>
        <v/>
      </c>
      <c r="F49" s="95" t="str">
        <f>IFERROR(INDEX(AGENT_DATABASE!G:G,MATCH(1,(AGENT_DATABASE!B2:B5000="Agent 1")*1,0)+25),"")</f>
        <v/>
      </c>
      <c r="G49" s="96" t="str">
        <f>IFERROR(INDEX(AGENT_DATABASE!H:H,MATCH(1,(AGENT_DATABASE!B2:B5000="Agent 1")*1,0)+25),"")</f>
        <v/>
      </c>
      <c r="H49" s="95" t="str">
        <f>IFERROR(INDEX(AGENT_DATABASE!I:I,MATCH(1,(AGENT_DATABASE!B2:B5000="Agent 1")*1,0)+25),"")</f>
        <v/>
      </c>
      <c r="I49" s="92" t="str">
        <f>IFERROR(INDEX(AGENT_DATABASE!J:J,MATCH(1,(AGENT_DATABASE!B2:B5000="Agent 1")*1,0)+25),"")</f>
        <v/>
      </c>
      <c r="J49" s="92" t="str">
        <f>IFERROR(INDEX(AGENT_DATABASE!L:L,MATCH(1,(AGENT_DATABASE!B2:B5000="Agent 1")*1,0)+25),"")</f>
        <v/>
      </c>
      <c r="K49" s="92" t="str">
        <f>IFERROR(INDEX(AGENT_DATABASE!M:M,MATCH(1,(AGENT_DATABASE!B2:B5000="Agent 1")*1,0)+25),"")</f>
        <v/>
      </c>
      <c r="L49" s="94" t="str">
        <f>IFERROR(INDEX(AGENT_DATABASE!K:K,MATCH(1,(AGENT_DATABASE!B2:B5000="Agent 1")*1,0)+25),"")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1")*1,0)+26),"")</f>
        <v/>
      </c>
      <c r="C50" s="89" t="str">
        <f>IFERROR(INDEX(AGENT_DATABASE!C:C,MATCH(1,(AGENT_DATABASE!B2:B5000="Agent 1")*1,0)+26),"")</f>
        <v/>
      </c>
      <c r="D50" s="89" t="str">
        <f>IFERROR(INDEX(AGENT_DATABASE!D:D,MATCH(1,(AGENT_DATABASE!B2:B5000="Agent 1")*1,0)+26),"")</f>
        <v/>
      </c>
      <c r="E50" s="89" t="str">
        <f>IFERROR(INDEX(AGENT_DATABASE!F:F,MATCH(1,(AGENT_DATABASE!B2:B5000="Agent 1")*1,0)+26),"")</f>
        <v/>
      </c>
      <c r="F50" s="90" t="str">
        <f>IFERROR(INDEX(AGENT_DATABASE!G:G,MATCH(1,(AGENT_DATABASE!B2:B5000="Agent 1")*1,0)+26),"")</f>
        <v/>
      </c>
      <c r="G50" s="91" t="str">
        <f>IFERROR(INDEX(AGENT_DATABASE!H:H,MATCH(1,(AGENT_DATABASE!B2:B5000="Agent 1")*1,0)+26),"")</f>
        <v/>
      </c>
      <c r="H50" s="90" t="str">
        <f>IFERROR(INDEX(AGENT_DATABASE!I:I,MATCH(1,(AGENT_DATABASE!B2:B5000="Agent 1")*1,0)+26),"")</f>
        <v/>
      </c>
      <c r="I50" s="87" t="str">
        <f>IFERROR(INDEX(AGENT_DATABASE!J:J,MATCH(1,(AGENT_DATABASE!B2:B5000="Agent 1")*1,0)+26),"")</f>
        <v/>
      </c>
      <c r="J50" s="87" t="str">
        <f>IFERROR(INDEX(AGENT_DATABASE!L:L,MATCH(1,(AGENT_DATABASE!B2:B5000="Agent 1")*1,0)+26),"")</f>
        <v/>
      </c>
      <c r="K50" s="87" t="str">
        <f>IFERROR(INDEX(AGENT_DATABASE!M:M,MATCH(1,(AGENT_DATABASE!B2:B5000="Agent 1")*1,0)+26),"")</f>
        <v/>
      </c>
      <c r="L50" s="89" t="str">
        <f>IFERROR(INDEX(AGENT_DATABASE!K:K,MATCH(1,(AGENT_DATABASE!B2:B5000="Agent 1")*1,0)+26),"")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1")*1,0)+27),"")</f>
        <v/>
      </c>
      <c r="C51" s="94" t="str">
        <f>IFERROR(INDEX(AGENT_DATABASE!C:C,MATCH(1,(AGENT_DATABASE!B2:B5000="Agent 1")*1,0)+27),"")</f>
        <v/>
      </c>
      <c r="D51" s="94" t="str">
        <f>IFERROR(INDEX(AGENT_DATABASE!D:D,MATCH(1,(AGENT_DATABASE!B2:B5000="Agent 1")*1,0)+27),"")</f>
        <v/>
      </c>
      <c r="E51" s="94" t="str">
        <f>IFERROR(INDEX(AGENT_DATABASE!F:F,MATCH(1,(AGENT_DATABASE!B2:B5000="Agent 1")*1,0)+27),"")</f>
        <v/>
      </c>
      <c r="F51" s="95" t="str">
        <f>IFERROR(INDEX(AGENT_DATABASE!G:G,MATCH(1,(AGENT_DATABASE!B2:B5000="Agent 1")*1,0)+27),"")</f>
        <v/>
      </c>
      <c r="G51" s="96" t="str">
        <f>IFERROR(INDEX(AGENT_DATABASE!H:H,MATCH(1,(AGENT_DATABASE!B2:B5000="Agent 1")*1,0)+27),"")</f>
        <v/>
      </c>
      <c r="H51" s="95" t="str">
        <f>IFERROR(INDEX(AGENT_DATABASE!I:I,MATCH(1,(AGENT_DATABASE!B2:B5000="Agent 1")*1,0)+27),"")</f>
        <v/>
      </c>
      <c r="I51" s="92" t="str">
        <f>IFERROR(INDEX(AGENT_DATABASE!J:J,MATCH(1,(AGENT_DATABASE!B2:B5000="Agent 1")*1,0)+27),"")</f>
        <v/>
      </c>
      <c r="J51" s="92" t="str">
        <f>IFERROR(INDEX(AGENT_DATABASE!L:L,MATCH(1,(AGENT_DATABASE!B2:B5000="Agent 1")*1,0)+27),"")</f>
        <v/>
      </c>
      <c r="K51" s="92" t="str">
        <f>IFERROR(INDEX(AGENT_DATABASE!M:M,MATCH(1,(AGENT_DATABASE!B2:B5000="Agent 1")*1,0)+27),"")</f>
        <v/>
      </c>
      <c r="L51" s="94" t="str">
        <f>IFERROR(INDEX(AGENT_DATABASE!K:K,MATCH(1,(AGENT_DATABASE!B2:B5000="Agent 1")*1,0)+27),"")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1")*1,0)+28),"")</f>
        <v/>
      </c>
      <c r="C52" s="89" t="str">
        <f>IFERROR(INDEX(AGENT_DATABASE!C:C,MATCH(1,(AGENT_DATABASE!B2:B5000="Agent 1")*1,0)+28),"")</f>
        <v/>
      </c>
      <c r="D52" s="89" t="str">
        <f>IFERROR(INDEX(AGENT_DATABASE!D:D,MATCH(1,(AGENT_DATABASE!B2:B5000="Agent 1")*1,0)+28),"")</f>
        <v/>
      </c>
      <c r="E52" s="89" t="str">
        <f>IFERROR(INDEX(AGENT_DATABASE!F:F,MATCH(1,(AGENT_DATABASE!B2:B5000="Agent 1")*1,0)+28),"")</f>
        <v/>
      </c>
      <c r="F52" s="90" t="str">
        <f>IFERROR(INDEX(AGENT_DATABASE!G:G,MATCH(1,(AGENT_DATABASE!B2:B5000="Agent 1")*1,0)+28),"")</f>
        <v/>
      </c>
      <c r="G52" s="91" t="str">
        <f>IFERROR(INDEX(AGENT_DATABASE!H:H,MATCH(1,(AGENT_DATABASE!B2:B5000="Agent 1")*1,0)+28),"")</f>
        <v/>
      </c>
      <c r="H52" s="90" t="str">
        <f>IFERROR(INDEX(AGENT_DATABASE!I:I,MATCH(1,(AGENT_DATABASE!B2:B5000="Agent 1")*1,0)+28),"")</f>
        <v/>
      </c>
      <c r="I52" s="87" t="str">
        <f>IFERROR(INDEX(AGENT_DATABASE!J:J,MATCH(1,(AGENT_DATABASE!B2:B5000="Agent 1")*1,0)+28),"")</f>
        <v/>
      </c>
      <c r="J52" s="87" t="str">
        <f>IFERROR(INDEX(AGENT_DATABASE!L:L,MATCH(1,(AGENT_DATABASE!B2:B5000="Agent 1")*1,0)+28),"")</f>
        <v/>
      </c>
      <c r="K52" s="87" t="str">
        <f>IFERROR(INDEX(AGENT_DATABASE!M:M,MATCH(1,(AGENT_DATABASE!B2:B5000="Agent 1")*1,0)+28),"")</f>
        <v/>
      </c>
      <c r="L52" s="89" t="str">
        <f>IFERROR(INDEX(AGENT_DATABASE!K:K,MATCH(1,(AGENT_DATABASE!B2:B5000="Agent 1")*1,0)+28),"")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1")*1,0)+29),"")</f>
        <v/>
      </c>
      <c r="C53" s="94" t="str">
        <f>IFERROR(INDEX(AGENT_DATABASE!C:C,MATCH(1,(AGENT_DATABASE!B2:B5000="Agent 1")*1,0)+29),"")</f>
        <v/>
      </c>
      <c r="D53" s="94" t="str">
        <f>IFERROR(INDEX(AGENT_DATABASE!D:D,MATCH(1,(AGENT_DATABASE!B2:B5000="Agent 1")*1,0)+29),"")</f>
        <v/>
      </c>
      <c r="E53" s="94" t="str">
        <f>IFERROR(INDEX(AGENT_DATABASE!F:F,MATCH(1,(AGENT_DATABASE!B2:B5000="Agent 1")*1,0)+29),"")</f>
        <v/>
      </c>
      <c r="F53" s="95" t="str">
        <f>IFERROR(INDEX(AGENT_DATABASE!G:G,MATCH(1,(AGENT_DATABASE!B2:B5000="Agent 1")*1,0)+29),"")</f>
        <v/>
      </c>
      <c r="G53" s="96" t="str">
        <f>IFERROR(INDEX(AGENT_DATABASE!H:H,MATCH(1,(AGENT_DATABASE!B2:B5000="Agent 1")*1,0)+29),"")</f>
        <v/>
      </c>
      <c r="H53" s="95" t="str">
        <f>IFERROR(INDEX(AGENT_DATABASE!I:I,MATCH(1,(AGENT_DATABASE!B2:B5000="Agent 1")*1,0)+29),"")</f>
        <v/>
      </c>
      <c r="I53" s="92" t="str">
        <f>IFERROR(INDEX(AGENT_DATABASE!J:J,MATCH(1,(AGENT_DATABASE!B2:B5000="Agent 1")*1,0)+29),"")</f>
        <v/>
      </c>
      <c r="J53" s="92" t="str">
        <f>IFERROR(INDEX(AGENT_DATABASE!L:L,MATCH(1,(AGENT_DATABASE!B2:B5000="Agent 1")*1,0)+29),"")</f>
        <v/>
      </c>
      <c r="K53" s="92" t="str">
        <f>IFERROR(INDEX(AGENT_DATABASE!M:M,MATCH(1,(AGENT_DATABASE!B2:B5000="Agent 1")*1,0)+29),"")</f>
        <v/>
      </c>
      <c r="L53" s="94" t="str">
        <f>IFERROR(INDEX(AGENT_DATABASE!K:K,MATCH(1,(AGENT_DATABASE!B2:B5000="Agent 1")*1,0)+29),"")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200-000000000000}">
      <formula1>"Savings Deposit,Withdrawal"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1E6B3A"/>
  </sheetPr>
  <dimension ref="A1:L60"/>
  <sheetViews>
    <sheetView tabSelected="1" workbookViewId="0">
      <pane ySplit="2" topLeftCell="A3" activePane="bottomLeft" state="frozen"/>
      <selection activeCell="C9" sqref="C9"/>
      <selection pane="bottomLeft" activeCell="C9" sqref="C9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161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162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v>3000</v>
      </c>
      <c r="C6" s="132"/>
      <c r="D6" s="135">
        <f ca="1">SUMPRODUCT((AGENT_DATABASE!B2:B5000="Agent 2")*(AGENT_DATABASE!F2:F5000="Loan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2")*(AGENT_DATABASE!F2:F5000="Withdrawal")*(TEXT(AGENT_DATABASE!A2:A5000,"DD/MM/YYYY")=TEXT(TODAY(),"DD/MM/YYYY"))*AGENT_DATABASE!G2:G5000)</f>
        <v>0</v>
      </c>
      <c r="G6" s="132"/>
      <c r="H6" s="135">
        <f ca="1">IFERROR(B6-F6-D6,0)</f>
        <v>3000</v>
      </c>
      <c r="I6" s="132"/>
      <c r="J6" s="136">
        <f ca="1">SUMPRODUCT((AGENT_DATABASE!B2:B5000="Agent 2")*(TEXT(AGENT_DATABASE!A2:A5000,"DD/MM/YYYY")=TEXT(TODAY(),"DD/MM/YYYY"))*1)</f>
        <v>0</v>
      </c>
      <c r="K6" s="132"/>
    </row>
    <row r="7" spans="1:12" ht="27.95" customHeight="1" x14ac:dyDescent="0.25">
      <c r="A7" s="129" t="s">
        <v>163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2")*(AGENT_DATABASE!F2:F5000="Savings Deposit")*(TEXT(AGENT_DATABASE!A2:A5000,"DD/MM/YYYY")=TEXT(TODAY(),"DD/MM/YYYY"))*AGENT_DATABASE!G2:G5000),2)=0,ROUND(E9-SUMPRODUCT((AGENT_DATABASE!B2:B5000="Agent 2")*(AGENT_DATABASE!F2:F5000="Withdrawal")*(TEXT(AGENT_DATABASE!A2:A5000,"DD/MM/YYYY")=TEXT(TODAY(),"DD/MM/YYYY"))*AGENT_DATABASE!G2:G5000),2)=0,ROUND(G9-SUMPRODUCT((AGENT_DATABASE!B2:B5000="Agent 2")*(AGENT_DATABASE!F2:F5000="Loan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2")*1,0)+0),"")</f>
        <v/>
      </c>
      <c r="C24" s="89" t="str">
        <f>IFERROR(INDEX(AGENT_DATABASE!C:C,MATCH(1,(AGENT_DATABASE!B2:B5000="Agent 2")*1,0)+0),"")</f>
        <v/>
      </c>
      <c r="D24" s="89" t="str">
        <f>IFERROR(INDEX(AGENT_DATABASE!D:D,MATCH(1,(AGENT_DATABASE!B2:B5000="Agent 2")*1,0)+0),"")</f>
        <v/>
      </c>
      <c r="E24" s="89" t="str">
        <f>IFERROR(INDEX(AGENT_DATABASE!F:F,MATCH(1,(AGENT_DATABASE!B2:B5000="Agent 2")*1,0)+0),"")</f>
        <v/>
      </c>
      <c r="F24" s="90" t="str">
        <f>IFERROR(INDEX(AGENT_DATABASE!G:G,MATCH(1,(AGENT_DATABASE!B2:B5000="Agent 2")*1,0)+0),"")</f>
        <v/>
      </c>
      <c r="G24" s="91" t="str">
        <f>IFERROR(INDEX(AGENT_DATABASE!H:H,MATCH(1,(AGENT_DATABASE!B2:B5000="Agent 2")*1,0)+0),"")</f>
        <v/>
      </c>
      <c r="H24" s="90" t="str">
        <f>IFERROR(INDEX(AGENT_DATABASE!I:I,MATCH(1,(AGENT_DATABASE!B2:B5000="Agent 2")*1,0)+0),"")</f>
        <v/>
      </c>
      <c r="I24" s="87" t="str">
        <f>IFERROR(INDEX(AGENT_DATABASE!J:J,MATCH(1,(AGENT_DATABASE!B2:B5000="Agent 2")*1,0)+0),"")</f>
        <v/>
      </c>
      <c r="J24" s="87" t="str">
        <f>IFERROR(INDEX(AGENT_DATABASE!L:L,MATCH(1,(AGENT_DATABASE!B2:B5000="Agent 2")*1,0)+0),"")</f>
        <v/>
      </c>
      <c r="K24" s="87" t="str">
        <f>IFERROR(INDEX(AGENT_DATABASE!M:M,MATCH(1,(AGENT_DATABASE!B2:B5000="Agent 2")*1,0)+0),"")</f>
        <v/>
      </c>
      <c r="L24" s="89" t="str">
        <f>IFERROR(INDEX(AGENT_DATABASE!K:K,MATCH(1,(AGENT_DATABASE!B2:B5000="Agent 2")*1,0)+0),"")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2")*1,0)+1),"")</f>
        <v/>
      </c>
      <c r="C25" s="94" t="str">
        <f>IFERROR(INDEX(AGENT_DATABASE!C:C,MATCH(1,(AGENT_DATABASE!B2:B5000="Agent 2")*1,0)+1),"")</f>
        <v/>
      </c>
      <c r="D25" s="94" t="str">
        <f>IFERROR(INDEX(AGENT_DATABASE!D:D,MATCH(1,(AGENT_DATABASE!B2:B5000="Agent 2")*1,0)+1),"")</f>
        <v/>
      </c>
      <c r="E25" s="94" t="str">
        <f>IFERROR(INDEX(AGENT_DATABASE!F:F,MATCH(1,(AGENT_DATABASE!B2:B5000="Agent 2")*1,0)+1),"")</f>
        <v/>
      </c>
      <c r="F25" s="95" t="str">
        <f>IFERROR(INDEX(AGENT_DATABASE!G:G,MATCH(1,(AGENT_DATABASE!B2:B5000="Agent 2")*1,0)+1),"")</f>
        <v/>
      </c>
      <c r="G25" s="96" t="str">
        <f>IFERROR(INDEX(AGENT_DATABASE!H:H,MATCH(1,(AGENT_DATABASE!B2:B5000="Agent 2")*1,0)+1),"")</f>
        <v/>
      </c>
      <c r="H25" s="95" t="str">
        <f>IFERROR(INDEX(AGENT_DATABASE!I:I,MATCH(1,(AGENT_DATABASE!B2:B5000="Agent 2")*1,0)+1),"")</f>
        <v/>
      </c>
      <c r="I25" s="92" t="str">
        <f>IFERROR(INDEX(AGENT_DATABASE!J:J,MATCH(1,(AGENT_DATABASE!B2:B5000="Agent 2")*1,0)+1),"")</f>
        <v/>
      </c>
      <c r="J25" s="92" t="str">
        <f>IFERROR(INDEX(AGENT_DATABASE!L:L,MATCH(1,(AGENT_DATABASE!B2:B5000="Agent 2")*1,0)+1),"")</f>
        <v/>
      </c>
      <c r="K25" s="92" t="str">
        <f>IFERROR(INDEX(AGENT_DATABASE!M:M,MATCH(1,(AGENT_DATABASE!B2:B5000="Agent 2")*1,0)+1),"")</f>
        <v/>
      </c>
      <c r="L25" s="94" t="str">
        <f>IFERROR(INDEX(AGENT_DATABASE!K:K,MATCH(1,(AGENT_DATABASE!B2:B5000="Agent 2")*1,0)+1),"")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2")*1,0)+2),"")</f>
        <v/>
      </c>
      <c r="C26" s="89" t="str">
        <f>IFERROR(INDEX(AGENT_DATABASE!C:C,MATCH(1,(AGENT_DATABASE!B2:B5000="Agent 2")*1,0)+2),"")</f>
        <v/>
      </c>
      <c r="D26" s="89" t="str">
        <f>IFERROR(INDEX(AGENT_DATABASE!D:D,MATCH(1,(AGENT_DATABASE!B2:B5000="Agent 2")*1,0)+2),"")</f>
        <v/>
      </c>
      <c r="E26" s="89" t="str">
        <f>IFERROR(INDEX(AGENT_DATABASE!F:F,MATCH(1,(AGENT_DATABASE!B2:B5000="Agent 2")*1,0)+2),"")</f>
        <v/>
      </c>
      <c r="F26" s="90" t="str">
        <f>IFERROR(INDEX(AGENT_DATABASE!G:G,MATCH(1,(AGENT_DATABASE!B2:B5000="Agent 2")*1,0)+2),"")</f>
        <v/>
      </c>
      <c r="G26" s="91" t="str">
        <f>IFERROR(INDEX(AGENT_DATABASE!H:H,MATCH(1,(AGENT_DATABASE!B2:B5000="Agent 2")*1,0)+2),"")</f>
        <v/>
      </c>
      <c r="H26" s="90" t="str">
        <f>IFERROR(INDEX(AGENT_DATABASE!I:I,MATCH(1,(AGENT_DATABASE!B2:B5000="Agent 2")*1,0)+2),"")</f>
        <v/>
      </c>
      <c r="I26" s="87" t="str">
        <f>IFERROR(INDEX(AGENT_DATABASE!J:J,MATCH(1,(AGENT_DATABASE!B2:B5000="Agent 2")*1,0)+2),"")</f>
        <v/>
      </c>
      <c r="J26" s="87" t="str">
        <f>IFERROR(INDEX(AGENT_DATABASE!L:L,MATCH(1,(AGENT_DATABASE!B2:B5000="Agent 2")*1,0)+2),"")</f>
        <v/>
      </c>
      <c r="K26" s="87" t="str">
        <f>IFERROR(INDEX(AGENT_DATABASE!M:M,MATCH(1,(AGENT_DATABASE!B2:B5000="Agent 2")*1,0)+2),"")</f>
        <v/>
      </c>
      <c r="L26" s="89" t="str">
        <f>IFERROR(INDEX(AGENT_DATABASE!K:K,MATCH(1,(AGENT_DATABASE!B2:B5000="Agent 2")*1,0)+2),"")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2")*1,0)+3),"")</f>
        <v/>
      </c>
      <c r="C27" s="94" t="str">
        <f>IFERROR(INDEX(AGENT_DATABASE!C:C,MATCH(1,(AGENT_DATABASE!B2:B5000="Agent 2")*1,0)+3),"")</f>
        <v/>
      </c>
      <c r="D27" s="94" t="str">
        <f>IFERROR(INDEX(AGENT_DATABASE!D:D,MATCH(1,(AGENT_DATABASE!B2:B5000="Agent 2")*1,0)+3),"")</f>
        <v/>
      </c>
      <c r="E27" s="94" t="str">
        <f>IFERROR(INDEX(AGENT_DATABASE!F:F,MATCH(1,(AGENT_DATABASE!B2:B5000="Agent 2")*1,0)+3),"")</f>
        <v/>
      </c>
      <c r="F27" s="95" t="str">
        <f>IFERROR(INDEX(AGENT_DATABASE!G:G,MATCH(1,(AGENT_DATABASE!B2:B5000="Agent 2")*1,0)+3),"")</f>
        <v/>
      </c>
      <c r="G27" s="96" t="str">
        <f>IFERROR(INDEX(AGENT_DATABASE!H:H,MATCH(1,(AGENT_DATABASE!B2:B5000="Agent 2")*1,0)+3),"")</f>
        <v/>
      </c>
      <c r="H27" s="95" t="str">
        <f>IFERROR(INDEX(AGENT_DATABASE!I:I,MATCH(1,(AGENT_DATABASE!B2:B5000="Agent 2")*1,0)+3),"")</f>
        <v/>
      </c>
      <c r="I27" s="92" t="str">
        <f>IFERROR(INDEX(AGENT_DATABASE!J:J,MATCH(1,(AGENT_DATABASE!B2:B5000="Agent 2")*1,0)+3),"")</f>
        <v/>
      </c>
      <c r="J27" s="92" t="str">
        <f>IFERROR(INDEX(AGENT_DATABASE!L:L,MATCH(1,(AGENT_DATABASE!B2:B5000="Agent 2")*1,0)+3),"")</f>
        <v/>
      </c>
      <c r="K27" s="92" t="str">
        <f>IFERROR(INDEX(AGENT_DATABASE!M:M,MATCH(1,(AGENT_DATABASE!B2:B5000="Agent 2")*1,0)+3),"")</f>
        <v/>
      </c>
      <c r="L27" s="94" t="str">
        <f>IFERROR(INDEX(AGENT_DATABASE!K:K,MATCH(1,(AGENT_DATABASE!B2:B5000="Agent 2")*1,0)+3),"")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2")*1,0)+4),"")</f>
        <v/>
      </c>
      <c r="C28" s="89" t="str">
        <f>IFERROR(INDEX(AGENT_DATABASE!C:C,MATCH(1,(AGENT_DATABASE!B2:B5000="Agent 2")*1,0)+4),"")</f>
        <v/>
      </c>
      <c r="D28" s="89" t="str">
        <f>IFERROR(INDEX(AGENT_DATABASE!D:D,MATCH(1,(AGENT_DATABASE!B2:B5000="Agent 2")*1,0)+4),"")</f>
        <v/>
      </c>
      <c r="E28" s="89" t="str">
        <f>IFERROR(INDEX(AGENT_DATABASE!F:F,MATCH(1,(AGENT_DATABASE!B2:B5000="Agent 2")*1,0)+4),"")</f>
        <v/>
      </c>
      <c r="F28" s="90" t="str">
        <f>IFERROR(INDEX(AGENT_DATABASE!G:G,MATCH(1,(AGENT_DATABASE!B2:B5000="Agent 2")*1,0)+4),"")</f>
        <v/>
      </c>
      <c r="G28" s="91" t="str">
        <f>IFERROR(INDEX(AGENT_DATABASE!H:H,MATCH(1,(AGENT_DATABASE!B2:B5000="Agent 2")*1,0)+4),"")</f>
        <v/>
      </c>
      <c r="H28" s="90" t="str">
        <f>IFERROR(INDEX(AGENT_DATABASE!I:I,MATCH(1,(AGENT_DATABASE!B2:B5000="Agent 2")*1,0)+4),"")</f>
        <v/>
      </c>
      <c r="I28" s="87" t="str">
        <f>IFERROR(INDEX(AGENT_DATABASE!J:J,MATCH(1,(AGENT_DATABASE!B2:B5000="Agent 2")*1,0)+4),"")</f>
        <v/>
      </c>
      <c r="J28" s="87" t="str">
        <f>IFERROR(INDEX(AGENT_DATABASE!L:L,MATCH(1,(AGENT_DATABASE!B2:B5000="Agent 2")*1,0)+4),"")</f>
        <v/>
      </c>
      <c r="K28" s="87" t="str">
        <f>IFERROR(INDEX(AGENT_DATABASE!M:M,MATCH(1,(AGENT_DATABASE!B2:B5000="Agent 2")*1,0)+4),"")</f>
        <v/>
      </c>
      <c r="L28" s="89" t="str">
        <f>IFERROR(INDEX(AGENT_DATABASE!K:K,MATCH(1,(AGENT_DATABASE!B2:B5000="Agent 2")*1,0)+4),"")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2")*1,0)+5),"")</f>
        <v/>
      </c>
      <c r="C29" s="94" t="str">
        <f>IFERROR(INDEX(AGENT_DATABASE!C:C,MATCH(1,(AGENT_DATABASE!B2:B5000="Agent 2")*1,0)+5),"")</f>
        <v/>
      </c>
      <c r="D29" s="94" t="str">
        <f>IFERROR(INDEX(AGENT_DATABASE!D:D,MATCH(1,(AGENT_DATABASE!B2:B5000="Agent 2")*1,0)+5),"")</f>
        <v/>
      </c>
      <c r="E29" s="94" t="str">
        <f>IFERROR(INDEX(AGENT_DATABASE!F:F,MATCH(1,(AGENT_DATABASE!B2:B5000="Agent 2")*1,0)+5),"")</f>
        <v/>
      </c>
      <c r="F29" s="95" t="str">
        <f>IFERROR(INDEX(AGENT_DATABASE!G:G,MATCH(1,(AGENT_DATABASE!B2:B5000="Agent 2")*1,0)+5),"")</f>
        <v/>
      </c>
      <c r="G29" s="96" t="str">
        <f>IFERROR(INDEX(AGENT_DATABASE!H:H,MATCH(1,(AGENT_DATABASE!B2:B5000="Agent 2")*1,0)+5),"")</f>
        <v/>
      </c>
      <c r="H29" s="95" t="str">
        <f>IFERROR(INDEX(AGENT_DATABASE!I:I,MATCH(1,(AGENT_DATABASE!B2:B5000="Agent 2")*1,0)+5),"")</f>
        <v/>
      </c>
      <c r="I29" s="92" t="str">
        <f>IFERROR(INDEX(AGENT_DATABASE!J:J,MATCH(1,(AGENT_DATABASE!B2:B5000="Agent 2")*1,0)+5),"")</f>
        <v/>
      </c>
      <c r="J29" s="92" t="str">
        <f>IFERROR(INDEX(AGENT_DATABASE!L:L,MATCH(1,(AGENT_DATABASE!B2:B5000="Agent 2")*1,0)+5),"")</f>
        <v/>
      </c>
      <c r="K29" s="92" t="str">
        <f>IFERROR(INDEX(AGENT_DATABASE!M:M,MATCH(1,(AGENT_DATABASE!B2:B5000="Agent 2")*1,0)+5),"")</f>
        <v/>
      </c>
      <c r="L29" s="94" t="str">
        <f>IFERROR(INDEX(AGENT_DATABASE!K:K,MATCH(1,(AGENT_DATABASE!B2:B5000="Agent 2")*1,0)+5),"")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2")*1,0)+6),"")</f>
        <v/>
      </c>
      <c r="C30" s="89" t="str">
        <f>IFERROR(INDEX(AGENT_DATABASE!C:C,MATCH(1,(AGENT_DATABASE!B2:B5000="Agent 2")*1,0)+6),"")</f>
        <v/>
      </c>
      <c r="D30" s="89" t="str">
        <f>IFERROR(INDEX(AGENT_DATABASE!D:D,MATCH(1,(AGENT_DATABASE!B2:B5000="Agent 2")*1,0)+6),"")</f>
        <v/>
      </c>
      <c r="E30" s="89" t="str">
        <f>IFERROR(INDEX(AGENT_DATABASE!F:F,MATCH(1,(AGENT_DATABASE!B2:B5000="Agent 2")*1,0)+6),"")</f>
        <v/>
      </c>
      <c r="F30" s="90" t="str">
        <f>IFERROR(INDEX(AGENT_DATABASE!G:G,MATCH(1,(AGENT_DATABASE!B2:B5000="Agent 2")*1,0)+6),"")</f>
        <v/>
      </c>
      <c r="G30" s="91" t="str">
        <f>IFERROR(INDEX(AGENT_DATABASE!H:H,MATCH(1,(AGENT_DATABASE!B2:B5000="Agent 2")*1,0)+6),"")</f>
        <v/>
      </c>
      <c r="H30" s="90" t="str">
        <f>IFERROR(INDEX(AGENT_DATABASE!I:I,MATCH(1,(AGENT_DATABASE!B2:B5000="Agent 2")*1,0)+6),"")</f>
        <v/>
      </c>
      <c r="I30" s="87" t="str">
        <f>IFERROR(INDEX(AGENT_DATABASE!J:J,MATCH(1,(AGENT_DATABASE!B2:B5000="Agent 2")*1,0)+6),"")</f>
        <v/>
      </c>
      <c r="J30" s="87" t="str">
        <f>IFERROR(INDEX(AGENT_DATABASE!L:L,MATCH(1,(AGENT_DATABASE!B2:B5000="Agent 2")*1,0)+6),"")</f>
        <v/>
      </c>
      <c r="K30" s="87" t="str">
        <f>IFERROR(INDEX(AGENT_DATABASE!M:M,MATCH(1,(AGENT_DATABASE!B2:B5000="Agent 2")*1,0)+6),"")</f>
        <v/>
      </c>
      <c r="L30" s="89" t="str">
        <f>IFERROR(INDEX(AGENT_DATABASE!K:K,MATCH(1,(AGENT_DATABASE!B2:B5000="Agent 2")*1,0)+6),"")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2")*1,0)+7),"")</f>
        <v/>
      </c>
      <c r="C31" s="94" t="str">
        <f>IFERROR(INDEX(AGENT_DATABASE!C:C,MATCH(1,(AGENT_DATABASE!B2:B5000="Agent 2")*1,0)+7),"")</f>
        <v/>
      </c>
      <c r="D31" s="94" t="str">
        <f>IFERROR(INDEX(AGENT_DATABASE!D:D,MATCH(1,(AGENT_DATABASE!B2:B5000="Agent 2")*1,0)+7),"")</f>
        <v/>
      </c>
      <c r="E31" s="94" t="str">
        <f>IFERROR(INDEX(AGENT_DATABASE!F:F,MATCH(1,(AGENT_DATABASE!B2:B5000="Agent 2")*1,0)+7),"")</f>
        <v/>
      </c>
      <c r="F31" s="95" t="str">
        <f>IFERROR(INDEX(AGENT_DATABASE!G:G,MATCH(1,(AGENT_DATABASE!B2:B5000="Agent 2")*1,0)+7),"")</f>
        <v/>
      </c>
      <c r="G31" s="96" t="str">
        <f>IFERROR(INDEX(AGENT_DATABASE!H:H,MATCH(1,(AGENT_DATABASE!B2:B5000="Agent 2")*1,0)+7),"")</f>
        <v/>
      </c>
      <c r="H31" s="95" t="str">
        <f>IFERROR(INDEX(AGENT_DATABASE!I:I,MATCH(1,(AGENT_DATABASE!B2:B5000="Agent 2")*1,0)+7),"")</f>
        <v/>
      </c>
      <c r="I31" s="92" t="str">
        <f>IFERROR(INDEX(AGENT_DATABASE!J:J,MATCH(1,(AGENT_DATABASE!B2:B5000="Agent 2")*1,0)+7),"")</f>
        <v/>
      </c>
      <c r="J31" s="92" t="str">
        <f>IFERROR(INDEX(AGENT_DATABASE!L:L,MATCH(1,(AGENT_DATABASE!B2:B5000="Agent 2")*1,0)+7),"")</f>
        <v/>
      </c>
      <c r="K31" s="92" t="str">
        <f>IFERROR(INDEX(AGENT_DATABASE!M:M,MATCH(1,(AGENT_DATABASE!B2:B5000="Agent 2")*1,0)+7),"")</f>
        <v/>
      </c>
      <c r="L31" s="94" t="str">
        <f>IFERROR(INDEX(AGENT_DATABASE!K:K,MATCH(1,(AGENT_DATABASE!B2:B5000="Agent 2")*1,0)+7),"")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2")*1,0)+8),"")</f>
        <v/>
      </c>
      <c r="C32" s="89" t="str">
        <f>IFERROR(INDEX(AGENT_DATABASE!C:C,MATCH(1,(AGENT_DATABASE!B2:B5000="Agent 2")*1,0)+8),"")</f>
        <v/>
      </c>
      <c r="D32" s="89" t="str">
        <f>IFERROR(INDEX(AGENT_DATABASE!D:D,MATCH(1,(AGENT_DATABASE!B2:B5000="Agent 2")*1,0)+8),"")</f>
        <v/>
      </c>
      <c r="E32" s="89" t="str">
        <f>IFERROR(INDEX(AGENT_DATABASE!F:F,MATCH(1,(AGENT_DATABASE!B2:B5000="Agent 2")*1,0)+8),"")</f>
        <v/>
      </c>
      <c r="F32" s="90" t="str">
        <f>IFERROR(INDEX(AGENT_DATABASE!G:G,MATCH(1,(AGENT_DATABASE!B2:B5000="Agent 2")*1,0)+8),"")</f>
        <v/>
      </c>
      <c r="G32" s="91" t="str">
        <f>IFERROR(INDEX(AGENT_DATABASE!H:H,MATCH(1,(AGENT_DATABASE!B2:B5000="Agent 2")*1,0)+8),"")</f>
        <v/>
      </c>
      <c r="H32" s="90" t="str">
        <f>IFERROR(INDEX(AGENT_DATABASE!I:I,MATCH(1,(AGENT_DATABASE!B2:B5000="Agent 2")*1,0)+8),"")</f>
        <v/>
      </c>
      <c r="I32" s="87" t="str">
        <f>IFERROR(INDEX(AGENT_DATABASE!J:J,MATCH(1,(AGENT_DATABASE!B2:B5000="Agent 2")*1,0)+8),"")</f>
        <v/>
      </c>
      <c r="J32" s="87" t="str">
        <f>IFERROR(INDEX(AGENT_DATABASE!L:L,MATCH(1,(AGENT_DATABASE!B2:B5000="Agent 2")*1,0)+8),"")</f>
        <v/>
      </c>
      <c r="K32" s="87" t="str">
        <f>IFERROR(INDEX(AGENT_DATABASE!M:M,MATCH(1,(AGENT_DATABASE!B2:B5000="Agent 2")*1,0)+8),"")</f>
        <v/>
      </c>
      <c r="L32" s="89" t="str">
        <f>IFERROR(INDEX(AGENT_DATABASE!K:K,MATCH(1,(AGENT_DATABASE!B2:B5000="Agent 2")*1,0)+8),"")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2")*1,0)+9),"")</f>
        <v/>
      </c>
      <c r="C33" s="94" t="str">
        <f>IFERROR(INDEX(AGENT_DATABASE!C:C,MATCH(1,(AGENT_DATABASE!B2:B5000="Agent 2")*1,0)+9),"")</f>
        <v/>
      </c>
      <c r="D33" s="94" t="str">
        <f>IFERROR(INDEX(AGENT_DATABASE!D:D,MATCH(1,(AGENT_DATABASE!B2:B5000="Agent 2")*1,0)+9),"")</f>
        <v/>
      </c>
      <c r="E33" s="94" t="str">
        <f>IFERROR(INDEX(AGENT_DATABASE!F:F,MATCH(1,(AGENT_DATABASE!B2:B5000="Agent 2")*1,0)+9),"")</f>
        <v/>
      </c>
      <c r="F33" s="95" t="str">
        <f>IFERROR(INDEX(AGENT_DATABASE!G:G,MATCH(1,(AGENT_DATABASE!B2:B5000="Agent 2")*1,0)+9),"")</f>
        <v/>
      </c>
      <c r="G33" s="96" t="str">
        <f>IFERROR(INDEX(AGENT_DATABASE!H:H,MATCH(1,(AGENT_DATABASE!B2:B5000="Agent 2")*1,0)+9),"")</f>
        <v/>
      </c>
      <c r="H33" s="95" t="str">
        <f>IFERROR(INDEX(AGENT_DATABASE!I:I,MATCH(1,(AGENT_DATABASE!B2:B5000="Agent 2")*1,0)+9),"")</f>
        <v/>
      </c>
      <c r="I33" s="92" t="str">
        <f>IFERROR(INDEX(AGENT_DATABASE!J:J,MATCH(1,(AGENT_DATABASE!B2:B5000="Agent 2")*1,0)+9),"")</f>
        <v/>
      </c>
      <c r="J33" s="92" t="str">
        <f>IFERROR(INDEX(AGENT_DATABASE!L:L,MATCH(1,(AGENT_DATABASE!B2:B5000="Agent 2")*1,0)+9),"")</f>
        <v/>
      </c>
      <c r="K33" s="92" t="str">
        <f>IFERROR(INDEX(AGENT_DATABASE!M:M,MATCH(1,(AGENT_DATABASE!B2:B5000="Agent 2")*1,0)+9),"")</f>
        <v/>
      </c>
      <c r="L33" s="94" t="str">
        <f>IFERROR(INDEX(AGENT_DATABASE!K:K,MATCH(1,(AGENT_DATABASE!B2:B5000="Agent 2")*1,0)+9),"")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2")*1,0)+10),"")</f>
        <v/>
      </c>
      <c r="C34" s="89" t="str">
        <f>IFERROR(INDEX(AGENT_DATABASE!C:C,MATCH(1,(AGENT_DATABASE!B2:B5000="Agent 2")*1,0)+10),"")</f>
        <v/>
      </c>
      <c r="D34" s="89" t="str">
        <f>IFERROR(INDEX(AGENT_DATABASE!D:D,MATCH(1,(AGENT_DATABASE!B2:B5000="Agent 2")*1,0)+10),"")</f>
        <v/>
      </c>
      <c r="E34" s="89" t="str">
        <f>IFERROR(INDEX(AGENT_DATABASE!F:F,MATCH(1,(AGENT_DATABASE!B2:B5000="Agent 2")*1,0)+10),"")</f>
        <v/>
      </c>
      <c r="F34" s="90" t="str">
        <f>IFERROR(INDEX(AGENT_DATABASE!G:G,MATCH(1,(AGENT_DATABASE!B2:B5000="Agent 2")*1,0)+10),"")</f>
        <v/>
      </c>
      <c r="G34" s="91" t="str">
        <f>IFERROR(INDEX(AGENT_DATABASE!H:H,MATCH(1,(AGENT_DATABASE!B2:B5000="Agent 2")*1,0)+10),"")</f>
        <v/>
      </c>
      <c r="H34" s="90" t="str">
        <f>IFERROR(INDEX(AGENT_DATABASE!I:I,MATCH(1,(AGENT_DATABASE!B2:B5000="Agent 2")*1,0)+10),"")</f>
        <v/>
      </c>
      <c r="I34" s="87" t="str">
        <f>IFERROR(INDEX(AGENT_DATABASE!J:J,MATCH(1,(AGENT_DATABASE!B2:B5000="Agent 2")*1,0)+10),"")</f>
        <v/>
      </c>
      <c r="J34" s="87" t="str">
        <f>IFERROR(INDEX(AGENT_DATABASE!L:L,MATCH(1,(AGENT_DATABASE!B2:B5000="Agent 2")*1,0)+10),"")</f>
        <v/>
      </c>
      <c r="K34" s="87" t="str">
        <f>IFERROR(INDEX(AGENT_DATABASE!M:M,MATCH(1,(AGENT_DATABASE!B2:B5000="Agent 2")*1,0)+10),"")</f>
        <v/>
      </c>
      <c r="L34" s="89" t="str">
        <f>IFERROR(INDEX(AGENT_DATABASE!K:K,MATCH(1,(AGENT_DATABASE!B2:B5000="Agent 2")*1,0)+10),"")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2")*1,0)+11),"")</f>
        <v/>
      </c>
      <c r="C35" s="94" t="str">
        <f>IFERROR(INDEX(AGENT_DATABASE!C:C,MATCH(1,(AGENT_DATABASE!B2:B5000="Agent 2")*1,0)+11),"")</f>
        <v/>
      </c>
      <c r="D35" s="94" t="str">
        <f>IFERROR(INDEX(AGENT_DATABASE!D:D,MATCH(1,(AGENT_DATABASE!B2:B5000="Agent 2")*1,0)+11),"")</f>
        <v/>
      </c>
      <c r="E35" s="94" t="str">
        <f>IFERROR(INDEX(AGENT_DATABASE!F:F,MATCH(1,(AGENT_DATABASE!B2:B5000="Agent 2")*1,0)+11),"")</f>
        <v/>
      </c>
      <c r="F35" s="95" t="str">
        <f>IFERROR(INDEX(AGENT_DATABASE!G:G,MATCH(1,(AGENT_DATABASE!B2:B5000="Agent 2")*1,0)+11),"")</f>
        <v/>
      </c>
      <c r="G35" s="96" t="str">
        <f>IFERROR(INDEX(AGENT_DATABASE!H:H,MATCH(1,(AGENT_DATABASE!B2:B5000="Agent 2")*1,0)+11),"")</f>
        <v/>
      </c>
      <c r="H35" s="95" t="str">
        <f>IFERROR(INDEX(AGENT_DATABASE!I:I,MATCH(1,(AGENT_DATABASE!B2:B5000="Agent 2")*1,0)+11),"")</f>
        <v/>
      </c>
      <c r="I35" s="92" t="str">
        <f>IFERROR(INDEX(AGENT_DATABASE!J:J,MATCH(1,(AGENT_DATABASE!B2:B5000="Agent 2")*1,0)+11),"")</f>
        <v/>
      </c>
      <c r="J35" s="92" t="str">
        <f>IFERROR(INDEX(AGENT_DATABASE!L:L,MATCH(1,(AGENT_DATABASE!B2:B5000="Agent 2")*1,0)+11),"")</f>
        <v/>
      </c>
      <c r="K35" s="92" t="str">
        <f>IFERROR(INDEX(AGENT_DATABASE!M:M,MATCH(1,(AGENT_DATABASE!B2:B5000="Agent 2")*1,0)+11),"")</f>
        <v/>
      </c>
      <c r="L35" s="94" t="str">
        <f>IFERROR(INDEX(AGENT_DATABASE!K:K,MATCH(1,(AGENT_DATABASE!B2:B5000="Agent 2")*1,0)+11),"")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2")*1,0)+12),"")</f>
        <v/>
      </c>
      <c r="C36" s="89" t="str">
        <f>IFERROR(INDEX(AGENT_DATABASE!C:C,MATCH(1,(AGENT_DATABASE!B2:B5000="Agent 2")*1,0)+12),"")</f>
        <v/>
      </c>
      <c r="D36" s="89" t="str">
        <f>IFERROR(INDEX(AGENT_DATABASE!D:D,MATCH(1,(AGENT_DATABASE!B2:B5000="Agent 2")*1,0)+12),"")</f>
        <v/>
      </c>
      <c r="E36" s="89" t="str">
        <f>IFERROR(INDEX(AGENT_DATABASE!F:F,MATCH(1,(AGENT_DATABASE!B2:B5000="Agent 2")*1,0)+12),"")</f>
        <v/>
      </c>
      <c r="F36" s="90" t="str">
        <f>IFERROR(INDEX(AGENT_DATABASE!G:G,MATCH(1,(AGENT_DATABASE!B2:B5000="Agent 2")*1,0)+12),"")</f>
        <v/>
      </c>
      <c r="G36" s="91" t="str">
        <f>IFERROR(INDEX(AGENT_DATABASE!H:H,MATCH(1,(AGENT_DATABASE!B2:B5000="Agent 2")*1,0)+12),"")</f>
        <v/>
      </c>
      <c r="H36" s="90" t="str">
        <f>IFERROR(INDEX(AGENT_DATABASE!I:I,MATCH(1,(AGENT_DATABASE!B2:B5000="Agent 2")*1,0)+12),"")</f>
        <v/>
      </c>
      <c r="I36" s="87" t="str">
        <f>IFERROR(INDEX(AGENT_DATABASE!J:J,MATCH(1,(AGENT_DATABASE!B2:B5000="Agent 2")*1,0)+12),"")</f>
        <v/>
      </c>
      <c r="J36" s="87" t="str">
        <f>IFERROR(INDEX(AGENT_DATABASE!L:L,MATCH(1,(AGENT_DATABASE!B2:B5000="Agent 2")*1,0)+12),"")</f>
        <v/>
      </c>
      <c r="K36" s="87" t="str">
        <f>IFERROR(INDEX(AGENT_DATABASE!M:M,MATCH(1,(AGENT_DATABASE!B2:B5000="Agent 2")*1,0)+12),"")</f>
        <v/>
      </c>
      <c r="L36" s="89" t="str">
        <f>IFERROR(INDEX(AGENT_DATABASE!K:K,MATCH(1,(AGENT_DATABASE!B2:B5000="Agent 2")*1,0)+12),"")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2")*1,0)+13),"")</f>
        <v/>
      </c>
      <c r="C37" s="94" t="str">
        <f>IFERROR(INDEX(AGENT_DATABASE!C:C,MATCH(1,(AGENT_DATABASE!B2:B5000="Agent 2")*1,0)+13),"")</f>
        <v/>
      </c>
      <c r="D37" s="94" t="str">
        <f>IFERROR(INDEX(AGENT_DATABASE!D:D,MATCH(1,(AGENT_DATABASE!B2:B5000="Agent 2")*1,0)+13),"")</f>
        <v/>
      </c>
      <c r="E37" s="94" t="str">
        <f>IFERROR(INDEX(AGENT_DATABASE!F:F,MATCH(1,(AGENT_DATABASE!B2:B5000="Agent 2")*1,0)+13),"")</f>
        <v/>
      </c>
      <c r="F37" s="95" t="str">
        <f>IFERROR(INDEX(AGENT_DATABASE!G:G,MATCH(1,(AGENT_DATABASE!B2:B5000="Agent 2")*1,0)+13),"")</f>
        <v/>
      </c>
      <c r="G37" s="96" t="str">
        <f>IFERROR(INDEX(AGENT_DATABASE!H:H,MATCH(1,(AGENT_DATABASE!B2:B5000="Agent 2")*1,0)+13),"")</f>
        <v/>
      </c>
      <c r="H37" s="95" t="str">
        <f>IFERROR(INDEX(AGENT_DATABASE!I:I,MATCH(1,(AGENT_DATABASE!B2:B5000="Agent 2")*1,0)+13),"")</f>
        <v/>
      </c>
      <c r="I37" s="92" t="str">
        <f>IFERROR(INDEX(AGENT_DATABASE!J:J,MATCH(1,(AGENT_DATABASE!B2:B5000="Agent 2")*1,0)+13),"")</f>
        <v/>
      </c>
      <c r="J37" s="92" t="str">
        <f>IFERROR(INDEX(AGENT_DATABASE!L:L,MATCH(1,(AGENT_DATABASE!B2:B5000="Agent 2")*1,0)+13),"")</f>
        <v/>
      </c>
      <c r="K37" s="92" t="str">
        <f>IFERROR(INDEX(AGENT_DATABASE!M:M,MATCH(1,(AGENT_DATABASE!B2:B5000="Agent 2")*1,0)+13),"")</f>
        <v/>
      </c>
      <c r="L37" s="94" t="str">
        <f>IFERROR(INDEX(AGENT_DATABASE!K:K,MATCH(1,(AGENT_DATABASE!B2:B5000="Agent 2")*1,0)+13),"")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2")*1,0)+14),"")</f>
        <v/>
      </c>
      <c r="C38" s="89" t="str">
        <f>IFERROR(INDEX(AGENT_DATABASE!C:C,MATCH(1,(AGENT_DATABASE!B2:B5000="Agent 2")*1,0)+14),"")</f>
        <v/>
      </c>
      <c r="D38" s="89" t="str">
        <f>IFERROR(INDEX(AGENT_DATABASE!D:D,MATCH(1,(AGENT_DATABASE!B2:B5000="Agent 2")*1,0)+14),"")</f>
        <v/>
      </c>
      <c r="E38" s="89" t="str">
        <f>IFERROR(INDEX(AGENT_DATABASE!F:F,MATCH(1,(AGENT_DATABASE!B2:B5000="Agent 2")*1,0)+14),"")</f>
        <v/>
      </c>
      <c r="F38" s="90" t="str">
        <f>IFERROR(INDEX(AGENT_DATABASE!G:G,MATCH(1,(AGENT_DATABASE!B2:B5000="Agent 2")*1,0)+14),"")</f>
        <v/>
      </c>
      <c r="G38" s="91" t="str">
        <f>IFERROR(INDEX(AGENT_DATABASE!H:H,MATCH(1,(AGENT_DATABASE!B2:B5000="Agent 2")*1,0)+14),"")</f>
        <v/>
      </c>
      <c r="H38" s="90" t="str">
        <f>IFERROR(INDEX(AGENT_DATABASE!I:I,MATCH(1,(AGENT_DATABASE!B2:B5000="Agent 2")*1,0)+14),"")</f>
        <v/>
      </c>
      <c r="I38" s="87" t="str">
        <f>IFERROR(INDEX(AGENT_DATABASE!J:J,MATCH(1,(AGENT_DATABASE!B2:B5000="Agent 2")*1,0)+14),"")</f>
        <v/>
      </c>
      <c r="J38" s="87" t="str">
        <f>IFERROR(INDEX(AGENT_DATABASE!L:L,MATCH(1,(AGENT_DATABASE!B2:B5000="Agent 2")*1,0)+14),"")</f>
        <v/>
      </c>
      <c r="K38" s="87" t="str">
        <f>IFERROR(INDEX(AGENT_DATABASE!M:M,MATCH(1,(AGENT_DATABASE!B2:B5000="Agent 2")*1,0)+14),"")</f>
        <v/>
      </c>
      <c r="L38" s="89" t="str">
        <f>IFERROR(INDEX(AGENT_DATABASE!K:K,MATCH(1,(AGENT_DATABASE!B2:B5000="Agent 2")*1,0)+14),"")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2")*1,0)+15),"")</f>
        <v/>
      </c>
      <c r="C39" s="94" t="str">
        <f>IFERROR(INDEX(AGENT_DATABASE!C:C,MATCH(1,(AGENT_DATABASE!B2:B5000="Agent 2")*1,0)+15),"")</f>
        <v/>
      </c>
      <c r="D39" s="94" t="str">
        <f>IFERROR(INDEX(AGENT_DATABASE!D:D,MATCH(1,(AGENT_DATABASE!B2:B5000="Agent 2")*1,0)+15),"")</f>
        <v/>
      </c>
      <c r="E39" s="94" t="str">
        <f>IFERROR(INDEX(AGENT_DATABASE!F:F,MATCH(1,(AGENT_DATABASE!B2:B5000="Agent 2")*1,0)+15),"")</f>
        <v/>
      </c>
      <c r="F39" s="95" t="str">
        <f>IFERROR(INDEX(AGENT_DATABASE!G:G,MATCH(1,(AGENT_DATABASE!B2:B5000="Agent 2")*1,0)+15),"")</f>
        <v/>
      </c>
      <c r="G39" s="96" t="str">
        <f>IFERROR(INDEX(AGENT_DATABASE!H:H,MATCH(1,(AGENT_DATABASE!B2:B5000="Agent 2")*1,0)+15),"")</f>
        <v/>
      </c>
      <c r="H39" s="95" t="str">
        <f>IFERROR(INDEX(AGENT_DATABASE!I:I,MATCH(1,(AGENT_DATABASE!B2:B5000="Agent 2")*1,0)+15),"")</f>
        <v/>
      </c>
      <c r="I39" s="92" t="str">
        <f>IFERROR(INDEX(AGENT_DATABASE!J:J,MATCH(1,(AGENT_DATABASE!B2:B5000="Agent 2")*1,0)+15),"")</f>
        <v/>
      </c>
      <c r="J39" s="92" t="str">
        <f>IFERROR(INDEX(AGENT_DATABASE!L:L,MATCH(1,(AGENT_DATABASE!B2:B5000="Agent 2")*1,0)+15),"")</f>
        <v/>
      </c>
      <c r="K39" s="92" t="str">
        <f>IFERROR(INDEX(AGENT_DATABASE!M:M,MATCH(1,(AGENT_DATABASE!B2:B5000="Agent 2")*1,0)+15),"")</f>
        <v/>
      </c>
      <c r="L39" s="94" t="str">
        <f>IFERROR(INDEX(AGENT_DATABASE!K:K,MATCH(1,(AGENT_DATABASE!B2:B5000="Agent 2")*1,0)+15),"")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2")*1,0)+16),"")</f>
        <v/>
      </c>
      <c r="C40" s="89" t="str">
        <f>IFERROR(INDEX(AGENT_DATABASE!C:C,MATCH(1,(AGENT_DATABASE!B2:B5000="Agent 2")*1,0)+16),"")</f>
        <v/>
      </c>
      <c r="D40" s="89" t="str">
        <f>IFERROR(INDEX(AGENT_DATABASE!D:D,MATCH(1,(AGENT_DATABASE!B2:B5000="Agent 2")*1,0)+16),"")</f>
        <v/>
      </c>
      <c r="E40" s="89" t="str">
        <f>IFERROR(INDEX(AGENT_DATABASE!F:F,MATCH(1,(AGENT_DATABASE!B2:B5000="Agent 2")*1,0)+16),"")</f>
        <v/>
      </c>
      <c r="F40" s="90" t="str">
        <f>IFERROR(INDEX(AGENT_DATABASE!G:G,MATCH(1,(AGENT_DATABASE!B2:B5000="Agent 2")*1,0)+16),"")</f>
        <v/>
      </c>
      <c r="G40" s="91" t="str">
        <f>IFERROR(INDEX(AGENT_DATABASE!H:H,MATCH(1,(AGENT_DATABASE!B2:B5000="Agent 2")*1,0)+16),"")</f>
        <v/>
      </c>
      <c r="H40" s="90" t="str">
        <f>IFERROR(INDEX(AGENT_DATABASE!I:I,MATCH(1,(AGENT_DATABASE!B2:B5000="Agent 2")*1,0)+16),"")</f>
        <v/>
      </c>
      <c r="I40" s="87" t="str">
        <f>IFERROR(INDEX(AGENT_DATABASE!J:J,MATCH(1,(AGENT_DATABASE!B2:B5000="Agent 2")*1,0)+16),"")</f>
        <v/>
      </c>
      <c r="J40" s="87" t="str">
        <f>IFERROR(INDEX(AGENT_DATABASE!L:L,MATCH(1,(AGENT_DATABASE!B2:B5000="Agent 2")*1,0)+16),"")</f>
        <v/>
      </c>
      <c r="K40" s="87" t="str">
        <f>IFERROR(INDEX(AGENT_DATABASE!M:M,MATCH(1,(AGENT_DATABASE!B2:B5000="Agent 2")*1,0)+16),"")</f>
        <v/>
      </c>
      <c r="L40" s="89" t="str">
        <f>IFERROR(INDEX(AGENT_DATABASE!K:K,MATCH(1,(AGENT_DATABASE!B2:B5000="Agent 2")*1,0)+16),"")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2")*1,0)+17),"")</f>
        <v/>
      </c>
      <c r="C41" s="94" t="str">
        <f>IFERROR(INDEX(AGENT_DATABASE!C:C,MATCH(1,(AGENT_DATABASE!B2:B5000="Agent 2")*1,0)+17),"")</f>
        <v/>
      </c>
      <c r="D41" s="94" t="str">
        <f>IFERROR(INDEX(AGENT_DATABASE!D:D,MATCH(1,(AGENT_DATABASE!B2:B5000="Agent 2")*1,0)+17),"")</f>
        <v/>
      </c>
      <c r="E41" s="94" t="str">
        <f>IFERROR(INDEX(AGENT_DATABASE!F:F,MATCH(1,(AGENT_DATABASE!B2:B5000="Agent 2")*1,0)+17),"")</f>
        <v/>
      </c>
      <c r="F41" s="95" t="str">
        <f>IFERROR(INDEX(AGENT_DATABASE!G:G,MATCH(1,(AGENT_DATABASE!B2:B5000="Agent 2")*1,0)+17),"")</f>
        <v/>
      </c>
      <c r="G41" s="96" t="str">
        <f>IFERROR(INDEX(AGENT_DATABASE!H:H,MATCH(1,(AGENT_DATABASE!B2:B5000="Agent 2")*1,0)+17),"")</f>
        <v/>
      </c>
      <c r="H41" s="95" t="str">
        <f>IFERROR(INDEX(AGENT_DATABASE!I:I,MATCH(1,(AGENT_DATABASE!B2:B5000="Agent 2")*1,0)+17),"")</f>
        <v/>
      </c>
      <c r="I41" s="92" t="str">
        <f>IFERROR(INDEX(AGENT_DATABASE!J:J,MATCH(1,(AGENT_DATABASE!B2:B5000="Agent 2")*1,0)+17),"")</f>
        <v/>
      </c>
      <c r="J41" s="92" t="str">
        <f>IFERROR(INDEX(AGENT_DATABASE!L:L,MATCH(1,(AGENT_DATABASE!B2:B5000="Agent 2")*1,0)+17),"")</f>
        <v/>
      </c>
      <c r="K41" s="92" t="str">
        <f>IFERROR(INDEX(AGENT_DATABASE!M:M,MATCH(1,(AGENT_DATABASE!B2:B5000="Agent 2")*1,0)+17),"")</f>
        <v/>
      </c>
      <c r="L41" s="94" t="str">
        <f>IFERROR(INDEX(AGENT_DATABASE!K:K,MATCH(1,(AGENT_DATABASE!B2:B5000="Agent 2")*1,0)+17),"")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2")*1,0)+18),"")</f>
        <v/>
      </c>
      <c r="C42" s="89" t="str">
        <f>IFERROR(INDEX(AGENT_DATABASE!C:C,MATCH(1,(AGENT_DATABASE!B2:B5000="Agent 2")*1,0)+18),"")</f>
        <v/>
      </c>
      <c r="D42" s="89" t="str">
        <f>IFERROR(INDEX(AGENT_DATABASE!D:D,MATCH(1,(AGENT_DATABASE!B2:B5000="Agent 2")*1,0)+18),"")</f>
        <v/>
      </c>
      <c r="E42" s="89" t="str">
        <f>IFERROR(INDEX(AGENT_DATABASE!F:F,MATCH(1,(AGENT_DATABASE!B2:B5000="Agent 2")*1,0)+18),"")</f>
        <v/>
      </c>
      <c r="F42" s="90" t="str">
        <f>IFERROR(INDEX(AGENT_DATABASE!G:G,MATCH(1,(AGENT_DATABASE!B2:B5000="Agent 2")*1,0)+18),"")</f>
        <v/>
      </c>
      <c r="G42" s="91" t="str">
        <f>IFERROR(INDEX(AGENT_DATABASE!H:H,MATCH(1,(AGENT_DATABASE!B2:B5000="Agent 2")*1,0)+18),"")</f>
        <v/>
      </c>
      <c r="H42" s="90" t="str">
        <f>IFERROR(INDEX(AGENT_DATABASE!I:I,MATCH(1,(AGENT_DATABASE!B2:B5000="Agent 2")*1,0)+18),"")</f>
        <v/>
      </c>
      <c r="I42" s="87" t="str">
        <f>IFERROR(INDEX(AGENT_DATABASE!J:J,MATCH(1,(AGENT_DATABASE!B2:B5000="Agent 2")*1,0)+18),"")</f>
        <v/>
      </c>
      <c r="J42" s="87" t="str">
        <f>IFERROR(INDEX(AGENT_DATABASE!L:L,MATCH(1,(AGENT_DATABASE!B2:B5000="Agent 2")*1,0)+18),"")</f>
        <v/>
      </c>
      <c r="K42" s="87" t="str">
        <f>IFERROR(INDEX(AGENT_DATABASE!M:M,MATCH(1,(AGENT_DATABASE!B2:B5000="Agent 2")*1,0)+18),"")</f>
        <v/>
      </c>
      <c r="L42" s="89" t="str">
        <f>IFERROR(INDEX(AGENT_DATABASE!K:K,MATCH(1,(AGENT_DATABASE!B2:B5000="Agent 2")*1,0)+18),"")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2")*1,0)+19),"")</f>
        <v/>
      </c>
      <c r="C43" s="94" t="str">
        <f>IFERROR(INDEX(AGENT_DATABASE!C:C,MATCH(1,(AGENT_DATABASE!B2:B5000="Agent 2")*1,0)+19),"")</f>
        <v/>
      </c>
      <c r="D43" s="94" t="str">
        <f>IFERROR(INDEX(AGENT_DATABASE!D:D,MATCH(1,(AGENT_DATABASE!B2:B5000="Agent 2")*1,0)+19),"")</f>
        <v/>
      </c>
      <c r="E43" s="94" t="str">
        <f>IFERROR(INDEX(AGENT_DATABASE!F:F,MATCH(1,(AGENT_DATABASE!B2:B5000="Agent 2")*1,0)+19),"")</f>
        <v/>
      </c>
      <c r="F43" s="95" t="str">
        <f>IFERROR(INDEX(AGENT_DATABASE!G:G,MATCH(1,(AGENT_DATABASE!B2:B5000="Agent 2")*1,0)+19),"")</f>
        <v/>
      </c>
      <c r="G43" s="96" t="str">
        <f>IFERROR(INDEX(AGENT_DATABASE!H:H,MATCH(1,(AGENT_DATABASE!B2:B5000="Agent 2")*1,0)+19),"")</f>
        <v/>
      </c>
      <c r="H43" s="95" t="str">
        <f>IFERROR(INDEX(AGENT_DATABASE!I:I,MATCH(1,(AGENT_DATABASE!B2:B5000="Agent 2")*1,0)+19),"")</f>
        <v/>
      </c>
      <c r="I43" s="92" t="str">
        <f>IFERROR(INDEX(AGENT_DATABASE!J:J,MATCH(1,(AGENT_DATABASE!B2:B5000="Agent 2")*1,0)+19),"")</f>
        <v/>
      </c>
      <c r="J43" s="92" t="str">
        <f>IFERROR(INDEX(AGENT_DATABASE!L:L,MATCH(1,(AGENT_DATABASE!B2:B5000="Agent 2")*1,0)+19),"")</f>
        <v/>
      </c>
      <c r="K43" s="92" t="str">
        <f>IFERROR(INDEX(AGENT_DATABASE!M:M,MATCH(1,(AGENT_DATABASE!B2:B5000="Agent 2")*1,0)+19),"")</f>
        <v/>
      </c>
      <c r="L43" s="94" t="str">
        <f>IFERROR(INDEX(AGENT_DATABASE!K:K,MATCH(1,(AGENT_DATABASE!B2:B5000="Agent 2")*1,0)+19),"")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2")*1,0)+20),"")</f>
        <v/>
      </c>
      <c r="C44" s="89" t="str">
        <f>IFERROR(INDEX(AGENT_DATABASE!C:C,MATCH(1,(AGENT_DATABASE!B2:B5000="Agent 2")*1,0)+20),"")</f>
        <v/>
      </c>
      <c r="D44" s="89" t="str">
        <f>IFERROR(INDEX(AGENT_DATABASE!D:D,MATCH(1,(AGENT_DATABASE!B2:B5000="Agent 2")*1,0)+20),"")</f>
        <v/>
      </c>
      <c r="E44" s="89" t="str">
        <f>IFERROR(INDEX(AGENT_DATABASE!F:F,MATCH(1,(AGENT_DATABASE!B2:B5000="Agent 2")*1,0)+20),"")</f>
        <v/>
      </c>
      <c r="F44" s="90" t="str">
        <f>IFERROR(INDEX(AGENT_DATABASE!G:G,MATCH(1,(AGENT_DATABASE!B2:B5000="Agent 2")*1,0)+20),"")</f>
        <v/>
      </c>
      <c r="G44" s="91" t="str">
        <f>IFERROR(INDEX(AGENT_DATABASE!H:H,MATCH(1,(AGENT_DATABASE!B2:B5000="Agent 2")*1,0)+20),"")</f>
        <v/>
      </c>
      <c r="H44" s="90" t="str">
        <f>IFERROR(INDEX(AGENT_DATABASE!I:I,MATCH(1,(AGENT_DATABASE!B2:B5000="Agent 2")*1,0)+20),"")</f>
        <v/>
      </c>
      <c r="I44" s="87" t="str">
        <f>IFERROR(INDEX(AGENT_DATABASE!J:J,MATCH(1,(AGENT_DATABASE!B2:B5000="Agent 2")*1,0)+20),"")</f>
        <v/>
      </c>
      <c r="J44" s="87" t="str">
        <f>IFERROR(INDEX(AGENT_DATABASE!L:L,MATCH(1,(AGENT_DATABASE!B2:B5000="Agent 2")*1,0)+20),"")</f>
        <v/>
      </c>
      <c r="K44" s="87" t="str">
        <f>IFERROR(INDEX(AGENT_DATABASE!M:M,MATCH(1,(AGENT_DATABASE!B2:B5000="Agent 2")*1,0)+20),"")</f>
        <v/>
      </c>
      <c r="L44" s="89" t="str">
        <f>IFERROR(INDEX(AGENT_DATABASE!K:K,MATCH(1,(AGENT_DATABASE!B2:B5000="Agent 2")*1,0)+20),"")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2")*1,0)+21),"")</f>
        <v/>
      </c>
      <c r="C45" s="94" t="str">
        <f>IFERROR(INDEX(AGENT_DATABASE!C:C,MATCH(1,(AGENT_DATABASE!B2:B5000="Agent 2")*1,0)+21),"")</f>
        <v/>
      </c>
      <c r="D45" s="94" t="str">
        <f>IFERROR(INDEX(AGENT_DATABASE!D:D,MATCH(1,(AGENT_DATABASE!B2:B5000="Agent 2")*1,0)+21),"")</f>
        <v/>
      </c>
      <c r="E45" s="94" t="str">
        <f>IFERROR(INDEX(AGENT_DATABASE!F:F,MATCH(1,(AGENT_DATABASE!B2:B5000="Agent 2")*1,0)+21),"")</f>
        <v/>
      </c>
      <c r="F45" s="95" t="str">
        <f>IFERROR(INDEX(AGENT_DATABASE!G:G,MATCH(1,(AGENT_DATABASE!B2:B5000="Agent 2")*1,0)+21),"")</f>
        <v/>
      </c>
      <c r="G45" s="96" t="str">
        <f>IFERROR(INDEX(AGENT_DATABASE!H:H,MATCH(1,(AGENT_DATABASE!B2:B5000="Agent 2")*1,0)+21),"")</f>
        <v/>
      </c>
      <c r="H45" s="95" t="str">
        <f>IFERROR(INDEX(AGENT_DATABASE!I:I,MATCH(1,(AGENT_DATABASE!B2:B5000="Agent 2")*1,0)+21),"")</f>
        <v/>
      </c>
      <c r="I45" s="92" t="str">
        <f>IFERROR(INDEX(AGENT_DATABASE!J:J,MATCH(1,(AGENT_DATABASE!B2:B5000="Agent 2")*1,0)+21),"")</f>
        <v/>
      </c>
      <c r="J45" s="92" t="str">
        <f>IFERROR(INDEX(AGENT_DATABASE!L:L,MATCH(1,(AGENT_DATABASE!B2:B5000="Agent 2")*1,0)+21),"")</f>
        <v/>
      </c>
      <c r="K45" s="92" t="str">
        <f>IFERROR(INDEX(AGENT_DATABASE!M:M,MATCH(1,(AGENT_DATABASE!B2:B5000="Agent 2")*1,0)+21),"")</f>
        <v/>
      </c>
      <c r="L45" s="94" t="str">
        <f>IFERROR(INDEX(AGENT_DATABASE!K:K,MATCH(1,(AGENT_DATABASE!B2:B5000="Agent 2")*1,0)+21),"")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2")*1,0)+22),"")</f>
        <v/>
      </c>
      <c r="C46" s="89" t="str">
        <f>IFERROR(INDEX(AGENT_DATABASE!C:C,MATCH(1,(AGENT_DATABASE!B2:B5000="Agent 2")*1,0)+22),"")</f>
        <v/>
      </c>
      <c r="D46" s="89" t="str">
        <f>IFERROR(INDEX(AGENT_DATABASE!D:D,MATCH(1,(AGENT_DATABASE!B2:B5000="Agent 2")*1,0)+22),"")</f>
        <v/>
      </c>
      <c r="E46" s="89" t="str">
        <f>IFERROR(INDEX(AGENT_DATABASE!F:F,MATCH(1,(AGENT_DATABASE!B2:B5000="Agent 2")*1,0)+22),"")</f>
        <v/>
      </c>
      <c r="F46" s="90" t="str">
        <f>IFERROR(INDEX(AGENT_DATABASE!G:G,MATCH(1,(AGENT_DATABASE!B2:B5000="Agent 2")*1,0)+22),"")</f>
        <v/>
      </c>
      <c r="G46" s="91" t="str">
        <f>IFERROR(INDEX(AGENT_DATABASE!H:H,MATCH(1,(AGENT_DATABASE!B2:B5000="Agent 2")*1,0)+22),"")</f>
        <v/>
      </c>
      <c r="H46" s="90" t="str">
        <f>IFERROR(INDEX(AGENT_DATABASE!I:I,MATCH(1,(AGENT_DATABASE!B2:B5000="Agent 2")*1,0)+22),"")</f>
        <v/>
      </c>
      <c r="I46" s="87" t="str">
        <f>IFERROR(INDEX(AGENT_DATABASE!J:J,MATCH(1,(AGENT_DATABASE!B2:B5000="Agent 2")*1,0)+22),"")</f>
        <v/>
      </c>
      <c r="J46" s="87" t="str">
        <f>IFERROR(INDEX(AGENT_DATABASE!L:L,MATCH(1,(AGENT_DATABASE!B2:B5000="Agent 2")*1,0)+22),"")</f>
        <v/>
      </c>
      <c r="K46" s="87" t="str">
        <f>IFERROR(INDEX(AGENT_DATABASE!M:M,MATCH(1,(AGENT_DATABASE!B2:B5000="Agent 2")*1,0)+22),"")</f>
        <v/>
      </c>
      <c r="L46" s="89" t="str">
        <f>IFERROR(INDEX(AGENT_DATABASE!K:K,MATCH(1,(AGENT_DATABASE!B2:B5000="Agent 2")*1,0)+22),"")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2")*1,0)+23),"")</f>
        <v/>
      </c>
      <c r="C47" s="94" t="str">
        <f>IFERROR(INDEX(AGENT_DATABASE!C:C,MATCH(1,(AGENT_DATABASE!B2:B5000="Agent 2")*1,0)+23),"")</f>
        <v/>
      </c>
      <c r="D47" s="94" t="str">
        <f>IFERROR(INDEX(AGENT_DATABASE!D:D,MATCH(1,(AGENT_DATABASE!B2:B5000="Agent 2")*1,0)+23),"")</f>
        <v/>
      </c>
      <c r="E47" s="94" t="str">
        <f>IFERROR(INDEX(AGENT_DATABASE!F:F,MATCH(1,(AGENT_DATABASE!B2:B5000="Agent 2")*1,0)+23),"")</f>
        <v/>
      </c>
      <c r="F47" s="95" t="str">
        <f>IFERROR(INDEX(AGENT_DATABASE!G:G,MATCH(1,(AGENT_DATABASE!B2:B5000="Agent 2")*1,0)+23),"")</f>
        <v/>
      </c>
      <c r="G47" s="96" t="str">
        <f>IFERROR(INDEX(AGENT_DATABASE!H:H,MATCH(1,(AGENT_DATABASE!B2:B5000="Agent 2")*1,0)+23),"")</f>
        <v/>
      </c>
      <c r="H47" s="95" t="str">
        <f>IFERROR(INDEX(AGENT_DATABASE!I:I,MATCH(1,(AGENT_DATABASE!B2:B5000="Agent 2")*1,0)+23),"")</f>
        <v/>
      </c>
      <c r="I47" s="92" t="str">
        <f>IFERROR(INDEX(AGENT_DATABASE!J:J,MATCH(1,(AGENT_DATABASE!B2:B5000="Agent 2")*1,0)+23),"")</f>
        <v/>
      </c>
      <c r="J47" s="92" t="str">
        <f>IFERROR(INDEX(AGENT_DATABASE!L:L,MATCH(1,(AGENT_DATABASE!B2:B5000="Agent 2")*1,0)+23),"")</f>
        <v/>
      </c>
      <c r="K47" s="92" t="str">
        <f>IFERROR(INDEX(AGENT_DATABASE!M:M,MATCH(1,(AGENT_DATABASE!B2:B5000="Agent 2")*1,0)+23),"")</f>
        <v/>
      </c>
      <c r="L47" s="94" t="str">
        <f>IFERROR(INDEX(AGENT_DATABASE!K:K,MATCH(1,(AGENT_DATABASE!B2:B5000="Agent 2")*1,0)+23),"")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2")*1,0)+24),"")</f>
        <v/>
      </c>
      <c r="C48" s="89" t="str">
        <f>IFERROR(INDEX(AGENT_DATABASE!C:C,MATCH(1,(AGENT_DATABASE!B2:B5000="Agent 2")*1,0)+24),"")</f>
        <v/>
      </c>
      <c r="D48" s="89" t="str">
        <f>IFERROR(INDEX(AGENT_DATABASE!D:D,MATCH(1,(AGENT_DATABASE!B2:B5000="Agent 2")*1,0)+24),"")</f>
        <v/>
      </c>
      <c r="E48" s="89" t="str">
        <f>IFERROR(INDEX(AGENT_DATABASE!F:F,MATCH(1,(AGENT_DATABASE!B2:B5000="Agent 2")*1,0)+24),"")</f>
        <v/>
      </c>
      <c r="F48" s="90" t="str">
        <f>IFERROR(INDEX(AGENT_DATABASE!G:G,MATCH(1,(AGENT_DATABASE!B2:B5000="Agent 2")*1,0)+24),"")</f>
        <v/>
      </c>
      <c r="G48" s="91" t="str">
        <f>IFERROR(INDEX(AGENT_DATABASE!H:H,MATCH(1,(AGENT_DATABASE!B2:B5000="Agent 2")*1,0)+24),"")</f>
        <v/>
      </c>
      <c r="H48" s="90" t="str">
        <f>IFERROR(INDEX(AGENT_DATABASE!I:I,MATCH(1,(AGENT_DATABASE!B2:B5000="Agent 2")*1,0)+24),"")</f>
        <v/>
      </c>
      <c r="I48" s="87" t="str">
        <f>IFERROR(INDEX(AGENT_DATABASE!J:J,MATCH(1,(AGENT_DATABASE!B2:B5000="Agent 2")*1,0)+24),"")</f>
        <v/>
      </c>
      <c r="J48" s="87" t="str">
        <f>IFERROR(INDEX(AGENT_DATABASE!L:L,MATCH(1,(AGENT_DATABASE!B2:B5000="Agent 2")*1,0)+24),"")</f>
        <v/>
      </c>
      <c r="K48" s="87" t="str">
        <f>IFERROR(INDEX(AGENT_DATABASE!M:M,MATCH(1,(AGENT_DATABASE!B2:B5000="Agent 2")*1,0)+24),"")</f>
        <v/>
      </c>
      <c r="L48" s="89" t="str">
        <f>IFERROR(INDEX(AGENT_DATABASE!K:K,MATCH(1,(AGENT_DATABASE!B2:B5000="Agent 2")*1,0)+24),"")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2")*1,0)+25),"")</f>
        <v/>
      </c>
      <c r="C49" s="94" t="str">
        <f>IFERROR(INDEX(AGENT_DATABASE!C:C,MATCH(1,(AGENT_DATABASE!B2:B5000="Agent 2")*1,0)+25),"")</f>
        <v/>
      </c>
      <c r="D49" s="94" t="str">
        <f>IFERROR(INDEX(AGENT_DATABASE!D:D,MATCH(1,(AGENT_DATABASE!B2:B5000="Agent 2")*1,0)+25),"")</f>
        <v/>
      </c>
      <c r="E49" s="94" t="str">
        <f>IFERROR(INDEX(AGENT_DATABASE!F:F,MATCH(1,(AGENT_DATABASE!B2:B5000="Agent 2")*1,0)+25),"")</f>
        <v/>
      </c>
      <c r="F49" s="95" t="str">
        <f>IFERROR(INDEX(AGENT_DATABASE!G:G,MATCH(1,(AGENT_DATABASE!B2:B5000="Agent 2")*1,0)+25),"")</f>
        <v/>
      </c>
      <c r="G49" s="96" t="str">
        <f>IFERROR(INDEX(AGENT_DATABASE!H:H,MATCH(1,(AGENT_DATABASE!B2:B5000="Agent 2")*1,0)+25),"")</f>
        <v/>
      </c>
      <c r="H49" s="95" t="str">
        <f>IFERROR(INDEX(AGENT_DATABASE!I:I,MATCH(1,(AGENT_DATABASE!B2:B5000="Agent 2")*1,0)+25),"")</f>
        <v/>
      </c>
      <c r="I49" s="92" t="str">
        <f>IFERROR(INDEX(AGENT_DATABASE!J:J,MATCH(1,(AGENT_DATABASE!B2:B5000="Agent 2")*1,0)+25),"")</f>
        <v/>
      </c>
      <c r="J49" s="92" t="str">
        <f>IFERROR(INDEX(AGENT_DATABASE!L:L,MATCH(1,(AGENT_DATABASE!B2:B5000="Agent 2")*1,0)+25),"")</f>
        <v/>
      </c>
      <c r="K49" s="92" t="str">
        <f>IFERROR(INDEX(AGENT_DATABASE!M:M,MATCH(1,(AGENT_DATABASE!B2:B5000="Agent 2")*1,0)+25),"")</f>
        <v/>
      </c>
      <c r="L49" s="94" t="str">
        <f>IFERROR(INDEX(AGENT_DATABASE!K:K,MATCH(1,(AGENT_DATABASE!B2:B5000="Agent 2")*1,0)+25),"")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2")*1,0)+26),"")</f>
        <v/>
      </c>
      <c r="C50" s="89" t="str">
        <f>IFERROR(INDEX(AGENT_DATABASE!C:C,MATCH(1,(AGENT_DATABASE!B2:B5000="Agent 2")*1,0)+26),"")</f>
        <v/>
      </c>
      <c r="D50" s="89" t="str">
        <f>IFERROR(INDEX(AGENT_DATABASE!D:D,MATCH(1,(AGENT_DATABASE!B2:B5000="Agent 2")*1,0)+26),"")</f>
        <v/>
      </c>
      <c r="E50" s="89" t="str">
        <f>IFERROR(INDEX(AGENT_DATABASE!F:F,MATCH(1,(AGENT_DATABASE!B2:B5000="Agent 2")*1,0)+26),"")</f>
        <v/>
      </c>
      <c r="F50" s="90" t="str">
        <f>IFERROR(INDEX(AGENT_DATABASE!G:G,MATCH(1,(AGENT_DATABASE!B2:B5000="Agent 2")*1,0)+26),"")</f>
        <v/>
      </c>
      <c r="G50" s="91" t="str">
        <f>IFERROR(INDEX(AGENT_DATABASE!H:H,MATCH(1,(AGENT_DATABASE!B2:B5000="Agent 2")*1,0)+26),"")</f>
        <v/>
      </c>
      <c r="H50" s="90" t="str">
        <f>IFERROR(INDEX(AGENT_DATABASE!I:I,MATCH(1,(AGENT_DATABASE!B2:B5000="Agent 2")*1,0)+26),"")</f>
        <v/>
      </c>
      <c r="I50" s="87" t="str">
        <f>IFERROR(INDEX(AGENT_DATABASE!J:J,MATCH(1,(AGENT_DATABASE!B2:B5000="Agent 2")*1,0)+26),"")</f>
        <v/>
      </c>
      <c r="J50" s="87" t="str">
        <f>IFERROR(INDEX(AGENT_DATABASE!L:L,MATCH(1,(AGENT_DATABASE!B2:B5000="Agent 2")*1,0)+26),"")</f>
        <v/>
      </c>
      <c r="K50" s="87" t="str">
        <f>IFERROR(INDEX(AGENT_DATABASE!M:M,MATCH(1,(AGENT_DATABASE!B2:B5000="Agent 2")*1,0)+26),"")</f>
        <v/>
      </c>
      <c r="L50" s="89" t="str">
        <f>IFERROR(INDEX(AGENT_DATABASE!K:K,MATCH(1,(AGENT_DATABASE!B2:B5000="Agent 2")*1,0)+26),"")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2")*1,0)+27),"")</f>
        <v/>
      </c>
      <c r="C51" s="94" t="str">
        <f>IFERROR(INDEX(AGENT_DATABASE!C:C,MATCH(1,(AGENT_DATABASE!B2:B5000="Agent 2")*1,0)+27),"")</f>
        <v/>
      </c>
      <c r="D51" s="94" t="str">
        <f>IFERROR(INDEX(AGENT_DATABASE!D:D,MATCH(1,(AGENT_DATABASE!B2:B5000="Agent 2")*1,0)+27),"")</f>
        <v/>
      </c>
      <c r="E51" s="94" t="str">
        <f>IFERROR(INDEX(AGENT_DATABASE!F:F,MATCH(1,(AGENT_DATABASE!B2:B5000="Agent 2")*1,0)+27),"")</f>
        <v/>
      </c>
      <c r="F51" s="95" t="str">
        <f>IFERROR(INDEX(AGENT_DATABASE!G:G,MATCH(1,(AGENT_DATABASE!B2:B5000="Agent 2")*1,0)+27),"")</f>
        <v/>
      </c>
      <c r="G51" s="96" t="str">
        <f>IFERROR(INDEX(AGENT_DATABASE!H:H,MATCH(1,(AGENT_DATABASE!B2:B5000="Agent 2")*1,0)+27),"")</f>
        <v/>
      </c>
      <c r="H51" s="95" t="str">
        <f>IFERROR(INDEX(AGENT_DATABASE!I:I,MATCH(1,(AGENT_DATABASE!B2:B5000="Agent 2")*1,0)+27),"")</f>
        <v/>
      </c>
      <c r="I51" s="92" t="str">
        <f>IFERROR(INDEX(AGENT_DATABASE!J:J,MATCH(1,(AGENT_DATABASE!B2:B5000="Agent 2")*1,0)+27),"")</f>
        <v/>
      </c>
      <c r="J51" s="92" t="str">
        <f>IFERROR(INDEX(AGENT_DATABASE!L:L,MATCH(1,(AGENT_DATABASE!B2:B5000="Agent 2")*1,0)+27),"")</f>
        <v/>
      </c>
      <c r="K51" s="92" t="str">
        <f>IFERROR(INDEX(AGENT_DATABASE!M:M,MATCH(1,(AGENT_DATABASE!B2:B5000="Agent 2")*1,0)+27),"")</f>
        <v/>
      </c>
      <c r="L51" s="94" t="str">
        <f>IFERROR(INDEX(AGENT_DATABASE!K:K,MATCH(1,(AGENT_DATABASE!B2:B5000="Agent 2")*1,0)+27),"")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2")*1,0)+28),"")</f>
        <v/>
      </c>
      <c r="C52" s="89" t="str">
        <f>IFERROR(INDEX(AGENT_DATABASE!C:C,MATCH(1,(AGENT_DATABASE!B2:B5000="Agent 2")*1,0)+28),"")</f>
        <v/>
      </c>
      <c r="D52" s="89" t="str">
        <f>IFERROR(INDEX(AGENT_DATABASE!D:D,MATCH(1,(AGENT_DATABASE!B2:B5000="Agent 2")*1,0)+28),"")</f>
        <v/>
      </c>
      <c r="E52" s="89" t="str">
        <f>IFERROR(INDEX(AGENT_DATABASE!F:F,MATCH(1,(AGENT_DATABASE!B2:B5000="Agent 2")*1,0)+28),"")</f>
        <v/>
      </c>
      <c r="F52" s="90" t="str">
        <f>IFERROR(INDEX(AGENT_DATABASE!G:G,MATCH(1,(AGENT_DATABASE!B2:B5000="Agent 2")*1,0)+28),"")</f>
        <v/>
      </c>
      <c r="G52" s="91" t="str">
        <f>IFERROR(INDEX(AGENT_DATABASE!H:H,MATCH(1,(AGENT_DATABASE!B2:B5000="Agent 2")*1,0)+28),"")</f>
        <v/>
      </c>
      <c r="H52" s="90" t="str">
        <f>IFERROR(INDEX(AGENT_DATABASE!I:I,MATCH(1,(AGENT_DATABASE!B2:B5000="Agent 2")*1,0)+28),"")</f>
        <v/>
      </c>
      <c r="I52" s="87" t="str">
        <f>IFERROR(INDEX(AGENT_DATABASE!J:J,MATCH(1,(AGENT_DATABASE!B2:B5000="Agent 2")*1,0)+28),"")</f>
        <v/>
      </c>
      <c r="J52" s="87" t="str">
        <f>IFERROR(INDEX(AGENT_DATABASE!L:L,MATCH(1,(AGENT_DATABASE!B2:B5000="Agent 2")*1,0)+28),"")</f>
        <v/>
      </c>
      <c r="K52" s="87" t="str">
        <f>IFERROR(INDEX(AGENT_DATABASE!M:M,MATCH(1,(AGENT_DATABASE!B2:B5000="Agent 2")*1,0)+28),"")</f>
        <v/>
      </c>
      <c r="L52" s="89" t="str">
        <f>IFERROR(INDEX(AGENT_DATABASE!K:K,MATCH(1,(AGENT_DATABASE!B2:B5000="Agent 2")*1,0)+28),"")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2")*1,0)+29),"")</f>
        <v/>
      </c>
      <c r="C53" s="94" t="str">
        <f>IFERROR(INDEX(AGENT_DATABASE!C:C,MATCH(1,(AGENT_DATABASE!B2:B5000="Agent 2")*1,0)+29),"")</f>
        <v/>
      </c>
      <c r="D53" s="94" t="str">
        <f>IFERROR(INDEX(AGENT_DATABASE!D:D,MATCH(1,(AGENT_DATABASE!B2:B5000="Agent 2")*1,0)+29),"")</f>
        <v/>
      </c>
      <c r="E53" s="94" t="str">
        <f>IFERROR(INDEX(AGENT_DATABASE!F:F,MATCH(1,(AGENT_DATABASE!B2:B5000="Agent 2")*1,0)+29),"")</f>
        <v/>
      </c>
      <c r="F53" s="95" t="str">
        <f>IFERROR(INDEX(AGENT_DATABASE!G:G,MATCH(1,(AGENT_DATABASE!B2:B5000="Agent 2")*1,0)+29),"")</f>
        <v/>
      </c>
      <c r="G53" s="96" t="str">
        <f>IFERROR(INDEX(AGENT_DATABASE!H:H,MATCH(1,(AGENT_DATABASE!B2:B5000="Agent 2")*1,0)+29),"")</f>
        <v/>
      </c>
      <c r="H53" s="95" t="str">
        <f>IFERROR(INDEX(AGENT_DATABASE!I:I,MATCH(1,(AGENT_DATABASE!B2:B5000="Agent 2")*1,0)+29),"")</f>
        <v/>
      </c>
      <c r="I53" s="92" t="str">
        <f>IFERROR(INDEX(AGENT_DATABASE!J:J,MATCH(1,(AGENT_DATABASE!B2:B5000="Agent 2")*1,0)+29),"")</f>
        <v/>
      </c>
      <c r="J53" s="92" t="str">
        <f>IFERROR(INDEX(AGENT_DATABASE!L:L,MATCH(1,(AGENT_DATABASE!B2:B5000="Agent 2")*1,0)+29),"")</f>
        <v/>
      </c>
      <c r="K53" s="92" t="str">
        <f>IFERROR(INDEX(AGENT_DATABASE!M:M,MATCH(1,(AGENT_DATABASE!B2:B5000="Agent 2")*1,0)+29),"")</f>
        <v/>
      </c>
      <c r="L53" s="94" t="str">
        <f>IFERROR(INDEX(AGENT_DATABASE!K:K,MATCH(1,(AGENT_DATABASE!B2:B5000="Agent 2")*1,0)+29),"")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300-000000000000}">
      <formula1>"Savings Deposit,Withdrawal"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164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165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f ca="1">SUMPRODUCT((AGENT_DATABASE!B2:B5000="Agent 3")*(AGENT_DATABASE!F2:F5000="Savings Deposit")*(TEXT(AGENT_DATABASE!A2:A5000,"DD/MM/YYYY")=TEXT(TODAY(),"DD/MM/YYYY"))*AGENT_DATABASE!G2:G5000)</f>
        <v>0</v>
      </c>
      <c r="C6" s="132"/>
      <c r="D6" s="135">
        <f ca="1">SUMPRODUCT((AGENT_DATABASE!B2:B5000="Agent 3")*(AGENT_DATABASE!F2:F5000="Loan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3")*(AGENT_DATABASE!F2:F5000="Withdrawal")*(TEXT(AGENT_DATABASE!A2:A5000,"DD/MM/YYYY")=TEXT(TODAY(),"DD/MM/YYYY"))*AGENT_DATABASE!G2:G5000)</f>
        <v>0</v>
      </c>
      <c r="G6" s="132"/>
      <c r="H6" s="135">
        <f ca="1">IFERROR(B6-F6-D6,0)</f>
        <v>0</v>
      </c>
      <c r="I6" s="132"/>
      <c r="J6" s="136">
        <f ca="1">SUMPRODUCT((AGENT_DATABASE!B2:B5000="Agent 3")*(TEXT(AGENT_DATABASE!A2:A5000,"DD/MM/YYYY")=TEXT(TODAY(),"DD/MM/YYYY"))*1)</f>
        <v>0</v>
      </c>
      <c r="K6" s="132"/>
    </row>
    <row r="7" spans="1:12" ht="27.95" customHeight="1" x14ac:dyDescent="0.25">
      <c r="A7" s="129" t="s">
        <v>166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3")*(AGENT_DATABASE!F2:F5000="Savings Deposit")*(TEXT(AGENT_DATABASE!A2:A5000,"DD/MM/YYYY")=TEXT(TODAY(),"DD/MM/YYYY"))*AGENT_DATABASE!G2:G5000),2)=0,ROUND(E9-SUMPRODUCT((AGENT_DATABASE!B2:B5000="Agent 3")*(AGENT_DATABASE!F2:F5000="Withdrawal")*(TEXT(AGENT_DATABASE!A2:A5000,"DD/MM/YYYY")=TEXT(TODAY(),"DD/MM/YYYY"))*AGENT_DATABASE!G2:G5000),2)=0,ROUND(G9-SUMPRODUCT((AGENT_DATABASE!B2:B5000="Agent 3")*(AGENT_DATABASE!F2:F5000="Loan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3")*1,0)+0),"")</f>
        <v/>
      </c>
      <c r="C24" s="89" t="str">
        <f>IFERROR(INDEX(AGENT_DATABASE!C:C,MATCH(1,(AGENT_DATABASE!B2:B5000="Agent 3")*1,0)+0),"")</f>
        <v/>
      </c>
      <c r="D24" s="89" t="str">
        <f>IFERROR(INDEX(AGENT_DATABASE!D:D,MATCH(1,(AGENT_DATABASE!B2:B5000="Agent 3")*1,0)+0),"")</f>
        <v/>
      </c>
      <c r="E24" s="89" t="str">
        <f>IFERROR(INDEX(AGENT_DATABASE!F:F,MATCH(1,(AGENT_DATABASE!B2:B5000="Agent 3")*1,0)+0),"")</f>
        <v/>
      </c>
      <c r="F24" s="90" t="str">
        <f>IFERROR(INDEX(AGENT_DATABASE!G:G,MATCH(1,(AGENT_DATABASE!B2:B5000="Agent 3")*1,0)+0),"")</f>
        <v/>
      </c>
      <c r="G24" s="91" t="str">
        <f>IFERROR(INDEX(AGENT_DATABASE!H:H,MATCH(1,(AGENT_DATABASE!B2:B5000="Agent 3")*1,0)+0),"")</f>
        <v/>
      </c>
      <c r="H24" s="90" t="str">
        <f>IFERROR(INDEX(AGENT_DATABASE!I:I,MATCH(1,(AGENT_DATABASE!B2:B5000="Agent 3")*1,0)+0),"")</f>
        <v/>
      </c>
      <c r="I24" s="87" t="str">
        <f>IFERROR(INDEX(AGENT_DATABASE!J:J,MATCH(1,(AGENT_DATABASE!B2:B5000="Agent 3")*1,0)+0),"")</f>
        <v/>
      </c>
      <c r="J24" s="87" t="str">
        <f>IFERROR(INDEX(AGENT_DATABASE!L:L,MATCH(1,(AGENT_DATABASE!B2:B5000="Agent 3")*1,0)+0),"")</f>
        <v/>
      </c>
      <c r="K24" s="87" t="str">
        <f>IFERROR(INDEX(AGENT_DATABASE!M:M,MATCH(1,(AGENT_DATABASE!B2:B5000="Agent 3")*1,0)+0),"")</f>
        <v/>
      </c>
      <c r="L24" s="89" t="str">
        <f>IFERROR(INDEX(AGENT_DATABASE!K:K,MATCH(1,(AGENT_DATABASE!B2:B5000="Agent 3")*1,0)+0),"")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3")*1,0)+1),"")</f>
        <v/>
      </c>
      <c r="C25" s="94" t="str">
        <f>IFERROR(INDEX(AGENT_DATABASE!C:C,MATCH(1,(AGENT_DATABASE!B2:B5000="Agent 3")*1,0)+1),"")</f>
        <v/>
      </c>
      <c r="D25" s="94" t="str">
        <f>IFERROR(INDEX(AGENT_DATABASE!D:D,MATCH(1,(AGENT_DATABASE!B2:B5000="Agent 3")*1,0)+1),"")</f>
        <v/>
      </c>
      <c r="E25" s="94" t="str">
        <f>IFERROR(INDEX(AGENT_DATABASE!F:F,MATCH(1,(AGENT_DATABASE!B2:B5000="Agent 3")*1,0)+1),"")</f>
        <v/>
      </c>
      <c r="F25" s="95" t="str">
        <f>IFERROR(INDEX(AGENT_DATABASE!G:G,MATCH(1,(AGENT_DATABASE!B2:B5000="Agent 3")*1,0)+1),"")</f>
        <v/>
      </c>
      <c r="G25" s="96" t="str">
        <f>IFERROR(INDEX(AGENT_DATABASE!H:H,MATCH(1,(AGENT_DATABASE!B2:B5000="Agent 3")*1,0)+1),"")</f>
        <v/>
      </c>
      <c r="H25" s="95" t="str">
        <f>IFERROR(INDEX(AGENT_DATABASE!I:I,MATCH(1,(AGENT_DATABASE!B2:B5000="Agent 3")*1,0)+1),"")</f>
        <v/>
      </c>
      <c r="I25" s="92" t="str">
        <f>IFERROR(INDEX(AGENT_DATABASE!J:J,MATCH(1,(AGENT_DATABASE!B2:B5000="Agent 3")*1,0)+1),"")</f>
        <v/>
      </c>
      <c r="J25" s="92" t="str">
        <f>IFERROR(INDEX(AGENT_DATABASE!L:L,MATCH(1,(AGENT_DATABASE!B2:B5000="Agent 3")*1,0)+1),"")</f>
        <v/>
      </c>
      <c r="K25" s="92" t="str">
        <f>IFERROR(INDEX(AGENT_DATABASE!M:M,MATCH(1,(AGENT_DATABASE!B2:B5000="Agent 3")*1,0)+1),"")</f>
        <v/>
      </c>
      <c r="L25" s="94" t="str">
        <f>IFERROR(INDEX(AGENT_DATABASE!K:K,MATCH(1,(AGENT_DATABASE!B2:B5000="Agent 3")*1,0)+1),"")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3")*1,0)+2),"")</f>
        <v/>
      </c>
      <c r="C26" s="89" t="str">
        <f>IFERROR(INDEX(AGENT_DATABASE!C:C,MATCH(1,(AGENT_DATABASE!B2:B5000="Agent 3")*1,0)+2),"")</f>
        <v/>
      </c>
      <c r="D26" s="89" t="str">
        <f>IFERROR(INDEX(AGENT_DATABASE!D:D,MATCH(1,(AGENT_DATABASE!B2:B5000="Agent 3")*1,0)+2),"")</f>
        <v/>
      </c>
      <c r="E26" s="89" t="str">
        <f>IFERROR(INDEX(AGENT_DATABASE!F:F,MATCH(1,(AGENT_DATABASE!B2:B5000="Agent 3")*1,0)+2),"")</f>
        <v/>
      </c>
      <c r="F26" s="90" t="str">
        <f>IFERROR(INDEX(AGENT_DATABASE!G:G,MATCH(1,(AGENT_DATABASE!B2:B5000="Agent 3")*1,0)+2),"")</f>
        <v/>
      </c>
      <c r="G26" s="91" t="str">
        <f>IFERROR(INDEX(AGENT_DATABASE!H:H,MATCH(1,(AGENT_DATABASE!B2:B5000="Agent 3")*1,0)+2),"")</f>
        <v/>
      </c>
      <c r="H26" s="90" t="str">
        <f>IFERROR(INDEX(AGENT_DATABASE!I:I,MATCH(1,(AGENT_DATABASE!B2:B5000="Agent 3")*1,0)+2),"")</f>
        <v/>
      </c>
      <c r="I26" s="87" t="str">
        <f>IFERROR(INDEX(AGENT_DATABASE!J:J,MATCH(1,(AGENT_DATABASE!B2:B5000="Agent 3")*1,0)+2),"")</f>
        <v/>
      </c>
      <c r="J26" s="87" t="str">
        <f>IFERROR(INDEX(AGENT_DATABASE!L:L,MATCH(1,(AGENT_DATABASE!B2:B5000="Agent 3")*1,0)+2),"")</f>
        <v/>
      </c>
      <c r="K26" s="87" t="str">
        <f>IFERROR(INDEX(AGENT_DATABASE!M:M,MATCH(1,(AGENT_DATABASE!B2:B5000="Agent 3")*1,0)+2),"")</f>
        <v/>
      </c>
      <c r="L26" s="89" t="str">
        <f>IFERROR(INDEX(AGENT_DATABASE!K:K,MATCH(1,(AGENT_DATABASE!B2:B5000="Agent 3")*1,0)+2),"")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3")*1,0)+3),"")</f>
        <v/>
      </c>
      <c r="C27" s="94" t="str">
        <f>IFERROR(INDEX(AGENT_DATABASE!C:C,MATCH(1,(AGENT_DATABASE!B2:B5000="Agent 3")*1,0)+3),"")</f>
        <v/>
      </c>
      <c r="D27" s="94" t="str">
        <f>IFERROR(INDEX(AGENT_DATABASE!D:D,MATCH(1,(AGENT_DATABASE!B2:B5000="Agent 3")*1,0)+3),"")</f>
        <v/>
      </c>
      <c r="E27" s="94" t="str">
        <f>IFERROR(INDEX(AGENT_DATABASE!F:F,MATCH(1,(AGENT_DATABASE!B2:B5000="Agent 3")*1,0)+3),"")</f>
        <v/>
      </c>
      <c r="F27" s="95" t="str">
        <f>IFERROR(INDEX(AGENT_DATABASE!G:G,MATCH(1,(AGENT_DATABASE!B2:B5000="Agent 3")*1,0)+3),"")</f>
        <v/>
      </c>
      <c r="G27" s="96" t="str">
        <f>IFERROR(INDEX(AGENT_DATABASE!H:H,MATCH(1,(AGENT_DATABASE!B2:B5000="Agent 3")*1,0)+3),"")</f>
        <v/>
      </c>
      <c r="H27" s="95" t="str">
        <f>IFERROR(INDEX(AGENT_DATABASE!I:I,MATCH(1,(AGENT_DATABASE!B2:B5000="Agent 3")*1,0)+3),"")</f>
        <v/>
      </c>
      <c r="I27" s="92" t="str">
        <f>IFERROR(INDEX(AGENT_DATABASE!J:J,MATCH(1,(AGENT_DATABASE!B2:B5000="Agent 3")*1,0)+3),"")</f>
        <v/>
      </c>
      <c r="J27" s="92" t="str">
        <f>IFERROR(INDEX(AGENT_DATABASE!L:L,MATCH(1,(AGENT_DATABASE!B2:B5000="Agent 3")*1,0)+3),"")</f>
        <v/>
      </c>
      <c r="K27" s="92" t="str">
        <f>IFERROR(INDEX(AGENT_DATABASE!M:M,MATCH(1,(AGENT_DATABASE!B2:B5000="Agent 3")*1,0)+3),"")</f>
        <v/>
      </c>
      <c r="L27" s="94" t="str">
        <f>IFERROR(INDEX(AGENT_DATABASE!K:K,MATCH(1,(AGENT_DATABASE!B2:B5000="Agent 3")*1,0)+3),"")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3")*1,0)+4),"")</f>
        <v/>
      </c>
      <c r="C28" s="89" t="str">
        <f>IFERROR(INDEX(AGENT_DATABASE!C:C,MATCH(1,(AGENT_DATABASE!B2:B5000="Agent 3")*1,0)+4),"")</f>
        <v/>
      </c>
      <c r="D28" s="89" t="str">
        <f>IFERROR(INDEX(AGENT_DATABASE!D:D,MATCH(1,(AGENT_DATABASE!B2:B5000="Agent 3")*1,0)+4),"")</f>
        <v/>
      </c>
      <c r="E28" s="89" t="str">
        <f>IFERROR(INDEX(AGENT_DATABASE!F:F,MATCH(1,(AGENT_DATABASE!B2:B5000="Agent 3")*1,0)+4),"")</f>
        <v/>
      </c>
      <c r="F28" s="90" t="str">
        <f>IFERROR(INDEX(AGENT_DATABASE!G:G,MATCH(1,(AGENT_DATABASE!B2:B5000="Agent 3")*1,0)+4),"")</f>
        <v/>
      </c>
      <c r="G28" s="91" t="str">
        <f>IFERROR(INDEX(AGENT_DATABASE!H:H,MATCH(1,(AGENT_DATABASE!B2:B5000="Agent 3")*1,0)+4),"")</f>
        <v/>
      </c>
      <c r="H28" s="90" t="str">
        <f>IFERROR(INDEX(AGENT_DATABASE!I:I,MATCH(1,(AGENT_DATABASE!B2:B5000="Agent 3")*1,0)+4),"")</f>
        <v/>
      </c>
      <c r="I28" s="87" t="str">
        <f>IFERROR(INDEX(AGENT_DATABASE!J:J,MATCH(1,(AGENT_DATABASE!B2:B5000="Agent 3")*1,0)+4),"")</f>
        <v/>
      </c>
      <c r="J28" s="87" t="str">
        <f>IFERROR(INDEX(AGENT_DATABASE!L:L,MATCH(1,(AGENT_DATABASE!B2:B5000="Agent 3")*1,0)+4),"")</f>
        <v/>
      </c>
      <c r="K28" s="87" t="str">
        <f>IFERROR(INDEX(AGENT_DATABASE!M:M,MATCH(1,(AGENT_DATABASE!B2:B5000="Agent 3")*1,0)+4),"")</f>
        <v/>
      </c>
      <c r="L28" s="89" t="str">
        <f>IFERROR(INDEX(AGENT_DATABASE!K:K,MATCH(1,(AGENT_DATABASE!B2:B5000="Agent 3")*1,0)+4),"")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3")*1,0)+5),"")</f>
        <v/>
      </c>
      <c r="C29" s="94" t="str">
        <f>IFERROR(INDEX(AGENT_DATABASE!C:C,MATCH(1,(AGENT_DATABASE!B2:B5000="Agent 3")*1,0)+5),"")</f>
        <v/>
      </c>
      <c r="D29" s="94" t="str">
        <f>IFERROR(INDEX(AGENT_DATABASE!D:D,MATCH(1,(AGENT_DATABASE!B2:B5000="Agent 3")*1,0)+5),"")</f>
        <v/>
      </c>
      <c r="E29" s="94" t="str">
        <f>IFERROR(INDEX(AGENT_DATABASE!F:F,MATCH(1,(AGENT_DATABASE!B2:B5000="Agent 3")*1,0)+5),"")</f>
        <v/>
      </c>
      <c r="F29" s="95" t="str">
        <f>IFERROR(INDEX(AGENT_DATABASE!G:G,MATCH(1,(AGENT_DATABASE!B2:B5000="Agent 3")*1,0)+5),"")</f>
        <v/>
      </c>
      <c r="G29" s="96" t="str">
        <f>IFERROR(INDEX(AGENT_DATABASE!H:H,MATCH(1,(AGENT_DATABASE!B2:B5000="Agent 3")*1,0)+5),"")</f>
        <v/>
      </c>
      <c r="H29" s="95" t="str">
        <f>IFERROR(INDEX(AGENT_DATABASE!I:I,MATCH(1,(AGENT_DATABASE!B2:B5000="Agent 3")*1,0)+5),"")</f>
        <v/>
      </c>
      <c r="I29" s="92" t="str">
        <f>IFERROR(INDEX(AGENT_DATABASE!J:J,MATCH(1,(AGENT_DATABASE!B2:B5000="Agent 3")*1,0)+5),"")</f>
        <v/>
      </c>
      <c r="J29" s="92" t="str">
        <f>IFERROR(INDEX(AGENT_DATABASE!L:L,MATCH(1,(AGENT_DATABASE!B2:B5000="Agent 3")*1,0)+5),"")</f>
        <v/>
      </c>
      <c r="K29" s="92" t="str">
        <f>IFERROR(INDEX(AGENT_DATABASE!M:M,MATCH(1,(AGENT_DATABASE!B2:B5000="Agent 3")*1,0)+5),"")</f>
        <v/>
      </c>
      <c r="L29" s="94" t="str">
        <f>IFERROR(INDEX(AGENT_DATABASE!K:K,MATCH(1,(AGENT_DATABASE!B2:B5000="Agent 3")*1,0)+5),"")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3")*1,0)+6),"")</f>
        <v/>
      </c>
      <c r="C30" s="89" t="str">
        <f>IFERROR(INDEX(AGENT_DATABASE!C:C,MATCH(1,(AGENT_DATABASE!B2:B5000="Agent 3")*1,0)+6),"")</f>
        <v/>
      </c>
      <c r="D30" s="89" t="str">
        <f>IFERROR(INDEX(AGENT_DATABASE!D:D,MATCH(1,(AGENT_DATABASE!B2:B5000="Agent 3")*1,0)+6),"")</f>
        <v/>
      </c>
      <c r="E30" s="89" t="str">
        <f>IFERROR(INDEX(AGENT_DATABASE!F:F,MATCH(1,(AGENT_DATABASE!B2:B5000="Agent 3")*1,0)+6),"")</f>
        <v/>
      </c>
      <c r="F30" s="90" t="str">
        <f>IFERROR(INDEX(AGENT_DATABASE!G:G,MATCH(1,(AGENT_DATABASE!B2:B5000="Agent 3")*1,0)+6),"")</f>
        <v/>
      </c>
      <c r="G30" s="91" t="str">
        <f>IFERROR(INDEX(AGENT_DATABASE!H:H,MATCH(1,(AGENT_DATABASE!B2:B5000="Agent 3")*1,0)+6),"")</f>
        <v/>
      </c>
      <c r="H30" s="90" t="str">
        <f>IFERROR(INDEX(AGENT_DATABASE!I:I,MATCH(1,(AGENT_DATABASE!B2:B5000="Agent 3")*1,0)+6),"")</f>
        <v/>
      </c>
      <c r="I30" s="87" t="str">
        <f>IFERROR(INDEX(AGENT_DATABASE!J:J,MATCH(1,(AGENT_DATABASE!B2:B5000="Agent 3")*1,0)+6),"")</f>
        <v/>
      </c>
      <c r="J30" s="87" t="str">
        <f>IFERROR(INDEX(AGENT_DATABASE!L:L,MATCH(1,(AGENT_DATABASE!B2:B5000="Agent 3")*1,0)+6),"")</f>
        <v/>
      </c>
      <c r="K30" s="87" t="str">
        <f>IFERROR(INDEX(AGENT_DATABASE!M:M,MATCH(1,(AGENT_DATABASE!B2:B5000="Agent 3")*1,0)+6),"")</f>
        <v/>
      </c>
      <c r="L30" s="89" t="str">
        <f>IFERROR(INDEX(AGENT_DATABASE!K:K,MATCH(1,(AGENT_DATABASE!B2:B5000="Agent 3")*1,0)+6),"")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3")*1,0)+7),"")</f>
        <v/>
      </c>
      <c r="C31" s="94" t="str">
        <f>IFERROR(INDEX(AGENT_DATABASE!C:C,MATCH(1,(AGENT_DATABASE!B2:B5000="Agent 3")*1,0)+7),"")</f>
        <v/>
      </c>
      <c r="D31" s="94" t="str">
        <f>IFERROR(INDEX(AGENT_DATABASE!D:D,MATCH(1,(AGENT_DATABASE!B2:B5000="Agent 3")*1,0)+7),"")</f>
        <v/>
      </c>
      <c r="E31" s="94" t="str">
        <f>IFERROR(INDEX(AGENT_DATABASE!F:F,MATCH(1,(AGENT_DATABASE!B2:B5000="Agent 3")*1,0)+7),"")</f>
        <v/>
      </c>
      <c r="F31" s="95" t="str">
        <f>IFERROR(INDEX(AGENT_DATABASE!G:G,MATCH(1,(AGENT_DATABASE!B2:B5000="Agent 3")*1,0)+7),"")</f>
        <v/>
      </c>
      <c r="G31" s="96" t="str">
        <f>IFERROR(INDEX(AGENT_DATABASE!H:H,MATCH(1,(AGENT_DATABASE!B2:B5000="Agent 3")*1,0)+7),"")</f>
        <v/>
      </c>
      <c r="H31" s="95" t="str">
        <f>IFERROR(INDEX(AGENT_DATABASE!I:I,MATCH(1,(AGENT_DATABASE!B2:B5000="Agent 3")*1,0)+7),"")</f>
        <v/>
      </c>
      <c r="I31" s="92" t="str">
        <f>IFERROR(INDEX(AGENT_DATABASE!J:J,MATCH(1,(AGENT_DATABASE!B2:B5000="Agent 3")*1,0)+7),"")</f>
        <v/>
      </c>
      <c r="J31" s="92" t="str">
        <f>IFERROR(INDEX(AGENT_DATABASE!L:L,MATCH(1,(AGENT_DATABASE!B2:B5000="Agent 3")*1,0)+7),"")</f>
        <v/>
      </c>
      <c r="K31" s="92" t="str">
        <f>IFERROR(INDEX(AGENT_DATABASE!M:M,MATCH(1,(AGENT_DATABASE!B2:B5000="Agent 3")*1,0)+7),"")</f>
        <v/>
      </c>
      <c r="L31" s="94" t="str">
        <f>IFERROR(INDEX(AGENT_DATABASE!K:K,MATCH(1,(AGENT_DATABASE!B2:B5000="Agent 3")*1,0)+7),"")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3")*1,0)+8),"")</f>
        <v/>
      </c>
      <c r="C32" s="89" t="str">
        <f>IFERROR(INDEX(AGENT_DATABASE!C:C,MATCH(1,(AGENT_DATABASE!B2:B5000="Agent 3")*1,0)+8),"")</f>
        <v/>
      </c>
      <c r="D32" s="89" t="str">
        <f>IFERROR(INDEX(AGENT_DATABASE!D:D,MATCH(1,(AGENT_DATABASE!B2:B5000="Agent 3")*1,0)+8),"")</f>
        <v/>
      </c>
      <c r="E32" s="89" t="str">
        <f>IFERROR(INDEX(AGENT_DATABASE!F:F,MATCH(1,(AGENT_DATABASE!B2:B5000="Agent 3")*1,0)+8),"")</f>
        <v/>
      </c>
      <c r="F32" s="90" t="str">
        <f>IFERROR(INDEX(AGENT_DATABASE!G:G,MATCH(1,(AGENT_DATABASE!B2:B5000="Agent 3")*1,0)+8),"")</f>
        <v/>
      </c>
      <c r="G32" s="91" t="str">
        <f>IFERROR(INDEX(AGENT_DATABASE!H:H,MATCH(1,(AGENT_DATABASE!B2:B5000="Agent 3")*1,0)+8),"")</f>
        <v/>
      </c>
      <c r="H32" s="90" t="str">
        <f>IFERROR(INDEX(AGENT_DATABASE!I:I,MATCH(1,(AGENT_DATABASE!B2:B5000="Agent 3")*1,0)+8),"")</f>
        <v/>
      </c>
      <c r="I32" s="87" t="str">
        <f>IFERROR(INDEX(AGENT_DATABASE!J:J,MATCH(1,(AGENT_DATABASE!B2:B5000="Agent 3")*1,0)+8),"")</f>
        <v/>
      </c>
      <c r="J32" s="87" t="str">
        <f>IFERROR(INDEX(AGENT_DATABASE!L:L,MATCH(1,(AGENT_DATABASE!B2:B5000="Agent 3")*1,0)+8),"")</f>
        <v/>
      </c>
      <c r="K32" s="87" t="str">
        <f>IFERROR(INDEX(AGENT_DATABASE!M:M,MATCH(1,(AGENT_DATABASE!B2:B5000="Agent 3")*1,0)+8),"")</f>
        <v/>
      </c>
      <c r="L32" s="89" t="str">
        <f>IFERROR(INDEX(AGENT_DATABASE!K:K,MATCH(1,(AGENT_DATABASE!B2:B5000="Agent 3")*1,0)+8),"")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3")*1,0)+9),"")</f>
        <v/>
      </c>
      <c r="C33" s="94" t="str">
        <f>IFERROR(INDEX(AGENT_DATABASE!C:C,MATCH(1,(AGENT_DATABASE!B2:B5000="Agent 3")*1,0)+9),"")</f>
        <v/>
      </c>
      <c r="D33" s="94" t="str">
        <f>IFERROR(INDEX(AGENT_DATABASE!D:D,MATCH(1,(AGENT_DATABASE!B2:B5000="Agent 3")*1,0)+9),"")</f>
        <v/>
      </c>
      <c r="E33" s="94" t="str">
        <f>IFERROR(INDEX(AGENT_DATABASE!F:F,MATCH(1,(AGENT_DATABASE!B2:B5000="Agent 3")*1,0)+9),"")</f>
        <v/>
      </c>
      <c r="F33" s="95" t="str">
        <f>IFERROR(INDEX(AGENT_DATABASE!G:G,MATCH(1,(AGENT_DATABASE!B2:B5000="Agent 3")*1,0)+9),"")</f>
        <v/>
      </c>
      <c r="G33" s="96" t="str">
        <f>IFERROR(INDEX(AGENT_DATABASE!H:H,MATCH(1,(AGENT_DATABASE!B2:B5000="Agent 3")*1,0)+9),"")</f>
        <v/>
      </c>
      <c r="H33" s="95" t="str">
        <f>IFERROR(INDEX(AGENT_DATABASE!I:I,MATCH(1,(AGENT_DATABASE!B2:B5000="Agent 3")*1,0)+9),"")</f>
        <v/>
      </c>
      <c r="I33" s="92" t="str">
        <f>IFERROR(INDEX(AGENT_DATABASE!J:J,MATCH(1,(AGENT_DATABASE!B2:B5000="Agent 3")*1,0)+9),"")</f>
        <v/>
      </c>
      <c r="J33" s="92" t="str">
        <f>IFERROR(INDEX(AGENT_DATABASE!L:L,MATCH(1,(AGENT_DATABASE!B2:B5000="Agent 3")*1,0)+9),"")</f>
        <v/>
      </c>
      <c r="K33" s="92" t="str">
        <f>IFERROR(INDEX(AGENT_DATABASE!M:M,MATCH(1,(AGENT_DATABASE!B2:B5000="Agent 3")*1,0)+9),"")</f>
        <v/>
      </c>
      <c r="L33" s="94" t="str">
        <f>IFERROR(INDEX(AGENT_DATABASE!K:K,MATCH(1,(AGENT_DATABASE!B2:B5000="Agent 3")*1,0)+9),"")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3")*1,0)+10),"")</f>
        <v/>
      </c>
      <c r="C34" s="89" t="str">
        <f>IFERROR(INDEX(AGENT_DATABASE!C:C,MATCH(1,(AGENT_DATABASE!B2:B5000="Agent 3")*1,0)+10),"")</f>
        <v/>
      </c>
      <c r="D34" s="89" t="str">
        <f>IFERROR(INDEX(AGENT_DATABASE!D:D,MATCH(1,(AGENT_DATABASE!B2:B5000="Agent 3")*1,0)+10),"")</f>
        <v/>
      </c>
      <c r="E34" s="89" t="str">
        <f>IFERROR(INDEX(AGENT_DATABASE!F:F,MATCH(1,(AGENT_DATABASE!B2:B5000="Agent 3")*1,0)+10),"")</f>
        <v/>
      </c>
      <c r="F34" s="90" t="str">
        <f>IFERROR(INDEX(AGENT_DATABASE!G:G,MATCH(1,(AGENT_DATABASE!B2:B5000="Agent 3")*1,0)+10),"")</f>
        <v/>
      </c>
      <c r="G34" s="91" t="str">
        <f>IFERROR(INDEX(AGENT_DATABASE!H:H,MATCH(1,(AGENT_DATABASE!B2:B5000="Agent 3")*1,0)+10),"")</f>
        <v/>
      </c>
      <c r="H34" s="90" t="str">
        <f>IFERROR(INDEX(AGENT_DATABASE!I:I,MATCH(1,(AGENT_DATABASE!B2:B5000="Agent 3")*1,0)+10),"")</f>
        <v/>
      </c>
      <c r="I34" s="87" t="str">
        <f>IFERROR(INDEX(AGENT_DATABASE!J:J,MATCH(1,(AGENT_DATABASE!B2:B5000="Agent 3")*1,0)+10),"")</f>
        <v/>
      </c>
      <c r="J34" s="87" t="str">
        <f>IFERROR(INDEX(AGENT_DATABASE!L:L,MATCH(1,(AGENT_DATABASE!B2:B5000="Agent 3")*1,0)+10),"")</f>
        <v/>
      </c>
      <c r="K34" s="87" t="str">
        <f>IFERROR(INDEX(AGENT_DATABASE!M:M,MATCH(1,(AGENT_DATABASE!B2:B5000="Agent 3")*1,0)+10),"")</f>
        <v/>
      </c>
      <c r="L34" s="89" t="str">
        <f>IFERROR(INDEX(AGENT_DATABASE!K:K,MATCH(1,(AGENT_DATABASE!B2:B5000="Agent 3")*1,0)+10),"")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3")*1,0)+11),"")</f>
        <v/>
      </c>
      <c r="C35" s="94" t="str">
        <f>IFERROR(INDEX(AGENT_DATABASE!C:C,MATCH(1,(AGENT_DATABASE!B2:B5000="Agent 3")*1,0)+11),"")</f>
        <v/>
      </c>
      <c r="D35" s="94" t="str">
        <f>IFERROR(INDEX(AGENT_DATABASE!D:D,MATCH(1,(AGENT_DATABASE!B2:B5000="Agent 3")*1,0)+11),"")</f>
        <v/>
      </c>
      <c r="E35" s="94" t="str">
        <f>IFERROR(INDEX(AGENT_DATABASE!F:F,MATCH(1,(AGENT_DATABASE!B2:B5000="Agent 3")*1,0)+11),"")</f>
        <v/>
      </c>
      <c r="F35" s="95" t="str">
        <f>IFERROR(INDEX(AGENT_DATABASE!G:G,MATCH(1,(AGENT_DATABASE!B2:B5000="Agent 3")*1,0)+11),"")</f>
        <v/>
      </c>
      <c r="G35" s="96" t="str">
        <f>IFERROR(INDEX(AGENT_DATABASE!H:H,MATCH(1,(AGENT_DATABASE!B2:B5000="Agent 3")*1,0)+11),"")</f>
        <v/>
      </c>
      <c r="H35" s="95" t="str">
        <f>IFERROR(INDEX(AGENT_DATABASE!I:I,MATCH(1,(AGENT_DATABASE!B2:B5000="Agent 3")*1,0)+11),"")</f>
        <v/>
      </c>
      <c r="I35" s="92" t="str">
        <f>IFERROR(INDEX(AGENT_DATABASE!J:J,MATCH(1,(AGENT_DATABASE!B2:B5000="Agent 3")*1,0)+11),"")</f>
        <v/>
      </c>
      <c r="J35" s="92" t="str">
        <f>IFERROR(INDEX(AGENT_DATABASE!L:L,MATCH(1,(AGENT_DATABASE!B2:B5000="Agent 3")*1,0)+11),"")</f>
        <v/>
      </c>
      <c r="K35" s="92" t="str">
        <f>IFERROR(INDEX(AGENT_DATABASE!M:M,MATCH(1,(AGENT_DATABASE!B2:B5000="Agent 3")*1,0)+11),"")</f>
        <v/>
      </c>
      <c r="L35" s="94" t="str">
        <f>IFERROR(INDEX(AGENT_DATABASE!K:K,MATCH(1,(AGENT_DATABASE!B2:B5000="Agent 3")*1,0)+11),"")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3")*1,0)+12),"")</f>
        <v/>
      </c>
      <c r="C36" s="89" t="str">
        <f>IFERROR(INDEX(AGENT_DATABASE!C:C,MATCH(1,(AGENT_DATABASE!B2:B5000="Agent 3")*1,0)+12),"")</f>
        <v/>
      </c>
      <c r="D36" s="89" t="str">
        <f>IFERROR(INDEX(AGENT_DATABASE!D:D,MATCH(1,(AGENT_DATABASE!B2:B5000="Agent 3")*1,0)+12),"")</f>
        <v/>
      </c>
      <c r="E36" s="89" t="str">
        <f>IFERROR(INDEX(AGENT_DATABASE!F:F,MATCH(1,(AGENT_DATABASE!B2:B5000="Agent 3")*1,0)+12),"")</f>
        <v/>
      </c>
      <c r="F36" s="90" t="str">
        <f>IFERROR(INDEX(AGENT_DATABASE!G:G,MATCH(1,(AGENT_DATABASE!B2:B5000="Agent 3")*1,0)+12),"")</f>
        <v/>
      </c>
      <c r="G36" s="91" t="str">
        <f>IFERROR(INDEX(AGENT_DATABASE!H:H,MATCH(1,(AGENT_DATABASE!B2:B5000="Agent 3")*1,0)+12),"")</f>
        <v/>
      </c>
      <c r="H36" s="90" t="str">
        <f>IFERROR(INDEX(AGENT_DATABASE!I:I,MATCH(1,(AGENT_DATABASE!B2:B5000="Agent 3")*1,0)+12),"")</f>
        <v/>
      </c>
      <c r="I36" s="87" t="str">
        <f>IFERROR(INDEX(AGENT_DATABASE!J:J,MATCH(1,(AGENT_DATABASE!B2:B5000="Agent 3")*1,0)+12),"")</f>
        <v/>
      </c>
      <c r="J36" s="87" t="str">
        <f>IFERROR(INDEX(AGENT_DATABASE!L:L,MATCH(1,(AGENT_DATABASE!B2:B5000="Agent 3")*1,0)+12),"")</f>
        <v/>
      </c>
      <c r="K36" s="87" t="str">
        <f>IFERROR(INDEX(AGENT_DATABASE!M:M,MATCH(1,(AGENT_DATABASE!B2:B5000="Agent 3")*1,0)+12),"")</f>
        <v/>
      </c>
      <c r="L36" s="89" t="str">
        <f>IFERROR(INDEX(AGENT_DATABASE!K:K,MATCH(1,(AGENT_DATABASE!B2:B5000="Agent 3")*1,0)+12),"")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3")*1,0)+13),"")</f>
        <v/>
      </c>
      <c r="C37" s="94" t="str">
        <f>IFERROR(INDEX(AGENT_DATABASE!C:C,MATCH(1,(AGENT_DATABASE!B2:B5000="Agent 3")*1,0)+13),"")</f>
        <v/>
      </c>
      <c r="D37" s="94" t="str">
        <f>IFERROR(INDEX(AGENT_DATABASE!D:D,MATCH(1,(AGENT_DATABASE!B2:B5000="Agent 3")*1,0)+13),"")</f>
        <v/>
      </c>
      <c r="E37" s="94" t="str">
        <f>IFERROR(INDEX(AGENT_DATABASE!F:F,MATCH(1,(AGENT_DATABASE!B2:B5000="Agent 3")*1,0)+13),"")</f>
        <v/>
      </c>
      <c r="F37" s="95" t="str">
        <f>IFERROR(INDEX(AGENT_DATABASE!G:G,MATCH(1,(AGENT_DATABASE!B2:B5000="Agent 3")*1,0)+13),"")</f>
        <v/>
      </c>
      <c r="G37" s="96" t="str">
        <f>IFERROR(INDEX(AGENT_DATABASE!H:H,MATCH(1,(AGENT_DATABASE!B2:B5000="Agent 3")*1,0)+13),"")</f>
        <v/>
      </c>
      <c r="H37" s="95" t="str">
        <f>IFERROR(INDEX(AGENT_DATABASE!I:I,MATCH(1,(AGENT_DATABASE!B2:B5000="Agent 3")*1,0)+13),"")</f>
        <v/>
      </c>
      <c r="I37" s="92" t="str">
        <f>IFERROR(INDEX(AGENT_DATABASE!J:J,MATCH(1,(AGENT_DATABASE!B2:B5000="Agent 3")*1,0)+13),"")</f>
        <v/>
      </c>
      <c r="J37" s="92" t="str">
        <f>IFERROR(INDEX(AGENT_DATABASE!L:L,MATCH(1,(AGENT_DATABASE!B2:B5000="Agent 3")*1,0)+13),"")</f>
        <v/>
      </c>
      <c r="K37" s="92" t="str">
        <f>IFERROR(INDEX(AGENT_DATABASE!M:M,MATCH(1,(AGENT_DATABASE!B2:B5000="Agent 3")*1,0)+13),"")</f>
        <v/>
      </c>
      <c r="L37" s="94" t="str">
        <f>IFERROR(INDEX(AGENT_DATABASE!K:K,MATCH(1,(AGENT_DATABASE!B2:B5000="Agent 3")*1,0)+13),"")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3")*1,0)+14),"")</f>
        <v/>
      </c>
      <c r="C38" s="89" t="str">
        <f>IFERROR(INDEX(AGENT_DATABASE!C:C,MATCH(1,(AGENT_DATABASE!B2:B5000="Agent 3")*1,0)+14),"")</f>
        <v/>
      </c>
      <c r="D38" s="89" t="str">
        <f>IFERROR(INDEX(AGENT_DATABASE!D:D,MATCH(1,(AGENT_DATABASE!B2:B5000="Agent 3")*1,0)+14),"")</f>
        <v/>
      </c>
      <c r="E38" s="89" t="str">
        <f>IFERROR(INDEX(AGENT_DATABASE!F:F,MATCH(1,(AGENT_DATABASE!B2:B5000="Agent 3")*1,0)+14),"")</f>
        <v/>
      </c>
      <c r="F38" s="90" t="str">
        <f>IFERROR(INDEX(AGENT_DATABASE!G:G,MATCH(1,(AGENT_DATABASE!B2:B5000="Agent 3")*1,0)+14),"")</f>
        <v/>
      </c>
      <c r="G38" s="91" t="str">
        <f>IFERROR(INDEX(AGENT_DATABASE!H:H,MATCH(1,(AGENT_DATABASE!B2:B5000="Agent 3")*1,0)+14),"")</f>
        <v/>
      </c>
      <c r="H38" s="90" t="str">
        <f>IFERROR(INDEX(AGENT_DATABASE!I:I,MATCH(1,(AGENT_DATABASE!B2:B5000="Agent 3")*1,0)+14),"")</f>
        <v/>
      </c>
      <c r="I38" s="87" t="str">
        <f>IFERROR(INDEX(AGENT_DATABASE!J:J,MATCH(1,(AGENT_DATABASE!B2:B5000="Agent 3")*1,0)+14),"")</f>
        <v/>
      </c>
      <c r="J38" s="87" t="str">
        <f>IFERROR(INDEX(AGENT_DATABASE!L:L,MATCH(1,(AGENT_DATABASE!B2:B5000="Agent 3")*1,0)+14),"")</f>
        <v/>
      </c>
      <c r="K38" s="87" t="str">
        <f>IFERROR(INDEX(AGENT_DATABASE!M:M,MATCH(1,(AGENT_DATABASE!B2:B5000="Agent 3")*1,0)+14),"")</f>
        <v/>
      </c>
      <c r="L38" s="89" t="str">
        <f>IFERROR(INDEX(AGENT_DATABASE!K:K,MATCH(1,(AGENT_DATABASE!B2:B5000="Agent 3")*1,0)+14),"")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3")*1,0)+15),"")</f>
        <v/>
      </c>
      <c r="C39" s="94" t="str">
        <f>IFERROR(INDEX(AGENT_DATABASE!C:C,MATCH(1,(AGENT_DATABASE!B2:B5000="Agent 3")*1,0)+15),"")</f>
        <v/>
      </c>
      <c r="D39" s="94" t="str">
        <f>IFERROR(INDEX(AGENT_DATABASE!D:D,MATCH(1,(AGENT_DATABASE!B2:B5000="Agent 3")*1,0)+15),"")</f>
        <v/>
      </c>
      <c r="E39" s="94" t="str">
        <f>IFERROR(INDEX(AGENT_DATABASE!F:F,MATCH(1,(AGENT_DATABASE!B2:B5000="Agent 3")*1,0)+15),"")</f>
        <v/>
      </c>
      <c r="F39" s="95" t="str">
        <f>IFERROR(INDEX(AGENT_DATABASE!G:G,MATCH(1,(AGENT_DATABASE!B2:B5000="Agent 3")*1,0)+15),"")</f>
        <v/>
      </c>
      <c r="G39" s="96" t="str">
        <f>IFERROR(INDEX(AGENT_DATABASE!H:H,MATCH(1,(AGENT_DATABASE!B2:B5000="Agent 3")*1,0)+15),"")</f>
        <v/>
      </c>
      <c r="H39" s="95" t="str">
        <f>IFERROR(INDEX(AGENT_DATABASE!I:I,MATCH(1,(AGENT_DATABASE!B2:B5000="Agent 3")*1,0)+15),"")</f>
        <v/>
      </c>
      <c r="I39" s="92" t="str">
        <f>IFERROR(INDEX(AGENT_DATABASE!J:J,MATCH(1,(AGENT_DATABASE!B2:B5000="Agent 3")*1,0)+15),"")</f>
        <v/>
      </c>
      <c r="J39" s="92" t="str">
        <f>IFERROR(INDEX(AGENT_DATABASE!L:L,MATCH(1,(AGENT_DATABASE!B2:B5000="Agent 3")*1,0)+15),"")</f>
        <v/>
      </c>
      <c r="K39" s="92" t="str">
        <f>IFERROR(INDEX(AGENT_DATABASE!M:M,MATCH(1,(AGENT_DATABASE!B2:B5000="Agent 3")*1,0)+15),"")</f>
        <v/>
      </c>
      <c r="L39" s="94" t="str">
        <f>IFERROR(INDEX(AGENT_DATABASE!K:K,MATCH(1,(AGENT_DATABASE!B2:B5000="Agent 3")*1,0)+15),"")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3")*1,0)+16),"")</f>
        <v/>
      </c>
      <c r="C40" s="89" t="str">
        <f>IFERROR(INDEX(AGENT_DATABASE!C:C,MATCH(1,(AGENT_DATABASE!B2:B5000="Agent 3")*1,0)+16),"")</f>
        <v/>
      </c>
      <c r="D40" s="89" t="str">
        <f>IFERROR(INDEX(AGENT_DATABASE!D:D,MATCH(1,(AGENT_DATABASE!B2:B5000="Agent 3")*1,0)+16),"")</f>
        <v/>
      </c>
      <c r="E40" s="89" t="str">
        <f>IFERROR(INDEX(AGENT_DATABASE!F:F,MATCH(1,(AGENT_DATABASE!B2:B5000="Agent 3")*1,0)+16),"")</f>
        <v/>
      </c>
      <c r="F40" s="90" t="str">
        <f>IFERROR(INDEX(AGENT_DATABASE!G:G,MATCH(1,(AGENT_DATABASE!B2:B5000="Agent 3")*1,0)+16),"")</f>
        <v/>
      </c>
      <c r="G40" s="91" t="str">
        <f>IFERROR(INDEX(AGENT_DATABASE!H:H,MATCH(1,(AGENT_DATABASE!B2:B5000="Agent 3")*1,0)+16),"")</f>
        <v/>
      </c>
      <c r="H40" s="90" t="str">
        <f>IFERROR(INDEX(AGENT_DATABASE!I:I,MATCH(1,(AGENT_DATABASE!B2:B5000="Agent 3")*1,0)+16),"")</f>
        <v/>
      </c>
      <c r="I40" s="87" t="str">
        <f>IFERROR(INDEX(AGENT_DATABASE!J:J,MATCH(1,(AGENT_DATABASE!B2:B5000="Agent 3")*1,0)+16),"")</f>
        <v/>
      </c>
      <c r="J40" s="87" t="str">
        <f>IFERROR(INDEX(AGENT_DATABASE!L:L,MATCH(1,(AGENT_DATABASE!B2:B5000="Agent 3")*1,0)+16),"")</f>
        <v/>
      </c>
      <c r="K40" s="87" t="str">
        <f>IFERROR(INDEX(AGENT_DATABASE!M:M,MATCH(1,(AGENT_DATABASE!B2:B5000="Agent 3")*1,0)+16),"")</f>
        <v/>
      </c>
      <c r="L40" s="89" t="str">
        <f>IFERROR(INDEX(AGENT_DATABASE!K:K,MATCH(1,(AGENT_DATABASE!B2:B5000="Agent 3")*1,0)+16),"")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3")*1,0)+17),"")</f>
        <v/>
      </c>
      <c r="C41" s="94" t="str">
        <f>IFERROR(INDEX(AGENT_DATABASE!C:C,MATCH(1,(AGENT_DATABASE!B2:B5000="Agent 3")*1,0)+17),"")</f>
        <v/>
      </c>
      <c r="D41" s="94" t="str">
        <f>IFERROR(INDEX(AGENT_DATABASE!D:D,MATCH(1,(AGENT_DATABASE!B2:B5000="Agent 3")*1,0)+17),"")</f>
        <v/>
      </c>
      <c r="E41" s="94" t="str">
        <f>IFERROR(INDEX(AGENT_DATABASE!F:F,MATCH(1,(AGENT_DATABASE!B2:B5000="Agent 3")*1,0)+17),"")</f>
        <v/>
      </c>
      <c r="F41" s="95" t="str">
        <f>IFERROR(INDEX(AGENT_DATABASE!G:G,MATCH(1,(AGENT_DATABASE!B2:B5000="Agent 3")*1,0)+17),"")</f>
        <v/>
      </c>
      <c r="G41" s="96" t="str">
        <f>IFERROR(INDEX(AGENT_DATABASE!H:H,MATCH(1,(AGENT_DATABASE!B2:B5000="Agent 3")*1,0)+17),"")</f>
        <v/>
      </c>
      <c r="H41" s="95" t="str">
        <f>IFERROR(INDEX(AGENT_DATABASE!I:I,MATCH(1,(AGENT_DATABASE!B2:B5000="Agent 3")*1,0)+17),"")</f>
        <v/>
      </c>
      <c r="I41" s="92" t="str">
        <f>IFERROR(INDEX(AGENT_DATABASE!J:J,MATCH(1,(AGENT_DATABASE!B2:B5000="Agent 3")*1,0)+17),"")</f>
        <v/>
      </c>
      <c r="J41" s="92" t="str">
        <f>IFERROR(INDEX(AGENT_DATABASE!L:L,MATCH(1,(AGENT_DATABASE!B2:B5000="Agent 3")*1,0)+17),"")</f>
        <v/>
      </c>
      <c r="K41" s="92" t="str">
        <f>IFERROR(INDEX(AGENT_DATABASE!M:M,MATCH(1,(AGENT_DATABASE!B2:B5000="Agent 3")*1,0)+17),"")</f>
        <v/>
      </c>
      <c r="L41" s="94" t="str">
        <f>IFERROR(INDEX(AGENT_DATABASE!K:K,MATCH(1,(AGENT_DATABASE!B2:B5000="Agent 3")*1,0)+17),"")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3")*1,0)+18),"")</f>
        <v/>
      </c>
      <c r="C42" s="89" t="str">
        <f>IFERROR(INDEX(AGENT_DATABASE!C:C,MATCH(1,(AGENT_DATABASE!B2:B5000="Agent 3")*1,0)+18),"")</f>
        <v/>
      </c>
      <c r="D42" s="89" t="str">
        <f>IFERROR(INDEX(AGENT_DATABASE!D:D,MATCH(1,(AGENT_DATABASE!B2:B5000="Agent 3")*1,0)+18),"")</f>
        <v/>
      </c>
      <c r="E42" s="89" t="str">
        <f>IFERROR(INDEX(AGENT_DATABASE!F:F,MATCH(1,(AGENT_DATABASE!B2:B5000="Agent 3")*1,0)+18),"")</f>
        <v/>
      </c>
      <c r="F42" s="90" t="str">
        <f>IFERROR(INDEX(AGENT_DATABASE!G:G,MATCH(1,(AGENT_DATABASE!B2:B5000="Agent 3")*1,0)+18),"")</f>
        <v/>
      </c>
      <c r="G42" s="91" t="str">
        <f>IFERROR(INDEX(AGENT_DATABASE!H:H,MATCH(1,(AGENT_DATABASE!B2:B5000="Agent 3")*1,0)+18),"")</f>
        <v/>
      </c>
      <c r="H42" s="90" t="str">
        <f>IFERROR(INDEX(AGENT_DATABASE!I:I,MATCH(1,(AGENT_DATABASE!B2:B5000="Agent 3")*1,0)+18),"")</f>
        <v/>
      </c>
      <c r="I42" s="87" t="str">
        <f>IFERROR(INDEX(AGENT_DATABASE!J:J,MATCH(1,(AGENT_DATABASE!B2:B5000="Agent 3")*1,0)+18),"")</f>
        <v/>
      </c>
      <c r="J42" s="87" t="str">
        <f>IFERROR(INDEX(AGENT_DATABASE!L:L,MATCH(1,(AGENT_DATABASE!B2:B5000="Agent 3")*1,0)+18),"")</f>
        <v/>
      </c>
      <c r="K42" s="87" t="str">
        <f>IFERROR(INDEX(AGENT_DATABASE!M:M,MATCH(1,(AGENT_DATABASE!B2:B5000="Agent 3")*1,0)+18),"")</f>
        <v/>
      </c>
      <c r="L42" s="89" t="str">
        <f>IFERROR(INDEX(AGENT_DATABASE!K:K,MATCH(1,(AGENT_DATABASE!B2:B5000="Agent 3")*1,0)+18),"")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3")*1,0)+19),"")</f>
        <v/>
      </c>
      <c r="C43" s="94" t="str">
        <f>IFERROR(INDEX(AGENT_DATABASE!C:C,MATCH(1,(AGENT_DATABASE!B2:B5000="Agent 3")*1,0)+19),"")</f>
        <v/>
      </c>
      <c r="D43" s="94" t="str">
        <f>IFERROR(INDEX(AGENT_DATABASE!D:D,MATCH(1,(AGENT_DATABASE!B2:B5000="Agent 3")*1,0)+19),"")</f>
        <v/>
      </c>
      <c r="E43" s="94" t="str">
        <f>IFERROR(INDEX(AGENT_DATABASE!F:F,MATCH(1,(AGENT_DATABASE!B2:B5000="Agent 3")*1,0)+19),"")</f>
        <v/>
      </c>
      <c r="F43" s="95" t="str">
        <f>IFERROR(INDEX(AGENT_DATABASE!G:G,MATCH(1,(AGENT_DATABASE!B2:B5000="Agent 3")*1,0)+19),"")</f>
        <v/>
      </c>
      <c r="G43" s="96" t="str">
        <f>IFERROR(INDEX(AGENT_DATABASE!H:H,MATCH(1,(AGENT_DATABASE!B2:B5000="Agent 3")*1,0)+19),"")</f>
        <v/>
      </c>
      <c r="H43" s="95" t="str">
        <f>IFERROR(INDEX(AGENT_DATABASE!I:I,MATCH(1,(AGENT_DATABASE!B2:B5000="Agent 3")*1,0)+19),"")</f>
        <v/>
      </c>
      <c r="I43" s="92" t="str">
        <f>IFERROR(INDEX(AGENT_DATABASE!J:J,MATCH(1,(AGENT_DATABASE!B2:B5000="Agent 3")*1,0)+19),"")</f>
        <v/>
      </c>
      <c r="J43" s="92" t="str">
        <f>IFERROR(INDEX(AGENT_DATABASE!L:L,MATCH(1,(AGENT_DATABASE!B2:B5000="Agent 3")*1,0)+19),"")</f>
        <v/>
      </c>
      <c r="K43" s="92" t="str">
        <f>IFERROR(INDEX(AGENT_DATABASE!M:M,MATCH(1,(AGENT_DATABASE!B2:B5000="Agent 3")*1,0)+19),"")</f>
        <v/>
      </c>
      <c r="L43" s="94" t="str">
        <f>IFERROR(INDEX(AGENT_DATABASE!K:K,MATCH(1,(AGENT_DATABASE!B2:B5000="Agent 3")*1,0)+19),"")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3")*1,0)+20),"")</f>
        <v/>
      </c>
      <c r="C44" s="89" t="str">
        <f>IFERROR(INDEX(AGENT_DATABASE!C:C,MATCH(1,(AGENT_DATABASE!B2:B5000="Agent 3")*1,0)+20),"")</f>
        <v/>
      </c>
      <c r="D44" s="89" t="str">
        <f>IFERROR(INDEX(AGENT_DATABASE!D:D,MATCH(1,(AGENT_DATABASE!B2:B5000="Agent 3")*1,0)+20),"")</f>
        <v/>
      </c>
      <c r="E44" s="89" t="str">
        <f>IFERROR(INDEX(AGENT_DATABASE!F:F,MATCH(1,(AGENT_DATABASE!B2:B5000="Agent 3")*1,0)+20),"")</f>
        <v/>
      </c>
      <c r="F44" s="90" t="str">
        <f>IFERROR(INDEX(AGENT_DATABASE!G:G,MATCH(1,(AGENT_DATABASE!B2:B5000="Agent 3")*1,0)+20),"")</f>
        <v/>
      </c>
      <c r="G44" s="91" t="str">
        <f>IFERROR(INDEX(AGENT_DATABASE!H:H,MATCH(1,(AGENT_DATABASE!B2:B5000="Agent 3")*1,0)+20),"")</f>
        <v/>
      </c>
      <c r="H44" s="90" t="str">
        <f>IFERROR(INDEX(AGENT_DATABASE!I:I,MATCH(1,(AGENT_DATABASE!B2:B5000="Agent 3")*1,0)+20),"")</f>
        <v/>
      </c>
      <c r="I44" s="87" t="str">
        <f>IFERROR(INDEX(AGENT_DATABASE!J:J,MATCH(1,(AGENT_DATABASE!B2:B5000="Agent 3")*1,0)+20),"")</f>
        <v/>
      </c>
      <c r="J44" s="87" t="str">
        <f>IFERROR(INDEX(AGENT_DATABASE!L:L,MATCH(1,(AGENT_DATABASE!B2:B5000="Agent 3")*1,0)+20),"")</f>
        <v/>
      </c>
      <c r="K44" s="87" t="str">
        <f>IFERROR(INDEX(AGENT_DATABASE!M:M,MATCH(1,(AGENT_DATABASE!B2:B5000="Agent 3")*1,0)+20),"")</f>
        <v/>
      </c>
      <c r="L44" s="89" t="str">
        <f>IFERROR(INDEX(AGENT_DATABASE!K:K,MATCH(1,(AGENT_DATABASE!B2:B5000="Agent 3")*1,0)+20),"")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3")*1,0)+21),"")</f>
        <v/>
      </c>
      <c r="C45" s="94" t="str">
        <f>IFERROR(INDEX(AGENT_DATABASE!C:C,MATCH(1,(AGENT_DATABASE!B2:B5000="Agent 3")*1,0)+21),"")</f>
        <v/>
      </c>
      <c r="D45" s="94" t="str">
        <f>IFERROR(INDEX(AGENT_DATABASE!D:D,MATCH(1,(AGENT_DATABASE!B2:B5000="Agent 3")*1,0)+21),"")</f>
        <v/>
      </c>
      <c r="E45" s="94" t="str">
        <f>IFERROR(INDEX(AGENT_DATABASE!F:F,MATCH(1,(AGENT_DATABASE!B2:B5000="Agent 3")*1,0)+21),"")</f>
        <v/>
      </c>
      <c r="F45" s="95" t="str">
        <f>IFERROR(INDEX(AGENT_DATABASE!G:G,MATCH(1,(AGENT_DATABASE!B2:B5000="Agent 3")*1,0)+21),"")</f>
        <v/>
      </c>
      <c r="G45" s="96" t="str">
        <f>IFERROR(INDEX(AGENT_DATABASE!H:H,MATCH(1,(AGENT_DATABASE!B2:B5000="Agent 3")*1,0)+21),"")</f>
        <v/>
      </c>
      <c r="H45" s="95" t="str">
        <f>IFERROR(INDEX(AGENT_DATABASE!I:I,MATCH(1,(AGENT_DATABASE!B2:B5000="Agent 3")*1,0)+21),"")</f>
        <v/>
      </c>
      <c r="I45" s="92" t="str">
        <f>IFERROR(INDEX(AGENT_DATABASE!J:J,MATCH(1,(AGENT_DATABASE!B2:B5000="Agent 3")*1,0)+21),"")</f>
        <v/>
      </c>
      <c r="J45" s="92" t="str">
        <f>IFERROR(INDEX(AGENT_DATABASE!L:L,MATCH(1,(AGENT_DATABASE!B2:B5000="Agent 3")*1,0)+21),"")</f>
        <v/>
      </c>
      <c r="K45" s="92" t="str">
        <f>IFERROR(INDEX(AGENT_DATABASE!M:M,MATCH(1,(AGENT_DATABASE!B2:B5000="Agent 3")*1,0)+21),"")</f>
        <v/>
      </c>
      <c r="L45" s="94" t="str">
        <f>IFERROR(INDEX(AGENT_DATABASE!K:K,MATCH(1,(AGENT_DATABASE!B2:B5000="Agent 3")*1,0)+21),"")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3")*1,0)+22),"")</f>
        <v/>
      </c>
      <c r="C46" s="89" t="str">
        <f>IFERROR(INDEX(AGENT_DATABASE!C:C,MATCH(1,(AGENT_DATABASE!B2:B5000="Agent 3")*1,0)+22),"")</f>
        <v/>
      </c>
      <c r="D46" s="89" t="str">
        <f>IFERROR(INDEX(AGENT_DATABASE!D:D,MATCH(1,(AGENT_DATABASE!B2:B5000="Agent 3")*1,0)+22),"")</f>
        <v/>
      </c>
      <c r="E46" s="89" t="str">
        <f>IFERROR(INDEX(AGENT_DATABASE!F:F,MATCH(1,(AGENT_DATABASE!B2:B5000="Agent 3")*1,0)+22),"")</f>
        <v/>
      </c>
      <c r="F46" s="90" t="str">
        <f>IFERROR(INDEX(AGENT_DATABASE!G:G,MATCH(1,(AGENT_DATABASE!B2:B5000="Agent 3")*1,0)+22),"")</f>
        <v/>
      </c>
      <c r="G46" s="91" t="str">
        <f>IFERROR(INDEX(AGENT_DATABASE!H:H,MATCH(1,(AGENT_DATABASE!B2:B5000="Agent 3")*1,0)+22),"")</f>
        <v/>
      </c>
      <c r="H46" s="90" t="str">
        <f>IFERROR(INDEX(AGENT_DATABASE!I:I,MATCH(1,(AGENT_DATABASE!B2:B5000="Agent 3")*1,0)+22),"")</f>
        <v/>
      </c>
      <c r="I46" s="87" t="str">
        <f>IFERROR(INDEX(AGENT_DATABASE!J:J,MATCH(1,(AGENT_DATABASE!B2:B5000="Agent 3")*1,0)+22),"")</f>
        <v/>
      </c>
      <c r="J46" s="87" t="str">
        <f>IFERROR(INDEX(AGENT_DATABASE!L:L,MATCH(1,(AGENT_DATABASE!B2:B5000="Agent 3")*1,0)+22),"")</f>
        <v/>
      </c>
      <c r="K46" s="87" t="str">
        <f>IFERROR(INDEX(AGENT_DATABASE!M:M,MATCH(1,(AGENT_DATABASE!B2:B5000="Agent 3")*1,0)+22),"")</f>
        <v/>
      </c>
      <c r="L46" s="89" t="str">
        <f>IFERROR(INDEX(AGENT_DATABASE!K:K,MATCH(1,(AGENT_DATABASE!B2:B5000="Agent 3")*1,0)+22),"")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3")*1,0)+23),"")</f>
        <v/>
      </c>
      <c r="C47" s="94" t="str">
        <f>IFERROR(INDEX(AGENT_DATABASE!C:C,MATCH(1,(AGENT_DATABASE!B2:B5000="Agent 3")*1,0)+23),"")</f>
        <v/>
      </c>
      <c r="D47" s="94" t="str">
        <f>IFERROR(INDEX(AGENT_DATABASE!D:D,MATCH(1,(AGENT_DATABASE!B2:B5000="Agent 3")*1,0)+23),"")</f>
        <v/>
      </c>
      <c r="E47" s="94" t="str">
        <f>IFERROR(INDEX(AGENT_DATABASE!F:F,MATCH(1,(AGENT_DATABASE!B2:B5000="Agent 3")*1,0)+23),"")</f>
        <v/>
      </c>
      <c r="F47" s="95" t="str">
        <f>IFERROR(INDEX(AGENT_DATABASE!G:G,MATCH(1,(AGENT_DATABASE!B2:B5000="Agent 3")*1,0)+23),"")</f>
        <v/>
      </c>
      <c r="G47" s="96" t="str">
        <f>IFERROR(INDEX(AGENT_DATABASE!H:H,MATCH(1,(AGENT_DATABASE!B2:B5000="Agent 3")*1,0)+23),"")</f>
        <v/>
      </c>
      <c r="H47" s="95" t="str">
        <f>IFERROR(INDEX(AGENT_DATABASE!I:I,MATCH(1,(AGENT_DATABASE!B2:B5000="Agent 3")*1,0)+23),"")</f>
        <v/>
      </c>
      <c r="I47" s="92" t="str">
        <f>IFERROR(INDEX(AGENT_DATABASE!J:J,MATCH(1,(AGENT_DATABASE!B2:B5000="Agent 3")*1,0)+23),"")</f>
        <v/>
      </c>
      <c r="J47" s="92" t="str">
        <f>IFERROR(INDEX(AGENT_DATABASE!L:L,MATCH(1,(AGENT_DATABASE!B2:B5000="Agent 3")*1,0)+23),"")</f>
        <v/>
      </c>
      <c r="K47" s="92" t="str">
        <f>IFERROR(INDEX(AGENT_DATABASE!M:M,MATCH(1,(AGENT_DATABASE!B2:B5000="Agent 3")*1,0)+23),"")</f>
        <v/>
      </c>
      <c r="L47" s="94" t="str">
        <f>IFERROR(INDEX(AGENT_DATABASE!K:K,MATCH(1,(AGENT_DATABASE!B2:B5000="Agent 3")*1,0)+23),"")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3")*1,0)+24),"")</f>
        <v/>
      </c>
      <c r="C48" s="89" t="str">
        <f>IFERROR(INDEX(AGENT_DATABASE!C:C,MATCH(1,(AGENT_DATABASE!B2:B5000="Agent 3")*1,0)+24),"")</f>
        <v/>
      </c>
      <c r="D48" s="89" t="str">
        <f>IFERROR(INDEX(AGENT_DATABASE!D:D,MATCH(1,(AGENT_DATABASE!B2:B5000="Agent 3")*1,0)+24),"")</f>
        <v/>
      </c>
      <c r="E48" s="89" t="str">
        <f>IFERROR(INDEX(AGENT_DATABASE!F:F,MATCH(1,(AGENT_DATABASE!B2:B5000="Agent 3")*1,0)+24),"")</f>
        <v/>
      </c>
      <c r="F48" s="90" t="str">
        <f>IFERROR(INDEX(AGENT_DATABASE!G:G,MATCH(1,(AGENT_DATABASE!B2:B5000="Agent 3")*1,0)+24),"")</f>
        <v/>
      </c>
      <c r="G48" s="91" t="str">
        <f>IFERROR(INDEX(AGENT_DATABASE!H:H,MATCH(1,(AGENT_DATABASE!B2:B5000="Agent 3")*1,0)+24),"")</f>
        <v/>
      </c>
      <c r="H48" s="90" t="str">
        <f>IFERROR(INDEX(AGENT_DATABASE!I:I,MATCH(1,(AGENT_DATABASE!B2:B5000="Agent 3")*1,0)+24),"")</f>
        <v/>
      </c>
      <c r="I48" s="87" t="str">
        <f>IFERROR(INDEX(AGENT_DATABASE!J:J,MATCH(1,(AGENT_DATABASE!B2:B5000="Agent 3")*1,0)+24),"")</f>
        <v/>
      </c>
      <c r="J48" s="87" t="str">
        <f>IFERROR(INDEX(AGENT_DATABASE!L:L,MATCH(1,(AGENT_DATABASE!B2:B5000="Agent 3")*1,0)+24),"")</f>
        <v/>
      </c>
      <c r="K48" s="87" t="str">
        <f>IFERROR(INDEX(AGENT_DATABASE!M:M,MATCH(1,(AGENT_DATABASE!B2:B5000="Agent 3")*1,0)+24),"")</f>
        <v/>
      </c>
      <c r="L48" s="89" t="str">
        <f>IFERROR(INDEX(AGENT_DATABASE!K:K,MATCH(1,(AGENT_DATABASE!B2:B5000="Agent 3")*1,0)+24),"")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3")*1,0)+25),"")</f>
        <v/>
      </c>
      <c r="C49" s="94" t="str">
        <f>IFERROR(INDEX(AGENT_DATABASE!C:C,MATCH(1,(AGENT_DATABASE!B2:B5000="Agent 3")*1,0)+25),"")</f>
        <v/>
      </c>
      <c r="D49" s="94" t="str">
        <f>IFERROR(INDEX(AGENT_DATABASE!D:D,MATCH(1,(AGENT_DATABASE!B2:B5000="Agent 3")*1,0)+25),"")</f>
        <v/>
      </c>
      <c r="E49" s="94" t="str">
        <f>IFERROR(INDEX(AGENT_DATABASE!F:F,MATCH(1,(AGENT_DATABASE!B2:B5000="Agent 3")*1,0)+25),"")</f>
        <v/>
      </c>
      <c r="F49" s="95" t="str">
        <f>IFERROR(INDEX(AGENT_DATABASE!G:G,MATCH(1,(AGENT_DATABASE!B2:B5000="Agent 3")*1,0)+25),"")</f>
        <v/>
      </c>
      <c r="G49" s="96" t="str">
        <f>IFERROR(INDEX(AGENT_DATABASE!H:H,MATCH(1,(AGENT_DATABASE!B2:B5000="Agent 3")*1,0)+25),"")</f>
        <v/>
      </c>
      <c r="H49" s="95" t="str">
        <f>IFERROR(INDEX(AGENT_DATABASE!I:I,MATCH(1,(AGENT_DATABASE!B2:B5000="Agent 3")*1,0)+25),"")</f>
        <v/>
      </c>
      <c r="I49" s="92" t="str">
        <f>IFERROR(INDEX(AGENT_DATABASE!J:J,MATCH(1,(AGENT_DATABASE!B2:B5000="Agent 3")*1,0)+25),"")</f>
        <v/>
      </c>
      <c r="J49" s="92" t="str">
        <f>IFERROR(INDEX(AGENT_DATABASE!L:L,MATCH(1,(AGENT_DATABASE!B2:B5000="Agent 3")*1,0)+25),"")</f>
        <v/>
      </c>
      <c r="K49" s="92" t="str">
        <f>IFERROR(INDEX(AGENT_DATABASE!M:M,MATCH(1,(AGENT_DATABASE!B2:B5000="Agent 3")*1,0)+25),"")</f>
        <v/>
      </c>
      <c r="L49" s="94" t="str">
        <f>IFERROR(INDEX(AGENT_DATABASE!K:K,MATCH(1,(AGENT_DATABASE!B2:B5000="Agent 3")*1,0)+25),"")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3")*1,0)+26),"")</f>
        <v/>
      </c>
      <c r="C50" s="89" t="str">
        <f>IFERROR(INDEX(AGENT_DATABASE!C:C,MATCH(1,(AGENT_DATABASE!B2:B5000="Agent 3")*1,0)+26),"")</f>
        <v/>
      </c>
      <c r="D50" s="89" t="str">
        <f>IFERROR(INDEX(AGENT_DATABASE!D:D,MATCH(1,(AGENT_DATABASE!B2:B5000="Agent 3")*1,0)+26),"")</f>
        <v/>
      </c>
      <c r="E50" s="89" t="str">
        <f>IFERROR(INDEX(AGENT_DATABASE!F:F,MATCH(1,(AGENT_DATABASE!B2:B5000="Agent 3")*1,0)+26),"")</f>
        <v/>
      </c>
      <c r="F50" s="90" t="str">
        <f>IFERROR(INDEX(AGENT_DATABASE!G:G,MATCH(1,(AGENT_DATABASE!B2:B5000="Agent 3")*1,0)+26),"")</f>
        <v/>
      </c>
      <c r="G50" s="91" t="str">
        <f>IFERROR(INDEX(AGENT_DATABASE!H:H,MATCH(1,(AGENT_DATABASE!B2:B5000="Agent 3")*1,0)+26),"")</f>
        <v/>
      </c>
      <c r="H50" s="90" t="str">
        <f>IFERROR(INDEX(AGENT_DATABASE!I:I,MATCH(1,(AGENT_DATABASE!B2:B5000="Agent 3")*1,0)+26),"")</f>
        <v/>
      </c>
      <c r="I50" s="87" t="str">
        <f>IFERROR(INDEX(AGENT_DATABASE!J:J,MATCH(1,(AGENT_DATABASE!B2:B5000="Agent 3")*1,0)+26),"")</f>
        <v/>
      </c>
      <c r="J50" s="87" t="str">
        <f>IFERROR(INDEX(AGENT_DATABASE!L:L,MATCH(1,(AGENT_DATABASE!B2:B5000="Agent 3")*1,0)+26),"")</f>
        <v/>
      </c>
      <c r="K50" s="87" t="str">
        <f>IFERROR(INDEX(AGENT_DATABASE!M:M,MATCH(1,(AGENT_DATABASE!B2:B5000="Agent 3")*1,0)+26),"")</f>
        <v/>
      </c>
      <c r="L50" s="89" t="str">
        <f>IFERROR(INDEX(AGENT_DATABASE!K:K,MATCH(1,(AGENT_DATABASE!B2:B5000="Agent 3")*1,0)+26),"")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3")*1,0)+27),"")</f>
        <v/>
      </c>
      <c r="C51" s="94" t="str">
        <f>IFERROR(INDEX(AGENT_DATABASE!C:C,MATCH(1,(AGENT_DATABASE!B2:B5000="Agent 3")*1,0)+27),"")</f>
        <v/>
      </c>
      <c r="D51" s="94" t="str">
        <f>IFERROR(INDEX(AGENT_DATABASE!D:D,MATCH(1,(AGENT_DATABASE!B2:B5000="Agent 3")*1,0)+27),"")</f>
        <v/>
      </c>
      <c r="E51" s="94" t="str">
        <f>IFERROR(INDEX(AGENT_DATABASE!F:F,MATCH(1,(AGENT_DATABASE!B2:B5000="Agent 3")*1,0)+27),"")</f>
        <v/>
      </c>
      <c r="F51" s="95" t="str">
        <f>IFERROR(INDEX(AGENT_DATABASE!G:G,MATCH(1,(AGENT_DATABASE!B2:B5000="Agent 3")*1,0)+27),"")</f>
        <v/>
      </c>
      <c r="G51" s="96" t="str">
        <f>IFERROR(INDEX(AGENT_DATABASE!H:H,MATCH(1,(AGENT_DATABASE!B2:B5000="Agent 3")*1,0)+27),"")</f>
        <v/>
      </c>
      <c r="H51" s="95" t="str">
        <f>IFERROR(INDEX(AGENT_DATABASE!I:I,MATCH(1,(AGENT_DATABASE!B2:B5000="Agent 3")*1,0)+27),"")</f>
        <v/>
      </c>
      <c r="I51" s="92" t="str">
        <f>IFERROR(INDEX(AGENT_DATABASE!J:J,MATCH(1,(AGENT_DATABASE!B2:B5000="Agent 3")*1,0)+27),"")</f>
        <v/>
      </c>
      <c r="J51" s="92" t="str">
        <f>IFERROR(INDEX(AGENT_DATABASE!L:L,MATCH(1,(AGENT_DATABASE!B2:B5000="Agent 3")*1,0)+27),"")</f>
        <v/>
      </c>
      <c r="K51" s="92" t="str">
        <f>IFERROR(INDEX(AGENT_DATABASE!M:M,MATCH(1,(AGENT_DATABASE!B2:B5000="Agent 3")*1,0)+27),"")</f>
        <v/>
      </c>
      <c r="L51" s="94" t="str">
        <f>IFERROR(INDEX(AGENT_DATABASE!K:K,MATCH(1,(AGENT_DATABASE!B2:B5000="Agent 3")*1,0)+27),"")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3")*1,0)+28),"")</f>
        <v/>
      </c>
      <c r="C52" s="89" t="str">
        <f>IFERROR(INDEX(AGENT_DATABASE!C:C,MATCH(1,(AGENT_DATABASE!B2:B5000="Agent 3")*1,0)+28),"")</f>
        <v/>
      </c>
      <c r="D52" s="89" t="str">
        <f>IFERROR(INDEX(AGENT_DATABASE!D:D,MATCH(1,(AGENT_DATABASE!B2:B5000="Agent 3")*1,0)+28),"")</f>
        <v/>
      </c>
      <c r="E52" s="89" t="str">
        <f>IFERROR(INDEX(AGENT_DATABASE!F:F,MATCH(1,(AGENT_DATABASE!B2:B5000="Agent 3")*1,0)+28),"")</f>
        <v/>
      </c>
      <c r="F52" s="90" t="str">
        <f>IFERROR(INDEX(AGENT_DATABASE!G:G,MATCH(1,(AGENT_DATABASE!B2:B5000="Agent 3")*1,0)+28),"")</f>
        <v/>
      </c>
      <c r="G52" s="91" t="str">
        <f>IFERROR(INDEX(AGENT_DATABASE!H:H,MATCH(1,(AGENT_DATABASE!B2:B5000="Agent 3")*1,0)+28),"")</f>
        <v/>
      </c>
      <c r="H52" s="90" t="str">
        <f>IFERROR(INDEX(AGENT_DATABASE!I:I,MATCH(1,(AGENT_DATABASE!B2:B5000="Agent 3")*1,0)+28),"")</f>
        <v/>
      </c>
      <c r="I52" s="87" t="str">
        <f>IFERROR(INDEX(AGENT_DATABASE!J:J,MATCH(1,(AGENT_DATABASE!B2:B5000="Agent 3")*1,0)+28),"")</f>
        <v/>
      </c>
      <c r="J52" s="87" t="str">
        <f>IFERROR(INDEX(AGENT_DATABASE!L:L,MATCH(1,(AGENT_DATABASE!B2:B5000="Agent 3")*1,0)+28),"")</f>
        <v/>
      </c>
      <c r="K52" s="87" t="str">
        <f>IFERROR(INDEX(AGENT_DATABASE!M:M,MATCH(1,(AGENT_DATABASE!B2:B5000="Agent 3")*1,0)+28),"")</f>
        <v/>
      </c>
      <c r="L52" s="89" t="str">
        <f>IFERROR(INDEX(AGENT_DATABASE!K:K,MATCH(1,(AGENT_DATABASE!B2:B5000="Agent 3")*1,0)+28),"")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3")*1,0)+29),"")</f>
        <v/>
      </c>
      <c r="C53" s="94" t="str">
        <f>IFERROR(INDEX(AGENT_DATABASE!C:C,MATCH(1,(AGENT_DATABASE!B2:B5000="Agent 3")*1,0)+29),"")</f>
        <v/>
      </c>
      <c r="D53" s="94" t="str">
        <f>IFERROR(INDEX(AGENT_DATABASE!D:D,MATCH(1,(AGENT_DATABASE!B2:B5000="Agent 3")*1,0)+29),"")</f>
        <v/>
      </c>
      <c r="E53" s="94" t="str">
        <f>IFERROR(INDEX(AGENT_DATABASE!F:F,MATCH(1,(AGENT_DATABASE!B2:B5000="Agent 3")*1,0)+29),"")</f>
        <v/>
      </c>
      <c r="F53" s="95" t="str">
        <f>IFERROR(INDEX(AGENT_DATABASE!G:G,MATCH(1,(AGENT_DATABASE!B2:B5000="Agent 3")*1,0)+29),"")</f>
        <v/>
      </c>
      <c r="G53" s="96" t="str">
        <f>IFERROR(INDEX(AGENT_DATABASE!H:H,MATCH(1,(AGENT_DATABASE!B2:B5000="Agent 3")*1,0)+29),"")</f>
        <v/>
      </c>
      <c r="H53" s="95" t="str">
        <f>IFERROR(INDEX(AGENT_DATABASE!I:I,MATCH(1,(AGENT_DATABASE!B2:B5000="Agent 3")*1,0)+29),"")</f>
        <v/>
      </c>
      <c r="I53" s="92" t="str">
        <f>IFERROR(INDEX(AGENT_DATABASE!J:J,MATCH(1,(AGENT_DATABASE!B2:B5000="Agent 3")*1,0)+29),"")</f>
        <v/>
      </c>
      <c r="J53" s="92" t="str">
        <f>IFERROR(INDEX(AGENT_DATABASE!L:L,MATCH(1,(AGENT_DATABASE!B2:B5000="Agent 3")*1,0)+29),"")</f>
        <v/>
      </c>
      <c r="K53" s="92" t="str">
        <f>IFERROR(INDEX(AGENT_DATABASE!M:M,MATCH(1,(AGENT_DATABASE!B2:B5000="Agent 3")*1,0)+29),"")</f>
        <v/>
      </c>
      <c r="L53" s="94" t="str">
        <f>IFERROR(INDEX(AGENT_DATABASE!K:K,MATCH(1,(AGENT_DATABASE!B2:B5000="Agent 3")*1,0)+29),"")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400-000000000000}">
      <formula1>"Savings Deposit,Withdrawal"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167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168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f ca="1">SUMPRODUCT((AGENT_DATABASE!B2:B5000="Agent 4")*(AGENT_DATABASE!F2:F5000="Savings Deposit")*(TEXT(AGENT_DATABASE!A2:A5000,"DD/MM/YYYY")=TEXT(TODAY(),"DD/MM/YYYY"))*AGENT_DATABASE!G2:G5000)</f>
        <v>0</v>
      </c>
      <c r="C6" s="132"/>
      <c r="D6" s="135">
        <f ca="1">SUMPRODUCT((AGENT_DATABASE!B2:B5000="Agent 4")*(AGENT_DATABASE!F2:F5000="Loan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4")*(AGENT_DATABASE!F2:F5000="Withdrawal")*(TEXT(AGENT_DATABASE!A2:A5000,"DD/MM/YYYY")=TEXT(TODAY(),"DD/MM/YYYY"))*AGENT_DATABASE!G2:G5000)</f>
        <v>0</v>
      </c>
      <c r="G6" s="132"/>
      <c r="H6" s="135">
        <f ca="1">IFERROR(B6-F6-D6,0)</f>
        <v>0</v>
      </c>
      <c r="I6" s="132"/>
      <c r="J6" s="136">
        <f ca="1">SUMPRODUCT((AGENT_DATABASE!B2:B5000="Agent 4")*(TEXT(AGENT_DATABASE!A2:A5000,"DD/MM/YYYY")=TEXT(TODAY(),"DD/MM/YYYY"))*1)</f>
        <v>0</v>
      </c>
      <c r="K6" s="132"/>
    </row>
    <row r="7" spans="1:12" ht="27.95" customHeight="1" x14ac:dyDescent="0.25">
      <c r="A7" s="129" t="s">
        <v>169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4")*(AGENT_DATABASE!F2:F5000="Savings Deposit")*(TEXT(AGENT_DATABASE!A2:A5000,"DD/MM/YYYY")=TEXT(TODAY(),"DD/MM/YYYY"))*AGENT_DATABASE!G2:G5000),2)=0,ROUND(E9-SUMPRODUCT((AGENT_DATABASE!B2:B5000="Agent 4")*(AGENT_DATABASE!F2:F5000="Withdrawal")*(TEXT(AGENT_DATABASE!A2:A5000,"DD/MM/YYYY")=TEXT(TODAY(),"DD/MM/YYYY"))*AGENT_DATABASE!G2:G5000),2)=0,ROUND(G9-SUMPRODUCT((AGENT_DATABASE!B2:B5000="Agent 4")*(AGENT_DATABASE!F2:F5000="Loan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4")*1,0)+0),"")</f>
        <v/>
      </c>
      <c r="C24" s="89" t="str">
        <f>IFERROR(INDEX(AGENT_DATABASE!C:C,MATCH(1,(AGENT_DATABASE!B2:B5000="Agent 4")*1,0)+0),"")</f>
        <v/>
      </c>
      <c r="D24" s="89" t="str">
        <f>IFERROR(INDEX(AGENT_DATABASE!D:D,MATCH(1,(AGENT_DATABASE!B2:B5000="Agent 4")*1,0)+0),"")</f>
        <v/>
      </c>
      <c r="E24" s="89" t="str">
        <f>IFERROR(INDEX(AGENT_DATABASE!F:F,MATCH(1,(AGENT_DATABASE!B2:B5000="Agent 4")*1,0)+0),"")</f>
        <v/>
      </c>
      <c r="F24" s="90" t="str">
        <f>IFERROR(INDEX(AGENT_DATABASE!G:G,MATCH(1,(AGENT_DATABASE!B2:B5000="Agent 4")*1,0)+0),"")</f>
        <v/>
      </c>
      <c r="G24" s="91" t="str">
        <f>IFERROR(INDEX(AGENT_DATABASE!H:H,MATCH(1,(AGENT_DATABASE!B2:B5000="Agent 4")*1,0)+0),"")</f>
        <v/>
      </c>
      <c r="H24" s="90" t="str">
        <f>IFERROR(INDEX(AGENT_DATABASE!I:I,MATCH(1,(AGENT_DATABASE!B2:B5000="Agent 4")*1,0)+0),"")</f>
        <v/>
      </c>
      <c r="I24" s="87" t="str">
        <f>IFERROR(INDEX(AGENT_DATABASE!J:J,MATCH(1,(AGENT_DATABASE!B2:B5000="Agent 4")*1,0)+0),"")</f>
        <v/>
      </c>
      <c r="J24" s="87" t="str">
        <f>IFERROR(INDEX(AGENT_DATABASE!L:L,MATCH(1,(AGENT_DATABASE!B2:B5000="Agent 4")*1,0)+0),"")</f>
        <v/>
      </c>
      <c r="K24" s="87" t="str">
        <f>IFERROR(INDEX(AGENT_DATABASE!M:M,MATCH(1,(AGENT_DATABASE!B2:B5000="Agent 4")*1,0)+0),"")</f>
        <v/>
      </c>
      <c r="L24" s="89" t="str">
        <f>IFERROR(INDEX(AGENT_DATABASE!K:K,MATCH(1,(AGENT_DATABASE!B2:B5000="Agent 4")*1,0)+0),"")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4")*1,0)+1),"")</f>
        <v/>
      </c>
      <c r="C25" s="94" t="str">
        <f>IFERROR(INDEX(AGENT_DATABASE!C:C,MATCH(1,(AGENT_DATABASE!B2:B5000="Agent 4")*1,0)+1),"")</f>
        <v/>
      </c>
      <c r="D25" s="94" t="str">
        <f>IFERROR(INDEX(AGENT_DATABASE!D:D,MATCH(1,(AGENT_DATABASE!B2:B5000="Agent 4")*1,0)+1),"")</f>
        <v/>
      </c>
      <c r="E25" s="94" t="str">
        <f>IFERROR(INDEX(AGENT_DATABASE!F:F,MATCH(1,(AGENT_DATABASE!B2:B5000="Agent 4")*1,0)+1),"")</f>
        <v/>
      </c>
      <c r="F25" s="95" t="str">
        <f>IFERROR(INDEX(AGENT_DATABASE!G:G,MATCH(1,(AGENT_DATABASE!B2:B5000="Agent 4")*1,0)+1),"")</f>
        <v/>
      </c>
      <c r="G25" s="96" t="str">
        <f>IFERROR(INDEX(AGENT_DATABASE!H:H,MATCH(1,(AGENT_DATABASE!B2:B5000="Agent 4")*1,0)+1),"")</f>
        <v/>
      </c>
      <c r="H25" s="95" t="str">
        <f>IFERROR(INDEX(AGENT_DATABASE!I:I,MATCH(1,(AGENT_DATABASE!B2:B5000="Agent 4")*1,0)+1),"")</f>
        <v/>
      </c>
      <c r="I25" s="92" t="str">
        <f>IFERROR(INDEX(AGENT_DATABASE!J:J,MATCH(1,(AGENT_DATABASE!B2:B5000="Agent 4")*1,0)+1),"")</f>
        <v/>
      </c>
      <c r="J25" s="92" t="str">
        <f>IFERROR(INDEX(AGENT_DATABASE!L:L,MATCH(1,(AGENT_DATABASE!B2:B5000="Agent 4")*1,0)+1),"")</f>
        <v/>
      </c>
      <c r="K25" s="92" t="str">
        <f>IFERROR(INDEX(AGENT_DATABASE!M:M,MATCH(1,(AGENT_DATABASE!B2:B5000="Agent 4")*1,0)+1),"")</f>
        <v/>
      </c>
      <c r="L25" s="94" t="str">
        <f>IFERROR(INDEX(AGENT_DATABASE!K:K,MATCH(1,(AGENT_DATABASE!B2:B5000="Agent 4")*1,0)+1),"")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4")*1,0)+2),"")</f>
        <v/>
      </c>
      <c r="C26" s="89" t="str">
        <f>IFERROR(INDEX(AGENT_DATABASE!C:C,MATCH(1,(AGENT_DATABASE!B2:B5000="Agent 4")*1,0)+2),"")</f>
        <v/>
      </c>
      <c r="D26" s="89" t="str">
        <f>IFERROR(INDEX(AGENT_DATABASE!D:D,MATCH(1,(AGENT_DATABASE!B2:B5000="Agent 4")*1,0)+2),"")</f>
        <v/>
      </c>
      <c r="E26" s="89" t="str">
        <f>IFERROR(INDEX(AGENT_DATABASE!F:F,MATCH(1,(AGENT_DATABASE!B2:B5000="Agent 4")*1,0)+2),"")</f>
        <v/>
      </c>
      <c r="F26" s="90" t="str">
        <f>IFERROR(INDEX(AGENT_DATABASE!G:G,MATCH(1,(AGENT_DATABASE!B2:B5000="Agent 4")*1,0)+2),"")</f>
        <v/>
      </c>
      <c r="G26" s="91" t="str">
        <f>IFERROR(INDEX(AGENT_DATABASE!H:H,MATCH(1,(AGENT_DATABASE!B2:B5000="Agent 4")*1,0)+2),"")</f>
        <v/>
      </c>
      <c r="H26" s="90" t="str">
        <f>IFERROR(INDEX(AGENT_DATABASE!I:I,MATCH(1,(AGENT_DATABASE!B2:B5000="Agent 4")*1,0)+2),"")</f>
        <v/>
      </c>
      <c r="I26" s="87" t="str">
        <f>IFERROR(INDEX(AGENT_DATABASE!J:J,MATCH(1,(AGENT_DATABASE!B2:B5000="Agent 4")*1,0)+2),"")</f>
        <v/>
      </c>
      <c r="J26" s="87" t="str">
        <f>IFERROR(INDEX(AGENT_DATABASE!L:L,MATCH(1,(AGENT_DATABASE!B2:B5000="Agent 4")*1,0)+2),"")</f>
        <v/>
      </c>
      <c r="K26" s="87" t="str">
        <f>IFERROR(INDEX(AGENT_DATABASE!M:M,MATCH(1,(AGENT_DATABASE!B2:B5000="Agent 4")*1,0)+2),"")</f>
        <v/>
      </c>
      <c r="L26" s="89" t="str">
        <f>IFERROR(INDEX(AGENT_DATABASE!K:K,MATCH(1,(AGENT_DATABASE!B2:B5000="Agent 4")*1,0)+2),"")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4")*1,0)+3),"")</f>
        <v/>
      </c>
      <c r="C27" s="94" t="str">
        <f>IFERROR(INDEX(AGENT_DATABASE!C:C,MATCH(1,(AGENT_DATABASE!B2:B5000="Agent 4")*1,0)+3),"")</f>
        <v/>
      </c>
      <c r="D27" s="94" t="str">
        <f>IFERROR(INDEX(AGENT_DATABASE!D:D,MATCH(1,(AGENT_DATABASE!B2:B5000="Agent 4")*1,0)+3),"")</f>
        <v/>
      </c>
      <c r="E27" s="94" t="str">
        <f>IFERROR(INDEX(AGENT_DATABASE!F:F,MATCH(1,(AGENT_DATABASE!B2:B5000="Agent 4")*1,0)+3),"")</f>
        <v/>
      </c>
      <c r="F27" s="95" t="str">
        <f>IFERROR(INDEX(AGENT_DATABASE!G:G,MATCH(1,(AGENT_DATABASE!B2:B5000="Agent 4")*1,0)+3),"")</f>
        <v/>
      </c>
      <c r="G27" s="96" t="str">
        <f>IFERROR(INDEX(AGENT_DATABASE!H:H,MATCH(1,(AGENT_DATABASE!B2:B5000="Agent 4")*1,0)+3),"")</f>
        <v/>
      </c>
      <c r="H27" s="95" t="str">
        <f>IFERROR(INDEX(AGENT_DATABASE!I:I,MATCH(1,(AGENT_DATABASE!B2:B5000="Agent 4")*1,0)+3),"")</f>
        <v/>
      </c>
      <c r="I27" s="92" t="str">
        <f>IFERROR(INDEX(AGENT_DATABASE!J:J,MATCH(1,(AGENT_DATABASE!B2:B5000="Agent 4")*1,0)+3),"")</f>
        <v/>
      </c>
      <c r="J27" s="92" t="str">
        <f>IFERROR(INDEX(AGENT_DATABASE!L:L,MATCH(1,(AGENT_DATABASE!B2:B5000="Agent 4")*1,0)+3),"")</f>
        <v/>
      </c>
      <c r="K27" s="92" t="str">
        <f>IFERROR(INDEX(AGENT_DATABASE!M:M,MATCH(1,(AGENT_DATABASE!B2:B5000="Agent 4")*1,0)+3),"")</f>
        <v/>
      </c>
      <c r="L27" s="94" t="str">
        <f>IFERROR(INDEX(AGENT_DATABASE!K:K,MATCH(1,(AGENT_DATABASE!B2:B5000="Agent 4")*1,0)+3),"")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4")*1,0)+4),"")</f>
        <v/>
      </c>
      <c r="C28" s="89" t="str">
        <f>IFERROR(INDEX(AGENT_DATABASE!C:C,MATCH(1,(AGENT_DATABASE!B2:B5000="Agent 4")*1,0)+4),"")</f>
        <v/>
      </c>
      <c r="D28" s="89" t="str">
        <f>IFERROR(INDEX(AGENT_DATABASE!D:D,MATCH(1,(AGENT_DATABASE!B2:B5000="Agent 4")*1,0)+4),"")</f>
        <v/>
      </c>
      <c r="E28" s="89" t="str">
        <f>IFERROR(INDEX(AGENT_DATABASE!F:F,MATCH(1,(AGENT_DATABASE!B2:B5000="Agent 4")*1,0)+4),"")</f>
        <v/>
      </c>
      <c r="F28" s="90" t="str">
        <f>IFERROR(INDEX(AGENT_DATABASE!G:G,MATCH(1,(AGENT_DATABASE!B2:B5000="Agent 4")*1,0)+4),"")</f>
        <v/>
      </c>
      <c r="G28" s="91" t="str">
        <f>IFERROR(INDEX(AGENT_DATABASE!H:H,MATCH(1,(AGENT_DATABASE!B2:B5000="Agent 4")*1,0)+4),"")</f>
        <v/>
      </c>
      <c r="H28" s="90" t="str">
        <f>IFERROR(INDEX(AGENT_DATABASE!I:I,MATCH(1,(AGENT_DATABASE!B2:B5000="Agent 4")*1,0)+4),"")</f>
        <v/>
      </c>
      <c r="I28" s="87" t="str">
        <f>IFERROR(INDEX(AGENT_DATABASE!J:J,MATCH(1,(AGENT_DATABASE!B2:B5000="Agent 4")*1,0)+4),"")</f>
        <v/>
      </c>
      <c r="J28" s="87" t="str">
        <f>IFERROR(INDEX(AGENT_DATABASE!L:L,MATCH(1,(AGENT_DATABASE!B2:B5000="Agent 4")*1,0)+4),"")</f>
        <v/>
      </c>
      <c r="K28" s="87" t="str">
        <f>IFERROR(INDEX(AGENT_DATABASE!M:M,MATCH(1,(AGENT_DATABASE!B2:B5000="Agent 4")*1,0)+4),"")</f>
        <v/>
      </c>
      <c r="L28" s="89" t="str">
        <f>IFERROR(INDEX(AGENT_DATABASE!K:K,MATCH(1,(AGENT_DATABASE!B2:B5000="Agent 4")*1,0)+4),"")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4")*1,0)+5),"")</f>
        <v/>
      </c>
      <c r="C29" s="94" t="str">
        <f>IFERROR(INDEX(AGENT_DATABASE!C:C,MATCH(1,(AGENT_DATABASE!B2:B5000="Agent 4")*1,0)+5),"")</f>
        <v/>
      </c>
      <c r="D29" s="94" t="str">
        <f>IFERROR(INDEX(AGENT_DATABASE!D:D,MATCH(1,(AGENT_DATABASE!B2:B5000="Agent 4")*1,0)+5),"")</f>
        <v/>
      </c>
      <c r="E29" s="94" t="str">
        <f>IFERROR(INDEX(AGENT_DATABASE!F:F,MATCH(1,(AGENT_DATABASE!B2:B5000="Agent 4")*1,0)+5),"")</f>
        <v/>
      </c>
      <c r="F29" s="95" t="str">
        <f>IFERROR(INDEX(AGENT_DATABASE!G:G,MATCH(1,(AGENT_DATABASE!B2:B5000="Agent 4")*1,0)+5),"")</f>
        <v/>
      </c>
      <c r="G29" s="96" t="str">
        <f>IFERROR(INDEX(AGENT_DATABASE!H:H,MATCH(1,(AGENT_DATABASE!B2:B5000="Agent 4")*1,0)+5),"")</f>
        <v/>
      </c>
      <c r="H29" s="95" t="str">
        <f>IFERROR(INDEX(AGENT_DATABASE!I:I,MATCH(1,(AGENT_DATABASE!B2:B5000="Agent 4")*1,0)+5),"")</f>
        <v/>
      </c>
      <c r="I29" s="92" t="str">
        <f>IFERROR(INDEX(AGENT_DATABASE!J:J,MATCH(1,(AGENT_DATABASE!B2:B5000="Agent 4")*1,0)+5),"")</f>
        <v/>
      </c>
      <c r="J29" s="92" t="str">
        <f>IFERROR(INDEX(AGENT_DATABASE!L:L,MATCH(1,(AGENT_DATABASE!B2:B5000="Agent 4")*1,0)+5),"")</f>
        <v/>
      </c>
      <c r="K29" s="92" t="str">
        <f>IFERROR(INDEX(AGENT_DATABASE!M:M,MATCH(1,(AGENT_DATABASE!B2:B5000="Agent 4")*1,0)+5),"")</f>
        <v/>
      </c>
      <c r="L29" s="94" t="str">
        <f>IFERROR(INDEX(AGENT_DATABASE!K:K,MATCH(1,(AGENT_DATABASE!B2:B5000="Agent 4")*1,0)+5),"")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4")*1,0)+6),"")</f>
        <v/>
      </c>
      <c r="C30" s="89" t="str">
        <f>IFERROR(INDEX(AGENT_DATABASE!C:C,MATCH(1,(AGENT_DATABASE!B2:B5000="Agent 4")*1,0)+6),"")</f>
        <v/>
      </c>
      <c r="D30" s="89" t="str">
        <f>IFERROR(INDEX(AGENT_DATABASE!D:D,MATCH(1,(AGENT_DATABASE!B2:B5000="Agent 4")*1,0)+6),"")</f>
        <v/>
      </c>
      <c r="E30" s="89" t="str">
        <f>IFERROR(INDEX(AGENT_DATABASE!F:F,MATCH(1,(AGENT_DATABASE!B2:B5000="Agent 4")*1,0)+6),"")</f>
        <v/>
      </c>
      <c r="F30" s="90" t="str">
        <f>IFERROR(INDEX(AGENT_DATABASE!G:G,MATCH(1,(AGENT_DATABASE!B2:B5000="Agent 4")*1,0)+6),"")</f>
        <v/>
      </c>
      <c r="G30" s="91" t="str">
        <f>IFERROR(INDEX(AGENT_DATABASE!H:H,MATCH(1,(AGENT_DATABASE!B2:B5000="Agent 4")*1,0)+6),"")</f>
        <v/>
      </c>
      <c r="H30" s="90" t="str">
        <f>IFERROR(INDEX(AGENT_DATABASE!I:I,MATCH(1,(AGENT_DATABASE!B2:B5000="Agent 4")*1,0)+6),"")</f>
        <v/>
      </c>
      <c r="I30" s="87" t="str">
        <f>IFERROR(INDEX(AGENT_DATABASE!J:J,MATCH(1,(AGENT_DATABASE!B2:B5000="Agent 4")*1,0)+6),"")</f>
        <v/>
      </c>
      <c r="J30" s="87" t="str">
        <f>IFERROR(INDEX(AGENT_DATABASE!L:L,MATCH(1,(AGENT_DATABASE!B2:B5000="Agent 4")*1,0)+6),"")</f>
        <v/>
      </c>
      <c r="K30" s="87" t="str">
        <f>IFERROR(INDEX(AGENT_DATABASE!M:M,MATCH(1,(AGENT_DATABASE!B2:B5000="Agent 4")*1,0)+6),"")</f>
        <v/>
      </c>
      <c r="L30" s="89" t="str">
        <f>IFERROR(INDEX(AGENT_DATABASE!K:K,MATCH(1,(AGENT_DATABASE!B2:B5000="Agent 4")*1,0)+6),"")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4")*1,0)+7),"")</f>
        <v/>
      </c>
      <c r="C31" s="94" t="str">
        <f>IFERROR(INDEX(AGENT_DATABASE!C:C,MATCH(1,(AGENT_DATABASE!B2:B5000="Agent 4")*1,0)+7),"")</f>
        <v/>
      </c>
      <c r="D31" s="94" t="str">
        <f>IFERROR(INDEX(AGENT_DATABASE!D:D,MATCH(1,(AGENT_DATABASE!B2:B5000="Agent 4")*1,0)+7),"")</f>
        <v/>
      </c>
      <c r="E31" s="94" t="str">
        <f>IFERROR(INDEX(AGENT_DATABASE!F:F,MATCH(1,(AGENT_DATABASE!B2:B5000="Agent 4")*1,0)+7),"")</f>
        <v/>
      </c>
      <c r="F31" s="95" t="str">
        <f>IFERROR(INDEX(AGENT_DATABASE!G:G,MATCH(1,(AGENT_DATABASE!B2:B5000="Agent 4")*1,0)+7),"")</f>
        <v/>
      </c>
      <c r="G31" s="96" t="str">
        <f>IFERROR(INDEX(AGENT_DATABASE!H:H,MATCH(1,(AGENT_DATABASE!B2:B5000="Agent 4")*1,0)+7),"")</f>
        <v/>
      </c>
      <c r="H31" s="95" t="str">
        <f>IFERROR(INDEX(AGENT_DATABASE!I:I,MATCH(1,(AGENT_DATABASE!B2:B5000="Agent 4")*1,0)+7),"")</f>
        <v/>
      </c>
      <c r="I31" s="92" t="str">
        <f>IFERROR(INDEX(AGENT_DATABASE!J:J,MATCH(1,(AGENT_DATABASE!B2:B5000="Agent 4")*1,0)+7),"")</f>
        <v/>
      </c>
      <c r="J31" s="92" t="str">
        <f>IFERROR(INDEX(AGENT_DATABASE!L:L,MATCH(1,(AGENT_DATABASE!B2:B5000="Agent 4")*1,0)+7),"")</f>
        <v/>
      </c>
      <c r="K31" s="92" t="str">
        <f>IFERROR(INDEX(AGENT_DATABASE!M:M,MATCH(1,(AGENT_DATABASE!B2:B5000="Agent 4")*1,0)+7),"")</f>
        <v/>
      </c>
      <c r="L31" s="94" t="str">
        <f>IFERROR(INDEX(AGENT_DATABASE!K:K,MATCH(1,(AGENT_DATABASE!B2:B5000="Agent 4")*1,0)+7),"")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4")*1,0)+8),"")</f>
        <v/>
      </c>
      <c r="C32" s="89" t="str">
        <f>IFERROR(INDEX(AGENT_DATABASE!C:C,MATCH(1,(AGENT_DATABASE!B2:B5000="Agent 4")*1,0)+8),"")</f>
        <v/>
      </c>
      <c r="D32" s="89" t="str">
        <f>IFERROR(INDEX(AGENT_DATABASE!D:D,MATCH(1,(AGENT_DATABASE!B2:B5000="Agent 4")*1,0)+8),"")</f>
        <v/>
      </c>
      <c r="E32" s="89" t="str">
        <f>IFERROR(INDEX(AGENT_DATABASE!F:F,MATCH(1,(AGENT_DATABASE!B2:B5000="Agent 4")*1,0)+8),"")</f>
        <v/>
      </c>
      <c r="F32" s="90" t="str">
        <f>IFERROR(INDEX(AGENT_DATABASE!G:G,MATCH(1,(AGENT_DATABASE!B2:B5000="Agent 4")*1,0)+8),"")</f>
        <v/>
      </c>
      <c r="G32" s="91" t="str">
        <f>IFERROR(INDEX(AGENT_DATABASE!H:H,MATCH(1,(AGENT_DATABASE!B2:B5000="Agent 4")*1,0)+8),"")</f>
        <v/>
      </c>
      <c r="H32" s="90" t="str">
        <f>IFERROR(INDEX(AGENT_DATABASE!I:I,MATCH(1,(AGENT_DATABASE!B2:B5000="Agent 4")*1,0)+8),"")</f>
        <v/>
      </c>
      <c r="I32" s="87" t="str">
        <f>IFERROR(INDEX(AGENT_DATABASE!J:J,MATCH(1,(AGENT_DATABASE!B2:B5000="Agent 4")*1,0)+8),"")</f>
        <v/>
      </c>
      <c r="J32" s="87" t="str">
        <f>IFERROR(INDEX(AGENT_DATABASE!L:L,MATCH(1,(AGENT_DATABASE!B2:B5000="Agent 4")*1,0)+8),"")</f>
        <v/>
      </c>
      <c r="K32" s="87" t="str">
        <f>IFERROR(INDEX(AGENT_DATABASE!M:M,MATCH(1,(AGENT_DATABASE!B2:B5000="Agent 4")*1,0)+8),"")</f>
        <v/>
      </c>
      <c r="L32" s="89" t="str">
        <f>IFERROR(INDEX(AGENT_DATABASE!K:K,MATCH(1,(AGENT_DATABASE!B2:B5000="Agent 4")*1,0)+8),"")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4")*1,0)+9),"")</f>
        <v/>
      </c>
      <c r="C33" s="94" t="str">
        <f>IFERROR(INDEX(AGENT_DATABASE!C:C,MATCH(1,(AGENT_DATABASE!B2:B5000="Agent 4")*1,0)+9),"")</f>
        <v/>
      </c>
      <c r="D33" s="94" t="str">
        <f>IFERROR(INDEX(AGENT_DATABASE!D:D,MATCH(1,(AGENT_DATABASE!B2:B5000="Agent 4")*1,0)+9),"")</f>
        <v/>
      </c>
      <c r="E33" s="94" t="str">
        <f>IFERROR(INDEX(AGENT_DATABASE!F:F,MATCH(1,(AGENT_DATABASE!B2:B5000="Agent 4")*1,0)+9),"")</f>
        <v/>
      </c>
      <c r="F33" s="95" t="str">
        <f>IFERROR(INDEX(AGENT_DATABASE!G:G,MATCH(1,(AGENT_DATABASE!B2:B5000="Agent 4")*1,0)+9),"")</f>
        <v/>
      </c>
      <c r="G33" s="96" t="str">
        <f>IFERROR(INDEX(AGENT_DATABASE!H:H,MATCH(1,(AGENT_DATABASE!B2:B5000="Agent 4")*1,0)+9),"")</f>
        <v/>
      </c>
      <c r="H33" s="95" t="str">
        <f>IFERROR(INDEX(AGENT_DATABASE!I:I,MATCH(1,(AGENT_DATABASE!B2:B5000="Agent 4")*1,0)+9),"")</f>
        <v/>
      </c>
      <c r="I33" s="92" t="str">
        <f>IFERROR(INDEX(AGENT_DATABASE!J:J,MATCH(1,(AGENT_DATABASE!B2:B5000="Agent 4")*1,0)+9),"")</f>
        <v/>
      </c>
      <c r="J33" s="92" t="str">
        <f>IFERROR(INDEX(AGENT_DATABASE!L:L,MATCH(1,(AGENT_DATABASE!B2:B5000="Agent 4")*1,0)+9),"")</f>
        <v/>
      </c>
      <c r="K33" s="92" t="str">
        <f>IFERROR(INDEX(AGENT_DATABASE!M:M,MATCH(1,(AGENT_DATABASE!B2:B5000="Agent 4")*1,0)+9),"")</f>
        <v/>
      </c>
      <c r="L33" s="94" t="str">
        <f>IFERROR(INDEX(AGENT_DATABASE!K:K,MATCH(1,(AGENT_DATABASE!B2:B5000="Agent 4")*1,0)+9),"")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4")*1,0)+10),"")</f>
        <v/>
      </c>
      <c r="C34" s="89" t="str">
        <f>IFERROR(INDEX(AGENT_DATABASE!C:C,MATCH(1,(AGENT_DATABASE!B2:B5000="Agent 4")*1,0)+10),"")</f>
        <v/>
      </c>
      <c r="D34" s="89" t="str">
        <f>IFERROR(INDEX(AGENT_DATABASE!D:D,MATCH(1,(AGENT_DATABASE!B2:B5000="Agent 4")*1,0)+10),"")</f>
        <v/>
      </c>
      <c r="E34" s="89" t="str">
        <f>IFERROR(INDEX(AGENT_DATABASE!F:F,MATCH(1,(AGENT_DATABASE!B2:B5000="Agent 4")*1,0)+10),"")</f>
        <v/>
      </c>
      <c r="F34" s="90" t="str">
        <f>IFERROR(INDEX(AGENT_DATABASE!G:G,MATCH(1,(AGENT_DATABASE!B2:B5000="Agent 4")*1,0)+10),"")</f>
        <v/>
      </c>
      <c r="G34" s="91" t="str">
        <f>IFERROR(INDEX(AGENT_DATABASE!H:H,MATCH(1,(AGENT_DATABASE!B2:B5000="Agent 4")*1,0)+10),"")</f>
        <v/>
      </c>
      <c r="H34" s="90" t="str">
        <f>IFERROR(INDEX(AGENT_DATABASE!I:I,MATCH(1,(AGENT_DATABASE!B2:B5000="Agent 4")*1,0)+10),"")</f>
        <v/>
      </c>
      <c r="I34" s="87" t="str">
        <f>IFERROR(INDEX(AGENT_DATABASE!J:J,MATCH(1,(AGENT_DATABASE!B2:B5000="Agent 4")*1,0)+10),"")</f>
        <v/>
      </c>
      <c r="J34" s="87" t="str">
        <f>IFERROR(INDEX(AGENT_DATABASE!L:L,MATCH(1,(AGENT_DATABASE!B2:B5000="Agent 4")*1,0)+10),"")</f>
        <v/>
      </c>
      <c r="K34" s="87" t="str">
        <f>IFERROR(INDEX(AGENT_DATABASE!M:M,MATCH(1,(AGENT_DATABASE!B2:B5000="Agent 4")*1,0)+10),"")</f>
        <v/>
      </c>
      <c r="L34" s="89" t="str">
        <f>IFERROR(INDEX(AGENT_DATABASE!K:K,MATCH(1,(AGENT_DATABASE!B2:B5000="Agent 4")*1,0)+10),"")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4")*1,0)+11),"")</f>
        <v/>
      </c>
      <c r="C35" s="94" t="str">
        <f>IFERROR(INDEX(AGENT_DATABASE!C:C,MATCH(1,(AGENT_DATABASE!B2:B5000="Agent 4")*1,0)+11),"")</f>
        <v/>
      </c>
      <c r="D35" s="94" t="str">
        <f>IFERROR(INDEX(AGENT_DATABASE!D:D,MATCH(1,(AGENT_DATABASE!B2:B5000="Agent 4")*1,0)+11),"")</f>
        <v/>
      </c>
      <c r="E35" s="94" t="str">
        <f>IFERROR(INDEX(AGENT_DATABASE!F:F,MATCH(1,(AGENT_DATABASE!B2:B5000="Agent 4")*1,0)+11),"")</f>
        <v/>
      </c>
      <c r="F35" s="95" t="str">
        <f>IFERROR(INDEX(AGENT_DATABASE!G:G,MATCH(1,(AGENT_DATABASE!B2:B5000="Agent 4")*1,0)+11),"")</f>
        <v/>
      </c>
      <c r="G35" s="96" t="str">
        <f>IFERROR(INDEX(AGENT_DATABASE!H:H,MATCH(1,(AGENT_DATABASE!B2:B5000="Agent 4")*1,0)+11),"")</f>
        <v/>
      </c>
      <c r="H35" s="95" t="str">
        <f>IFERROR(INDEX(AGENT_DATABASE!I:I,MATCH(1,(AGENT_DATABASE!B2:B5000="Agent 4")*1,0)+11),"")</f>
        <v/>
      </c>
      <c r="I35" s="92" t="str">
        <f>IFERROR(INDEX(AGENT_DATABASE!J:J,MATCH(1,(AGENT_DATABASE!B2:B5000="Agent 4")*1,0)+11),"")</f>
        <v/>
      </c>
      <c r="J35" s="92" t="str">
        <f>IFERROR(INDEX(AGENT_DATABASE!L:L,MATCH(1,(AGENT_DATABASE!B2:B5000="Agent 4")*1,0)+11),"")</f>
        <v/>
      </c>
      <c r="K35" s="92" t="str">
        <f>IFERROR(INDEX(AGENT_DATABASE!M:M,MATCH(1,(AGENT_DATABASE!B2:B5000="Agent 4")*1,0)+11),"")</f>
        <v/>
      </c>
      <c r="L35" s="94" t="str">
        <f>IFERROR(INDEX(AGENT_DATABASE!K:K,MATCH(1,(AGENT_DATABASE!B2:B5000="Agent 4")*1,0)+11),"")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4")*1,0)+12),"")</f>
        <v/>
      </c>
      <c r="C36" s="89" t="str">
        <f>IFERROR(INDEX(AGENT_DATABASE!C:C,MATCH(1,(AGENT_DATABASE!B2:B5000="Agent 4")*1,0)+12),"")</f>
        <v/>
      </c>
      <c r="D36" s="89" t="str">
        <f>IFERROR(INDEX(AGENT_DATABASE!D:D,MATCH(1,(AGENT_DATABASE!B2:B5000="Agent 4")*1,0)+12),"")</f>
        <v/>
      </c>
      <c r="E36" s="89" t="str">
        <f>IFERROR(INDEX(AGENT_DATABASE!F:F,MATCH(1,(AGENT_DATABASE!B2:B5000="Agent 4")*1,0)+12),"")</f>
        <v/>
      </c>
      <c r="F36" s="90" t="str">
        <f>IFERROR(INDEX(AGENT_DATABASE!G:G,MATCH(1,(AGENT_DATABASE!B2:B5000="Agent 4")*1,0)+12),"")</f>
        <v/>
      </c>
      <c r="G36" s="91" t="str">
        <f>IFERROR(INDEX(AGENT_DATABASE!H:H,MATCH(1,(AGENT_DATABASE!B2:B5000="Agent 4")*1,0)+12),"")</f>
        <v/>
      </c>
      <c r="H36" s="90" t="str">
        <f>IFERROR(INDEX(AGENT_DATABASE!I:I,MATCH(1,(AGENT_DATABASE!B2:B5000="Agent 4")*1,0)+12),"")</f>
        <v/>
      </c>
      <c r="I36" s="87" t="str">
        <f>IFERROR(INDEX(AGENT_DATABASE!J:J,MATCH(1,(AGENT_DATABASE!B2:B5000="Agent 4")*1,0)+12),"")</f>
        <v/>
      </c>
      <c r="J36" s="87" t="str">
        <f>IFERROR(INDEX(AGENT_DATABASE!L:L,MATCH(1,(AGENT_DATABASE!B2:B5000="Agent 4")*1,0)+12),"")</f>
        <v/>
      </c>
      <c r="K36" s="87" t="str">
        <f>IFERROR(INDEX(AGENT_DATABASE!M:M,MATCH(1,(AGENT_DATABASE!B2:B5000="Agent 4")*1,0)+12),"")</f>
        <v/>
      </c>
      <c r="L36" s="89" t="str">
        <f>IFERROR(INDEX(AGENT_DATABASE!K:K,MATCH(1,(AGENT_DATABASE!B2:B5000="Agent 4")*1,0)+12),"")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4")*1,0)+13),"")</f>
        <v/>
      </c>
      <c r="C37" s="94" t="str">
        <f>IFERROR(INDEX(AGENT_DATABASE!C:C,MATCH(1,(AGENT_DATABASE!B2:B5000="Agent 4")*1,0)+13),"")</f>
        <v/>
      </c>
      <c r="D37" s="94" t="str">
        <f>IFERROR(INDEX(AGENT_DATABASE!D:D,MATCH(1,(AGENT_DATABASE!B2:B5000="Agent 4")*1,0)+13),"")</f>
        <v/>
      </c>
      <c r="E37" s="94" t="str">
        <f>IFERROR(INDEX(AGENT_DATABASE!F:F,MATCH(1,(AGENT_DATABASE!B2:B5000="Agent 4")*1,0)+13),"")</f>
        <v/>
      </c>
      <c r="F37" s="95" t="str">
        <f>IFERROR(INDEX(AGENT_DATABASE!G:G,MATCH(1,(AGENT_DATABASE!B2:B5000="Agent 4")*1,0)+13),"")</f>
        <v/>
      </c>
      <c r="G37" s="96" t="str">
        <f>IFERROR(INDEX(AGENT_DATABASE!H:H,MATCH(1,(AGENT_DATABASE!B2:B5000="Agent 4")*1,0)+13),"")</f>
        <v/>
      </c>
      <c r="H37" s="95" t="str">
        <f>IFERROR(INDEX(AGENT_DATABASE!I:I,MATCH(1,(AGENT_DATABASE!B2:B5000="Agent 4")*1,0)+13),"")</f>
        <v/>
      </c>
      <c r="I37" s="92" t="str">
        <f>IFERROR(INDEX(AGENT_DATABASE!J:J,MATCH(1,(AGENT_DATABASE!B2:B5000="Agent 4")*1,0)+13),"")</f>
        <v/>
      </c>
      <c r="J37" s="92" t="str">
        <f>IFERROR(INDEX(AGENT_DATABASE!L:L,MATCH(1,(AGENT_DATABASE!B2:B5000="Agent 4")*1,0)+13),"")</f>
        <v/>
      </c>
      <c r="K37" s="92" t="str">
        <f>IFERROR(INDEX(AGENT_DATABASE!M:M,MATCH(1,(AGENT_DATABASE!B2:B5000="Agent 4")*1,0)+13),"")</f>
        <v/>
      </c>
      <c r="L37" s="94" t="str">
        <f>IFERROR(INDEX(AGENT_DATABASE!K:K,MATCH(1,(AGENT_DATABASE!B2:B5000="Agent 4")*1,0)+13),"")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4")*1,0)+14),"")</f>
        <v/>
      </c>
      <c r="C38" s="89" t="str">
        <f>IFERROR(INDEX(AGENT_DATABASE!C:C,MATCH(1,(AGENT_DATABASE!B2:B5000="Agent 4")*1,0)+14),"")</f>
        <v/>
      </c>
      <c r="D38" s="89" t="str">
        <f>IFERROR(INDEX(AGENT_DATABASE!D:D,MATCH(1,(AGENT_DATABASE!B2:B5000="Agent 4")*1,0)+14),"")</f>
        <v/>
      </c>
      <c r="E38" s="89" t="str">
        <f>IFERROR(INDEX(AGENT_DATABASE!F:F,MATCH(1,(AGENT_DATABASE!B2:B5000="Agent 4")*1,0)+14),"")</f>
        <v/>
      </c>
      <c r="F38" s="90" t="str">
        <f>IFERROR(INDEX(AGENT_DATABASE!G:G,MATCH(1,(AGENT_DATABASE!B2:B5000="Agent 4")*1,0)+14),"")</f>
        <v/>
      </c>
      <c r="G38" s="91" t="str">
        <f>IFERROR(INDEX(AGENT_DATABASE!H:H,MATCH(1,(AGENT_DATABASE!B2:B5000="Agent 4")*1,0)+14),"")</f>
        <v/>
      </c>
      <c r="H38" s="90" t="str">
        <f>IFERROR(INDEX(AGENT_DATABASE!I:I,MATCH(1,(AGENT_DATABASE!B2:B5000="Agent 4")*1,0)+14),"")</f>
        <v/>
      </c>
      <c r="I38" s="87" t="str">
        <f>IFERROR(INDEX(AGENT_DATABASE!J:J,MATCH(1,(AGENT_DATABASE!B2:B5000="Agent 4")*1,0)+14),"")</f>
        <v/>
      </c>
      <c r="J38" s="87" t="str">
        <f>IFERROR(INDEX(AGENT_DATABASE!L:L,MATCH(1,(AGENT_DATABASE!B2:B5000="Agent 4")*1,0)+14),"")</f>
        <v/>
      </c>
      <c r="K38" s="87" t="str">
        <f>IFERROR(INDEX(AGENT_DATABASE!M:M,MATCH(1,(AGENT_DATABASE!B2:B5000="Agent 4")*1,0)+14),"")</f>
        <v/>
      </c>
      <c r="L38" s="89" t="str">
        <f>IFERROR(INDEX(AGENT_DATABASE!K:K,MATCH(1,(AGENT_DATABASE!B2:B5000="Agent 4")*1,0)+14),"")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4")*1,0)+15),"")</f>
        <v/>
      </c>
      <c r="C39" s="94" t="str">
        <f>IFERROR(INDEX(AGENT_DATABASE!C:C,MATCH(1,(AGENT_DATABASE!B2:B5000="Agent 4")*1,0)+15),"")</f>
        <v/>
      </c>
      <c r="D39" s="94" t="str">
        <f>IFERROR(INDEX(AGENT_DATABASE!D:D,MATCH(1,(AGENT_DATABASE!B2:B5000="Agent 4")*1,0)+15),"")</f>
        <v/>
      </c>
      <c r="E39" s="94" t="str">
        <f>IFERROR(INDEX(AGENT_DATABASE!F:F,MATCH(1,(AGENT_DATABASE!B2:B5000="Agent 4")*1,0)+15),"")</f>
        <v/>
      </c>
      <c r="F39" s="95" t="str">
        <f>IFERROR(INDEX(AGENT_DATABASE!G:G,MATCH(1,(AGENT_DATABASE!B2:B5000="Agent 4")*1,0)+15),"")</f>
        <v/>
      </c>
      <c r="G39" s="96" t="str">
        <f>IFERROR(INDEX(AGENT_DATABASE!H:H,MATCH(1,(AGENT_DATABASE!B2:B5000="Agent 4")*1,0)+15),"")</f>
        <v/>
      </c>
      <c r="H39" s="95" t="str">
        <f>IFERROR(INDEX(AGENT_DATABASE!I:I,MATCH(1,(AGENT_DATABASE!B2:B5000="Agent 4")*1,0)+15),"")</f>
        <v/>
      </c>
      <c r="I39" s="92" t="str">
        <f>IFERROR(INDEX(AGENT_DATABASE!J:J,MATCH(1,(AGENT_DATABASE!B2:B5000="Agent 4")*1,0)+15),"")</f>
        <v/>
      </c>
      <c r="J39" s="92" t="str">
        <f>IFERROR(INDEX(AGENT_DATABASE!L:L,MATCH(1,(AGENT_DATABASE!B2:B5000="Agent 4")*1,0)+15),"")</f>
        <v/>
      </c>
      <c r="K39" s="92" t="str">
        <f>IFERROR(INDEX(AGENT_DATABASE!M:M,MATCH(1,(AGENT_DATABASE!B2:B5000="Agent 4")*1,0)+15),"")</f>
        <v/>
      </c>
      <c r="L39" s="94" t="str">
        <f>IFERROR(INDEX(AGENT_DATABASE!K:K,MATCH(1,(AGENT_DATABASE!B2:B5000="Agent 4")*1,0)+15),"")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4")*1,0)+16),"")</f>
        <v/>
      </c>
      <c r="C40" s="89" t="str">
        <f>IFERROR(INDEX(AGENT_DATABASE!C:C,MATCH(1,(AGENT_DATABASE!B2:B5000="Agent 4")*1,0)+16),"")</f>
        <v/>
      </c>
      <c r="D40" s="89" t="str">
        <f>IFERROR(INDEX(AGENT_DATABASE!D:D,MATCH(1,(AGENT_DATABASE!B2:B5000="Agent 4")*1,0)+16),"")</f>
        <v/>
      </c>
      <c r="E40" s="89" t="str">
        <f>IFERROR(INDEX(AGENT_DATABASE!F:F,MATCH(1,(AGENT_DATABASE!B2:B5000="Agent 4")*1,0)+16),"")</f>
        <v/>
      </c>
      <c r="F40" s="90" t="str">
        <f>IFERROR(INDEX(AGENT_DATABASE!G:G,MATCH(1,(AGENT_DATABASE!B2:B5000="Agent 4")*1,0)+16),"")</f>
        <v/>
      </c>
      <c r="G40" s="91" t="str">
        <f>IFERROR(INDEX(AGENT_DATABASE!H:H,MATCH(1,(AGENT_DATABASE!B2:B5000="Agent 4")*1,0)+16),"")</f>
        <v/>
      </c>
      <c r="H40" s="90" t="str">
        <f>IFERROR(INDEX(AGENT_DATABASE!I:I,MATCH(1,(AGENT_DATABASE!B2:B5000="Agent 4")*1,0)+16),"")</f>
        <v/>
      </c>
      <c r="I40" s="87" t="str">
        <f>IFERROR(INDEX(AGENT_DATABASE!J:J,MATCH(1,(AGENT_DATABASE!B2:B5000="Agent 4")*1,0)+16),"")</f>
        <v/>
      </c>
      <c r="J40" s="87" t="str">
        <f>IFERROR(INDEX(AGENT_DATABASE!L:L,MATCH(1,(AGENT_DATABASE!B2:B5000="Agent 4")*1,0)+16),"")</f>
        <v/>
      </c>
      <c r="K40" s="87" t="str">
        <f>IFERROR(INDEX(AGENT_DATABASE!M:M,MATCH(1,(AGENT_DATABASE!B2:B5000="Agent 4")*1,0)+16),"")</f>
        <v/>
      </c>
      <c r="L40" s="89" t="str">
        <f>IFERROR(INDEX(AGENT_DATABASE!K:K,MATCH(1,(AGENT_DATABASE!B2:B5000="Agent 4")*1,0)+16),"")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4")*1,0)+17),"")</f>
        <v/>
      </c>
      <c r="C41" s="94" t="str">
        <f>IFERROR(INDEX(AGENT_DATABASE!C:C,MATCH(1,(AGENT_DATABASE!B2:B5000="Agent 4")*1,0)+17),"")</f>
        <v/>
      </c>
      <c r="D41" s="94" t="str">
        <f>IFERROR(INDEX(AGENT_DATABASE!D:D,MATCH(1,(AGENT_DATABASE!B2:B5000="Agent 4")*1,0)+17),"")</f>
        <v/>
      </c>
      <c r="E41" s="94" t="str">
        <f>IFERROR(INDEX(AGENT_DATABASE!F:F,MATCH(1,(AGENT_DATABASE!B2:B5000="Agent 4")*1,0)+17),"")</f>
        <v/>
      </c>
      <c r="F41" s="95" t="str">
        <f>IFERROR(INDEX(AGENT_DATABASE!G:G,MATCH(1,(AGENT_DATABASE!B2:B5000="Agent 4")*1,0)+17),"")</f>
        <v/>
      </c>
      <c r="G41" s="96" t="str">
        <f>IFERROR(INDEX(AGENT_DATABASE!H:H,MATCH(1,(AGENT_DATABASE!B2:B5000="Agent 4")*1,0)+17),"")</f>
        <v/>
      </c>
      <c r="H41" s="95" t="str">
        <f>IFERROR(INDEX(AGENT_DATABASE!I:I,MATCH(1,(AGENT_DATABASE!B2:B5000="Agent 4")*1,0)+17),"")</f>
        <v/>
      </c>
      <c r="I41" s="92" t="str">
        <f>IFERROR(INDEX(AGENT_DATABASE!J:J,MATCH(1,(AGENT_DATABASE!B2:B5000="Agent 4")*1,0)+17),"")</f>
        <v/>
      </c>
      <c r="J41" s="92" t="str">
        <f>IFERROR(INDEX(AGENT_DATABASE!L:L,MATCH(1,(AGENT_DATABASE!B2:B5000="Agent 4")*1,0)+17),"")</f>
        <v/>
      </c>
      <c r="K41" s="92" t="str">
        <f>IFERROR(INDEX(AGENT_DATABASE!M:M,MATCH(1,(AGENT_DATABASE!B2:B5000="Agent 4")*1,0)+17),"")</f>
        <v/>
      </c>
      <c r="L41" s="94" t="str">
        <f>IFERROR(INDEX(AGENT_DATABASE!K:K,MATCH(1,(AGENT_DATABASE!B2:B5000="Agent 4")*1,0)+17),"")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4")*1,0)+18),"")</f>
        <v/>
      </c>
      <c r="C42" s="89" t="str">
        <f>IFERROR(INDEX(AGENT_DATABASE!C:C,MATCH(1,(AGENT_DATABASE!B2:B5000="Agent 4")*1,0)+18),"")</f>
        <v/>
      </c>
      <c r="D42" s="89" t="str">
        <f>IFERROR(INDEX(AGENT_DATABASE!D:D,MATCH(1,(AGENT_DATABASE!B2:B5000="Agent 4")*1,0)+18),"")</f>
        <v/>
      </c>
      <c r="E42" s="89" t="str">
        <f>IFERROR(INDEX(AGENT_DATABASE!F:F,MATCH(1,(AGENT_DATABASE!B2:B5000="Agent 4")*1,0)+18),"")</f>
        <v/>
      </c>
      <c r="F42" s="90" t="str">
        <f>IFERROR(INDEX(AGENT_DATABASE!G:G,MATCH(1,(AGENT_DATABASE!B2:B5000="Agent 4")*1,0)+18),"")</f>
        <v/>
      </c>
      <c r="G42" s="91" t="str">
        <f>IFERROR(INDEX(AGENT_DATABASE!H:H,MATCH(1,(AGENT_DATABASE!B2:B5000="Agent 4")*1,0)+18),"")</f>
        <v/>
      </c>
      <c r="H42" s="90" t="str">
        <f>IFERROR(INDEX(AGENT_DATABASE!I:I,MATCH(1,(AGENT_DATABASE!B2:B5000="Agent 4")*1,0)+18),"")</f>
        <v/>
      </c>
      <c r="I42" s="87" t="str">
        <f>IFERROR(INDEX(AGENT_DATABASE!J:J,MATCH(1,(AGENT_DATABASE!B2:B5000="Agent 4")*1,0)+18),"")</f>
        <v/>
      </c>
      <c r="J42" s="87" t="str">
        <f>IFERROR(INDEX(AGENT_DATABASE!L:L,MATCH(1,(AGENT_DATABASE!B2:B5000="Agent 4")*1,0)+18),"")</f>
        <v/>
      </c>
      <c r="K42" s="87" t="str">
        <f>IFERROR(INDEX(AGENT_DATABASE!M:M,MATCH(1,(AGENT_DATABASE!B2:B5000="Agent 4")*1,0)+18),"")</f>
        <v/>
      </c>
      <c r="L42" s="89" t="str">
        <f>IFERROR(INDEX(AGENT_DATABASE!K:K,MATCH(1,(AGENT_DATABASE!B2:B5000="Agent 4")*1,0)+18),"")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4")*1,0)+19),"")</f>
        <v/>
      </c>
      <c r="C43" s="94" t="str">
        <f>IFERROR(INDEX(AGENT_DATABASE!C:C,MATCH(1,(AGENT_DATABASE!B2:B5000="Agent 4")*1,0)+19),"")</f>
        <v/>
      </c>
      <c r="D43" s="94" t="str">
        <f>IFERROR(INDEX(AGENT_DATABASE!D:D,MATCH(1,(AGENT_DATABASE!B2:B5000="Agent 4")*1,0)+19),"")</f>
        <v/>
      </c>
      <c r="E43" s="94" t="str">
        <f>IFERROR(INDEX(AGENT_DATABASE!F:F,MATCH(1,(AGENT_DATABASE!B2:B5000="Agent 4")*1,0)+19),"")</f>
        <v/>
      </c>
      <c r="F43" s="95" t="str">
        <f>IFERROR(INDEX(AGENT_DATABASE!G:G,MATCH(1,(AGENT_DATABASE!B2:B5000="Agent 4")*1,0)+19),"")</f>
        <v/>
      </c>
      <c r="G43" s="96" t="str">
        <f>IFERROR(INDEX(AGENT_DATABASE!H:H,MATCH(1,(AGENT_DATABASE!B2:B5000="Agent 4")*1,0)+19),"")</f>
        <v/>
      </c>
      <c r="H43" s="95" t="str">
        <f>IFERROR(INDEX(AGENT_DATABASE!I:I,MATCH(1,(AGENT_DATABASE!B2:B5000="Agent 4")*1,0)+19),"")</f>
        <v/>
      </c>
      <c r="I43" s="92" t="str">
        <f>IFERROR(INDEX(AGENT_DATABASE!J:J,MATCH(1,(AGENT_DATABASE!B2:B5000="Agent 4")*1,0)+19),"")</f>
        <v/>
      </c>
      <c r="J43" s="92" t="str">
        <f>IFERROR(INDEX(AGENT_DATABASE!L:L,MATCH(1,(AGENT_DATABASE!B2:B5000="Agent 4")*1,0)+19),"")</f>
        <v/>
      </c>
      <c r="K43" s="92" t="str">
        <f>IFERROR(INDEX(AGENT_DATABASE!M:M,MATCH(1,(AGENT_DATABASE!B2:B5000="Agent 4")*1,0)+19),"")</f>
        <v/>
      </c>
      <c r="L43" s="94" t="str">
        <f>IFERROR(INDEX(AGENT_DATABASE!K:K,MATCH(1,(AGENT_DATABASE!B2:B5000="Agent 4")*1,0)+19),"")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4")*1,0)+20),"")</f>
        <v/>
      </c>
      <c r="C44" s="89" t="str">
        <f>IFERROR(INDEX(AGENT_DATABASE!C:C,MATCH(1,(AGENT_DATABASE!B2:B5000="Agent 4")*1,0)+20),"")</f>
        <v/>
      </c>
      <c r="D44" s="89" t="str">
        <f>IFERROR(INDEX(AGENT_DATABASE!D:D,MATCH(1,(AGENT_DATABASE!B2:B5000="Agent 4")*1,0)+20),"")</f>
        <v/>
      </c>
      <c r="E44" s="89" t="str">
        <f>IFERROR(INDEX(AGENT_DATABASE!F:F,MATCH(1,(AGENT_DATABASE!B2:B5000="Agent 4")*1,0)+20),"")</f>
        <v/>
      </c>
      <c r="F44" s="90" t="str">
        <f>IFERROR(INDEX(AGENT_DATABASE!G:G,MATCH(1,(AGENT_DATABASE!B2:B5000="Agent 4")*1,0)+20),"")</f>
        <v/>
      </c>
      <c r="G44" s="91" t="str">
        <f>IFERROR(INDEX(AGENT_DATABASE!H:H,MATCH(1,(AGENT_DATABASE!B2:B5000="Agent 4")*1,0)+20),"")</f>
        <v/>
      </c>
      <c r="H44" s="90" t="str">
        <f>IFERROR(INDEX(AGENT_DATABASE!I:I,MATCH(1,(AGENT_DATABASE!B2:B5000="Agent 4")*1,0)+20),"")</f>
        <v/>
      </c>
      <c r="I44" s="87" t="str">
        <f>IFERROR(INDEX(AGENT_DATABASE!J:J,MATCH(1,(AGENT_DATABASE!B2:B5000="Agent 4")*1,0)+20),"")</f>
        <v/>
      </c>
      <c r="J44" s="87" t="str">
        <f>IFERROR(INDEX(AGENT_DATABASE!L:L,MATCH(1,(AGENT_DATABASE!B2:B5000="Agent 4")*1,0)+20),"")</f>
        <v/>
      </c>
      <c r="K44" s="87" t="str">
        <f>IFERROR(INDEX(AGENT_DATABASE!M:M,MATCH(1,(AGENT_DATABASE!B2:B5000="Agent 4")*1,0)+20),"")</f>
        <v/>
      </c>
      <c r="L44" s="89" t="str">
        <f>IFERROR(INDEX(AGENT_DATABASE!K:K,MATCH(1,(AGENT_DATABASE!B2:B5000="Agent 4")*1,0)+20),"")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4")*1,0)+21),"")</f>
        <v/>
      </c>
      <c r="C45" s="94" t="str">
        <f>IFERROR(INDEX(AGENT_DATABASE!C:C,MATCH(1,(AGENT_DATABASE!B2:B5000="Agent 4")*1,0)+21),"")</f>
        <v/>
      </c>
      <c r="D45" s="94" t="str">
        <f>IFERROR(INDEX(AGENT_DATABASE!D:D,MATCH(1,(AGENT_DATABASE!B2:B5000="Agent 4")*1,0)+21),"")</f>
        <v/>
      </c>
      <c r="E45" s="94" t="str">
        <f>IFERROR(INDEX(AGENT_DATABASE!F:F,MATCH(1,(AGENT_DATABASE!B2:B5000="Agent 4")*1,0)+21),"")</f>
        <v/>
      </c>
      <c r="F45" s="95" t="str">
        <f>IFERROR(INDEX(AGENT_DATABASE!G:G,MATCH(1,(AGENT_DATABASE!B2:B5000="Agent 4")*1,0)+21),"")</f>
        <v/>
      </c>
      <c r="G45" s="96" t="str">
        <f>IFERROR(INDEX(AGENT_DATABASE!H:H,MATCH(1,(AGENT_DATABASE!B2:B5000="Agent 4")*1,0)+21),"")</f>
        <v/>
      </c>
      <c r="H45" s="95" t="str">
        <f>IFERROR(INDEX(AGENT_DATABASE!I:I,MATCH(1,(AGENT_DATABASE!B2:B5000="Agent 4")*1,0)+21),"")</f>
        <v/>
      </c>
      <c r="I45" s="92" t="str">
        <f>IFERROR(INDEX(AGENT_DATABASE!J:J,MATCH(1,(AGENT_DATABASE!B2:B5000="Agent 4")*1,0)+21),"")</f>
        <v/>
      </c>
      <c r="J45" s="92" t="str">
        <f>IFERROR(INDEX(AGENT_DATABASE!L:L,MATCH(1,(AGENT_DATABASE!B2:B5000="Agent 4")*1,0)+21),"")</f>
        <v/>
      </c>
      <c r="K45" s="92" t="str">
        <f>IFERROR(INDEX(AGENT_DATABASE!M:M,MATCH(1,(AGENT_DATABASE!B2:B5000="Agent 4")*1,0)+21),"")</f>
        <v/>
      </c>
      <c r="L45" s="94" t="str">
        <f>IFERROR(INDEX(AGENT_DATABASE!K:K,MATCH(1,(AGENT_DATABASE!B2:B5000="Agent 4")*1,0)+21),"")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4")*1,0)+22),"")</f>
        <v/>
      </c>
      <c r="C46" s="89" t="str">
        <f>IFERROR(INDEX(AGENT_DATABASE!C:C,MATCH(1,(AGENT_DATABASE!B2:B5000="Agent 4")*1,0)+22),"")</f>
        <v/>
      </c>
      <c r="D46" s="89" t="str">
        <f>IFERROR(INDEX(AGENT_DATABASE!D:D,MATCH(1,(AGENT_DATABASE!B2:B5000="Agent 4")*1,0)+22),"")</f>
        <v/>
      </c>
      <c r="E46" s="89" t="str">
        <f>IFERROR(INDEX(AGENT_DATABASE!F:F,MATCH(1,(AGENT_DATABASE!B2:B5000="Agent 4")*1,0)+22),"")</f>
        <v/>
      </c>
      <c r="F46" s="90" t="str">
        <f>IFERROR(INDEX(AGENT_DATABASE!G:G,MATCH(1,(AGENT_DATABASE!B2:B5000="Agent 4")*1,0)+22),"")</f>
        <v/>
      </c>
      <c r="G46" s="91" t="str">
        <f>IFERROR(INDEX(AGENT_DATABASE!H:H,MATCH(1,(AGENT_DATABASE!B2:B5000="Agent 4")*1,0)+22),"")</f>
        <v/>
      </c>
      <c r="H46" s="90" t="str">
        <f>IFERROR(INDEX(AGENT_DATABASE!I:I,MATCH(1,(AGENT_DATABASE!B2:B5000="Agent 4")*1,0)+22),"")</f>
        <v/>
      </c>
      <c r="I46" s="87" t="str">
        <f>IFERROR(INDEX(AGENT_DATABASE!J:J,MATCH(1,(AGENT_DATABASE!B2:B5000="Agent 4")*1,0)+22),"")</f>
        <v/>
      </c>
      <c r="J46" s="87" t="str">
        <f>IFERROR(INDEX(AGENT_DATABASE!L:L,MATCH(1,(AGENT_DATABASE!B2:B5000="Agent 4")*1,0)+22),"")</f>
        <v/>
      </c>
      <c r="K46" s="87" t="str">
        <f>IFERROR(INDEX(AGENT_DATABASE!M:M,MATCH(1,(AGENT_DATABASE!B2:B5000="Agent 4")*1,0)+22),"")</f>
        <v/>
      </c>
      <c r="L46" s="89" t="str">
        <f>IFERROR(INDEX(AGENT_DATABASE!K:K,MATCH(1,(AGENT_DATABASE!B2:B5000="Agent 4")*1,0)+22),"")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4")*1,0)+23),"")</f>
        <v/>
      </c>
      <c r="C47" s="94" t="str">
        <f>IFERROR(INDEX(AGENT_DATABASE!C:C,MATCH(1,(AGENT_DATABASE!B2:B5000="Agent 4")*1,0)+23),"")</f>
        <v/>
      </c>
      <c r="D47" s="94" t="str">
        <f>IFERROR(INDEX(AGENT_DATABASE!D:D,MATCH(1,(AGENT_DATABASE!B2:B5000="Agent 4")*1,0)+23),"")</f>
        <v/>
      </c>
      <c r="E47" s="94" t="str">
        <f>IFERROR(INDEX(AGENT_DATABASE!F:F,MATCH(1,(AGENT_DATABASE!B2:B5000="Agent 4")*1,0)+23),"")</f>
        <v/>
      </c>
      <c r="F47" s="95" t="str">
        <f>IFERROR(INDEX(AGENT_DATABASE!G:G,MATCH(1,(AGENT_DATABASE!B2:B5000="Agent 4")*1,0)+23),"")</f>
        <v/>
      </c>
      <c r="G47" s="96" t="str">
        <f>IFERROR(INDEX(AGENT_DATABASE!H:H,MATCH(1,(AGENT_DATABASE!B2:B5000="Agent 4")*1,0)+23),"")</f>
        <v/>
      </c>
      <c r="H47" s="95" t="str">
        <f>IFERROR(INDEX(AGENT_DATABASE!I:I,MATCH(1,(AGENT_DATABASE!B2:B5000="Agent 4")*1,0)+23),"")</f>
        <v/>
      </c>
      <c r="I47" s="92" t="str">
        <f>IFERROR(INDEX(AGENT_DATABASE!J:J,MATCH(1,(AGENT_DATABASE!B2:B5000="Agent 4")*1,0)+23),"")</f>
        <v/>
      </c>
      <c r="J47" s="92" t="str">
        <f>IFERROR(INDEX(AGENT_DATABASE!L:L,MATCH(1,(AGENT_DATABASE!B2:B5000="Agent 4")*1,0)+23),"")</f>
        <v/>
      </c>
      <c r="K47" s="92" t="str">
        <f>IFERROR(INDEX(AGENT_DATABASE!M:M,MATCH(1,(AGENT_DATABASE!B2:B5000="Agent 4")*1,0)+23),"")</f>
        <v/>
      </c>
      <c r="L47" s="94" t="str">
        <f>IFERROR(INDEX(AGENT_DATABASE!K:K,MATCH(1,(AGENT_DATABASE!B2:B5000="Agent 4")*1,0)+23),"")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4")*1,0)+24),"")</f>
        <v/>
      </c>
      <c r="C48" s="89" t="str">
        <f>IFERROR(INDEX(AGENT_DATABASE!C:C,MATCH(1,(AGENT_DATABASE!B2:B5000="Agent 4")*1,0)+24),"")</f>
        <v/>
      </c>
      <c r="D48" s="89" t="str">
        <f>IFERROR(INDEX(AGENT_DATABASE!D:D,MATCH(1,(AGENT_DATABASE!B2:B5000="Agent 4")*1,0)+24),"")</f>
        <v/>
      </c>
      <c r="E48" s="89" t="str">
        <f>IFERROR(INDEX(AGENT_DATABASE!F:F,MATCH(1,(AGENT_DATABASE!B2:B5000="Agent 4")*1,0)+24),"")</f>
        <v/>
      </c>
      <c r="F48" s="90" t="str">
        <f>IFERROR(INDEX(AGENT_DATABASE!G:G,MATCH(1,(AGENT_DATABASE!B2:B5000="Agent 4")*1,0)+24),"")</f>
        <v/>
      </c>
      <c r="G48" s="91" t="str">
        <f>IFERROR(INDEX(AGENT_DATABASE!H:H,MATCH(1,(AGENT_DATABASE!B2:B5000="Agent 4")*1,0)+24),"")</f>
        <v/>
      </c>
      <c r="H48" s="90" t="str">
        <f>IFERROR(INDEX(AGENT_DATABASE!I:I,MATCH(1,(AGENT_DATABASE!B2:B5000="Agent 4")*1,0)+24),"")</f>
        <v/>
      </c>
      <c r="I48" s="87" t="str">
        <f>IFERROR(INDEX(AGENT_DATABASE!J:J,MATCH(1,(AGENT_DATABASE!B2:B5000="Agent 4")*1,0)+24),"")</f>
        <v/>
      </c>
      <c r="J48" s="87" t="str">
        <f>IFERROR(INDEX(AGENT_DATABASE!L:L,MATCH(1,(AGENT_DATABASE!B2:B5000="Agent 4")*1,0)+24),"")</f>
        <v/>
      </c>
      <c r="K48" s="87" t="str">
        <f>IFERROR(INDEX(AGENT_DATABASE!M:M,MATCH(1,(AGENT_DATABASE!B2:B5000="Agent 4")*1,0)+24),"")</f>
        <v/>
      </c>
      <c r="L48" s="89" t="str">
        <f>IFERROR(INDEX(AGENT_DATABASE!K:K,MATCH(1,(AGENT_DATABASE!B2:B5000="Agent 4")*1,0)+24),"")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4")*1,0)+25),"")</f>
        <v/>
      </c>
      <c r="C49" s="94" t="str">
        <f>IFERROR(INDEX(AGENT_DATABASE!C:C,MATCH(1,(AGENT_DATABASE!B2:B5000="Agent 4")*1,0)+25),"")</f>
        <v/>
      </c>
      <c r="D49" s="94" t="str">
        <f>IFERROR(INDEX(AGENT_DATABASE!D:D,MATCH(1,(AGENT_DATABASE!B2:B5000="Agent 4")*1,0)+25),"")</f>
        <v/>
      </c>
      <c r="E49" s="94" t="str">
        <f>IFERROR(INDEX(AGENT_DATABASE!F:F,MATCH(1,(AGENT_DATABASE!B2:B5000="Agent 4")*1,0)+25),"")</f>
        <v/>
      </c>
      <c r="F49" s="95" t="str">
        <f>IFERROR(INDEX(AGENT_DATABASE!G:G,MATCH(1,(AGENT_DATABASE!B2:B5000="Agent 4")*1,0)+25),"")</f>
        <v/>
      </c>
      <c r="G49" s="96" t="str">
        <f>IFERROR(INDEX(AGENT_DATABASE!H:H,MATCH(1,(AGENT_DATABASE!B2:B5000="Agent 4")*1,0)+25),"")</f>
        <v/>
      </c>
      <c r="H49" s="95" t="str">
        <f>IFERROR(INDEX(AGENT_DATABASE!I:I,MATCH(1,(AGENT_DATABASE!B2:B5000="Agent 4")*1,0)+25),"")</f>
        <v/>
      </c>
      <c r="I49" s="92" t="str">
        <f>IFERROR(INDEX(AGENT_DATABASE!J:J,MATCH(1,(AGENT_DATABASE!B2:B5000="Agent 4")*1,0)+25),"")</f>
        <v/>
      </c>
      <c r="J49" s="92" t="str">
        <f>IFERROR(INDEX(AGENT_DATABASE!L:L,MATCH(1,(AGENT_DATABASE!B2:B5000="Agent 4")*1,0)+25),"")</f>
        <v/>
      </c>
      <c r="K49" s="92" t="str">
        <f>IFERROR(INDEX(AGENT_DATABASE!M:M,MATCH(1,(AGENT_DATABASE!B2:B5000="Agent 4")*1,0)+25),"")</f>
        <v/>
      </c>
      <c r="L49" s="94" t="str">
        <f>IFERROR(INDEX(AGENT_DATABASE!K:K,MATCH(1,(AGENT_DATABASE!B2:B5000="Agent 4")*1,0)+25),"")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4")*1,0)+26),"")</f>
        <v/>
      </c>
      <c r="C50" s="89" t="str">
        <f>IFERROR(INDEX(AGENT_DATABASE!C:C,MATCH(1,(AGENT_DATABASE!B2:B5000="Agent 4")*1,0)+26),"")</f>
        <v/>
      </c>
      <c r="D50" s="89" t="str">
        <f>IFERROR(INDEX(AGENT_DATABASE!D:D,MATCH(1,(AGENT_DATABASE!B2:B5000="Agent 4")*1,0)+26),"")</f>
        <v/>
      </c>
      <c r="E50" s="89" t="str">
        <f>IFERROR(INDEX(AGENT_DATABASE!F:F,MATCH(1,(AGENT_DATABASE!B2:B5000="Agent 4")*1,0)+26),"")</f>
        <v/>
      </c>
      <c r="F50" s="90" t="str">
        <f>IFERROR(INDEX(AGENT_DATABASE!G:G,MATCH(1,(AGENT_DATABASE!B2:B5000="Agent 4")*1,0)+26),"")</f>
        <v/>
      </c>
      <c r="G50" s="91" t="str">
        <f>IFERROR(INDEX(AGENT_DATABASE!H:H,MATCH(1,(AGENT_DATABASE!B2:B5000="Agent 4")*1,0)+26),"")</f>
        <v/>
      </c>
      <c r="H50" s="90" t="str">
        <f>IFERROR(INDEX(AGENT_DATABASE!I:I,MATCH(1,(AGENT_DATABASE!B2:B5000="Agent 4")*1,0)+26),"")</f>
        <v/>
      </c>
      <c r="I50" s="87" t="str">
        <f>IFERROR(INDEX(AGENT_DATABASE!J:J,MATCH(1,(AGENT_DATABASE!B2:B5000="Agent 4")*1,0)+26),"")</f>
        <v/>
      </c>
      <c r="J50" s="87" t="str">
        <f>IFERROR(INDEX(AGENT_DATABASE!L:L,MATCH(1,(AGENT_DATABASE!B2:B5000="Agent 4")*1,0)+26),"")</f>
        <v/>
      </c>
      <c r="K50" s="87" t="str">
        <f>IFERROR(INDEX(AGENT_DATABASE!M:M,MATCH(1,(AGENT_DATABASE!B2:B5000="Agent 4")*1,0)+26),"")</f>
        <v/>
      </c>
      <c r="L50" s="89" t="str">
        <f>IFERROR(INDEX(AGENT_DATABASE!K:K,MATCH(1,(AGENT_DATABASE!B2:B5000="Agent 4")*1,0)+26),"")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4")*1,0)+27),"")</f>
        <v/>
      </c>
      <c r="C51" s="94" t="str">
        <f>IFERROR(INDEX(AGENT_DATABASE!C:C,MATCH(1,(AGENT_DATABASE!B2:B5000="Agent 4")*1,0)+27),"")</f>
        <v/>
      </c>
      <c r="D51" s="94" t="str">
        <f>IFERROR(INDEX(AGENT_DATABASE!D:D,MATCH(1,(AGENT_DATABASE!B2:B5000="Agent 4")*1,0)+27),"")</f>
        <v/>
      </c>
      <c r="E51" s="94" t="str">
        <f>IFERROR(INDEX(AGENT_DATABASE!F:F,MATCH(1,(AGENT_DATABASE!B2:B5000="Agent 4")*1,0)+27),"")</f>
        <v/>
      </c>
      <c r="F51" s="95" t="str">
        <f>IFERROR(INDEX(AGENT_DATABASE!G:G,MATCH(1,(AGENT_DATABASE!B2:B5000="Agent 4")*1,0)+27),"")</f>
        <v/>
      </c>
      <c r="G51" s="96" t="str">
        <f>IFERROR(INDEX(AGENT_DATABASE!H:H,MATCH(1,(AGENT_DATABASE!B2:B5000="Agent 4")*1,0)+27),"")</f>
        <v/>
      </c>
      <c r="H51" s="95" t="str">
        <f>IFERROR(INDEX(AGENT_DATABASE!I:I,MATCH(1,(AGENT_DATABASE!B2:B5000="Agent 4")*1,0)+27),"")</f>
        <v/>
      </c>
      <c r="I51" s="92" t="str">
        <f>IFERROR(INDEX(AGENT_DATABASE!J:J,MATCH(1,(AGENT_DATABASE!B2:B5000="Agent 4")*1,0)+27),"")</f>
        <v/>
      </c>
      <c r="J51" s="92" t="str">
        <f>IFERROR(INDEX(AGENT_DATABASE!L:L,MATCH(1,(AGENT_DATABASE!B2:B5000="Agent 4")*1,0)+27),"")</f>
        <v/>
      </c>
      <c r="K51" s="92" t="str">
        <f>IFERROR(INDEX(AGENT_DATABASE!M:M,MATCH(1,(AGENT_DATABASE!B2:B5000="Agent 4")*1,0)+27),"")</f>
        <v/>
      </c>
      <c r="L51" s="94" t="str">
        <f>IFERROR(INDEX(AGENT_DATABASE!K:K,MATCH(1,(AGENT_DATABASE!B2:B5000="Agent 4")*1,0)+27),"")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4")*1,0)+28),"")</f>
        <v/>
      </c>
      <c r="C52" s="89" t="str">
        <f>IFERROR(INDEX(AGENT_DATABASE!C:C,MATCH(1,(AGENT_DATABASE!B2:B5000="Agent 4")*1,0)+28),"")</f>
        <v/>
      </c>
      <c r="D52" s="89" t="str">
        <f>IFERROR(INDEX(AGENT_DATABASE!D:D,MATCH(1,(AGENT_DATABASE!B2:B5000="Agent 4")*1,0)+28),"")</f>
        <v/>
      </c>
      <c r="E52" s="89" t="str">
        <f>IFERROR(INDEX(AGENT_DATABASE!F:F,MATCH(1,(AGENT_DATABASE!B2:B5000="Agent 4")*1,0)+28),"")</f>
        <v/>
      </c>
      <c r="F52" s="90" t="str">
        <f>IFERROR(INDEX(AGENT_DATABASE!G:G,MATCH(1,(AGENT_DATABASE!B2:B5000="Agent 4")*1,0)+28),"")</f>
        <v/>
      </c>
      <c r="G52" s="91" t="str">
        <f>IFERROR(INDEX(AGENT_DATABASE!H:H,MATCH(1,(AGENT_DATABASE!B2:B5000="Agent 4")*1,0)+28),"")</f>
        <v/>
      </c>
      <c r="H52" s="90" t="str">
        <f>IFERROR(INDEX(AGENT_DATABASE!I:I,MATCH(1,(AGENT_DATABASE!B2:B5000="Agent 4")*1,0)+28),"")</f>
        <v/>
      </c>
      <c r="I52" s="87" t="str">
        <f>IFERROR(INDEX(AGENT_DATABASE!J:J,MATCH(1,(AGENT_DATABASE!B2:B5000="Agent 4")*1,0)+28),"")</f>
        <v/>
      </c>
      <c r="J52" s="87" t="str">
        <f>IFERROR(INDEX(AGENT_DATABASE!L:L,MATCH(1,(AGENT_DATABASE!B2:B5000="Agent 4")*1,0)+28),"")</f>
        <v/>
      </c>
      <c r="K52" s="87" t="str">
        <f>IFERROR(INDEX(AGENT_DATABASE!M:M,MATCH(1,(AGENT_DATABASE!B2:B5000="Agent 4")*1,0)+28),"")</f>
        <v/>
      </c>
      <c r="L52" s="89" t="str">
        <f>IFERROR(INDEX(AGENT_DATABASE!K:K,MATCH(1,(AGENT_DATABASE!B2:B5000="Agent 4")*1,0)+28),"")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4")*1,0)+29),"")</f>
        <v/>
      </c>
      <c r="C53" s="94" t="str">
        <f>IFERROR(INDEX(AGENT_DATABASE!C:C,MATCH(1,(AGENT_DATABASE!B2:B5000="Agent 4")*1,0)+29),"")</f>
        <v/>
      </c>
      <c r="D53" s="94" t="str">
        <f>IFERROR(INDEX(AGENT_DATABASE!D:D,MATCH(1,(AGENT_DATABASE!B2:B5000="Agent 4")*1,0)+29),"")</f>
        <v/>
      </c>
      <c r="E53" s="94" t="str">
        <f>IFERROR(INDEX(AGENT_DATABASE!F:F,MATCH(1,(AGENT_DATABASE!B2:B5000="Agent 4")*1,0)+29),"")</f>
        <v/>
      </c>
      <c r="F53" s="95" t="str">
        <f>IFERROR(INDEX(AGENT_DATABASE!G:G,MATCH(1,(AGENT_DATABASE!B2:B5000="Agent 4")*1,0)+29),"")</f>
        <v/>
      </c>
      <c r="G53" s="96" t="str">
        <f>IFERROR(INDEX(AGENT_DATABASE!H:H,MATCH(1,(AGENT_DATABASE!B2:B5000="Agent 4")*1,0)+29),"")</f>
        <v/>
      </c>
      <c r="H53" s="95" t="str">
        <f>IFERROR(INDEX(AGENT_DATABASE!I:I,MATCH(1,(AGENT_DATABASE!B2:B5000="Agent 4")*1,0)+29),"")</f>
        <v/>
      </c>
      <c r="I53" s="92" t="str">
        <f>IFERROR(INDEX(AGENT_DATABASE!J:J,MATCH(1,(AGENT_DATABASE!B2:B5000="Agent 4")*1,0)+29),"")</f>
        <v/>
      </c>
      <c r="J53" s="92" t="str">
        <f>IFERROR(INDEX(AGENT_DATABASE!L:L,MATCH(1,(AGENT_DATABASE!B2:B5000="Agent 4")*1,0)+29),"")</f>
        <v/>
      </c>
      <c r="K53" s="92" t="str">
        <f>IFERROR(INDEX(AGENT_DATABASE!M:M,MATCH(1,(AGENT_DATABASE!B2:B5000="Agent 4")*1,0)+29),"")</f>
        <v/>
      </c>
      <c r="L53" s="94" t="str">
        <f>IFERROR(INDEX(AGENT_DATABASE!K:K,MATCH(1,(AGENT_DATABASE!B2:B5000="Agent 4")*1,0)+29),"")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500-000000000000}">
      <formula1>"Savings Deposit,Withdrawal"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170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171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f ca="1">SUMPRODUCT((AGENT_DATABASE!B2:B5000="Agent 5")*(AGENT_DATABASE!F2:F5000="Savings Deposit")*(TEXT(AGENT_DATABASE!A2:A5000,"DD/MM/YYYY")=TEXT(TODAY(),"DD/MM/YYYY"))*AGENT_DATABASE!G2:G5000)</f>
        <v>0</v>
      </c>
      <c r="C6" s="132"/>
      <c r="D6" s="135">
        <f ca="1">SUMPRODUCT((AGENT_DATABASE!B2:B5000="Agent 5")*(AGENT_DATABASE!F2:F5000="Loan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5")*(AGENT_DATABASE!F2:F5000="Withdrawal")*(TEXT(AGENT_DATABASE!A2:A5000,"DD/MM/YYYY")=TEXT(TODAY(),"DD/MM/YYYY"))*AGENT_DATABASE!G2:G5000)</f>
        <v>0</v>
      </c>
      <c r="G6" s="132"/>
      <c r="H6" s="135">
        <f ca="1">IFERROR(B6-F6-D6,0)</f>
        <v>0</v>
      </c>
      <c r="I6" s="132"/>
      <c r="J6" s="136">
        <f ca="1">SUMPRODUCT((AGENT_DATABASE!B2:B5000="Agent 5")*(TEXT(AGENT_DATABASE!A2:A5000,"DD/MM/YYYY")=TEXT(TODAY(),"DD/MM/YYYY"))*1)</f>
        <v>0</v>
      </c>
      <c r="K6" s="132"/>
    </row>
    <row r="7" spans="1:12" ht="27.95" customHeight="1" x14ac:dyDescent="0.25">
      <c r="A7" s="129" t="s">
        <v>172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5")*(AGENT_DATABASE!F2:F5000="Savings Deposit")*(TEXT(AGENT_DATABASE!A2:A5000,"DD/MM/YYYY")=TEXT(TODAY(),"DD/MM/YYYY"))*AGENT_DATABASE!G2:G5000),2)=0,ROUND(E9-SUMPRODUCT((AGENT_DATABASE!B2:B5000="Agent 5")*(AGENT_DATABASE!F2:F5000="Withdrawal")*(TEXT(AGENT_DATABASE!A2:A5000,"DD/MM/YYYY")=TEXT(TODAY(),"DD/MM/YYYY"))*AGENT_DATABASE!G2:G5000),2)=0,ROUND(G9-SUMPRODUCT((AGENT_DATABASE!B2:B5000="Agent 5")*(AGENT_DATABASE!F2:F5000="Loan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5")*1,0)+0),"")</f>
        <v/>
      </c>
      <c r="C24" s="89" t="str">
        <f>IFERROR(INDEX(AGENT_DATABASE!C:C,MATCH(1,(AGENT_DATABASE!B2:B5000="Agent 5")*1,0)+0),"")</f>
        <v/>
      </c>
      <c r="D24" s="89" t="str">
        <f>IFERROR(INDEX(AGENT_DATABASE!D:D,MATCH(1,(AGENT_DATABASE!B2:B5000="Agent 5")*1,0)+0),"")</f>
        <v/>
      </c>
      <c r="E24" s="89" t="str">
        <f>IFERROR(INDEX(AGENT_DATABASE!F:F,MATCH(1,(AGENT_DATABASE!B2:B5000="Agent 5")*1,0)+0),"")</f>
        <v/>
      </c>
      <c r="F24" s="90" t="str">
        <f>IFERROR(INDEX(AGENT_DATABASE!G:G,MATCH(1,(AGENT_DATABASE!B2:B5000="Agent 5")*1,0)+0),"")</f>
        <v/>
      </c>
      <c r="G24" s="91" t="str">
        <f>IFERROR(INDEX(AGENT_DATABASE!H:H,MATCH(1,(AGENT_DATABASE!B2:B5000="Agent 5")*1,0)+0),"")</f>
        <v/>
      </c>
      <c r="H24" s="90" t="str">
        <f>IFERROR(INDEX(AGENT_DATABASE!I:I,MATCH(1,(AGENT_DATABASE!B2:B5000="Agent 5")*1,0)+0),"")</f>
        <v/>
      </c>
      <c r="I24" s="87" t="str">
        <f>IFERROR(INDEX(AGENT_DATABASE!J:J,MATCH(1,(AGENT_DATABASE!B2:B5000="Agent 5")*1,0)+0),"")</f>
        <v/>
      </c>
      <c r="J24" s="87" t="str">
        <f>IFERROR(INDEX(AGENT_DATABASE!L:L,MATCH(1,(AGENT_DATABASE!B2:B5000="Agent 5")*1,0)+0),"")</f>
        <v/>
      </c>
      <c r="K24" s="87" t="str">
        <f>IFERROR(INDEX(AGENT_DATABASE!M:M,MATCH(1,(AGENT_DATABASE!B2:B5000="Agent 5")*1,0)+0),"")</f>
        <v/>
      </c>
      <c r="L24" s="89" t="str">
        <f>IFERROR(INDEX(AGENT_DATABASE!K:K,MATCH(1,(AGENT_DATABASE!B2:B5000="Agent 5")*1,0)+0),"")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5")*1,0)+1),"")</f>
        <v/>
      </c>
      <c r="C25" s="94" t="str">
        <f>IFERROR(INDEX(AGENT_DATABASE!C:C,MATCH(1,(AGENT_DATABASE!B2:B5000="Agent 5")*1,0)+1),"")</f>
        <v/>
      </c>
      <c r="D25" s="94" t="str">
        <f>IFERROR(INDEX(AGENT_DATABASE!D:D,MATCH(1,(AGENT_DATABASE!B2:B5000="Agent 5")*1,0)+1),"")</f>
        <v/>
      </c>
      <c r="E25" s="94" t="str">
        <f>IFERROR(INDEX(AGENT_DATABASE!F:F,MATCH(1,(AGENT_DATABASE!B2:B5000="Agent 5")*1,0)+1),"")</f>
        <v/>
      </c>
      <c r="F25" s="95" t="str">
        <f>IFERROR(INDEX(AGENT_DATABASE!G:G,MATCH(1,(AGENT_DATABASE!B2:B5000="Agent 5")*1,0)+1),"")</f>
        <v/>
      </c>
      <c r="G25" s="96" t="str">
        <f>IFERROR(INDEX(AGENT_DATABASE!H:H,MATCH(1,(AGENT_DATABASE!B2:B5000="Agent 5")*1,0)+1),"")</f>
        <v/>
      </c>
      <c r="H25" s="95" t="str">
        <f>IFERROR(INDEX(AGENT_DATABASE!I:I,MATCH(1,(AGENT_DATABASE!B2:B5000="Agent 5")*1,0)+1),"")</f>
        <v/>
      </c>
      <c r="I25" s="92" t="str">
        <f>IFERROR(INDEX(AGENT_DATABASE!J:J,MATCH(1,(AGENT_DATABASE!B2:B5000="Agent 5")*1,0)+1),"")</f>
        <v/>
      </c>
      <c r="J25" s="92" t="str">
        <f>IFERROR(INDEX(AGENT_DATABASE!L:L,MATCH(1,(AGENT_DATABASE!B2:B5000="Agent 5")*1,0)+1),"")</f>
        <v/>
      </c>
      <c r="K25" s="92" t="str">
        <f>IFERROR(INDEX(AGENT_DATABASE!M:M,MATCH(1,(AGENT_DATABASE!B2:B5000="Agent 5")*1,0)+1),"")</f>
        <v/>
      </c>
      <c r="L25" s="94" t="str">
        <f>IFERROR(INDEX(AGENT_DATABASE!K:K,MATCH(1,(AGENT_DATABASE!B2:B5000="Agent 5")*1,0)+1),"")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5")*1,0)+2),"")</f>
        <v/>
      </c>
      <c r="C26" s="89" t="str">
        <f>IFERROR(INDEX(AGENT_DATABASE!C:C,MATCH(1,(AGENT_DATABASE!B2:B5000="Agent 5")*1,0)+2),"")</f>
        <v/>
      </c>
      <c r="D26" s="89" t="str">
        <f>IFERROR(INDEX(AGENT_DATABASE!D:D,MATCH(1,(AGENT_DATABASE!B2:B5000="Agent 5")*1,0)+2),"")</f>
        <v/>
      </c>
      <c r="E26" s="89" t="str">
        <f>IFERROR(INDEX(AGENT_DATABASE!F:F,MATCH(1,(AGENT_DATABASE!B2:B5000="Agent 5")*1,0)+2),"")</f>
        <v/>
      </c>
      <c r="F26" s="90" t="str">
        <f>IFERROR(INDEX(AGENT_DATABASE!G:G,MATCH(1,(AGENT_DATABASE!B2:B5000="Agent 5")*1,0)+2),"")</f>
        <v/>
      </c>
      <c r="G26" s="91" t="str">
        <f>IFERROR(INDEX(AGENT_DATABASE!H:H,MATCH(1,(AGENT_DATABASE!B2:B5000="Agent 5")*1,0)+2),"")</f>
        <v/>
      </c>
      <c r="H26" s="90" t="str">
        <f>IFERROR(INDEX(AGENT_DATABASE!I:I,MATCH(1,(AGENT_DATABASE!B2:B5000="Agent 5")*1,0)+2),"")</f>
        <v/>
      </c>
      <c r="I26" s="87" t="str">
        <f>IFERROR(INDEX(AGENT_DATABASE!J:J,MATCH(1,(AGENT_DATABASE!B2:B5000="Agent 5")*1,0)+2),"")</f>
        <v/>
      </c>
      <c r="J26" s="87" t="str">
        <f>IFERROR(INDEX(AGENT_DATABASE!L:L,MATCH(1,(AGENT_DATABASE!B2:B5000="Agent 5")*1,0)+2),"")</f>
        <v/>
      </c>
      <c r="K26" s="87" t="str">
        <f>IFERROR(INDEX(AGENT_DATABASE!M:M,MATCH(1,(AGENT_DATABASE!B2:B5000="Agent 5")*1,0)+2),"")</f>
        <v/>
      </c>
      <c r="L26" s="89" t="str">
        <f>IFERROR(INDEX(AGENT_DATABASE!K:K,MATCH(1,(AGENT_DATABASE!B2:B5000="Agent 5")*1,0)+2),"")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5")*1,0)+3),"")</f>
        <v/>
      </c>
      <c r="C27" s="94" t="str">
        <f>IFERROR(INDEX(AGENT_DATABASE!C:C,MATCH(1,(AGENT_DATABASE!B2:B5000="Agent 5")*1,0)+3),"")</f>
        <v/>
      </c>
      <c r="D27" s="94" t="str">
        <f>IFERROR(INDEX(AGENT_DATABASE!D:D,MATCH(1,(AGENT_DATABASE!B2:B5000="Agent 5")*1,0)+3),"")</f>
        <v/>
      </c>
      <c r="E27" s="94" t="str">
        <f>IFERROR(INDEX(AGENT_DATABASE!F:F,MATCH(1,(AGENT_DATABASE!B2:B5000="Agent 5")*1,0)+3),"")</f>
        <v/>
      </c>
      <c r="F27" s="95" t="str">
        <f>IFERROR(INDEX(AGENT_DATABASE!G:G,MATCH(1,(AGENT_DATABASE!B2:B5000="Agent 5")*1,0)+3),"")</f>
        <v/>
      </c>
      <c r="G27" s="96" t="str">
        <f>IFERROR(INDEX(AGENT_DATABASE!H:H,MATCH(1,(AGENT_DATABASE!B2:B5000="Agent 5")*1,0)+3),"")</f>
        <v/>
      </c>
      <c r="H27" s="95" t="str">
        <f>IFERROR(INDEX(AGENT_DATABASE!I:I,MATCH(1,(AGENT_DATABASE!B2:B5000="Agent 5")*1,0)+3),"")</f>
        <v/>
      </c>
      <c r="I27" s="92" t="str">
        <f>IFERROR(INDEX(AGENT_DATABASE!J:J,MATCH(1,(AGENT_DATABASE!B2:B5000="Agent 5")*1,0)+3),"")</f>
        <v/>
      </c>
      <c r="J27" s="92" t="str">
        <f>IFERROR(INDEX(AGENT_DATABASE!L:L,MATCH(1,(AGENT_DATABASE!B2:B5000="Agent 5")*1,0)+3),"")</f>
        <v/>
      </c>
      <c r="K27" s="92" t="str">
        <f>IFERROR(INDEX(AGENT_DATABASE!M:M,MATCH(1,(AGENT_DATABASE!B2:B5000="Agent 5")*1,0)+3),"")</f>
        <v/>
      </c>
      <c r="L27" s="94" t="str">
        <f>IFERROR(INDEX(AGENT_DATABASE!K:K,MATCH(1,(AGENT_DATABASE!B2:B5000="Agent 5")*1,0)+3),"")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5")*1,0)+4),"")</f>
        <v/>
      </c>
      <c r="C28" s="89" t="str">
        <f>IFERROR(INDEX(AGENT_DATABASE!C:C,MATCH(1,(AGENT_DATABASE!B2:B5000="Agent 5")*1,0)+4),"")</f>
        <v/>
      </c>
      <c r="D28" s="89" t="str">
        <f>IFERROR(INDEX(AGENT_DATABASE!D:D,MATCH(1,(AGENT_DATABASE!B2:B5000="Agent 5")*1,0)+4),"")</f>
        <v/>
      </c>
      <c r="E28" s="89" t="str">
        <f>IFERROR(INDEX(AGENT_DATABASE!F:F,MATCH(1,(AGENT_DATABASE!B2:B5000="Agent 5")*1,0)+4),"")</f>
        <v/>
      </c>
      <c r="F28" s="90" t="str">
        <f>IFERROR(INDEX(AGENT_DATABASE!G:G,MATCH(1,(AGENT_DATABASE!B2:B5000="Agent 5")*1,0)+4),"")</f>
        <v/>
      </c>
      <c r="G28" s="91" t="str">
        <f>IFERROR(INDEX(AGENT_DATABASE!H:H,MATCH(1,(AGENT_DATABASE!B2:B5000="Agent 5")*1,0)+4),"")</f>
        <v/>
      </c>
      <c r="H28" s="90" t="str">
        <f>IFERROR(INDEX(AGENT_DATABASE!I:I,MATCH(1,(AGENT_DATABASE!B2:B5000="Agent 5")*1,0)+4),"")</f>
        <v/>
      </c>
      <c r="I28" s="87" t="str">
        <f>IFERROR(INDEX(AGENT_DATABASE!J:J,MATCH(1,(AGENT_DATABASE!B2:B5000="Agent 5")*1,0)+4),"")</f>
        <v/>
      </c>
      <c r="J28" s="87" t="str">
        <f>IFERROR(INDEX(AGENT_DATABASE!L:L,MATCH(1,(AGENT_DATABASE!B2:B5000="Agent 5")*1,0)+4),"")</f>
        <v/>
      </c>
      <c r="K28" s="87" t="str">
        <f>IFERROR(INDEX(AGENT_DATABASE!M:M,MATCH(1,(AGENT_DATABASE!B2:B5000="Agent 5")*1,0)+4),"")</f>
        <v/>
      </c>
      <c r="L28" s="89" t="str">
        <f>IFERROR(INDEX(AGENT_DATABASE!K:K,MATCH(1,(AGENT_DATABASE!B2:B5000="Agent 5")*1,0)+4),"")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5")*1,0)+5),"")</f>
        <v/>
      </c>
      <c r="C29" s="94" t="str">
        <f>IFERROR(INDEX(AGENT_DATABASE!C:C,MATCH(1,(AGENT_DATABASE!B2:B5000="Agent 5")*1,0)+5),"")</f>
        <v/>
      </c>
      <c r="D29" s="94" t="str">
        <f>IFERROR(INDEX(AGENT_DATABASE!D:D,MATCH(1,(AGENT_DATABASE!B2:B5000="Agent 5")*1,0)+5),"")</f>
        <v/>
      </c>
      <c r="E29" s="94" t="str">
        <f>IFERROR(INDEX(AGENT_DATABASE!F:F,MATCH(1,(AGENT_DATABASE!B2:B5000="Agent 5")*1,0)+5),"")</f>
        <v/>
      </c>
      <c r="F29" s="95" t="str">
        <f>IFERROR(INDEX(AGENT_DATABASE!G:G,MATCH(1,(AGENT_DATABASE!B2:B5000="Agent 5")*1,0)+5),"")</f>
        <v/>
      </c>
      <c r="G29" s="96" t="str">
        <f>IFERROR(INDEX(AGENT_DATABASE!H:H,MATCH(1,(AGENT_DATABASE!B2:B5000="Agent 5")*1,0)+5),"")</f>
        <v/>
      </c>
      <c r="H29" s="95" t="str">
        <f>IFERROR(INDEX(AGENT_DATABASE!I:I,MATCH(1,(AGENT_DATABASE!B2:B5000="Agent 5")*1,0)+5),"")</f>
        <v/>
      </c>
      <c r="I29" s="92" t="str">
        <f>IFERROR(INDEX(AGENT_DATABASE!J:J,MATCH(1,(AGENT_DATABASE!B2:B5000="Agent 5")*1,0)+5),"")</f>
        <v/>
      </c>
      <c r="J29" s="92" t="str">
        <f>IFERROR(INDEX(AGENT_DATABASE!L:L,MATCH(1,(AGENT_DATABASE!B2:B5000="Agent 5")*1,0)+5),"")</f>
        <v/>
      </c>
      <c r="K29" s="92" t="str">
        <f>IFERROR(INDEX(AGENT_DATABASE!M:M,MATCH(1,(AGENT_DATABASE!B2:B5000="Agent 5")*1,0)+5),"")</f>
        <v/>
      </c>
      <c r="L29" s="94" t="str">
        <f>IFERROR(INDEX(AGENT_DATABASE!K:K,MATCH(1,(AGENT_DATABASE!B2:B5000="Agent 5")*1,0)+5),"")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5")*1,0)+6),"")</f>
        <v/>
      </c>
      <c r="C30" s="89" t="str">
        <f>IFERROR(INDEX(AGENT_DATABASE!C:C,MATCH(1,(AGENT_DATABASE!B2:B5000="Agent 5")*1,0)+6),"")</f>
        <v/>
      </c>
      <c r="D30" s="89" t="str">
        <f>IFERROR(INDEX(AGENT_DATABASE!D:D,MATCH(1,(AGENT_DATABASE!B2:B5000="Agent 5")*1,0)+6),"")</f>
        <v/>
      </c>
      <c r="E30" s="89" t="str">
        <f>IFERROR(INDEX(AGENT_DATABASE!F:F,MATCH(1,(AGENT_DATABASE!B2:B5000="Agent 5")*1,0)+6),"")</f>
        <v/>
      </c>
      <c r="F30" s="90" t="str">
        <f>IFERROR(INDEX(AGENT_DATABASE!G:G,MATCH(1,(AGENT_DATABASE!B2:B5000="Agent 5")*1,0)+6),"")</f>
        <v/>
      </c>
      <c r="G30" s="91" t="str">
        <f>IFERROR(INDEX(AGENT_DATABASE!H:H,MATCH(1,(AGENT_DATABASE!B2:B5000="Agent 5")*1,0)+6),"")</f>
        <v/>
      </c>
      <c r="H30" s="90" t="str">
        <f>IFERROR(INDEX(AGENT_DATABASE!I:I,MATCH(1,(AGENT_DATABASE!B2:B5000="Agent 5")*1,0)+6),"")</f>
        <v/>
      </c>
      <c r="I30" s="87" t="str">
        <f>IFERROR(INDEX(AGENT_DATABASE!J:J,MATCH(1,(AGENT_DATABASE!B2:B5000="Agent 5")*1,0)+6),"")</f>
        <v/>
      </c>
      <c r="J30" s="87" t="str">
        <f>IFERROR(INDEX(AGENT_DATABASE!L:L,MATCH(1,(AGENT_DATABASE!B2:B5000="Agent 5")*1,0)+6),"")</f>
        <v/>
      </c>
      <c r="K30" s="87" t="str">
        <f>IFERROR(INDEX(AGENT_DATABASE!M:M,MATCH(1,(AGENT_DATABASE!B2:B5000="Agent 5")*1,0)+6),"")</f>
        <v/>
      </c>
      <c r="L30" s="89" t="str">
        <f>IFERROR(INDEX(AGENT_DATABASE!K:K,MATCH(1,(AGENT_DATABASE!B2:B5000="Agent 5")*1,0)+6),"")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5")*1,0)+7),"")</f>
        <v/>
      </c>
      <c r="C31" s="94" t="str">
        <f>IFERROR(INDEX(AGENT_DATABASE!C:C,MATCH(1,(AGENT_DATABASE!B2:B5000="Agent 5")*1,0)+7),"")</f>
        <v/>
      </c>
      <c r="D31" s="94" t="str">
        <f>IFERROR(INDEX(AGENT_DATABASE!D:D,MATCH(1,(AGENT_DATABASE!B2:B5000="Agent 5")*1,0)+7),"")</f>
        <v/>
      </c>
      <c r="E31" s="94" t="str">
        <f>IFERROR(INDEX(AGENT_DATABASE!F:F,MATCH(1,(AGENT_DATABASE!B2:B5000="Agent 5")*1,0)+7),"")</f>
        <v/>
      </c>
      <c r="F31" s="95" t="str">
        <f>IFERROR(INDEX(AGENT_DATABASE!G:G,MATCH(1,(AGENT_DATABASE!B2:B5000="Agent 5")*1,0)+7),"")</f>
        <v/>
      </c>
      <c r="G31" s="96" t="str">
        <f>IFERROR(INDEX(AGENT_DATABASE!H:H,MATCH(1,(AGENT_DATABASE!B2:B5000="Agent 5")*1,0)+7),"")</f>
        <v/>
      </c>
      <c r="H31" s="95" t="str">
        <f>IFERROR(INDEX(AGENT_DATABASE!I:I,MATCH(1,(AGENT_DATABASE!B2:B5000="Agent 5")*1,0)+7),"")</f>
        <v/>
      </c>
      <c r="I31" s="92" t="str">
        <f>IFERROR(INDEX(AGENT_DATABASE!J:J,MATCH(1,(AGENT_DATABASE!B2:B5000="Agent 5")*1,0)+7),"")</f>
        <v/>
      </c>
      <c r="J31" s="92" t="str">
        <f>IFERROR(INDEX(AGENT_DATABASE!L:L,MATCH(1,(AGENT_DATABASE!B2:B5000="Agent 5")*1,0)+7),"")</f>
        <v/>
      </c>
      <c r="K31" s="92" t="str">
        <f>IFERROR(INDEX(AGENT_DATABASE!M:M,MATCH(1,(AGENT_DATABASE!B2:B5000="Agent 5")*1,0)+7),"")</f>
        <v/>
      </c>
      <c r="L31" s="94" t="str">
        <f>IFERROR(INDEX(AGENT_DATABASE!K:K,MATCH(1,(AGENT_DATABASE!B2:B5000="Agent 5")*1,0)+7),"")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5")*1,0)+8),"")</f>
        <v/>
      </c>
      <c r="C32" s="89" t="str">
        <f>IFERROR(INDEX(AGENT_DATABASE!C:C,MATCH(1,(AGENT_DATABASE!B2:B5000="Agent 5")*1,0)+8),"")</f>
        <v/>
      </c>
      <c r="D32" s="89" t="str">
        <f>IFERROR(INDEX(AGENT_DATABASE!D:D,MATCH(1,(AGENT_DATABASE!B2:B5000="Agent 5")*1,0)+8),"")</f>
        <v/>
      </c>
      <c r="E32" s="89" t="str">
        <f>IFERROR(INDEX(AGENT_DATABASE!F:F,MATCH(1,(AGENT_DATABASE!B2:B5000="Agent 5")*1,0)+8),"")</f>
        <v/>
      </c>
      <c r="F32" s="90" t="str">
        <f>IFERROR(INDEX(AGENT_DATABASE!G:G,MATCH(1,(AGENT_DATABASE!B2:B5000="Agent 5")*1,0)+8),"")</f>
        <v/>
      </c>
      <c r="G32" s="91" t="str">
        <f>IFERROR(INDEX(AGENT_DATABASE!H:H,MATCH(1,(AGENT_DATABASE!B2:B5000="Agent 5")*1,0)+8),"")</f>
        <v/>
      </c>
      <c r="H32" s="90" t="str">
        <f>IFERROR(INDEX(AGENT_DATABASE!I:I,MATCH(1,(AGENT_DATABASE!B2:B5000="Agent 5")*1,0)+8),"")</f>
        <v/>
      </c>
      <c r="I32" s="87" t="str">
        <f>IFERROR(INDEX(AGENT_DATABASE!J:J,MATCH(1,(AGENT_DATABASE!B2:B5000="Agent 5")*1,0)+8),"")</f>
        <v/>
      </c>
      <c r="J32" s="87" t="str">
        <f>IFERROR(INDEX(AGENT_DATABASE!L:L,MATCH(1,(AGENT_DATABASE!B2:B5000="Agent 5")*1,0)+8),"")</f>
        <v/>
      </c>
      <c r="K32" s="87" t="str">
        <f>IFERROR(INDEX(AGENT_DATABASE!M:M,MATCH(1,(AGENT_DATABASE!B2:B5000="Agent 5")*1,0)+8),"")</f>
        <v/>
      </c>
      <c r="L32" s="89" t="str">
        <f>IFERROR(INDEX(AGENT_DATABASE!K:K,MATCH(1,(AGENT_DATABASE!B2:B5000="Agent 5")*1,0)+8),"")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5")*1,0)+9),"")</f>
        <v/>
      </c>
      <c r="C33" s="94" t="str">
        <f>IFERROR(INDEX(AGENT_DATABASE!C:C,MATCH(1,(AGENT_DATABASE!B2:B5000="Agent 5")*1,0)+9),"")</f>
        <v/>
      </c>
      <c r="D33" s="94" t="str">
        <f>IFERROR(INDEX(AGENT_DATABASE!D:D,MATCH(1,(AGENT_DATABASE!B2:B5000="Agent 5")*1,0)+9),"")</f>
        <v/>
      </c>
      <c r="E33" s="94" t="str">
        <f>IFERROR(INDEX(AGENT_DATABASE!F:F,MATCH(1,(AGENT_DATABASE!B2:B5000="Agent 5")*1,0)+9),"")</f>
        <v/>
      </c>
      <c r="F33" s="95" t="str">
        <f>IFERROR(INDEX(AGENT_DATABASE!G:G,MATCH(1,(AGENT_DATABASE!B2:B5000="Agent 5")*1,0)+9),"")</f>
        <v/>
      </c>
      <c r="G33" s="96" t="str">
        <f>IFERROR(INDEX(AGENT_DATABASE!H:H,MATCH(1,(AGENT_DATABASE!B2:B5000="Agent 5")*1,0)+9),"")</f>
        <v/>
      </c>
      <c r="H33" s="95" t="str">
        <f>IFERROR(INDEX(AGENT_DATABASE!I:I,MATCH(1,(AGENT_DATABASE!B2:B5000="Agent 5")*1,0)+9),"")</f>
        <v/>
      </c>
      <c r="I33" s="92" t="str">
        <f>IFERROR(INDEX(AGENT_DATABASE!J:J,MATCH(1,(AGENT_DATABASE!B2:B5000="Agent 5")*1,0)+9),"")</f>
        <v/>
      </c>
      <c r="J33" s="92" t="str">
        <f>IFERROR(INDEX(AGENT_DATABASE!L:L,MATCH(1,(AGENT_DATABASE!B2:B5000="Agent 5")*1,0)+9),"")</f>
        <v/>
      </c>
      <c r="K33" s="92" t="str">
        <f>IFERROR(INDEX(AGENT_DATABASE!M:M,MATCH(1,(AGENT_DATABASE!B2:B5000="Agent 5")*1,0)+9),"")</f>
        <v/>
      </c>
      <c r="L33" s="94" t="str">
        <f>IFERROR(INDEX(AGENT_DATABASE!K:K,MATCH(1,(AGENT_DATABASE!B2:B5000="Agent 5")*1,0)+9),"")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5")*1,0)+10),"")</f>
        <v/>
      </c>
      <c r="C34" s="89" t="str">
        <f>IFERROR(INDEX(AGENT_DATABASE!C:C,MATCH(1,(AGENT_DATABASE!B2:B5000="Agent 5")*1,0)+10),"")</f>
        <v/>
      </c>
      <c r="D34" s="89" t="str">
        <f>IFERROR(INDEX(AGENT_DATABASE!D:D,MATCH(1,(AGENT_DATABASE!B2:B5000="Agent 5")*1,0)+10),"")</f>
        <v/>
      </c>
      <c r="E34" s="89" t="str">
        <f>IFERROR(INDEX(AGENT_DATABASE!F:F,MATCH(1,(AGENT_DATABASE!B2:B5000="Agent 5")*1,0)+10),"")</f>
        <v/>
      </c>
      <c r="F34" s="90" t="str">
        <f>IFERROR(INDEX(AGENT_DATABASE!G:G,MATCH(1,(AGENT_DATABASE!B2:B5000="Agent 5")*1,0)+10),"")</f>
        <v/>
      </c>
      <c r="G34" s="91" t="str">
        <f>IFERROR(INDEX(AGENT_DATABASE!H:H,MATCH(1,(AGENT_DATABASE!B2:B5000="Agent 5")*1,0)+10),"")</f>
        <v/>
      </c>
      <c r="H34" s="90" t="str">
        <f>IFERROR(INDEX(AGENT_DATABASE!I:I,MATCH(1,(AGENT_DATABASE!B2:B5000="Agent 5")*1,0)+10),"")</f>
        <v/>
      </c>
      <c r="I34" s="87" t="str">
        <f>IFERROR(INDEX(AGENT_DATABASE!J:J,MATCH(1,(AGENT_DATABASE!B2:B5000="Agent 5")*1,0)+10),"")</f>
        <v/>
      </c>
      <c r="J34" s="87" t="str">
        <f>IFERROR(INDEX(AGENT_DATABASE!L:L,MATCH(1,(AGENT_DATABASE!B2:B5000="Agent 5")*1,0)+10),"")</f>
        <v/>
      </c>
      <c r="K34" s="87" t="str">
        <f>IFERROR(INDEX(AGENT_DATABASE!M:M,MATCH(1,(AGENT_DATABASE!B2:B5000="Agent 5")*1,0)+10),"")</f>
        <v/>
      </c>
      <c r="L34" s="89" t="str">
        <f>IFERROR(INDEX(AGENT_DATABASE!K:K,MATCH(1,(AGENT_DATABASE!B2:B5000="Agent 5")*1,0)+10),"")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5")*1,0)+11),"")</f>
        <v/>
      </c>
      <c r="C35" s="94" t="str">
        <f>IFERROR(INDEX(AGENT_DATABASE!C:C,MATCH(1,(AGENT_DATABASE!B2:B5000="Agent 5")*1,0)+11),"")</f>
        <v/>
      </c>
      <c r="D35" s="94" t="str">
        <f>IFERROR(INDEX(AGENT_DATABASE!D:D,MATCH(1,(AGENT_DATABASE!B2:B5000="Agent 5")*1,0)+11),"")</f>
        <v/>
      </c>
      <c r="E35" s="94" t="str">
        <f>IFERROR(INDEX(AGENT_DATABASE!F:F,MATCH(1,(AGENT_DATABASE!B2:B5000="Agent 5")*1,0)+11),"")</f>
        <v/>
      </c>
      <c r="F35" s="95" t="str">
        <f>IFERROR(INDEX(AGENT_DATABASE!G:G,MATCH(1,(AGENT_DATABASE!B2:B5000="Agent 5")*1,0)+11),"")</f>
        <v/>
      </c>
      <c r="G35" s="96" t="str">
        <f>IFERROR(INDEX(AGENT_DATABASE!H:H,MATCH(1,(AGENT_DATABASE!B2:B5000="Agent 5")*1,0)+11),"")</f>
        <v/>
      </c>
      <c r="H35" s="95" t="str">
        <f>IFERROR(INDEX(AGENT_DATABASE!I:I,MATCH(1,(AGENT_DATABASE!B2:B5000="Agent 5")*1,0)+11),"")</f>
        <v/>
      </c>
      <c r="I35" s="92" t="str">
        <f>IFERROR(INDEX(AGENT_DATABASE!J:J,MATCH(1,(AGENT_DATABASE!B2:B5000="Agent 5")*1,0)+11),"")</f>
        <v/>
      </c>
      <c r="J35" s="92" t="str">
        <f>IFERROR(INDEX(AGENT_DATABASE!L:L,MATCH(1,(AGENT_DATABASE!B2:B5000="Agent 5")*1,0)+11),"")</f>
        <v/>
      </c>
      <c r="K35" s="92" t="str">
        <f>IFERROR(INDEX(AGENT_DATABASE!M:M,MATCH(1,(AGENT_DATABASE!B2:B5000="Agent 5")*1,0)+11),"")</f>
        <v/>
      </c>
      <c r="L35" s="94" t="str">
        <f>IFERROR(INDEX(AGENT_DATABASE!K:K,MATCH(1,(AGENT_DATABASE!B2:B5000="Agent 5")*1,0)+11),"")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5")*1,0)+12),"")</f>
        <v/>
      </c>
      <c r="C36" s="89" t="str">
        <f>IFERROR(INDEX(AGENT_DATABASE!C:C,MATCH(1,(AGENT_DATABASE!B2:B5000="Agent 5")*1,0)+12),"")</f>
        <v/>
      </c>
      <c r="D36" s="89" t="str">
        <f>IFERROR(INDEX(AGENT_DATABASE!D:D,MATCH(1,(AGENT_DATABASE!B2:B5000="Agent 5")*1,0)+12),"")</f>
        <v/>
      </c>
      <c r="E36" s="89" t="str">
        <f>IFERROR(INDEX(AGENT_DATABASE!F:F,MATCH(1,(AGENT_DATABASE!B2:B5000="Agent 5")*1,0)+12),"")</f>
        <v/>
      </c>
      <c r="F36" s="90" t="str">
        <f>IFERROR(INDEX(AGENT_DATABASE!G:G,MATCH(1,(AGENT_DATABASE!B2:B5000="Agent 5")*1,0)+12),"")</f>
        <v/>
      </c>
      <c r="G36" s="91" t="str">
        <f>IFERROR(INDEX(AGENT_DATABASE!H:H,MATCH(1,(AGENT_DATABASE!B2:B5000="Agent 5")*1,0)+12),"")</f>
        <v/>
      </c>
      <c r="H36" s="90" t="str">
        <f>IFERROR(INDEX(AGENT_DATABASE!I:I,MATCH(1,(AGENT_DATABASE!B2:B5000="Agent 5")*1,0)+12),"")</f>
        <v/>
      </c>
      <c r="I36" s="87" t="str">
        <f>IFERROR(INDEX(AGENT_DATABASE!J:J,MATCH(1,(AGENT_DATABASE!B2:B5000="Agent 5")*1,0)+12),"")</f>
        <v/>
      </c>
      <c r="J36" s="87" t="str">
        <f>IFERROR(INDEX(AGENT_DATABASE!L:L,MATCH(1,(AGENT_DATABASE!B2:B5000="Agent 5")*1,0)+12),"")</f>
        <v/>
      </c>
      <c r="K36" s="87" t="str">
        <f>IFERROR(INDEX(AGENT_DATABASE!M:M,MATCH(1,(AGENT_DATABASE!B2:B5000="Agent 5")*1,0)+12),"")</f>
        <v/>
      </c>
      <c r="L36" s="89" t="str">
        <f>IFERROR(INDEX(AGENT_DATABASE!K:K,MATCH(1,(AGENT_DATABASE!B2:B5000="Agent 5")*1,0)+12),"")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5")*1,0)+13),"")</f>
        <v/>
      </c>
      <c r="C37" s="94" t="str">
        <f>IFERROR(INDEX(AGENT_DATABASE!C:C,MATCH(1,(AGENT_DATABASE!B2:B5000="Agent 5")*1,0)+13),"")</f>
        <v/>
      </c>
      <c r="D37" s="94" t="str">
        <f>IFERROR(INDEX(AGENT_DATABASE!D:D,MATCH(1,(AGENT_DATABASE!B2:B5000="Agent 5")*1,0)+13),"")</f>
        <v/>
      </c>
      <c r="E37" s="94" t="str">
        <f>IFERROR(INDEX(AGENT_DATABASE!F:F,MATCH(1,(AGENT_DATABASE!B2:B5000="Agent 5")*1,0)+13),"")</f>
        <v/>
      </c>
      <c r="F37" s="95" t="str">
        <f>IFERROR(INDEX(AGENT_DATABASE!G:G,MATCH(1,(AGENT_DATABASE!B2:B5000="Agent 5")*1,0)+13),"")</f>
        <v/>
      </c>
      <c r="G37" s="96" t="str">
        <f>IFERROR(INDEX(AGENT_DATABASE!H:H,MATCH(1,(AGENT_DATABASE!B2:B5000="Agent 5")*1,0)+13),"")</f>
        <v/>
      </c>
      <c r="H37" s="95" t="str">
        <f>IFERROR(INDEX(AGENT_DATABASE!I:I,MATCH(1,(AGENT_DATABASE!B2:B5000="Agent 5")*1,0)+13),"")</f>
        <v/>
      </c>
      <c r="I37" s="92" t="str">
        <f>IFERROR(INDEX(AGENT_DATABASE!J:J,MATCH(1,(AGENT_DATABASE!B2:B5000="Agent 5")*1,0)+13),"")</f>
        <v/>
      </c>
      <c r="J37" s="92" t="str">
        <f>IFERROR(INDEX(AGENT_DATABASE!L:L,MATCH(1,(AGENT_DATABASE!B2:B5000="Agent 5")*1,0)+13),"")</f>
        <v/>
      </c>
      <c r="K37" s="92" t="str">
        <f>IFERROR(INDEX(AGENT_DATABASE!M:M,MATCH(1,(AGENT_DATABASE!B2:B5000="Agent 5")*1,0)+13),"")</f>
        <v/>
      </c>
      <c r="L37" s="94" t="str">
        <f>IFERROR(INDEX(AGENT_DATABASE!K:K,MATCH(1,(AGENT_DATABASE!B2:B5000="Agent 5")*1,0)+13),"")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5")*1,0)+14),"")</f>
        <v/>
      </c>
      <c r="C38" s="89" t="str">
        <f>IFERROR(INDEX(AGENT_DATABASE!C:C,MATCH(1,(AGENT_DATABASE!B2:B5000="Agent 5")*1,0)+14),"")</f>
        <v/>
      </c>
      <c r="D38" s="89" t="str">
        <f>IFERROR(INDEX(AGENT_DATABASE!D:D,MATCH(1,(AGENT_DATABASE!B2:B5000="Agent 5")*1,0)+14),"")</f>
        <v/>
      </c>
      <c r="E38" s="89" t="str">
        <f>IFERROR(INDEX(AGENT_DATABASE!F:F,MATCH(1,(AGENT_DATABASE!B2:B5000="Agent 5")*1,0)+14),"")</f>
        <v/>
      </c>
      <c r="F38" s="90" t="str">
        <f>IFERROR(INDEX(AGENT_DATABASE!G:G,MATCH(1,(AGENT_DATABASE!B2:B5000="Agent 5")*1,0)+14),"")</f>
        <v/>
      </c>
      <c r="G38" s="91" t="str">
        <f>IFERROR(INDEX(AGENT_DATABASE!H:H,MATCH(1,(AGENT_DATABASE!B2:B5000="Agent 5")*1,0)+14),"")</f>
        <v/>
      </c>
      <c r="H38" s="90" t="str">
        <f>IFERROR(INDEX(AGENT_DATABASE!I:I,MATCH(1,(AGENT_DATABASE!B2:B5000="Agent 5")*1,0)+14),"")</f>
        <v/>
      </c>
      <c r="I38" s="87" t="str">
        <f>IFERROR(INDEX(AGENT_DATABASE!J:J,MATCH(1,(AGENT_DATABASE!B2:B5000="Agent 5")*1,0)+14),"")</f>
        <v/>
      </c>
      <c r="J38" s="87" t="str">
        <f>IFERROR(INDEX(AGENT_DATABASE!L:L,MATCH(1,(AGENT_DATABASE!B2:B5000="Agent 5")*1,0)+14),"")</f>
        <v/>
      </c>
      <c r="K38" s="87" t="str">
        <f>IFERROR(INDEX(AGENT_DATABASE!M:M,MATCH(1,(AGENT_DATABASE!B2:B5000="Agent 5")*1,0)+14),"")</f>
        <v/>
      </c>
      <c r="L38" s="89" t="str">
        <f>IFERROR(INDEX(AGENT_DATABASE!K:K,MATCH(1,(AGENT_DATABASE!B2:B5000="Agent 5")*1,0)+14),"")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5")*1,0)+15),"")</f>
        <v/>
      </c>
      <c r="C39" s="94" t="str">
        <f>IFERROR(INDEX(AGENT_DATABASE!C:C,MATCH(1,(AGENT_DATABASE!B2:B5000="Agent 5")*1,0)+15),"")</f>
        <v/>
      </c>
      <c r="D39" s="94" t="str">
        <f>IFERROR(INDEX(AGENT_DATABASE!D:D,MATCH(1,(AGENT_DATABASE!B2:B5000="Agent 5")*1,0)+15),"")</f>
        <v/>
      </c>
      <c r="E39" s="94" t="str">
        <f>IFERROR(INDEX(AGENT_DATABASE!F:F,MATCH(1,(AGENT_DATABASE!B2:B5000="Agent 5")*1,0)+15),"")</f>
        <v/>
      </c>
      <c r="F39" s="95" t="str">
        <f>IFERROR(INDEX(AGENT_DATABASE!G:G,MATCH(1,(AGENT_DATABASE!B2:B5000="Agent 5")*1,0)+15),"")</f>
        <v/>
      </c>
      <c r="G39" s="96" t="str">
        <f>IFERROR(INDEX(AGENT_DATABASE!H:H,MATCH(1,(AGENT_DATABASE!B2:B5000="Agent 5")*1,0)+15),"")</f>
        <v/>
      </c>
      <c r="H39" s="95" t="str">
        <f>IFERROR(INDEX(AGENT_DATABASE!I:I,MATCH(1,(AGENT_DATABASE!B2:B5000="Agent 5")*1,0)+15),"")</f>
        <v/>
      </c>
      <c r="I39" s="92" t="str">
        <f>IFERROR(INDEX(AGENT_DATABASE!J:J,MATCH(1,(AGENT_DATABASE!B2:B5000="Agent 5")*1,0)+15),"")</f>
        <v/>
      </c>
      <c r="J39" s="92" t="str">
        <f>IFERROR(INDEX(AGENT_DATABASE!L:L,MATCH(1,(AGENT_DATABASE!B2:B5000="Agent 5")*1,0)+15),"")</f>
        <v/>
      </c>
      <c r="K39" s="92" t="str">
        <f>IFERROR(INDEX(AGENT_DATABASE!M:M,MATCH(1,(AGENT_DATABASE!B2:B5000="Agent 5")*1,0)+15),"")</f>
        <v/>
      </c>
      <c r="L39" s="94" t="str">
        <f>IFERROR(INDEX(AGENT_DATABASE!K:K,MATCH(1,(AGENT_DATABASE!B2:B5000="Agent 5")*1,0)+15),"")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5")*1,0)+16),"")</f>
        <v/>
      </c>
      <c r="C40" s="89" t="str">
        <f>IFERROR(INDEX(AGENT_DATABASE!C:C,MATCH(1,(AGENT_DATABASE!B2:B5000="Agent 5")*1,0)+16),"")</f>
        <v/>
      </c>
      <c r="D40" s="89" t="str">
        <f>IFERROR(INDEX(AGENT_DATABASE!D:D,MATCH(1,(AGENT_DATABASE!B2:B5000="Agent 5")*1,0)+16),"")</f>
        <v/>
      </c>
      <c r="E40" s="89" t="str">
        <f>IFERROR(INDEX(AGENT_DATABASE!F:F,MATCH(1,(AGENT_DATABASE!B2:B5000="Agent 5")*1,0)+16),"")</f>
        <v/>
      </c>
      <c r="F40" s="90" t="str">
        <f>IFERROR(INDEX(AGENT_DATABASE!G:G,MATCH(1,(AGENT_DATABASE!B2:B5000="Agent 5")*1,0)+16),"")</f>
        <v/>
      </c>
      <c r="G40" s="91" t="str">
        <f>IFERROR(INDEX(AGENT_DATABASE!H:H,MATCH(1,(AGENT_DATABASE!B2:B5000="Agent 5")*1,0)+16),"")</f>
        <v/>
      </c>
      <c r="H40" s="90" t="str">
        <f>IFERROR(INDEX(AGENT_DATABASE!I:I,MATCH(1,(AGENT_DATABASE!B2:B5000="Agent 5")*1,0)+16),"")</f>
        <v/>
      </c>
      <c r="I40" s="87" t="str">
        <f>IFERROR(INDEX(AGENT_DATABASE!J:J,MATCH(1,(AGENT_DATABASE!B2:B5000="Agent 5")*1,0)+16),"")</f>
        <v/>
      </c>
      <c r="J40" s="87" t="str">
        <f>IFERROR(INDEX(AGENT_DATABASE!L:L,MATCH(1,(AGENT_DATABASE!B2:B5000="Agent 5")*1,0)+16),"")</f>
        <v/>
      </c>
      <c r="K40" s="87" t="str">
        <f>IFERROR(INDEX(AGENT_DATABASE!M:M,MATCH(1,(AGENT_DATABASE!B2:B5000="Agent 5")*1,0)+16),"")</f>
        <v/>
      </c>
      <c r="L40" s="89" t="str">
        <f>IFERROR(INDEX(AGENT_DATABASE!K:K,MATCH(1,(AGENT_DATABASE!B2:B5000="Agent 5")*1,0)+16),"")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5")*1,0)+17),"")</f>
        <v/>
      </c>
      <c r="C41" s="94" t="str">
        <f>IFERROR(INDEX(AGENT_DATABASE!C:C,MATCH(1,(AGENT_DATABASE!B2:B5000="Agent 5")*1,0)+17),"")</f>
        <v/>
      </c>
      <c r="D41" s="94" t="str">
        <f>IFERROR(INDEX(AGENT_DATABASE!D:D,MATCH(1,(AGENT_DATABASE!B2:B5000="Agent 5")*1,0)+17),"")</f>
        <v/>
      </c>
      <c r="E41" s="94" t="str">
        <f>IFERROR(INDEX(AGENT_DATABASE!F:F,MATCH(1,(AGENT_DATABASE!B2:B5000="Agent 5")*1,0)+17),"")</f>
        <v/>
      </c>
      <c r="F41" s="95" t="str">
        <f>IFERROR(INDEX(AGENT_DATABASE!G:G,MATCH(1,(AGENT_DATABASE!B2:B5000="Agent 5")*1,0)+17),"")</f>
        <v/>
      </c>
      <c r="G41" s="96" t="str">
        <f>IFERROR(INDEX(AGENT_DATABASE!H:H,MATCH(1,(AGENT_DATABASE!B2:B5000="Agent 5")*1,0)+17),"")</f>
        <v/>
      </c>
      <c r="H41" s="95" t="str">
        <f>IFERROR(INDEX(AGENT_DATABASE!I:I,MATCH(1,(AGENT_DATABASE!B2:B5000="Agent 5")*1,0)+17),"")</f>
        <v/>
      </c>
      <c r="I41" s="92" t="str">
        <f>IFERROR(INDEX(AGENT_DATABASE!J:J,MATCH(1,(AGENT_DATABASE!B2:B5000="Agent 5")*1,0)+17),"")</f>
        <v/>
      </c>
      <c r="J41" s="92" t="str">
        <f>IFERROR(INDEX(AGENT_DATABASE!L:L,MATCH(1,(AGENT_DATABASE!B2:B5000="Agent 5")*1,0)+17),"")</f>
        <v/>
      </c>
      <c r="K41" s="92" t="str">
        <f>IFERROR(INDEX(AGENT_DATABASE!M:M,MATCH(1,(AGENT_DATABASE!B2:B5000="Agent 5")*1,0)+17),"")</f>
        <v/>
      </c>
      <c r="L41" s="94" t="str">
        <f>IFERROR(INDEX(AGENT_DATABASE!K:K,MATCH(1,(AGENT_DATABASE!B2:B5000="Agent 5")*1,0)+17),"")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5")*1,0)+18),"")</f>
        <v/>
      </c>
      <c r="C42" s="89" t="str">
        <f>IFERROR(INDEX(AGENT_DATABASE!C:C,MATCH(1,(AGENT_DATABASE!B2:B5000="Agent 5")*1,0)+18),"")</f>
        <v/>
      </c>
      <c r="D42" s="89" t="str">
        <f>IFERROR(INDEX(AGENT_DATABASE!D:D,MATCH(1,(AGENT_DATABASE!B2:B5000="Agent 5")*1,0)+18),"")</f>
        <v/>
      </c>
      <c r="E42" s="89" t="str">
        <f>IFERROR(INDEX(AGENT_DATABASE!F:F,MATCH(1,(AGENT_DATABASE!B2:B5000="Agent 5")*1,0)+18),"")</f>
        <v/>
      </c>
      <c r="F42" s="90" t="str">
        <f>IFERROR(INDEX(AGENT_DATABASE!G:G,MATCH(1,(AGENT_DATABASE!B2:B5000="Agent 5")*1,0)+18),"")</f>
        <v/>
      </c>
      <c r="G42" s="91" t="str">
        <f>IFERROR(INDEX(AGENT_DATABASE!H:H,MATCH(1,(AGENT_DATABASE!B2:B5000="Agent 5")*1,0)+18),"")</f>
        <v/>
      </c>
      <c r="H42" s="90" t="str">
        <f>IFERROR(INDEX(AGENT_DATABASE!I:I,MATCH(1,(AGENT_DATABASE!B2:B5000="Agent 5")*1,0)+18),"")</f>
        <v/>
      </c>
      <c r="I42" s="87" t="str">
        <f>IFERROR(INDEX(AGENT_DATABASE!J:J,MATCH(1,(AGENT_DATABASE!B2:B5000="Agent 5")*1,0)+18),"")</f>
        <v/>
      </c>
      <c r="J42" s="87" t="str">
        <f>IFERROR(INDEX(AGENT_DATABASE!L:L,MATCH(1,(AGENT_DATABASE!B2:B5000="Agent 5")*1,0)+18),"")</f>
        <v/>
      </c>
      <c r="K42" s="87" t="str">
        <f>IFERROR(INDEX(AGENT_DATABASE!M:M,MATCH(1,(AGENT_DATABASE!B2:B5000="Agent 5")*1,0)+18),"")</f>
        <v/>
      </c>
      <c r="L42" s="89" t="str">
        <f>IFERROR(INDEX(AGENT_DATABASE!K:K,MATCH(1,(AGENT_DATABASE!B2:B5000="Agent 5")*1,0)+18),"")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5")*1,0)+19),"")</f>
        <v/>
      </c>
      <c r="C43" s="94" t="str">
        <f>IFERROR(INDEX(AGENT_DATABASE!C:C,MATCH(1,(AGENT_DATABASE!B2:B5000="Agent 5")*1,0)+19),"")</f>
        <v/>
      </c>
      <c r="D43" s="94" t="str">
        <f>IFERROR(INDEX(AGENT_DATABASE!D:D,MATCH(1,(AGENT_DATABASE!B2:B5000="Agent 5")*1,0)+19),"")</f>
        <v/>
      </c>
      <c r="E43" s="94" t="str">
        <f>IFERROR(INDEX(AGENT_DATABASE!F:F,MATCH(1,(AGENT_DATABASE!B2:B5000="Agent 5")*1,0)+19),"")</f>
        <v/>
      </c>
      <c r="F43" s="95" t="str">
        <f>IFERROR(INDEX(AGENT_DATABASE!G:G,MATCH(1,(AGENT_DATABASE!B2:B5000="Agent 5")*1,0)+19),"")</f>
        <v/>
      </c>
      <c r="G43" s="96" t="str">
        <f>IFERROR(INDEX(AGENT_DATABASE!H:H,MATCH(1,(AGENT_DATABASE!B2:B5000="Agent 5")*1,0)+19),"")</f>
        <v/>
      </c>
      <c r="H43" s="95" t="str">
        <f>IFERROR(INDEX(AGENT_DATABASE!I:I,MATCH(1,(AGENT_DATABASE!B2:B5000="Agent 5")*1,0)+19),"")</f>
        <v/>
      </c>
      <c r="I43" s="92" t="str">
        <f>IFERROR(INDEX(AGENT_DATABASE!J:J,MATCH(1,(AGENT_DATABASE!B2:B5000="Agent 5")*1,0)+19),"")</f>
        <v/>
      </c>
      <c r="J43" s="92" t="str">
        <f>IFERROR(INDEX(AGENT_DATABASE!L:L,MATCH(1,(AGENT_DATABASE!B2:B5000="Agent 5")*1,0)+19),"")</f>
        <v/>
      </c>
      <c r="K43" s="92" t="str">
        <f>IFERROR(INDEX(AGENT_DATABASE!M:M,MATCH(1,(AGENT_DATABASE!B2:B5000="Agent 5")*1,0)+19),"")</f>
        <v/>
      </c>
      <c r="L43" s="94" t="str">
        <f>IFERROR(INDEX(AGENT_DATABASE!K:K,MATCH(1,(AGENT_DATABASE!B2:B5000="Agent 5")*1,0)+19),"")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5")*1,0)+20),"")</f>
        <v/>
      </c>
      <c r="C44" s="89" t="str">
        <f>IFERROR(INDEX(AGENT_DATABASE!C:C,MATCH(1,(AGENT_DATABASE!B2:B5000="Agent 5")*1,0)+20),"")</f>
        <v/>
      </c>
      <c r="D44" s="89" t="str">
        <f>IFERROR(INDEX(AGENT_DATABASE!D:D,MATCH(1,(AGENT_DATABASE!B2:B5000="Agent 5")*1,0)+20),"")</f>
        <v/>
      </c>
      <c r="E44" s="89" t="str">
        <f>IFERROR(INDEX(AGENT_DATABASE!F:F,MATCH(1,(AGENT_DATABASE!B2:B5000="Agent 5")*1,0)+20),"")</f>
        <v/>
      </c>
      <c r="F44" s="90" t="str">
        <f>IFERROR(INDEX(AGENT_DATABASE!G:G,MATCH(1,(AGENT_DATABASE!B2:B5000="Agent 5")*1,0)+20),"")</f>
        <v/>
      </c>
      <c r="G44" s="91" t="str">
        <f>IFERROR(INDEX(AGENT_DATABASE!H:H,MATCH(1,(AGENT_DATABASE!B2:B5000="Agent 5")*1,0)+20),"")</f>
        <v/>
      </c>
      <c r="H44" s="90" t="str">
        <f>IFERROR(INDEX(AGENT_DATABASE!I:I,MATCH(1,(AGENT_DATABASE!B2:B5000="Agent 5")*1,0)+20),"")</f>
        <v/>
      </c>
      <c r="I44" s="87" t="str">
        <f>IFERROR(INDEX(AGENT_DATABASE!J:J,MATCH(1,(AGENT_DATABASE!B2:B5000="Agent 5")*1,0)+20),"")</f>
        <v/>
      </c>
      <c r="J44" s="87" t="str">
        <f>IFERROR(INDEX(AGENT_DATABASE!L:L,MATCH(1,(AGENT_DATABASE!B2:B5000="Agent 5")*1,0)+20),"")</f>
        <v/>
      </c>
      <c r="K44" s="87" t="str">
        <f>IFERROR(INDEX(AGENT_DATABASE!M:M,MATCH(1,(AGENT_DATABASE!B2:B5000="Agent 5")*1,0)+20),"")</f>
        <v/>
      </c>
      <c r="L44" s="89" t="str">
        <f>IFERROR(INDEX(AGENT_DATABASE!K:K,MATCH(1,(AGENT_DATABASE!B2:B5000="Agent 5")*1,0)+20),"")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5")*1,0)+21),"")</f>
        <v/>
      </c>
      <c r="C45" s="94" t="str">
        <f>IFERROR(INDEX(AGENT_DATABASE!C:C,MATCH(1,(AGENT_DATABASE!B2:B5000="Agent 5")*1,0)+21),"")</f>
        <v/>
      </c>
      <c r="D45" s="94" t="str">
        <f>IFERROR(INDEX(AGENT_DATABASE!D:D,MATCH(1,(AGENT_DATABASE!B2:B5000="Agent 5")*1,0)+21),"")</f>
        <v/>
      </c>
      <c r="E45" s="94" t="str">
        <f>IFERROR(INDEX(AGENT_DATABASE!F:F,MATCH(1,(AGENT_DATABASE!B2:B5000="Agent 5")*1,0)+21),"")</f>
        <v/>
      </c>
      <c r="F45" s="95" t="str">
        <f>IFERROR(INDEX(AGENT_DATABASE!G:G,MATCH(1,(AGENT_DATABASE!B2:B5000="Agent 5")*1,0)+21),"")</f>
        <v/>
      </c>
      <c r="G45" s="96" t="str">
        <f>IFERROR(INDEX(AGENT_DATABASE!H:H,MATCH(1,(AGENT_DATABASE!B2:B5000="Agent 5")*1,0)+21),"")</f>
        <v/>
      </c>
      <c r="H45" s="95" t="str">
        <f>IFERROR(INDEX(AGENT_DATABASE!I:I,MATCH(1,(AGENT_DATABASE!B2:B5000="Agent 5")*1,0)+21),"")</f>
        <v/>
      </c>
      <c r="I45" s="92" t="str">
        <f>IFERROR(INDEX(AGENT_DATABASE!J:J,MATCH(1,(AGENT_DATABASE!B2:B5000="Agent 5")*1,0)+21),"")</f>
        <v/>
      </c>
      <c r="J45" s="92" t="str">
        <f>IFERROR(INDEX(AGENT_DATABASE!L:L,MATCH(1,(AGENT_DATABASE!B2:B5000="Agent 5")*1,0)+21),"")</f>
        <v/>
      </c>
      <c r="K45" s="92" t="str">
        <f>IFERROR(INDEX(AGENT_DATABASE!M:M,MATCH(1,(AGENT_DATABASE!B2:B5000="Agent 5")*1,0)+21),"")</f>
        <v/>
      </c>
      <c r="L45" s="94" t="str">
        <f>IFERROR(INDEX(AGENT_DATABASE!K:K,MATCH(1,(AGENT_DATABASE!B2:B5000="Agent 5")*1,0)+21),"")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5")*1,0)+22),"")</f>
        <v/>
      </c>
      <c r="C46" s="89" t="str">
        <f>IFERROR(INDEX(AGENT_DATABASE!C:C,MATCH(1,(AGENT_DATABASE!B2:B5000="Agent 5")*1,0)+22),"")</f>
        <v/>
      </c>
      <c r="D46" s="89" t="str">
        <f>IFERROR(INDEX(AGENT_DATABASE!D:D,MATCH(1,(AGENT_DATABASE!B2:B5000="Agent 5")*1,0)+22),"")</f>
        <v/>
      </c>
      <c r="E46" s="89" t="str">
        <f>IFERROR(INDEX(AGENT_DATABASE!F:F,MATCH(1,(AGENT_DATABASE!B2:B5000="Agent 5")*1,0)+22),"")</f>
        <v/>
      </c>
      <c r="F46" s="90" t="str">
        <f>IFERROR(INDEX(AGENT_DATABASE!G:G,MATCH(1,(AGENT_DATABASE!B2:B5000="Agent 5")*1,0)+22),"")</f>
        <v/>
      </c>
      <c r="G46" s="91" t="str">
        <f>IFERROR(INDEX(AGENT_DATABASE!H:H,MATCH(1,(AGENT_DATABASE!B2:B5000="Agent 5")*1,0)+22),"")</f>
        <v/>
      </c>
      <c r="H46" s="90" t="str">
        <f>IFERROR(INDEX(AGENT_DATABASE!I:I,MATCH(1,(AGENT_DATABASE!B2:B5000="Agent 5")*1,0)+22),"")</f>
        <v/>
      </c>
      <c r="I46" s="87" t="str">
        <f>IFERROR(INDEX(AGENT_DATABASE!J:J,MATCH(1,(AGENT_DATABASE!B2:B5000="Agent 5")*1,0)+22),"")</f>
        <v/>
      </c>
      <c r="J46" s="87" t="str">
        <f>IFERROR(INDEX(AGENT_DATABASE!L:L,MATCH(1,(AGENT_DATABASE!B2:B5000="Agent 5")*1,0)+22),"")</f>
        <v/>
      </c>
      <c r="K46" s="87" t="str">
        <f>IFERROR(INDEX(AGENT_DATABASE!M:M,MATCH(1,(AGENT_DATABASE!B2:B5000="Agent 5")*1,0)+22),"")</f>
        <v/>
      </c>
      <c r="L46" s="89" t="str">
        <f>IFERROR(INDEX(AGENT_DATABASE!K:K,MATCH(1,(AGENT_DATABASE!B2:B5000="Agent 5")*1,0)+22),"")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5")*1,0)+23),"")</f>
        <v/>
      </c>
      <c r="C47" s="94" t="str">
        <f>IFERROR(INDEX(AGENT_DATABASE!C:C,MATCH(1,(AGENT_DATABASE!B2:B5000="Agent 5")*1,0)+23),"")</f>
        <v/>
      </c>
      <c r="D47" s="94" t="str">
        <f>IFERROR(INDEX(AGENT_DATABASE!D:D,MATCH(1,(AGENT_DATABASE!B2:B5000="Agent 5")*1,0)+23),"")</f>
        <v/>
      </c>
      <c r="E47" s="94" t="str">
        <f>IFERROR(INDEX(AGENT_DATABASE!F:F,MATCH(1,(AGENT_DATABASE!B2:B5000="Agent 5")*1,0)+23),"")</f>
        <v/>
      </c>
      <c r="F47" s="95" t="str">
        <f>IFERROR(INDEX(AGENT_DATABASE!G:G,MATCH(1,(AGENT_DATABASE!B2:B5000="Agent 5")*1,0)+23),"")</f>
        <v/>
      </c>
      <c r="G47" s="96" t="str">
        <f>IFERROR(INDEX(AGENT_DATABASE!H:H,MATCH(1,(AGENT_DATABASE!B2:B5000="Agent 5")*1,0)+23),"")</f>
        <v/>
      </c>
      <c r="H47" s="95" t="str">
        <f>IFERROR(INDEX(AGENT_DATABASE!I:I,MATCH(1,(AGENT_DATABASE!B2:B5000="Agent 5")*1,0)+23),"")</f>
        <v/>
      </c>
      <c r="I47" s="92" t="str">
        <f>IFERROR(INDEX(AGENT_DATABASE!J:J,MATCH(1,(AGENT_DATABASE!B2:B5000="Agent 5")*1,0)+23),"")</f>
        <v/>
      </c>
      <c r="J47" s="92" t="str">
        <f>IFERROR(INDEX(AGENT_DATABASE!L:L,MATCH(1,(AGENT_DATABASE!B2:B5000="Agent 5")*1,0)+23),"")</f>
        <v/>
      </c>
      <c r="K47" s="92" t="str">
        <f>IFERROR(INDEX(AGENT_DATABASE!M:M,MATCH(1,(AGENT_DATABASE!B2:B5000="Agent 5")*1,0)+23),"")</f>
        <v/>
      </c>
      <c r="L47" s="94" t="str">
        <f>IFERROR(INDEX(AGENT_DATABASE!K:K,MATCH(1,(AGENT_DATABASE!B2:B5000="Agent 5")*1,0)+23),"")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5")*1,0)+24),"")</f>
        <v/>
      </c>
      <c r="C48" s="89" t="str">
        <f>IFERROR(INDEX(AGENT_DATABASE!C:C,MATCH(1,(AGENT_DATABASE!B2:B5000="Agent 5")*1,0)+24),"")</f>
        <v/>
      </c>
      <c r="D48" s="89" t="str">
        <f>IFERROR(INDEX(AGENT_DATABASE!D:D,MATCH(1,(AGENT_DATABASE!B2:B5000="Agent 5")*1,0)+24),"")</f>
        <v/>
      </c>
      <c r="E48" s="89" t="str">
        <f>IFERROR(INDEX(AGENT_DATABASE!F:F,MATCH(1,(AGENT_DATABASE!B2:B5000="Agent 5")*1,0)+24),"")</f>
        <v/>
      </c>
      <c r="F48" s="90" t="str">
        <f>IFERROR(INDEX(AGENT_DATABASE!G:G,MATCH(1,(AGENT_DATABASE!B2:B5000="Agent 5")*1,0)+24),"")</f>
        <v/>
      </c>
      <c r="G48" s="91" t="str">
        <f>IFERROR(INDEX(AGENT_DATABASE!H:H,MATCH(1,(AGENT_DATABASE!B2:B5000="Agent 5")*1,0)+24),"")</f>
        <v/>
      </c>
      <c r="H48" s="90" t="str">
        <f>IFERROR(INDEX(AGENT_DATABASE!I:I,MATCH(1,(AGENT_DATABASE!B2:B5000="Agent 5")*1,0)+24),"")</f>
        <v/>
      </c>
      <c r="I48" s="87" t="str">
        <f>IFERROR(INDEX(AGENT_DATABASE!J:J,MATCH(1,(AGENT_DATABASE!B2:B5000="Agent 5")*1,0)+24),"")</f>
        <v/>
      </c>
      <c r="J48" s="87" t="str">
        <f>IFERROR(INDEX(AGENT_DATABASE!L:L,MATCH(1,(AGENT_DATABASE!B2:B5000="Agent 5")*1,0)+24),"")</f>
        <v/>
      </c>
      <c r="K48" s="87" t="str">
        <f>IFERROR(INDEX(AGENT_DATABASE!M:M,MATCH(1,(AGENT_DATABASE!B2:B5000="Agent 5")*1,0)+24),"")</f>
        <v/>
      </c>
      <c r="L48" s="89" t="str">
        <f>IFERROR(INDEX(AGENT_DATABASE!K:K,MATCH(1,(AGENT_DATABASE!B2:B5000="Agent 5")*1,0)+24),"")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5")*1,0)+25),"")</f>
        <v/>
      </c>
      <c r="C49" s="94" t="str">
        <f>IFERROR(INDEX(AGENT_DATABASE!C:C,MATCH(1,(AGENT_DATABASE!B2:B5000="Agent 5")*1,0)+25),"")</f>
        <v/>
      </c>
      <c r="D49" s="94" t="str">
        <f>IFERROR(INDEX(AGENT_DATABASE!D:D,MATCH(1,(AGENT_DATABASE!B2:B5000="Agent 5")*1,0)+25),"")</f>
        <v/>
      </c>
      <c r="E49" s="94" t="str">
        <f>IFERROR(INDEX(AGENT_DATABASE!F:F,MATCH(1,(AGENT_DATABASE!B2:B5000="Agent 5")*1,0)+25),"")</f>
        <v/>
      </c>
      <c r="F49" s="95" t="str">
        <f>IFERROR(INDEX(AGENT_DATABASE!G:G,MATCH(1,(AGENT_DATABASE!B2:B5000="Agent 5")*1,0)+25),"")</f>
        <v/>
      </c>
      <c r="G49" s="96" t="str">
        <f>IFERROR(INDEX(AGENT_DATABASE!H:H,MATCH(1,(AGENT_DATABASE!B2:B5000="Agent 5")*1,0)+25),"")</f>
        <v/>
      </c>
      <c r="H49" s="95" t="str">
        <f>IFERROR(INDEX(AGENT_DATABASE!I:I,MATCH(1,(AGENT_DATABASE!B2:B5000="Agent 5")*1,0)+25),"")</f>
        <v/>
      </c>
      <c r="I49" s="92" t="str">
        <f>IFERROR(INDEX(AGENT_DATABASE!J:J,MATCH(1,(AGENT_DATABASE!B2:B5000="Agent 5")*1,0)+25),"")</f>
        <v/>
      </c>
      <c r="J49" s="92" t="str">
        <f>IFERROR(INDEX(AGENT_DATABASE!L:L,MATCH(1,(AGENT_DATABASE!B2:B5000="Agent 5")*1,0)+25),"")</f>
        <v/>
      </c>
      <c r="K49" s="92" t="str">
        <f>IFERROR(INDEX(AGENT_DATABASE!M:M,MATCH(1,(AGENT_DATABASE!B2:B5000="Agent 5")*1,0)+25),"")</f>
        <v/>
      </c>
      <c r="L49" s="94" t="str">
        <f>IFERROR(INDEX(AGENT_DATABASE!K:K,MATCH(1,(AGENT_DATABASE!B2:B5000="Agent 5")*1,0)+25),"")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5")*1,0)+26),"")</f>
        <v/>
      </c>
      <c r="C50" s="89" t="str">
        <f>IFERROR(INDEX(AGENT_DATABASE!C:C,MATCH(1,(AGENT_DATABASE!B2:B5000="Agent 5")*1,0)+26),"")</f>
        <v/>
      </c>
      <c r="D50" s="89" t="str">
        <f>IFERROR(INDEX(AGENT_DATABASE!D:D,MATCH(1,(AGENT_DATABASE!B2:B5000="Agent 5")*1,0)+26),"")</f>
        <v/>
      </c>
      <c r="E50" s="89" t="str">
        <f>IFERROR(INDEX(AGENT_DATABASE!F:F,MATCH(1,(AGENT_DATABASE!B2:B5000="Agent 5")*1,0)+26),"")</f>
        <v/>
      </c>
      <c r="F50" s="90" t="str">
        <f>IFERROR(INDEX(AGENT_DATABASE!G:G,MATCH(1,(AGENT_DATABASE!B2:B5000="Agent 5")*1,0)+26),"")</f>
        <v/>
      </c>
      <c r="G50" s="91" t="str">
        <f>IFERROR(INDEX(AGENT_DATABASE!H:H,MATCH(1,(AGENT_DATABASE!B2:B5000="Agent 5")*1,0)+26),"")</f>
        <v/>
      </c>
      <c r="H50" s="90" t="str">
        <f>IFERROR(INDEX(AGENT_DATABASE!I:I,MATCH(1,(AGENT_DATABASE!B2:B5000="Agent 5")*1,0)+26),"")</f>
        <v/>
      </c>
      <c r="I50" s="87" t="str">
        <f>IFERROR(INDEX(AGENT_DATABASE!J:J,MATCH(1,(AGENT_DATABASE!B2:B5000="Agent 5")*1,0)+26),"")</f>
        <v/>
      </c>
      <c r="J50" s="87" t="str">
        <f>IFERROR(INDEX(AGENT_DATABASE!L:L,MATCH(1,(AGENT_DATABASE!B2:B5000="Agent 5")*1,0)+26),"")</f>
        <v/>
      </c>
      <c r="K50" s="87" t="str">
        <f>IFERROR(INDEX(AGENT_DATABASE!M:M,MATCH(1,(AGENT_DATABASE!B2:B5000="Agent 5")*1,0)+26),"")</f>
        <v/>
      </c>
      <c r="L50" s="89" t="str">
        <f>IFERROR(INDEX(AGENT_DATABASE!K:K,MATCH(1,(AGENT_DATABASE!B2:B5000="Agent 5")*1,0)+26),"")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5")*1,0)+27),"")</f>
        <v/>
      </c>
      <c r="C51" s="94" t="str">
        <f>IFERROR(INDEX(AGENT_DATABASE!C:C,MATCH(1,(AGENT_DATABASE!B2:B5000="Agent 5")*1,0)+27),"")</f>
        <v/>
      </c>
      <c r="D51" s="94" t="str">
        <f>IFERROR(INDEX(AGENT_DATABASE!D:D,MATCH(1,(AGENT_DATABASE!B2:B5000="Agent 5")*1,0)+27),"")</f>
        <v/>
      </c>
      <c r="E51" s="94" t="str">
        <f>IFERROR(INDEX(AGENT_DATABASE!F:F,MATCH(1,(AGENT_DATABASE!B2:B5000="Agent 5")*1,0)+27),"")</f>
        <v/>
      </c>
      <c r="F51" s="95" t="str">
        <f>IFERROR(INDEX(AGENT_DATABASE!G:G,MATCH(1,(AGENT_DATABASE!B2:B5000="Agent 5")*1,0)+27),"")</f>
        <v/>
      </c>
      <c r="G51" s="96" t="str">
        <f>IFERROR(INDEX(AGENT_DATABASE!H:H,MATCH(1,(AGENT_DATABASE!B2:B5000="Agent 5")*1,0)+27),"")</f>
        <v/>
      </c>
      <c r="H51" s="95" t="str">
        <f>IFERROR(INDEX(AGENT_DATABASE!I:I,MATCH(1,(AGENT_DATABASE!B2:B5000="Agent 5")*1,0)+27),"")</f>
        <v/>
      </c>
      <c r="I51" s="92" t="str">
        <f>IFERROR(INDEX(AGENT_DATABASE!J:J,MATCH(1,(AGENT_DATABASE!B2:B5000="Agent 5")*1,0)+27),"")</f>
        <v/>
      </c>
      <c r="J51" s="92" t="str">
        <f>IFERROR(INDEX(AGENT_DATABASE!L:L,MATCH(1,(AGENT_DATABASE!B2:B5000="Agent 5")*1,0)+27),"")</f>
        <v/>
      </c>
      <c r="K51" s="92" t="str">
        <f>IFERROR(INDEX(AGENT_DATABASE!M:M,MATCH(1,(AGENT_DATABASE!B2:B5000="Agent 5")*1,0)+27),"")</f>
        <v/>
      </c>
      <c r="L51" s="94" t="str">
        <f>IFERROR(INDEX(AGENT_DATABASE!K:K,MATCH(1,(AGENT_DATABASE!B2:B5000="Agent 5")*1,0)+27),"")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5")*1,0)+28),"")</f>
        <v/>
      </c>
      <c r="C52" s="89" t="str">
        <f>IFERROR(INDEX(AGENT_DATABASE!C:C,MATCH(1,(AGENT_DATABASE!B2:B5000="Agent 5")*1,0)+28),"")</f>
        <v/>
      </c>
      <c r="D52" s="89" t="str">
        <f>IFERROR(INDEX(AGENT_DATABASE!D:D,MATCH(1,(AGENT_DATABASE!B2:B5000="Agent 5")*1,0)+28),"")</f>
        <v/>
      </c>
      <c r="E52" s="89" t="str">
        <f>IFERROR(INDEX(AGENT_DATABASE!F:F,MATCH(1,(AGENT_DATABASE!B2:B5000="Agent 5")*1,0)+28),"")</f>
        <v/>
      </c>
      <c r="F52" s="90" t="str">
        <f>IFERROR(INDEX(AGENT_DATABASE!G:G,MATCH(1,(AGENT_DATABASE!B2:B5000="Agent 5")*1,0)+28),"")</f>
        <v/>
      </c>
      <c r="G52" s="91" t="str">
        <f>IFERROR(INDEX(AGENT_DATABASE!H:H,MATCH(1,(AGENT_DATABASE!B2:B5000="Agent 5")*1,0)+28),"")</f>
        <v/>
      </c>
      <c r="H52" s="90" t="str">
        <f>IFERROR(INDEX(AGENT_DATABASE!I:I,MATCH(1,(AGENT_DATABASE!B2:B5000="Agent 5")*1,0)+28),"")</f>
        <v/>
      </c>
      <c r="I52" s="87" t="str">
        <f>IFERROR(INDEX(AGENT_DATABASE!J:J,MATCH(1,(AGENT_DATABASE!B2:B5000="Agent 5")*1,0)+28),"")</f>
        <v/>
      </c>
      <c r="J52" s="87" t="str">
        <f>IFERROR(INDEX(AGENT_DATABASE!L:L,MATCH(1,(AGENT_DATABASE!B2:B5000="Agent 5")*1,0)+28),"")</f>
        <v/>
      </c>
      <c r="K52" s="87" t="str">
        <f>IFERROR(INDEX(AGENT_DATABASE!M:M,MATCH(1,(AGENT_DATABASE!B2:B5000="Agent 5")*1,0)+28),"")</f>
        <v/>
      </c>
      <c r="L52" s="89" t="str">
        <f>IFERROR(INDEX(AGENT_DATABASE!K:K,MATCH(1,(AGENT_DATABASE!B2:B5000="Agent 5")*1,0)+28),"")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5")*1,0)+29),"")</f>
        <v/>
      </c>
      <c r="C53" s="94" t="str">
        <f>IFERROR(INDEX(AGENT_DATABASE!C:C,MATCH(1,(AGENT_DATABASE!B2:B5000="Agent 5")*1,0)+29),"")</f>
        <v/>
      </c>
      <c r="D53" s="94" t="str">
        <f>IFERROR(INDEX(AGENT_DATABASE!D:D,MATCH(1,(AGENT_DATABASE!B2:B5000="Agent 5")*1,0)+29),"")</f>
        <v/>
      </c>
      <c r="E53" s="94" t="str">
        <f>IFERROR(INDEX(AGENT_DATABASE!F:F,MATCH(1,(AGENT_DATABASE!B2:B5000="Agent 5")*1,0)+29),"")</f>
        <v/>
      </c>
      <c r="F53" s="95" t="str">
        <f>IFERROR(INDEX(AGENT_DATABASE!G:G,MATCH(1,(AGENT_DATABASE!B2:B5000="Agent 5")*1,0)+29),"")</f>
        <v/>
      </c>
      <c r="G53" s="96" t="str">
        <f>IFERROR(INDEX(AGENT_DATABASE!H:H,MATCH(1,(AGENT_DATABASE!B2:B5000="Agent 5")*1,0)+29),"")</f>
        <v/>
      </c>
      <c r="H53" s="95" t="str">
        <f>IFERROR(INDEX(AGENT_DATABASE!I:I,MATCH(1,(AGENT_DATABASE!B2:B5000="Agent 5")*1,0)+29),"")</f>
        <v/>
      </c>
      <c r="I53" s="92" t="str">
        <f>IFERROR(INDEX(AGENT_DATABASE!J:J,MATCH(1,(AGENT_DATABASE!B2:B5000="Agent 5")*1,0)+29),"")</f>
        <v/>
      </c>
      <c r="J53" s="92" t="str">
        <f>IFERROR(INDEX(AGENT_DATABASE!L:L,MATCH(1,(AGENT_DATABASE!B2:B5000="Agent 5")*1,0)+29),"")</f>
        <v/>
      </c>
      <c r="K53" s="92" t="str">
        <f>IFERROR(INDEX(AGENT_DATABASE!M:M,MATCH(1,(AGENT_DATABASE!B2:B5000="Agent 5")*1,0)+29),"")</f>
        <v/>
      </c>
      <c r="L53" s="94" t="str">
        <f>IFERROR(INDEX(AGENT_DATABASE!K:K,MATCH(1,(AGENT_DATABASE!B2:B5000="Agent 5")*1,0)+29),"")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600-000000000000}">
      <formula1>"Savings Deposit,Withdrawal"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173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174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f ca="1">SUMPRODUCT((AGENT_DATABASE!B2:B5000="Agent 6")*(AGENT_DATABASE!F2:F5000="Savings Deposit")*(TEXT(AGENT_DATABASE!A2:A5000,"DD/MM/YYYY")=TEXT(TODAY(),"DD/MM/YYYY"))*AGENT_DATABASE!G2:G5000)</f>
        <v>0</v>
      </c>
      <c r="C6" s="132"/>
      <c r="D6" s="135">
        <f ca="1">SUMPRODUCT((AGENT_DATABASE!B2:B5000="Agent 6")*(AGENT_DATABASE!F2:F5000="Loan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6")*(AGENT_DATABASE!F2:F5000="Withdrawal")*(TEXT(AGENT_DATABASE!A2:A5000,"DD/MM/YYYY")=TEXT(TODAY(),"DD/MM/YYYY"))*AGENT_DATABASE!G2:G5000)</f>
        <v>0</v>
      </c>
      <c r="G6" s="132"/>
      <c r="H6" s="135">
        <f ca="1">IFERROR(B6-F6-D6,0)</f>
        <v>0</v>
      </c>
      <c r="I6" s="132"/>
      <c r="J6" s="136">
        <f ca="1">SUMPRODUCT((AGENT_DATABASE!B2:B5000="Agent 6")*(TEXT(AGENT_DATABASE!A2:A5000,"DD/MM/YYYY")=TEXT(TODAY(),"DD/MM/YYYY"))*1)</f>
        <v>0</v>
      </c>
      <c r="K6" s="132"/>
    </row>
    <row r="7" spans="1:12" ht="27.95" customHeight="1" x14ac:dyDescent="0.25">
      <c r="A7" s="129" t="s">
        <v>175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6")*(AGENT_DATABASE!F2:F5000="Savings Deposit")*(TEXT(AGENT_DATABASE!A2:A5000,"DD/MM/YYYY")=TEXT(TODAY(),"DD/MM/YYYY"))*AGENT_DATABASE!G2:G5000),2)=0,ROUND(E9-SUMPRODUCT((AGENT_DATABASE!B2:B5000="Agent 6")*(AGENT_DATABASE!F2:F5000="Withdrawal")*(TEXT(AGENT_DATABASE!A2:A5000,"DD/MM/YYYY")=TEXT(TODAY(),"DD/MM/YYYY"))*AGENT_DATABASE!G2:G5000),2)=0,ROUND(G9-SUMPRODUCT((AGENT_DATABASE!B2:B5000="Agent 6")*(AGENT_DATABASE!F2:F5000="Loan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6")*1,0)+0),"")</f>
        <v/>
      </c>
      <c r="C24" s="89" t="str">
        <f>IFERROR(INDEX(AGENT_DATABASE!C:C,MATCH(1,(AGENT_DATABASE!B2:B5000="Agent 6")*1,0)+0),"")</f>
        <v/>
      </c>
      <c r="D24" s="89" t="str">
        <f>IFERROR(INDEX(AGENT_DATABASE!D:D,MATCH(1,(AGENT_DATABASE!B2:B5000="Agent 6")*1,0)+0),"")</f>
        <v/>
      </c>
      <c r="E24" s="89" t="str">
        <f>IFERROR(INDEX(AGENT_DATABASE!F:F,MATCH(1,(AGENT_DATABASE!B2:B5000="Agent 6")*1,0)+0),"")</f>
        <v/>
      </c>
      <c r="F24" s="90" t="str">
        <f>IFERROR(INDEX(AGENT_DATABASE!G:G,MATCH(1,(AGENT_DATABASE!B2:B5000="Agent 6")*1,0)+0),"")</f>
        <v/>
      </c>
      <c r="G24" s="91" t="str">
        <f>IFERROR(INDEX(AGENT_DATABASE!H:H,MATCH(1,(AGENT_DATABASE!B2:B5000="Agent 6")*1,0)+0),"")</f>
        <v/>
      </c>
      <c r="H24" s="90" t="str">
        <f>IFERROR(INDEX(AGENT_DATABASE!I:I,MATCH(1,(AGENT_DATABASE!B2:B5000="Agent 6")*1,0)+0),"")</f>
        <v/>
      </c>
      <c r="I24" s="87" t="str">
        <f>IFERROR(INDEX(AGENT_DATABASE!J:J,MATCH(1,(AGENT_DATABASE!B2:B5000="Agent 6")*1,0)+0),"")</f>
        <v/>
      </c>
      <c r="J24" s="87" t="str">
        <f>IFERROR(INDEX(AGENT_DATABASE!L:L,MATCH(1,(AGENT_DATABASE!B2:B5000="Agent 6")*1,0)+0),"")</f>
        <v/>
      </c>
      <c r="K24" s="87" t="str">
        <f>IFERROR(INDEX(AGENT_DATABASE!M:M,MATCH(1,(AGENT_DATABASE!B2:B5000="Agent 6")*1,0)+0),"")</f>
        <v/>
      </c>
      <c r="L24" s="89" t="str">
        <f>IFERROR(INDEX(AGENT_DATABASE!K:K,MATCH(1,(AGENT_DATABASE!B2:B5000="Agent 6")*1,0)+0),"")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6")*1,0)+1),"")</f>
        <v/>
      </c>
      <c r="C25" s="94" t="str">
        <f>IFERROR(INDEX(AGENT_DATABASE!C:C,MATCH(1,(AGENT_DATABASE!B2:B5000="Agent 6")*1,0)+1),"")</f>
        <v/>
      </c>
      <c r="D25" s="94" t="str">
        <f>IFERROR(INDEX(AGENT_DATABASE!D:D,MATCH(1,(AGENT_DATABASE!B2:B5000="Agent 6")*1,0)+1),"")</f>
        <v/>
      </c>
      <c r="E25" s="94" t="str">
        <f>IFERROR(INDEX(AGENT_DATABASE!F:F,MATCH(1,(AGENT_DATABASE!B2:B5000="Agent 6")*1,0)+1),"")</f>
        <v/>
      </c>
      <c r="F25" s="95" t="str">
        <f>IFERROR(INDEX(AGENT_DATABASE!G:G,MATCH(1,(AGENT_DATABASE!B2:B5000="Agent 6")*1,0)+1),"")</f>
        <v/>
      </c>
      <c r="G25" s="96" t="str">
        <f>IFERROR(INDEX(AGENT_DATABASE!H:H,MATCH(1,(AGENT_DATABASE!B2:B5000="Agent 6")*1,0)+1),"")</f>
        <v/>
      </c>
      <c r="H25" s="95" t="str">
        <f>IFERROR(INDEX(AGENT_DATABASE!I:I,MATCH(1,(AGENT_DATABASE!B2:B5000="Agent 6")*1,0)+1),"")</f>
        <v/>
      </c>
      <c r="I25" s="92" t="str">
        <f>IFERROR(INDEX(AGENT_DATABASE!J:J,MATCH(1,(AGENT_DATABASE!B2:B5000="Agent 6")*1,0)+1),"")</f>
        <v/>
      </c>
      <c r="J25" s="92" t="str">
        <f>IFERROR(INDEX(AGENT_DATABASE!L:L,MATCH(1,(AGENT_DATABASE!B2:B5000="Agent 6")*1,0)+1),"")</f>
        <v/>
      </c>
      <c r="K25" s="92" t="str">
        <f>IFERROR(INDEX(AGENT_DATABASE!M:M,MATCH(1,(AGENT_DATABASE!B2:B5000="Agent 6")*1,0)+1),"")</f>
        <v/>
      </c>
      <c r="L25" s="94" t="str">
        <f>IFERROR(INDEX(AGENT_DATABASE!K:K,MATCH(1,(AGENT_DATABASE!B2:B5000="Agent 6")*1,0)+1),"")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6")*1,0)+2),"")</f>
        <v/>
      </c>
      <c r="C26" s="89" t="str">
        <f>IFERROR(INDEX(AGENT_DATABASE!C:C,MATCH(1,(AGENT_DATABASE!B2:B5000="Agent 6")*1,0)+2),"")</f>
        <v/>
      </c>
      <c r="D26" s="89" t="str">
        <f>IFERROR(INDEX(AGENT_DATABASE!D:D,MATCH(1,(AGENT_DATABASE!B2:B5000="Agent 6")*1,0)+2),"")</f>
        <v/>
      </c>
      <c r="E26" s="89" t="str">
        <f>IFERROR(INDEX(AGENT_DATABASE!F:F,MATCH(1,(AGENT_DATABASE!B2:B5000="Agent 6")*1,0)+2),"")</f>
        <v/>
      </c>
      <c r="F26" s="90" t="str">
        <f>IFERROR(INDEX(AGENT_DATABASE!G:G,MATCH(1,(AGENT_DATABASE!B2:B5000="Agent 6")*1,0)+2),"")</f>
        <v/>
      </c>
      <c r="G26" s="91" t="str">
        <f>IFERROR(INDEX(AGENT_DATABASE!H:H,MATCH(1,(AGENT_DATABASE!B2:B5000="Agent 6")*1,0)+2),"")</f>
        <v/>
      </c>
      <c r="H26" s="90" t="str">
        <f>IFERROR(INDEX(AGENT_DATABASE!I:I,MATCH(1,(AGENT_DATABASE!B2:B5000="Agent 6")*1,0)+2),"")</f>
        <v/>
      </c>
      <c r="I26" s="87" t="str">
        <f>IFERROR(INDEX(AGENT_DATABASE!J:J,MATCH(1,(AGENT_DATABASE!B2:B5000="Agent 6")*1,0)+2),"")</f>
        <v/>
      </c>
      <c r="J26" s="87" t="str">
        <f>IFERROR(INDEX(AGENT_DATABASE!L:L,MATCH(1,(AGENT_DATABASE!B2:B5000="Agent 6")*1,0)+2),"")</f>
        <v/>
      </c>
      <c r="K26" s="87" t="str">
        <f>IFERROR(INDEX(AGENT_DATABASE!M:M,MATCH(1,(AGENT_DATABASE!B2:B5000="Agent 6")*1,0)+2),"")</f>
        <v/>
      </c>
      <c r="L26" s="89" t="str">
        <f>IFERROR(INDEX(AGENT_DATABASE!K:K,MATCH(1,(AGENT_DATABASE!B2:B5000="Agent 6")*1,0)+2),"")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6")*1,0)+3),"")</f>
        <v/>
      </c>
      <c r="C27" s="94" t="str">
        <f>IFERROR(INDEX(AGENT_DATABASE!C:C,MATCH(1,(AGENT_DATABASE!B2:B5000="Agent 6")*1,0)+3),"")</f>
        <v/>
      </c>
      <c r="D27" s="94" t="str">
        <f>IFERROR(INDEX(AGENT_DATABASE!D:D,MATCH(1,(AGENT_DATABASE!B2:B5000="Agent 6")*1,0)+3),"")</f>
        <v/>
      </c>
      <c r="E27" s="94" t="str">
        <f>IFERROR(INDEX(AGENT_DATABASE!F:F,MATCH(1,(AGENT_DATABASE!B2:B5000="Agent 6")*1,0)+3),"")</f>
        <v/>
      </c>
      <c r="F27" s="95" t="str">
        <f>IFERROR(INDEX(AGENT_DATABASE!G:G,MATCH(1,(AGENT_DATABASE!B2:B5000="Agent 6")*1,0)+3),"")</f>
        <v/>
      </c>
      <c r="G27" s="96" t="str">
        <f>IFERROR(INDEX(AGENT_DATABASE!H:H,MATCH(1,(AGENT_DATABASE!B2:B5000="Agent 6")*1,0)+3),"")</f>
        <v/>
      </c>
      <c r="H27" s="95" t="str">
        <f>IFERROR(INDEX(AGENT_DATABASE!I:I,MATCH(1,(AGENT_DATABASE!B2:B5000="Agent 6")*1,0)+3),"")</f>
        <v/>
      </c>
      <c r="I27" s="92" t="str">
        <f>IFERROR(INDEX(AGENT_DATABASE!J:J,MATCH(1,(AGENT_DATABASE!B2:B5000="Agent 6")*1,0)+3),"")</f>
        <v/>
      </c>
      <c r="J27" s="92" t="str">
        <f>IFERROR(INDEX(AGENT_DATABASE!L:L,MATCH(1,(AGENT_DATABASE!B2:B5000="Agent 6")*1,0)+3),"")</f>
        <v/>
      </c>
      <c r="K27" s="92" t="str">
        <f>IFERROR(INDEX(AGENT_DATABASE!M:M,MATCH(1,(AGENT_DATABASE!B2:B5000="Agent 6")*1,0)+3),"")</f>
        <v/>
      </c>
      <c r="L27" s="94" t="str">
        <f>IFERROR(INDEX(AGENT_DATABASE!K:K,MATCH(1,(AGENT_DATABASE!B2:B5000="Agent 6")*1,0)+3),"")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6")*1,0)+4),"")</f>
        <v/>
      </c>
      <c r="C28" s="89" t="str">
        <f>IFERROR(INDEX(AGENT_DATABASE!C:C,MATCH(1,(AGENT_DATABASE!B2:B5000="Agent 6")*1,0)+4),"")</f>
        <v/>
      </c>
      <c r="D28" s="89" t="str">
        <f>IFERROR(INDEX(AGENT_DATABASE!D:D,MATCH(1,(AGENT_DATABASE!B2:B5000="Agent 6")*1,0)+4),"")</f>
        <v/>
      </c>
      <c r="E28" s="89" t="str">
        <f>IFERROR(INDEX(AGENT_DATABASE!F:F,MATCH(1,(AGENT_DATABASE!B2:B5000="Agent 6")*1,0)+4),"")</f>
        <v/>
      </c>
      <c r="F28" s="90" t="str">
        <f>IFERROR(INDEX(AGENT_DATABASE!G:G,MATCH(1,(AGENT_DATABASE!B2:B5000="Agent 6")*1,0)+4),"")</f>
        <v/>
      </c>
      <c r="G28" s="91" t="str">
        <f>IFERROR(INDEX(AGENT_DATABASE!H:H,MATCH(1,(AGENT_DATABASE!B2:B5000="Agent 6")*1,0)+4),"")</f>
        <v/>
      </c>
      <c r="H28" s="90" t="str">
        <f>IFERROR(INDEX(AGENT_DATABASE!I:I,MATCH(1,(AGENT_DATABASE!B2:B5000="Agent 6")*1,0)+4),"")</f>
        <v/>
      </c>
      <c r="I28" s="87" t="str">
        <f>IFERROR(INDEX(AGENT_DATABASE!J:J,MATCH(1,(AGENT_DATABASE!B2:B5000="Agent 6")*1,0)+4),"")</f>
        <v/>
      </c>
      <c r="J28" s="87" t="str">
        <f>IFERROR(INDEX(AGENT_DATABASE!L:L,MATCH(1,(AGENT_DATABASE!B2:B5000="Agent 6")*1,0)+4),"")</f>
        <v/>
      </c>
      <c r="K28" s="87" t="str">
        <f>IFERROR(INDEX(AGENT_DATABASE!M:M,MATCH(1,(AGENT_DATABASE!B2:B5000="Agent 6")*1,0)+4),"")</f>
        <v/>
      </c>
      <c r="L28" s="89" t="str">
        <f>IFERROR(INDEX(AGENT_DATABASE!K:K,MATCH(1,(AGENT_DATABASE!B2:B5000="Agent 6")*1,0)+4),"")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6")*1,0)+5),"")</f>
        <v/>
      </c>
      <c r="C29" s="94" t="str">
        <f>IFERROR(INDEX(AGENT_DATABASE!C:C,MATCH(1,(AGENT_DATABASE!B2:B5000="Agent 6")*1,0)+5),"")</f>
        <v/>
      </c>
      <c r="D29" s="94" t="str">
        <f>IFERROR(INDEX(AGENT_DATABASE!D:D,MATCH(1,(AGENT_DATABASE!B2:B5000="Agent 6")*1,0)+5),"")</f>
        <v/>
      </c>
      <c r="E29" s="94" t="str">
        <f>IFERROR(INDEX(AGENT_DATABASE!F:F,MATCH(1,(AGENT_DATABASE!B2:B5000="Agent 6")*1,0)+5),"")</f>
        <v/>
      </c>
      <c r="F29" s="95" t="str">
        <f>IFERROR(INDEX(AGENT_DATABASE!G:G,MATCH(1,(AGENT_DATABASE!B2:B5000="Agent 6")*1,0)+5),"")</f>
        <v/>
      </c>
      <c r="G29" s="96" t="str">
        <f>IFERROR(INDEX(AGENT_DATABASE!H:H,MATCH(1,(AGENT_DATABASE!B2:B5000="Agent 6")*1,0)+5),"")</f>
        <v/>
      </c>
      <c r="H29" s="95" t="str">
        <f>IFERROR(INDEX(AGENT_DATABASE!I:I,MATCH(1,(AGENT_DATABASE!B2:B5000="Agent 6")*1,0)+5),"")</f>
        <v/>
      </c>
      <c r="I29" s="92" t="str">
        <f>IFERROR(INDEX(AGENT_DATABASE!J:J,MATCH(1,(AGENT_DATABASE!B2:B5000="Agent 6")*1,0)+5),"")</f>
        <v/>
      </c>
      <c r="J29" s="92" t="str">
        <f>IFERROR(INDEX(AGENT_DATABASE!L:L,MATCH(1,(AGENT_DATABASE!B2:B5000="Agent 6")*1,0)+5),"")</f>
        <v/>
      </c>
      <c r="K29" s="92" t="str">
        <f>IFERROR(INDEX(AGENT_DATABASE!M:M,MATCH(1,(AGENT_DATABASE!B2:B5000="Agent 6")*1,0)+5),"")</f>
        <v/>
      </c>
      <c r="L29" s="94" t="str">
        <f>IFERROR(INDEX(AGENT_DATABASE!K:K,MATCH(1,(AGENT_DATABASE!B2:B5000="Agent 6")*1,0)+5),"")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6")*1,0)+6),"")</f>
        <v/>
      </c>
      <c r="C30" s="89" t="str">
        <f>IFERROR(INDEX(AGENT_DATABASE!C:C,MATCH(1,(AGENT_DATABASE!B2:B5000="Agent 6")*1,0)+6),"")</f>
        <v/>
      </c>
      <c r="D30" s="89" t="str">
        <f>IFERROR(INDEX(AGENT_DATABASE!D:D,MATCH(1,(AGENT_DATABASE!B2:B5000="Agent 6")*1,0)+6),"")</f>
        <v/>
      </c>
      <c r="E30" s="89" t="str">
        <f>IFERROR(INDEX(AGENT_DATABASE!F:F,MATCH(1,(AGENT_DATABASE!B2:B5000="Agent 6")*1,0)+6),"")</f>
        <v/>
      </c>
      <c r="F30" s="90" t="str">
        <f>IFERROR(INDEX(AGENT_DATABASE!G:G,MATCH(1,(AGENT_DATABASE!B2:B5000="Agent 6")*1,0)+6),"")</f>
        <v/>
      </c>
      <c r="G30" s="91" t="str">
        <f>IFERROR(INDEX(AGENT_DATABASE!H:H,MATCH(1,(AGENT_DATABASE!B2:B5000="Agent 6")*1,0)+6),"")</f>
        <v/>
      </c>
      <c r="H30" s="90" t="str">
        <f>IFERROR(INDEX(AGENT_DATABASE!I:I,MATCH(1,(AGENT_DATABASE!B2:B5000="Agent 6")*1,0)+6),"")</f>
        <v/>
      </c>
      <c r="I30" s="87" t="str">
        <f>IFERROR(INDEX(AGENT_DATABASE!J:J,MATCH(1,(AGENT_DATABASE!B2:B5000="Agent 6")*1,0)+6),"")</f>
        <v/>
      </c>
      <c r="J30" s="87" t="str">
        <f>IFERROR(INDEX(AGENT_DATABASE!L:L,MATCH(1,(AGENT_DATABASE!B2:B5000="Agent 6")*1,0)+6),"")</f>
        <v/>
      </c>
      <c r="K30" s="87" t="str">
        <f>IFERROR(INDEX(AGENT_DATABASE!M:M,MATCH(1,(AGENT_DATABASE!B2:B5000="Agent 6")*1,0)+6),"")</f>
        <v/>
      </c>
      <c r="L30" s="89" t="str">
        <f>IFERROR(INDEX(AGENT_DATABASE!K:K,MATCH(1,(AGENT_DATABASE!B2:B5000="Agent 6")*1,0)+6),"")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6")*1,0)+7),"")</f>
        <v/>
      </c>
      <c r="C31" s="94" t="str">
        <f>IFERROR(INDEX(AGENT_DATABASE!C:C,MATCH(1,(AGENT_DATABASE!B2:B5000="Agent 6")*1,0)+7),"")</f>
        <v/>
      </c>
      <c r="D31" s="94" t="str">
        <f>IFERROR(INDEX(AGENT_DATABASE!D:D,MATCH(1,(AGENT_DATABASE!B2:B5000="Agent 6")*1,0)+7),"")</f>
        <v/>
      </c>
      <c r="E31" s="94" t="str">
        <f>IFERROR(INDEX(AGENT_DATABASE!F:F,MATCH(1,(AGENT_DATABASE!B2:B5000="Agent 6")*1,0)+7),"")</f>
        <v/>
      </c>
      <c r="F31" s="95" t="str">
        <f>IFERROR(INDEX(AGENT_DATABASE!G:G,MATCH(1,(AGENT_DATABASE!B2:B5000="Agent 6")*1,0)+7),"")</f>
        <v/>
      </c>
      <c r="G31" s="96" t="str">
        <f>IFERROR(INDEX(AGENT_DATABASE!H:H,MATCH(1,(AGENT_DATABASE!B2:B5000="Agent 6")*1,0)+7),"")</f>
        <v/>
      </c>
      <c r="H31" s="95" t="str">
        <f>IFERROR(INDEX(AGENT_DATABASE!I:I,MATCH(1,(AGENT_DATABASE!B2:B5000="Agent 6")*1,0)+7),"")</f>
        <v/>
      </c>
      <c r="I31" s="92" t="str">
        <f>IFERROR(INDEX(AGENT_DATABASE!J:J,MATCH(1,(AGENT_DATABASE!B2:B5000="Agent 6")*1,0)+7),"")</f>
        <v/>
      </c>
      <c r="J31" s="92" t="str">
        <f>IFERROR(INDEX(AGENT_DATABASE!L:L,MATCH(1,(AGENT_DATABASE!B2:B5000="Agent 6")*1,0)+7),"")</f>
        <v/>
      </c>
      <c r="K31" s="92" t="str">
        <f>IFERROR(INDEX(AGENT_DATABASE!M:M,MATCH(1,(AGENT_DATABASE!B2:B5000="Agent 6")*1,0)+7),"")</f>
        <v/>
      </c>
      <c r="L31" s="94" t="str">
        <f>IFERROR(INDEX(AGENT_DATABASE!K:K,MATCH(1,(AGENT_DATABASE!B2:B5000="Agent 6")*1,0)+7),"")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6")*1,0)+8),"")</f>
        <v/>
      </c>
      <c r="C32" s="89" t="str">
        <f>IFERROR(INDEX(AGENT_DATABASE!C:C,MATCH(1,(AGENT_DATABASE!B2:B5000="Agent 6")*1,0)+8),"")</f>
        <v/>
      </c>
      <c r="D32" s="89" t="str">
        <f>IFERROR(INDEX(AGENT_DATABASE!D:D,MATCH(1,(AGENT_DATABASE!B2:B5000="Agent 6")*1,0)+8),"")</f>
        <v/>
      </c>
      <c r="E32" s="89" t="str">
        <f>IFERROR(INDEX(AGENT_DATABASE!F:F,MATCH(1,(AGENT_DATABASE!B2:B5000="Agent 6")*1,0)+8),"")</f>
        <v/>
      </c>
      <c r="F32" s="90" t="str">
        <f>IFERROR(INDEX(AGENT_DATABASE!G:G,MATCH(1,(AGENT_DATABASE!B2:B5000="Agent 6")*1,0)+8),"")</f>
        <v/>
      </c>
      <c r="G32" s="91" t="str">
        <f>IFERROR(INDEX(AGENT_DATABASE!H:H,MATCH(1,(AGENT_DATABASE!B2:B5000="Agent 6")*1,0)+8),"")</f>
        <v/>
      </c>
      <c r="H32" s="90" t="str">
        <f>IFERROR(INDEX(AGENT_DATABASE!I:I,MATCH(1,(AGENT_DATABASE!B2:B5000="Agent 6")*1,0)+8),"")</f>
        <v/>
      </c>
      <c r="I32" s="87" t="str">
        <f>IFERROR(INDEX(AGENT_DATABASE!J:J,MATCH(1,(AGENT_DATABASE!B2:B5000="Agent 6")*1,0)+8),"")</f>
        <v/>
      </c>
      <c r="J32" s="87" t="str">
        <f>IFERROR(INDEX(AGENT_DATABASE!L:L,MATCH(1,(AGENT_DATABASE!B2:B5000="Agent 6")*1,0)+8),"")</f>
        <v/>
      </c>
      <c r="K32" s="87" t="str">
        <f>IFERROR(INDEX(AGENT_DATABASE!M:M,MATCH(1,(AGENT_DATABASE!B2:B5000="Agent 6")*1,0)+8),"")</f>
        <v/>
      </c>
      <c r="L32" s="89" t="str">
        <f>IFERROR(INDEX(AGENT_DATABASE!K:K,MATCH(1,(AGENT_DATABASE!B2:B5000="Agent 6")*1,0)+8),"")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6")*1,0)+9),"")</f>
        <v/>
      </c>
      <c r="C33" s="94" t="str">
        <f>IFERROR(INDEX(AGENT_DATABASE!C:C,MATCH(1,(AGENT_DATABASE!B2:B5000="Agent 6")*1,0)+9),"")</f>
        <v/>
      </c>
      <c r="D33" s="94" t="str">
        <f>IFERROR(INDEX(AGENT_DATABASE!D:D,MATCH(1,(AGENT_DATABASE!B2:B5000="Agent 6")*1,0)+9),"")</f>
        <v/>
      </c>
      <c r="E33" s="94" t="str">
        <f>IFERROR(INDEX(AGENT_DATABASE!F:F,MATCH(1,(AGENT_DATABASE!B2:B5000="Agent 6")*1,0)+9),"")</f>
        <v/>
      </c>
      <c r="F33" s="95" t="str">
        <f>IFERROR(INDEX(AGENT_DATABASE!G:G,MATCH(1,(AGENT_DATABASE!B2:B5000="Agent 6")*1,0)+9),"")</f>
        <v/>
      </c>
      <c r="G33" s="96" t="str">
        <f>IFERROR(INDEX(AGENT_DATABASE!H:H,MATCH(1,(AGENT_DATABASE!B2:B5000="Agent 6")*1,0)+9),"")</f>
        <v/>
      </c>
      <c r="H33" s="95" t="str">
        <f>IFERROR(INDEX(AGENT_DATABASE!I:I,MATCH(1,(AGENT_DATABASE!B2:B5000="Agent 6")*1,0)+9),"")</f>
        <v/>
      </c>
      <c r="I33" s="92" t="str">
        <f>IFERROR(INDEX(AGENT_DATABASE!J:J,MATCH(1,(AGENT_DATABASE!B2:B5000="Agent 6")*1,0)+9),"")</f>
        <v/>
      </c>
      <c r="J33" s="92" t="str">
        <f>IFERROR(INDEX(AGENT_DATABASE!L:L,MATCH(1,(AGENT_DATABASE!B2:B5000="Agent 6")*1,0)+9),"")</f>
        <v/>
      </c>
      <c r="K33" s="92" t="str">
        <f>IFERROR(INDEX(AGENT_DATABASE!M:M,MATCH(1,(AGENT_DATABASE!B2:B5000="Agent 6")*1,0)+9),"")</f>
        <v/>
      </c>
      <c r="L33" s="94" t="str">
        <f>IFERROR(INDEX(AGENT_DATABASE!K:K,MATCH(1,(AGENT_DATABASE!B2:B5000="Agent 6")*1,0)+9),"")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6")*1,0)+10),"")</f>
        <v/>
      </c>
      <c r="C34" s="89" t="str">
        <f>IFERROR(INDEX(AGENT_DATABASE!C:C,MATCH(1,(AGENT_DATABASE!B2:B5000="Agent 6")*1,0)+10),"")</f>
        <v/>
      </c>
      <c r="D34" s="89" t="str">
        <f>IFERROR(INDEX(AGENT_DATABASE!D:D,MATCH(1,(AGENT_DATABASE!B2:B5000="Agent 6")*1,0)+10),"")</f>
        <v/>
      </c>
      <c r="E34" s="89" t="str">
        <f>IFERROR(INDEX(AGENT_DATABASE!F:F,MATCH(1,(AGENT_DATABASE!B2:B5000="Agent 6")*1,0)+10),"")</f>
        <v/>
      </c>
      <c r="F34" s="90" t="str">
        <f>IFERROR(INDEX(AGENT_DATABASE!G:G,MATCH(1,(AGENT_DATABASE!B2:B5000="Agent 6")*1,0)+10),"")</f>
        <v/>
      </c>
      <c r="G34" s="91" t="str">
        <f>IFERROR(INDEX(AGENT_DATABASE!H:H,MATCH(1,(AGENT_DATABASE!B2:B5000="Agent 6")*1,0)+10),"")</f>
        <v/>
      </c>
      <c r="H34" s="90" t="str">
        <f>IFERROR(INDEX(AGENT_DATABASE!I:I,MATCH(1,(AGENT_DATABASE!B2:B5000="Agent 6")*1,0)+10),"")</f>
        <v/>
      </c>
      <c r="I34" s="87" t="str">
        <f>IFERROR(INDEX(AGENT_DATABASE!J:J,MATCH(1,(AGENT_DATABASE!B2:B5000="Agent 6")*1,0)+10),"")</f>
        <v/>
      </c>
      <c r="J34" s="87" t="str">
        <f>IFERROR(INDEX(AGENT_DATABASE!L:L,MATCH(1,(AGENT_DATABASE!B2:B5000="Agent 6")*1,0)+10),"")</f>
        <v/>
      </c>
      <c r="K34" s="87" t="str">
        <f>IFERROR(INDEX(AGENT_DATABASE!M:M,MATCH(1,(AGENT_DATABASE!B2:B5000="Agent 6")*1,0)+10),"")</f>
        <v/>
      </c>
      <c r="L34" s="89" t="str">
        <f>IFERROR(INDEX(AGENT_DATABASE!K:K,MATCH(1,(AGENT_DATABASE!B2:B5000="Agent 6")*1,0)+10),"")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6")*1,0)+11),"")</f>
        <v/>
      </c>
      <c r="C35" s="94" t="str">
        <f>IFERROR(INDEX(AGENT_DATABASE!C:C,MATCH(1,(AGENT_DATABASE!B2:B5000="Agent 6")*1,0)+11),"")</f>
        <v/>
      </c>
      <c r="D35" s="94" t="str">
        <f>IFERROR(INDEX(AGENT_DATABASE!D:D,MATCH(1,(AGENT_DATABASE!B2:B5000="Agent 6")*1,0)+11),"")</f>
        <v/>
      </c>
      <c r="E35" s="94" t="str">
        <f>IFERROR(INDEX(AGENT_DATABASE!F:F,MATCH(1,(AGENT_DATABASE!B2:B5000="Agent 6")*1,0)+11),"")</f>
        <v/>
      </c>
      <c r="F35" s="95" t="str">
        <f>IFERROR(INDEX(AGENT_DATABASE!G:G,MATCH(1,(AGENT_DATABASE!B2:B5000="Agent 6")*1,0)+11),"")</f>
        <v/>
      </c>
      <c r="G35" s="96" t="str">
        <f>IFERROR(INDEX(AGENT_DATABASE!H:H,MATCH(1,(AGENT_DATABASE!B2:B5000="Agent 6")*1,0)+11),"")</f>
        <v/>
      </c>
      <c r="H35" s="95" t="str">
        <f>IFERROR(INDEX(AGENT_DATABASE!I:I,MATCH(1,(AGENT_DATABASE!B2:B5000="Agent 6")*1,0)+11),"")</f>
        <v/>
      </c>
      <c r="I35" s="92" t="str">
        <f>IFERROR(INDEX(AGENT_DATABASE!J:J,MATCH(1,(AGENT_DATABASE!B2:B5000="Agent 6")*1,0)+11),"")</f>
        <v/>
      </c>
      <c r="J35" s="92" t="str">
        <f>IFERROR(INDEX(AGENT_DATABASE!L:L,MATCH(1,(AGENT_DATABASE!B2:B5000="Agent 6")*1,0)+11),"")</f>
        <v/>
      </c>
      <c r="K35" s="92" t="str">
        <f>IFERROR(INDEX(AGENT_DATABASE!M:M,MATCH(1,(AGENT_DATABASE!B2:B5000="Agent 6")*1,0)+11),"")</f>
        <v/>
      </c>
      <c r="L35" s="94" t="str">
        <f>IFERROR(INDEX(AGENT_DATABASE!K:K,MATCH(1,(AGENT_DATABASE!B2:B5000="Agent 6")*1,0)+11),"")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6")*1,0)+12),"")</f>
        <v/>
      </c>
      <c r="C36" s="89" t="str">
        <f>IFERROR(INDEX(AGENT_DATABASE!C:C,MATCH(1,(AGENT_DATABASE!B2:B5000="Agent 6")*1,0)+12),"")</f>
        <v/>
      </c>
      <c r="D36" s="89" t="str">
        <f>IFERROR(INDEX(AGENT_DATABASE!D:D,MATCH(1,(AGENT_DATABASE!B2:B5000="Agent 6")*1,0)+12),"")</f>
        <v/>
      </c>
      <c r="E36" s="89" t="str">
        <f>IFERROR(INDEX(AGENT_DATABASE!F:F,MATCH(1,(AGENT_DATABASE!B2:B5000="Agent 6")*1,0)+12),"")</f>
        <v/>
      </c>
      <c r="F36" s="90" t="str">
        <f>IFERROR(INDEX(AGENT_DATABASE!G:G,MATCH(1,(AGENT_DATABASE!B2:B5000="Agent 6")*1,0)+12),"")</f>
        <v/>
      </c>
      <c r="G36" s="91" t="str">
        <f>IFERROR(INDEX(AGENT_DATABASE!H:H,MATCH(1,(AGENT_DATABASE!B2:B5000="Agent 6")*1,0)+12),"")</f>
        <v/>
      </c>
      <c r="H36" s="90" t="str">
        <f>IFERROR(INDEX(AGENT_DATABASE!I:I,MATCH(1,(AGENT_DATABASE!B2:B5000="Agent 6")*1,0)+12),"")</f>
        <v/>
      </c>
      <c r="I36" s="87" t="str">
        <f>IFERROR(INDEX(AGENT_DATABASE!J:J,MATCH(1,(AGENT_DATABASE!B2:B5000="Agent 6")*1,0)+12),"")</f>
        <v/>
      </c>
      <c r="J36" s="87" t="str">
        <f>IFERROR(INDEX(AGENT_DATABASE!L:L,MATCH(1,(AGENT_DATABASE!B2:B5000="Agent 6")*1,0)+12),"")</f>
        <v/>
      </c>
      <c r="K36" s="87" t="str">
        <f>IFERROR(INDEX(AGENT_DATABASE!M:M,MATCH(1,(AGENT_DATABASE!B2:B5000="Agent 6")*1,0)+12),"")</f>
        <v/>
      </c>
      <c r="L36" s="89" t="str">
        <f>IFERROR(INDEX(AGENT_DATABASE!K:K,MATCH(1,(AGENT_DATABASE!B2:B5000="Agent 6")*1,0)+12),"")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6")*1,0)+13),"")</f>
        <v/>
      </c>
      <c r="C37" s="94" t="str">
        <f>IFERROR(INDEX(AGENT_DATABASE!C:C,MATCH(1,(AGENT_DATABASE!B2:B5000="Agent 6")*1,0)+13),"")</f>
        <v/>
      </c>
      <c r="D37" s="94" t="str">
        <f>IFERROR(INDEX(AGENT_DATABASE!D:D,MATCH(1,(AGENT_DATABASE!B2:B5000="Agent 6")*1,0)+13),"")</f>
        <v/>
      </c>
      <c r="E37" s="94" t="str">
        <f>IFERROR(INDEX(AGENT_DATABASE!F:F,MATCH(1,(AGENT_DATABASE!B2:B5000="Agent 6")*1,0)+13),"")</f>
        <v/>
      </c>
      <c r="F37" s="95" t="str">
        <f>IFERROR(INDEX(AGENT_DATABASE!G:G,MATCH(1,(AGENT_DATABASE!B2:B5000="Agent 6")*1,0)+13),"")</f>
        <v/>
      </c>
      <c r="G37" s="96" t="str">
        <f>IFERROR(INDEX(AGENT_DATABASE!H:H,MATCH(1,(AGENT_DATABASE!B2:B5000="Agent 6")*1,0)+13),"")</f>
        <v/>
      </c>
      <c r="H37" s="95" t="str">
        <f>IFERROR(INDEX(AGENT_DATABASE!I:I,MATCH(1,(AGENT_DATABASE!B2:B5000="Agent 6")*1,0)+13),"")</f>
        <v/>
      </c>
      <c r="I37" s="92" t="str">
        <f>IFERROR(INDEX(AGENT_DATABASE!J:J,MATCH(1,(AGENT_DATABASE!B2:B5000="Agent 6")*1,0)+13),"")</f>
        <v/>
      </c>
      <c r="J37" s="92" t="str">
        <f>IFERROR(INDEX(AGENT_DATABASE!L:L,MATCH(1,(AGENT_DATABASE!B2:B5000="Agent 6")*1,0)+13),"")</f>
        <v/>
      </c>
      <c r="K37" s="92" t="str">
        <f>IFERROR(INDEX(AGENT_DATABASE!M:M,MATCH(1,(AGENT_DATABASE!B2:B5000="Agent 6")*1,0)+13),"")</f>
        <v/>
      </c>
      <c r="L37" s="94" t="str">
        <f>IFERROR(INDEX(AGENT_DATABASE!K:K,MATCH(1,(AGENT_DATABASE!B2:B5000="Agent 6")*1,0)+13),"")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6")*1,0)+14),"")</f>
        <v/>
      </c>
      <c r="C38" s="89" t="str">
        <f>IFERROR(INDEX(AGENT_DATABASE!C:C,MATCH(1,(AGENT_DATABASE!B2:B5000="Agent 6")*1,0)+14),"")</f>
        <v/>
      </c>
      <c r="D38" s="89" t="str">
        <f>IFERROR(INDEX(AGENT_DATABASE!D:D,MATCH(1,(AGENT_DATABASE!B2:B5000="Agent 6")*1,0)+14),"")</f>
        <v/>
      </c>
      <c r="E38" s="89" t="str">
        <f>IFERROR(INDEX(AGENT_DATABASE!F:F,MATCH(1,(AGENT_DATABASE!B2:B5000="Agent 6")*1,0)+14),"")</f>
        <v/>
      </c>
      <c r="F38" s="90" t="str">
        <f>IFERROR(INDEX(AGENT_DATABASE!G:G,MATCH(1,(AGENT_DATABASE!B2:B5000="Agent 6")*1,0)+14),"")</f>
        <v/>
      </c>
      <c r="G38" s="91" t="str">
        <f>IFERROR(INDEX(AGENT_DATABASE!H:H,MATCH(1,(AGENT_DATABASE!B2:B5000="Agent 6")*1,0)+14),"")</f>
        <v/>
      </c>
      <c r="H38" s="90" t="str">
        <f>IFERROR(INDEX(AGENT_DATABASE!I:I,MATCH(1,(AGENT_DATABASE!B2:B5000="Agent 6")*1,0)+14),"")</f>
        <v/>
      </c>
      <c r="I38" s="87" t="str">
        <f>IFERROR(INDEX(AGENT_DATABASE!J:J,MATCH(1,(AGENT_DATABASE!B2:B5000="Agent 6")*1,0)+14),"")</f>
        <v/>
      </c>
      <c r="J38" s="87" t="str">
        <f>IFERROR(INDEX(AGENT_DATABASE!L:L,MATCH(1,(AGENT_DATABASE!B2:B5000="Agent 6")*1,0)+14),"")</f>
        <v/>
      </c>
      <c r="K38" s="87" t="str">
        <f>IFERROR(INDEX(AGENT_DATABASE!M:M,MATCH(1,(AGENT_DATABASE!B2:B5000="Agent 6")*1,0)+14),"")</f>
        <v/>
      </c>
      <c r="L38" s="89" t="str">
        <f>IFERROR(INDEX(AGENT_DATABASE!K:K,MATCH(1,(AGENT_DATABASE!B2:B5000="Agent 6")*1,0)+14),"")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6")*1,0)+15),"")</f>
        <v/>
      </c>
      <c r="C39" s="94" t="str">
        <f>IFERROR(INDEX(AGENT_DATABASE!C:C,MATCH(1,(AGENT_DATABASE!B2:B5000="Agent 6")*1,0)+15),"")</f>
        <v/>
      </c>
      <c r="D39" s="94" t="str">
        <f>IFERROR(INDEX(AGENT_DATABASE!D:D,MATCH(1,(AGENT_DATABASE!B2:B5000="Agent 6")*1,0)+15),"")</f>
        <v/>
      </c>
      <c r="E39" s="94" t="str">
        <f>IFERROR(INDEX(AGENT_DATABASE!F:F,MATCH(1,(AGENT_DATABASE!B2:B5000="Agent 6")*1,0)+15),"")</f>
        <v/>
      </c>
      <c r="F39" s="95" t="str">
        <f>IFERROR(INDEX(AGENT_DATABASE!G:G,MATCH(1,(AGENT_DATABASE!B2:B5000="Agent 6")*1,0)+15),"")</f>
        <v/>
      </c>
      <c r="G39" s="96" t="str">
        <f>IFERROR(INDEX(AGENT_DATABASE!H:H,MATCH(1,(AGENT_DATABASE!B2:B5000="Agent 6")*1,0)+15),"")</f>
        <v/>
      </c>
      <c r="H39" s="95" t="str">
        <f>IFERROR(INDEX(AGENT_DATABASE!I:I,MATCH(1,(AGENT_DATABASE!B2:B5000="Agent 6")*1,0)+15),"")</f>
        <v/>
      </c>
      <c r="I39" s="92" t="str">
        <f>IFERROR(INDEX(AGENT_DATABASE!J:J,MATCH(1,(AGENT_DATABASE!B2:B5000="Agent 6")*1,0)+15),"")</f>
        <v/>
      </c>
      <c r="J39" s="92" t="str">
        <f>IFERROR(INDEX(AGENT_DATABASE!L:L,MATCH(1,(AGENT_DATABASE!B2:B5000="Agent 6")*1,0)+15),"")</f>
        <v/>
      </c>
      <c r="K39" s="92" t="str">
        <f>IFERROR(INDEX(AGENT_DATABASE!M:M,MATCH(1,(AGENT_DATABASE!B2:B5000="Agent 6")*1,0)+15),"")</f>
        <v/>
      </c>
      <c r="L39" s="94" t="str">
        <f>IFERROR(INDEX(AGENT_DATABASE!K:K,MATCH(1,(AGENT_DATABASE!B2:B5000="Agent 6")*1,0)+15),"")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6")*1,0)+16),"")</f>
        <v/>
      </c>
      <c r="C40" s="89" t="str">
        <f>IFERROR(INDEX(AGENT_DATABASE!C:C,MATCH(1,(AGENT_DATABASE!B2:B5000="Agent 6")*1,0)+16),"")</f>
        <v/>
      </c>
      <c r="D40" s="89" t="str">
        <f>IFERROR(INDEX(AGENT_DATABASE!D:D,MATCH(1,(AGENT_DATABASE!B2:B5000="Agent 6")*1,0)+16),"")</f>
        <v/>
      </c>
      <c r="E40" s="89" t="str">
        <f>IFERROR(INDEX(AGENT_DATABASE!F:F,MATCH(1,(AGENT_DATABASE!B2:B5000="Agent 6")*1,0)+16),"")</f>
        <v/>
      </c>
      <c r="F40" s="90" t="str">
        <f>IFERROR(INDEX(AGENT_DATABASE!G:G,MATCH(1,(AGENT_DATABASE!B2:B5000="Agent 6")*1,0)+16),"")</f>
        <v/>
      </c>
      <c r="G40" s="91" t="str">
        <f>IFERROR(INDEX(AGENT_DATABASE!H:H,MATCH(1,(AGENT_DATABASE!B2:B5000="Agent 6")*1,0)+16),"")</f>
        <v/>
      </c>
      <c r="H40" s="90" t="str">
        <f>IFERROR(INDEX(AGENT_DATABASE!I:I,MATCH(1,(AGENT_DATABASE!B2:B5000="Agent 6")*1,0)+16),"")</f>
        <v/>
      </c>
      <c r="I40" s="87" t="str">
        <f>IFERROR(INDEX(AGENT_DATABASE!J:J,MATCH(1,(AGENT_DATABASE!B2:B5000="Agent 6")*1,0)+16),"")</f>
        <v/>
      </c>
      <c r="J40" s="87" t="str">
        <f>IFERROR(INDEX(AGENT_DATABASE!L:L,MATCH(1,(AGENT_DATABASE!B2:B5000="Agent 6")*1,0)+16),"")</f>
        <v/>
      </c>
      <c r="K40" s="87" t="str">
        <f>IFERROR(INDEX(AGENT_DATABASE!M:M,MATCH(1,(AGENT_DATABASE!B2:B5000="Agent 6")*1,0)+16),"")</f>
        <v/>
      </c>
      <c r="L40" s="89" t="str">
        <f>IFERROR(INDEX(AGENT_DATABASE!K:K,MATCH(1,(AGENT_DATABASE!B2:B5000="Agent 6")*1,0)+16),"")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6")*1,0)+17),"")</f>
        <v/>
      </c>
      <c r="C41" s="94" t="str">
        <f>IFERROR(INDEX(AGENT_DATABASE!C:C,MATCH(1,(AGENT_DATABASE!B2:B5000="Agent 6")*1,0)+17),"")</f>
        <v/>
      </c>
      <c r="D41" s="94" t="str">
        <f>IFERROR(INDEX(AGENT_DATABASE!D:D,MATCH(1,(AGENT_DATABASE!B2:B5000="Agent 6")*1,0)+17),"")</f>
        <v/>
      </c>
      <c r="E41" s="94" t="str">
        <f>IFERROR(INDEX(AGENT_DATABASE!F:F,MATCH(1,(AGENT_DATABASE!B2:B5000="Agent 6")*1,0)+17),"")</f>
        <v/>
      </c>
      <c r="F41" s="95" t="str">
        <f>IFERROR(INDEX(AGENT_DATABASE!G:G,MATCH(1,(AGENT_DATABASE!B2:B5000="Agent 6")*1,0)+17),"")</f>
        <v/>
      </c>
      <c r="G41" s="96" t="str">
        <f>IFERROR(INDEX(AGENT_DATABASE!H:H,MATCH(1,(AGENT_DATABASE!B2:B5000="Agent 6")*1,0)+17),"")</f>
        <v/>
      </c>
      <c r="H41" s="95" t="str">
        <f>IFERROR(INDEX(AGENT_DATABASE!I:I,MATCH(1,(AGENT_DATABASE!B2:B5000="Agent 6")*1,0)+17),"")</f>
        <v/>
      </c>
      <c r="I41" s="92" t="str">
        <f>IFERROR(INDEX(AGENT_DATABASE!J:J,MATCH(1,(AGENT_DATABASE!B2:B5000="Agent 6")*1,0)+17),"")</f>
        <v/>
      </c>
      <c r="J41" s="92" t="str">
        <f>IFERROR(INDEX(AGENT_DATABASE!L:L,MATCH(1,(AGENT_DATABASE!B2:B5000="Agent 6")*1,0)+17),"")</f>
        <v/>
      </c>
      <c r="K41" s="92" t="str">
        <f>IFERROR(INDEX(AGENT_DATABASE!M:M,MATCH(1,(AGENT_DATABASE!B2:B5000="Agent 6")*1,0)+17),"")</f>
        <v/>
      </c>
      <c r="L41" s="94" t="str">
        <f>IFERROR(INDEX(AGENT_DATABASE!K:K,MATCH(1,(AGENT_DATABASE!B2:B5000="Agent 6")*1,0)+17),"")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6")*1,0)+18),"")</f>
        <v/>
      </c>
      <c r="C42" s="89" t="str">
        <f>IFERROR(INDEX(AGENT_DATABASE!C:C,MATCH(1,(AGENT_DATABASE!B2:B5000="Agent 6")*1,0)+18),"")</f>
        <v/>
      </c>
      <c r="D42" s="89" t="str">
        <f>IFERROR(INDEX(AGENT_DATABASE!D:D,MATCH(1,(AGENT_DATABASE!B2:B5000="Agent 6")*1,0)+18),"")</f>
        <v/>
      </c>
      <c r="E42" s="89" t="str">
        <f>IFERROR(INDEX(AGENT_DATABASE!F:F,MATCH(1,(AGENT_DATABASE!B2:B5000="Agent 6")*1,0)+18),"")</f>
        <v/>
      </c>
      <c r="F42" s="90" t="str">
        <f>IFERROR(INDEX(AGENT_DATABASE!G:G,MATCH(1,(AGENT_DATABASE!B2:B5000="Agent 6")*1,0)+18),"")</f>
        <v/>
      </c>
      <c r="G42" s="91" t="str">
        <f>IFERROR(INDEX(AGENT_DATABASE!H:H,MATCH(1,(AGENT_DATABASE!B2:B5000="Agent 6")*1,0)+18),"")</f>
        <v/>
      </c>
      <c r="H42" s="90" t="str">
        <f>IFERROR(INDEX(AGENT_DATABASE!I:I,MATCH(1,(AGENT_DATABASE!B2:B5000="Agent 6")*1,0)+18),"")</f>
        <v/>
      </c>
      <c r="I42" s="87" t="str">
        <f>IFERROR(INDEX(AGENT_DATABASE!J:J,MATCH(1,(AGENT_DATABASE!B2:B5000="Agent 6")*1,0)+18),"")</f>
        <v/>
      </c>
      <c r="J42" s="87" t="str">
        <f>IFERROR(INDEX(AGENT_DATABASE!L:L,MATCH(1,(AGENT_DATABASE!B2:B5000="Agent 6")*1,0)+18),"")</f>
        <v/>
      </c>
      <c r="K42" s="87" t="str">
        <f>IFERROR(INDEX(AGENT_DATABASE!M:M,MATCH(1,(AGENT_DATABASE!B2:B5000="Agent 6")*1,0)+18),"")</f>
        <v/>
      </c>
      <c r="L42" s="89" t="str">
        <f>IFERROR(INDEX(AGENT_DATABASE!K:K,MATCH(1,(AGENT_DATABASE!B2:B5000="Agent 6")*1,0)+18),"")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6")*1,0)+19),"")</f>
        <v/>
      </c>
      <c r="C43" s="94" t="str">
        <f>IFERROR(INDEX(AGENT_DATABASE!C:C,MATCH(1,(AGENT_DATABASE!B2:B5000="Agent 6")*1,0)+19),"")</f>
        <v/>
      </c>
      <c r="D43" s="94" t="str">
        <f>IFERROR(INDEX(AGENT_DATABASE!D:D,MATCH(1,(AGENT_DATABASE!B2:B5000="Agent 6")*1,0)+19),"")</f>
        <v/>
      </c>
      <c r="E43" s="94" t="str">
        <f>IFERROR(INDEX(AGENT_DATABASE!F:F,MATCH(1,(AGENT_DATABASE!B2:B5000="Agent 6")*1,0)+19),"")</f>
        <v/>
      </c>
      <c r="F43" s="95" t="str">
        <f>IFERROR(INDEX(AGENT_DATABASE!G:G,MATCH(1,(AGENT_DATABASE!B2:B5000="Agent 6")*1,0)+19),"")</f>
        <v/>
      </c>
      <c r="G43" s="96" t="str">
        <f>IFERROR(INDEX(AGENT_DATABASE!H:H,MATCH(1,(AGENT_DATABASE!B2:B5000="Agent 6")*1,0)+19),"")</f>
        <v/>
      </c>
      <c r="H43" s="95" t="str">
        <f>IFERROR(INDEX(AGENT_DATABASE!I:I,MATCH(1,(AGENT_DATABASE!B2:B5000="Agent 6")*1,0)+19),"")</f>
        <v/>
      </c>
      <c r="I43" s="92" t="str">
        <f>IFERROR(INDEX(AGENT_DATABASE!J:J,MATCH(1,(AGENT_DATABASE!B2:B5000="Agent 6")*1,0)+19),"")</f>
        <v/>
      </c>
      <c r="J43" s="92" t="str">
        <f>IFERROR(INDEX(AGENT_DATABASE!L:L,MATCH(1,(AGENT_DATABASE!B2:B5000="Agent 6")*1,0)+19),"")</f>
        <v/>
      </c>
      <c r="K43" s="92" t="str">
        <f>IFERROR(INDEX(AGENT_DATABASE!M:M,MATCH(1,(AGENT_DATABASE!B2:B5000="Agent 6")*1,0)+19),"")</f>
        <v/>
      </c>
      <c r="L43" s="94" t="str">
        <f>IFERROR(INDEX(AGENT_DATABASE!K:K,MATCH(1,(AGENT_DATABASE!B2:B5000="Agent 6")*1,0)+19),"")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6")*1,0)+20),"")</f>
        <v/>
      </c>
      <c r="C44" s="89" t="str">
        <f>IFERROR(INDEX(AGENT_DATABASE!C:C,MATCH(1,(AGENT_DATABASE!B2:B5000="Agent 6")*1,0)+20),"")</f>
        <v/>
      </c>
      <c r="D44" s="89" t="str">
        <f>IFERROR(INDEX(AGENT_DATABASE!D:D,MATCH(1,(AGENT_DATABASE!B2:B5000="Agent 6")*1,0)+20),"")</f>
        <v/>
      </c>
      <c r="E44" s="89" t="str">
        <f>IFERROR(INDEX(AGENT_DATABASE!F:F,MATCH(1,(AGENT_DATABASE!B2:B5000="Agent 6")*1,0)+20),"")</f>
        <v/>
      </c>
      <c r="F44" s="90" t="str">
        <f>IFERROR(INDEX(AGENT_DATABASE!G:G,MATCH(1,(AGENT_DATABASE!B2:B5000="Agent 6")*1,0)+20),"")</f>
        <v/>
      </c>
      <c r="G44" s="91" t="str">
        <f>IFERROR(INDEX(AGENT_DATABASE!H:H,MATCH(1,(AGENT_DATABASE!B2:B5000="Agent 6")*1,0)+20),"")</f>
        <v/>
      </c>
      <c r="H44" s="90" t="str">
        <f>IFERROR(INDEX(AGENT_DATABASE!I:I,MATCH(1,(AGENT_DATABASE!B2:B5000="Agent 6")*1,0)+20),"")</f>
        <v/>
      </c>
      <c r="I44" s="87" t="str">
        <f>IFERROR(INDEX(AGENT_DATABASE!J:J,MATCH(1,(AGENT_DATABASE!B2:B5000="Agent 6")*1,0)+20),"")</f>
        <v/>
      </c>
      <c r="J44" s="87" t="str">
        <f>IFERROR(INDEX(AGENT_DATABASE!L:L,MATCH(1,(AGENT_DATABASE!B2:B5000="Agent 6")*1,0)+20),"")</f>
        <v/>
      </c>
      <c r="K44" s="87" t="str">
        <f>IFERROR(INDEX(AGENT_DATABASE!M:M,MATCH(1,(AGENT_DATABASE!B2:B5000="Agent 6")*1,0)+20),"")</f>
        <v/>
      </c>
      <c r="L44" s="89" t="str">
        <f>IFERROR(INDEX(AGENT_DATABASE!K:K,MATCH(1,(AGENT_DATABASE!B2:B5000="Agent 6")*1,0)+20),"")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6")*1,0)+21),"")</f>
        <v/>
      </c>
      <c r="C45" s="94" t="str">
        <f>IFERROR(INDEX(AGENT_DATABASE!C:C,MATCH(1,(AGENT_DATABASE!B2:B5000="Agent 6")*1,0)+21),"")</f>
        <v/>
      </c>
      <c r="D45" s="94" t="str">
        <f>IFERROR(INDEX(AGENT_DATABASE!D:D,MATCH(1,(AGENT_DATABASE!B2:B5000="Agent 6")*1,0)+21),"")</f>
        <v/>
      </c>
      <c r="E45" s="94" t="str">
        <f>IFERROR(INDEX(AGENT_DATABASE!F:F,MATCH(1,(AGENT_DATABASE!B2:B5000="Agent 6")*1,0)+21),"")</f>
        <v/>
      </c>
      <c r="F45" s="95" t="str">
        <f>IFERROR(INDEX(AGENT_DATABASE!G:G,MATCH(1,(AGENT_DATABASE!B2:B5000="Agent 6")*1,0)+21),"")</f>
        <v/>
      </c>
      <c r="G45" s="96" t="str">
        <f>IFERROR(INDEX(AGENT_DATABASE!H:H,MATCH(1,(AGENT_DATABASE!B2:B5000="Agent 6")*1,0)+21),"")</f>
        <v/>
      </c>
      <c r="H45" s="95" t="str">
        <f>IFERROR(INDEX(AGENT_DATABASE!I:I,MATCH(1,(AGENT_DATABASE!B2:B5000="Agent 6")*1,0)+21),"")</f>
        <v/>
      </c>
      <c r="I45" s="92" t="str">
        <f>IFERROR(INDEX(AGENT_DATABASE!J:J,MATCH(1,(AGENT_DATABASE!B2:B5000="Agent 6")*1,0)+21),"")</f>
        <v/>
      </c>
      <c r="J45" s="92" t="str">
        <f>IFERROR(INDEX(AGENT_DATABASE!L:L,MATCH(1,(AGENT_DATABASE!B2:B5000="Agent 6")*1,0)+21),"")</f>
        <v/>
      </c>
      <c r="K45" s="92" t="str">
        <f>IFERROR(INDEX(AGENT_DATABASE!M:M,MATCH(1,(AGENT_DATABASE!B2:B5000="Agent 6")*1,0)+21),"")</f>
        <v/>
      </c>
      <c r="L45" s="94" t="str">
        <f>IFERROR(INDEX(AGENT_DATABASE!K:K,MATCH(1,(AGENT_DATABASE!B2:B5000="Agent 6")*1,0)+21),"")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6")*1,0)+22),"")</f>
        <v/>
      </c>
      <c r="C46" s="89" t="str">
        <f>IFERROR(INDEX(AGENT_DATABASE!C:C,MATCH(1,(AGENT_DATABASE!B2:B5000="Agent 6")*1,0)+22),"")</f>
        <v/>
      </c>
      <c r="D46" s="89" t="str">
        <f>IFERROR(INDEX(AGENT_DATABASE!D:D,MATCH(1,(AGENT_DATABASE!B2:B5000="Agent 6")*1,0)+22),"")</f>
        <v/>
      </c>
      <c r="E46" s="89" t="str">
        <f>IFERROR(INDEX(AGENT_DATABASE!F:F,MATCH(1,(AGENT_DATABASE!B2:B5000="Agent 6")*1,0)+22),"")</f>
        <v/>
      </c>
      <c r="F46" s="90" t="str">
        <f>IFERROR(INDEX(AGENT_DATABASE!G:G,MATCH(1,(AGENT_DATABASE!B2:B5000="Agent 6")*1,0)+22),"")</f>
        <v/>
      </c>
      <c r="G46" s="91" t="str">
        <f>IFERROR(INDEX(AGENT_DATABASE!H:H,MATCH(1,(AGENT_DATABASE!B2:B5000="Agent 6")*1,0)+22),"")</f>
        <v/>
      </c>
      <c r="H46" s="90" t="str">
        <f>IFERROR(INDEX(AGENT_DATABASE!I:I,MATCH(1,(AGENT_DATABASE!B2:B5000="Agent 6")*1,0)+22),"")</f>
        <v/>
      </c>
      <c r="I46" s="87" t="str">
        <f>IFERROR(INDEX(AGENT_DATABASE!J:J,MATCH(1,(AGENT_DATABASE!B2:B5000="Agent 6")*1,0)+22),"")</f>
        <v/>
      </c>
      <c r="J46" s="87" t="str">
        <f>IFERROR(INDEX(AGENT_DATABASE!L:L,MATCH(1,(AGENT_DATABASE!B2:B5000="Agent 6")*1,0)+22),"")</f>
        <v/>
      </c>
      <c r="K46" s="87" t="str">
        <f>IFERROR(INDEX(AGENT_DATABASE!M:M,MATCH(1,(AGENT_DATABASE!B2:B5000="Agent 6")*1,0)+22),"")</f>
        <v/>
      </c>
      <c r="L46" s="89" t="str">
        <f>IFERROR(INDEX(AGENT_DATABASE!K:K,MATCH(1,(AGENT_DATABASE!B2:B5000="Agent 6")*1,0)+22),"")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6")*1,0)+23),"")</f>
        <v/>
      </c>
      <c r="C47" s="94" t="str">
        <f>IFERROR(INDEX(AGENT_DATABASE!C:C,MATCH(1,(AGENT_DATABASE!B2:B5000="Agent 6")*1,0)+23),"")</f>
        <v/>
      </c>
      <c r="D47" s="94" t="str">
        <f>IFERROR(INDEX(AGENT_DATABASE!D:D,MATCH(1,(AGENT_DATABASE!B2:B5000="Agent 6")*1,0)+23),"")</f>
        <v/>
      </c>
      <c r="E47" s="94" t="str">
        <f>IFERROR(INDEX(AGENT_DATABASE!F:F,MATCH(1,(AGENT_DATABASE!B2:B5000="Agent 6")*1,0)+23),"")</f>
        <v/>
      </c>
      <c r="F47" s="95" t="str">
        <f>IFERROR(INDEX(AGENT_DATABASE!G:G,MATCH(1,(AGENT_DATABASE!B2:B5000="Agent 6")*1,0)+23),"")</f>
        <v/>
      </c>
      <c r="G47" s="96" t="str">
        <f>IFERROR(INDEX(AGENT_DATABASE!H:H,MATCH(1,(AGENT_DATABASE!B2:B5000="Agent 6")*1,0)+23),"")</f>
        <v/>
      </c>
      <c r="H47" s="95" t="str">
        <f>IFERROR(INDEX(AGENT_DATABASE!I:I,MATCH(1,(AGENT_DATABASE!B2:B5000="Agent 6")*1,0)+23),"")</f>
        <v/>
      </c>
      <c r="I47" s="92" t="str">
        <f>IFERROR(INDEX(AGENT_DATABASE!J:J,MATCH(1,(AGENT_DATABASE!B2:B5000="Agent 6")*1,0)+23),"")</f>
        <v/>
      </c>
      <c r="J47" s="92" t="str">
        <f>IFERROR(INDEX(AGENT_DATABASE!L:L,MATCH(1,(AGENT_DATABASE!B2:B5000="Agent 6")*1,0)+23),"")</f>
        <v/>
      </c>
      <c r="K47" s="92" t="str">
        <f>IFERROR(INDEX(AGENT_DATABASE!M:M,MATCH(1,(AGENT_DATABASE!B2:B5000="Agent 6")*1,0)+23),"")</f>
        <v/>
      </c>
      <c r="L47" s="94" t="str">
        <f>IFERROR(INDEX(AGENT_DATABASE!K:K,MATCH(1,(AGENT_DATABASE!B2:B5000="Agent 6")*1,0)+23),"")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6")*1,0)+24),"")</f>
        <v/>
      </c>
      <c r="C48" s="89" t="str">
        <f>IFERROR(INDEX(AGENT_DATABASE!C:C,MATCH(1,(AGENT_DATABASE!B2:B5000="Agent 6")*1,0)+24),"")</f>
        <v/>
      </c>
      <c r="D48" s="89" t="str">
        <f>IFERROR(INDEX(AGENT_DATABASE!D:D,MATCH(1,(AGENT_DATABASE!B2:B5000="Agent 6")*1,0)+24),"")</f>
        <v/>
      </c>
      <c r="E48" s="89" t="str">
        <f>IFERROR(INDEX(AGENT_DATABASE!F:F,MATCH(1,(AGENT_DATABASE!B2:B5000="Agent 6")*1,0)+24),"")</f>
        <v/>
      </c>
      <c r="F48" s="90" t="str">
        <f>IFERROR(INDEX(AGENT_DATABASE!G:G,MATCH(1,(AGENT_DATABASE!B2:B5000="Agent 6")*1,0)+24),"")</f>
        <v/>
      </c>
      <c r="G48" s="91" t="str">
        <f>IFERROR(INDEX(AGENT_DATABASE!H:H,MATCH(1,(AGENT_DATABASE!B2:B5000="Agent 6")*1,0)+24),"")</f>
        <v/>
      </c>
      <c r="H48" s="90" t="str">
        <f>IFERROR(INDEX(AGENT_DATABASE!I:I,MATCH(1,(AGENT_DATABASE!B2:B5000="Agent 6")*1,0)+24),"")</f>
        <v/>
      </c>
      <c r="I48" s="87" t="str">
        <f>IFERROR(INDEX(AGENT_DATABASE!J:J,MATCH(1,(AGENT_DATABASE!B2:B5000="Agent 6")*1,0)+24),"")</f>
        <v/>
      </c>
      <c r="J48" s="87" t="str">
        <f>IFERROR(INDEX(AGENT_DATABASE!L:L,MATCH(1,(AGENT_DATABASE!B2:B5000="Agent 6")*1,0)+24),"")</f>
        <v/>
      </c>
      <c r="K48" s="87" t="str">
        <f>IFERROR(INDEX(AGENT_DATABASE!M:M,MATCH(1,(AGENT_DATABASE!B2:B5000="Agent 6")*1,0)+24),"")</f>
        <v/>
      </c>
      <c r="L48" s="89" t="str">
        <f>IFERROR(INDEX(AGENT_DATABASE!K:K,MATCH(1,(AGENT_DATABASE!B2:B5000="Agent 6")*1,0)+24),"")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6")*1,0)+25),"")</f>
        <v/>
      </c>
      <c r="C49" s="94" t="str">
        <f>IFERROR(INDEX(AGENT_DATABASE!C:C,MATCH(1,(AGENT_DATABASE!B2:B5000="Agent 6")*1,0)+25),"")</f>
        <v/>
      </c>
      <c r="D49" s="94" t="str">
        <f>IFERROR(INDEX(AGENT_DATABASE!D:D,MATCH(1,(AGENT_DATABASE!B2:B5000="Agent 6")*1,0)+25),"")</f>
        <v/>
      </c>
      <c r="E49" s="94" t="str">
        <f>IFERROR(INDEX(AGENT_DATABASE!F:F,MATCH(1,(AGENT_DATABASE!B2:B5000="Agent 6")*1,0)+25),"")</f>
        <v/>
      </c>
      <c r="F49" s="95" t="str">
        <f>IFERROR(INDEX(AGENT_DATABASE!G:G,MATCH(1,(AGENT_DATABASE!B2:B5000="Agent 6")*1,0)+25),"")</f>
        <v/>
      </c>
      <c r="G49" s="96" t="str">
        <f>IFERROR(INDEX(AGENT_DATABASE!H:H,MATCH(1,(AGENT_DATABASE!B2:B5000="Agent 6")*1,0)+25),"")</f>
        <v/>
      </c>
      <c r="H49" s="95" t="str">
        <f>IFERROR(INDEX(AGENT_DATABASE!I:I,MATCH(1,(AGENT_DATABASE!B2:B5000="Agent 6")*1,0)+25),"")</f>
        <v/>
      </c>
      <c r="I49" s="92" t="str">
        <f>IFERROR(INDEX(AGENT_DATABASE!J:J,MATCH(1,(AGENT_DATABASE!B2:B5000="Agent 6")*1,0)+25),"")</f>
        <v/>
      </c>
      <c r="J49" s="92" t="str">
        <f>IFERROR(INDEX(AGENT_DATABASE!L:L,MATCH(1,(AGENT_DATABASE!B2:B5000="Agent 6")*1,0)+25),"")</f>
        <v/>
      </c>
      <c r="K49" s="92" t="str">
        <f>IFERROR(INDEX(AGENT_DATABASE!M:M,MATCH(1,(AGENT_DATABASE!B2:B5000="Agent 6")*1,0)+25),"")</f>
        <v/>
      </c>
      <c r="L49" s="94" t="str">
        <f>IFERROR(INDEX(AGENT_DATABASE!K:K,MATCH(1,(AGENT_DATABASE!B2:B5000="Agent 6")*1,0)+25),"")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6")*1,0)+26),"")</f>
        <v/>
      </c>
      <c r="C50" s="89" t="str">
        <f>IFERROR(INDEX(AGENT_DATABASE!C:C,MATCH(1,(AGENT_DATABASE!B2:B5000="Agent 6")*1,0)+26),"")</f>
        <v/>
      </c>
      <c r="D50" s="89" t="str">
        <f>IFERROR(INDEX(AGENT_DATABASE!D:D,MATCH(1,(AGENT_DATABASE!B2:B5000="Agent 6")*1,0)+26),"")</f>
        <v/>
      </c>
      <c r="E50" s="89" t="str">
        <f>IFERROR(INDEX(AGENT_DATABASE!F:F,MATCH(1,(AGENT_DATABASE!B2:B5000="Agent 6")*1,0)+26),"")</f>
        <v/>
      </c>
      <c r="F50" s="90" t="str">
        <f>IFERROR(INDEX(AGENT_DATABASE!G:G,MATCH(1,(AGENT_DATABASE!B2:B5000="Agent 6")*1,0)+26),"")</f>
        <v/>
      </c>
      <c r="G50" s="91" t="str">
        <f>IFERROR(INDEX(AGENT_DATABASE!H:H,MATCH(1,(AGENT_DATABASE!B2:B5000="Agent 6")*1,0)+26),"")</f>
        <v/>
      </c>
      <c r="H50" s="90" t="str">
        <f>IFERROR(INDEX(AGENT_DATABASE!I:I,MATCH(1,(AGENT_DATABASE!B2:B5000="Agent 6")*1,0)+26),"")</f>
        <v/>
      </c>
      <c r="I50" s="87" t="str">
        <f>IFERROR(INDEX(AGENT_DATABASE!J:J,MATCH(1,(AGENT_DATABASE!B2:B5000="Agent 6")*1,0)+26),"")</f>
        <v/>
      </c>
      <c r="J50" s="87" t="str">
        <f>IFERROR(INDEX(AGENT_DATABASE!L:L,MATCH(1,(AGENT_DATABASE!B2:B5000="Agent 6")*1,0)+26),"")</f>
        <v/>
      </c>
      <c r="K50" s="87" t="str">
        <f>IFERROR(INDEX(AGENT_DATABASE!M:M,MATCH(1,(AGENT_DATABASE!B2:B5000="Agent 6")*1,0)+26),"")</f>
        <v/>
      </c>
      <c r="L50" s="89" t="str">
        <f>IFERROR(INDEX(AGENT_DATABASE!K:K,MATCH(1,(AGENT_DATABASE!B2:B5000="Agent 6")*1,0)+26),"")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6")*1,0)+27),"")</f>
        <v/>
      </c>
      <c r="C51" s="94" t="str">
        <f>IFERROR(INDEX(AGENT_DATABASE!C:C,MATCH(1,(AGENT_DATABASE!B2:B5000="Agent 6")*1,0)+27),"")</f>
        <v/>
      </c>
      <c r="D51" s="94" t="str">
        <f>IFERROR(INDEX(AGENT_DATABASE!D:D,MATCH(1,(AGENT_DATABASE!B2:B5000="Agent 6")*1,0)+27),"")</f>
        <v/>
      </c>
      <c r="E51" s="94" t="str">
        <f>IFERROR(INDEX(AGENT_DATABASE!F:F,MATCH(1,(AGENT_DATABASE!B2:B5000="Agent 6")*1,0)+27),"")</f>
        <v/>
      </c>
      <c r="F51" s="95" t="str">
        <f>IFERROR(INDEX(AGENT_DATABASE!G:G,MATCH(1,(AGENT_DATABASE!B2:B5000="Agent 6")*1,0)+27),"")</f>
        <v/>
      </c>
      <c r="G51" s="96" t="str">
        <f>IFERROR(INDEX(AGENT_DATABASE!H:H,MATCH(1,(AGENT_DATABASE!B2:B5000="Agent 6")*1,0)+27),"")</f>
        <v/>
      </c>
      <c r="H51" s="95" t="str">
        <f>IFERROR(INDEX(AGENT_DATABASE!I:I,MATCH(1,(AGENT_DATABASE!B2:B5000="Agent 6")*1,0)+27),"")</f>
        <v/>
      </c>
      <c r="I51" s="92" t="str">
        <f>IFERROR(INDEX(AGENT_DATABASE!J:J,MATCH(1,(AGENT_DATABASE!B2:B5000="Agent 6")*1,0)+27),"")</f>
        <v/>
      </c>
      <c r="J51" s="92" t="str">
        <f>IFERROR(INDEX(AGENT_DATABASE!L:L,MATCH(1,(AGENT_DATABASE!B2:B5000="Agent 6")*1,0)+27),"")</f>
        <v/>
      </c>
      <c r="K51" s="92" t="str">
        <f>IFERROR(INDEX(AGENT_DATABASE!M:M,MATCH(1,(AGENT_DATABASE!B2:B5000="Agent 6")*1,0)+27),"")</f>
        <v/>
      </c>
      <c r="L51" s="94" t="str">
        <f>IFERROR(INDEX(AGENT_DATABASE!K:K,MATCH(1,(AGENT_DATABASE!B2:B5000="Agent 6")*1,0)+27),"")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6")*1,0)+28),"")</f>
        <v/>
      </c>
      <c r="C52" s="89" t="str">
        <f>IFERROR(INDEX(AGENT_DATABASE!C:C,MATCH(1,(AGENT_DATABASE!B2:B5000="Agent 6")*1,0)+28),"")</f>
        <v/>
      </c>
      <c r="D52" s="89" t="str">
        <f>IFERROR(INDEX(AGENT_DATABASE!D:D,MATCH(1,(AGENT_DATABASE!B2:B5000="Agent 6")*1,0)+28),"")</f>
        <v/>
      </c>
      <c r="E52" s="89" t="str">
        <f>IFERROR(INDEX(AGENT_DATABASE!F:F,MATCH(1,(AGENT_DATABASE!B2:B5000="Agent 6")*1,0)+28),"")</f>
        <v/>
      </c>
      <c r="F52" s="90" t="str">
        <f>IFERROR(INDEX(AGENT_DATABASE!G:G,MATCH(1,(AGENT_DATABASE!B2:B5000="Agent 6")*1,0)+28),"")</f>
        <v/>
      </c>
      <c r="G52" s="91" t="str">
        <f>IFERROR(INDEX(AGENT_DATABASE!H:H,MATCH(1,(AGENT_DATABASE!B2:B5000="Agent 6")*1,0)+28),"")</f>
        <v/>
      </c>
      <c r="H52" s="90" t="str">
        <f>IFERROR(INDEX(AGENT_DATABASE!I:I,MATCH(1,(AGENT_DATABASE!B2:B5000="Agent 6")*1,0)+28),"")</f>
        <v/>
      </c>
      <c r="I52" s="87" t="str">
        <f>IFERROR(INDEX(AGENT_DATABASE!J:J,MATCH(1,(AGENT_DATABASE!B2:B5000="Agent 6")*1,0)+28),"")</f>
        <v/>
      </c>
      <c r="J52" s="87" t="str">
        <f>IFERROR(INDEX(AGENT_DATABASE!L:L,MATCH(1,(AGENT_DATABASE!B2:B5000="Agent 6")*1,0)+28),"")</f>
        <v/>
      </c>
      <c r="K52" s="87" t="str">
        <f>IFERROR(INDEX(AGENT_DATABASE!M:M,MATCH(1,(AGENT_DATABASE!B2:B5000="Agent 6")*1,0)+28),"")</f>
        <v/>
      </c>
      <c r="L52" s="89" t="str">
        <f>IFERROR(INDEX(AGENT_DATABASE!K:K,MATCH(1,(AGENT_DATABASE!B2:B5000="Agent 6")*1,0)+28),"")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6")*1,0)+29),"")</f>
        <v/>
      </c>
      <c r="C53" s="94" t="str">
        <f>IFERROR(INDEX(AGENT_DATABASE!C:C,MATCH(1,(AGENT_DATABASE!B2:B5000="Agent 6")*1,0)+29),"")</f>
        <v/>
      </c>
      <c r="D53" s="94" t="str">
        <f>IFERROR(INDEX(AGENT_DATABASE!D:D,MATCH(1,(AGENT_DATABASE!B2:B5000="Agent 6")*1,0)+29),"")</f>
        <v/>
      </c>
      <c r="E53" s="94" t="str">
        <f>IFERROR(INDEX(AGENT_DATABASE!F:F,MATCH(1,(AGENT_DATABASE!B2:B5000="Agent 6")*1,0)+29),"")</f>
        <v/>
      </c>
      <c r="F53" s="95" t="str">
        <f>IFERROR(INDEX(AGENT_DATABASE!G:G,MATCH(1,(AGENT_DATABASE!B2:B5000="Agent 6")*1,0)+29),"")</f>
        <v/>
      </c>
      <c r="G53" s="96" t="str">
        <f>IFERROR(INDEX(AGENT_DATABASE!H:H,MATCH(1,(AGENT_DATABASE!B2:B5000="Agent 6")*1,0)+29),"")</f>
        <v/>
      </c>
      <c r="H53" s="95" t="str">
        <f>IFERROR(INDEX(AGENT_DATABASE!I:I,MATCH(1,(AGENT_DATABASE!B2:B5000="Agent 6")*1,0)+29),"")</f>
        <v/>
      </c>
      <c r="I53" s="92" t="str">
        <f>IFERROR(INDEX(AGENT_DATABASE!J:J,MATCH(1,(AGENT_DATABASE!B2:B5000="Agent 6")*1,0)+29),"")</f>
        <v/>
      </c>
      <c r="J53" s="92" t="str">
        <f>IFERROR(INDEX(AGENT_DATABASE!L:L,MATCH(1,(AGENT_DATABASE!B2:B5000="Agent 6")*1,0)+29),"")</f>
        <v/>
      </c>
      <c r="K53" s="92" t="str">
        <f>IFERROR(INDEX(AGENT_DATABASE!M:M,MATCH(1,(AGENT_DATABASE!B2:B5000="Agent 6")*1,0)+29),"")</f>
        <v/>
      </c>
      <c r="L53" s="94" t="str">
        <f>IFERROR(INDEX(AGENT_DATABASE!K:K,MATCH(1,(AGENT_DATABASE!B2:B5000="Agent 6")*1,0)+29),"")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700-000000000000}">
      <formula1>"Savings Deposit,Withdrawal"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176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177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f ca="1">SUMPRODUCT((AGENT_DATABASE!B2:B5000="Agent 7")*(AGENT_DATABASE!F2:F5000="Savings Deposit")*(TEXT(AGENT_DATABASE!A2:A5000,"DD/MM/YYYY")=TEXT(TODAY(),"DD/MM/YYYY"))*AGENT_DATABASE!G2:G5000)</f>
        <v>0</v>
      </c>
      <c r="C6" s="132"/>
      <c r="D6" s="135">
        <f ca="1">SUMPRODUCT((AGENT_DATABASE!B2:B5000="Agent 7")*(AGENT_DATABASE!F2:F5000="Loan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7")*(AGENT_DATABASE!F2:F5000="Withdrawal")*(TEXT(AGENT_DATABASE!A2:A5000,"DD/MM/YYYY")=TEXT(TODAY(),"DD/MM/YYYY"))*AGENT_DATABASE!G2:G5000)</f>
        <v>0</v>
      </c>
      <c r="G6" s="132"/>
      <c r="H6" s="135">
        <f ca="1">IFERROR(B6-F6-D6,0)</f>
        <v>0</v>
      </c>
      <c r="I6" s="132"/>
      <c r="J6" s="136">
        <f ca="1">SUMPRODUCT((AGENT_DATABASE!B2:B5000="Agent 7")*(TEXT(AGENT_DATABASE!A2:A5000,"DD/MM/YYYY")=TEXT(TODAY(),"DD/MM/YYYY"))*1)</f>
        <v>0</v>
      </c>
      <c r="K6" s="132"/>
    </row>
    <row r="7" spans="1:12" ht="27.95" customHeight="1" x14ac:dyDescent="0.25">
      <c r="A7" s="129" t="s">
        <v>178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7")*(AGENT_DATABASE!F2:F5000="Savings Deposit")*(TEXT(AGENT_DATABASE!A2:A5000,"DD/MM/YYYY")=TEXT(TODAY(),"DD/MM/YYYY"))*AGENT_DATABASE!G2:G5000),2)=0,ROUND(E9-SUMPRODUCT((AGENT_DATABASE!B2:B5000="Agent 7")*(AGENT_DATABASE!F2:F5000="Withdrawal")*(TEXT(AGENT_DATABASE!A2:A5000,"DD/MM/YYYY")=TEXT(TODAY(),"DD/MM/YYYY"))*AGENT_DATABASE!G2:G5000),2)=0,ROUND(G9-SUMPRODUCT((AGENT_DATABASE!B2:B5000="Agent 7")*(AGENT_DATABASE!F2:F5000="Loan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7")*1,0)+0),"")</f>
        <v/>
      </c>
      <c r="C24" s="89" t="str">
        <f>IFERROR(INDEX(AGENT_DATABASE!C:C,MATCH(1,(AGENT_DATABASE!B2:B5000="Agent 7")*1,0)+0),"")</f>
        <v/>
      </c>
      <c r="D24" s="89" t="str">
        <f>IFERROR(INDEX(AGENT_DATABASE!D:D,MATCH(1,(AGENT_DATABASE!B2:B5000="Agent 7")*1,0)+0),"")</f>
        <v/>
      </c>
      <c r="E24" s="89" t="str">
        <f>IFERROR(INDEX(AGENT_DATABASE!F:F,MATCH(1,(AGENT_DATABASE!B2:B5000="Agent 7")*1,0)+0),"")</f>
        <v/>
      </c>
      <c r="F24" s="90" t="str">
        <f>IFERROR(INDEX(AGENT_DATABASE!G:G,MATCH(1,(AGENT_DATABASE!B2:B5000="Agent 7")*1,0)+0),"")</f>
        <v/>
      </c>
      <c r="G24" s="91" t="str">
        <f>IFERROR(INDEX(AGENT_DATABASE!H:H,MATCH(1,(AGENT_DATABASE!B2:B5000="Agent 7")*1,0)+0),"")</f>
        <v/>
      </c>
      <c r="H24" s="90" t="str">
        <f>IFERROR(INDEX(AGENT_DATABASE!I:I,MATCH(1,(AGENT_DATABASE!B2:B5000="Agent 7")*1,0)+0),"")</f>
        <v/>
      </c>
      <c r="I24" s="87" t="str">
        <f>IFERROR(INDEX(AGENT_DATABASE!J:J,MATCH(1,(AGENT_DATABASE!B2:B5000="Agent 7")*1,0)+0),"")</f>
        <v/>
      </c>
      <c r="J24" s="87" t="str">
        <f>IFERROR(INDEX(AGENT_DATABASE!L:L,MATCH(1,(AGENT_DATABASE!B2:B5000="Agent 7")*1,0)+0),"")</f>
        <v/>
      </c>
      <c r="K24" s="87" t="str">
        <f>IFERROR(INDEX(AGENT_DATABASE!M:M,MATCH(1,(AGENT_DATABASE!B2:B5000="Agent 7")*1,0)+0),"")</f>
        <v/>
      </c>
      <c r="L24" s="89" t="str">
        <f>IFERROR(INDEX(AGENT_DATABASE!K:K,MATCH(1,(AGENT_DATABASE!B2:B5000="Agent 7")*1,0)+0),"")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7")*1,0)+1),"")</f>
        <v/>
      </c>
      <c r="C25" s="94" t="str">
        <f>IFERROR(INDEX(AGENT_DATABASE!C:C,MATCH(1,(AGENT_DATABASE!B2:B5000="Agent 7")*1,0)+1),"")</f>
        <v/>
      </c>
      <c r="D25" s="94" t="str">
        <f>IFERROR(INDEX(AGENT_DATABASE!D:D,MATCH(1,(AGENT_DATABASE!B2:B5000="Agent 7")*1,0)+1),"")</f>
        <v/>
      </c>
      <c r="E25" s="94" t="str">
        <f>IFERROR(INDEX(AGENT_DATABASE!F:F,MATCH(1,(AGENT_DATABASE!B2:B5000="Agent 7")*1,0)+1),"")</f>
        <v/>
      </c>
      <c r="F25" s="95" t="str">
        <f>IFERROR(INDEX(AGENT_DATABASE!G:G,MATCH(1,(AGENT_DATABASE!B2:B5000="Agent 7")*1,0)+1),"")</f>
        <v/>
      </c>
      <c r="G25" s="96" t="str">
        <f>IFERROR(INDEX(AGENT_DATABASE!H:H,MATCH(1,(AGENT_DATABASE!B2:B5000="Agent 7")*1,0)+1),"")</f>
        <v/>
      </c>
      <c r="H25" s="95" t="str">
        <f>IFERROR(INDEX(AGENT_DATABASE!I:I,MATCH(1,(AGENT_DATABASE!B2:B5000="Agent 7")*1,0)+1),"")</f>
        <v/>
      </c>
      <c r="I25" s="92" t="str">
        <f>IFERROR(INDEX(AGENT_DATABASE!J:J,MATCH(1,(AGENT_DATABASE!B2:B5000="Agent 7")*1,0)+1),"")</f>
        <v/>
      </c>
      <c r="J25" s="92" t="str">
        <f>IFERROR(INDEX(AGENT_DATABASE!L:L,MATCH(1,(AGENT_DATABASE!B2:B5000="Agent 7")*1,0)+1),"")</f>
        <v/>
      </c>
      <c r="K25" s="92" t="str">
        <f>IFERROR(INDEX(AGENT_DATABASE!M:M,MATCH(1,(AGENT_DATABASE!B2:B5000="Agent 7")*1,0)+1),"")</f>
        <v/>
      </c>
      <c r="L25" s="94" t="str">
        <f>IFERROR(INDEX(AGENT_DATABASE!K:K,MATCH(1,(AGENT_DATABASE!B2:B5000="Agent 7")*1,0)+1),"")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7")*1,0)+2),"")</f>
        <v/>
      </c>
      <c r="C26" s="89" t="str">
        <f>IFERROR(INDEX(AGENT_DATABASE!C:C,MATCH(1,(AGENT_DATABASE!B2:B5000="Agent 7")*1,0)+2),"")</f>
        <v/>
      </c>
      <c r="D26" s="89" t="str">
        <f>IFERROR(INDEX(AGENT_DATABASE!D:D,MATCH(1,(AGENT_DATABASE!B2:B5000="Agent 7")*1,0)+2),"")</f>
        <v/>
      </c>
      <c r="E26" s="89" t="str">
        <f>IFERROR(INDEX(AGENT_DATABASE!F:F,MATCH(1,(AGENT_DATABASE!B2:B5000="Agent 7")*1,0)+2),"")</f>
        <v/>
      </c>
      <c r="F26" s="90" t="str">
        <f>IFERROR(INDEX(AGENT_DATABASE!G:G,MATCH(1,(AGENT_DATABASE!B2:B5000="Agent 7")*1,0)+2),"")</f>
        <v/>
      </c>
      <c r="G26" s="91" t="str">
        <f>IFERROR(INDEX(AGENT_DATABASE!H:H,MATCH(1,(AGENT_DATABASE!B2:B5000="Agent 7")*1,0)+2),"")</f>
        <v/>
      </c>
      <c r="H26" s="90" t="str">
        <f>IFERROR(INDEX(AGENT_DATABASE!I:I,MATCH(1,(AGENT_DATABASE!B2:B5000="Agent 7")*1,0)+2),"")</f>
        <v/>
      </c>
      <c r="I26" s="87" t="str">
        <f>IFERROR(INDEX(AGENT_DATABASE!J:J,MATCH(1,(AGENT_DATABASE!B2:B5000="Agent 7")*1,0)+2),"")</f>
        <v/>
      </c>
      <c r="J26" s="87" t="str">
        <f>IFERROR(INDEX(AGENT_DATABASE!L:L,MATCH(1,(AGENT_DATABASE!B2:B5000="Agent 7")*1,0)+2),"")</f>
        <v/>
      </c>
      <c r="K26" s="87" t="str">
        <f>IFERROR(INDEX(AGENT_DATABASE!M:M,MATCH(1,(AGENT_DATABASE!B2:B5000="Agent 7")*1,0)+2),"")</f>
        <v/>
      </c>
      <c r="L26" s="89" t="str">
        <f>IFERROR(INDEX(AGENT_DATABASE!K:K,MATCH(1,(AGENT_DATABASE!B2:B5000="Agent 7")*1,0)+2),"")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7")*1,0)+3),"")</f>
        <v/>
      </c>
      <c r="C27" s="94" t="str">
        <f>IFERROR(INDEX(AGENT_DATABASE!C:C,MATCH(1,(AGENT_DATABASE!B2:B5000="Agent 7")*1,0)+3),"")</f>
        <v/>
      </c>
      <c r="D27" s="94" t="str">
        <f>IFERROR(INDEX(AGENT_DATABASE!D:D,MATCH(1,(AGENT_DATABASE!B2:B5000="Agent 7")*1,0)+3),"")</f>
        <v/>
      </c>
      <c r="E27" s="94" t="str">
        <f>IFERROR(INDEX(AGENT_DATABASE!F:F,MATCH(1,(AGENT_DATABASE!B2:B5000="Agent 7")*1,0)+3),"")</f>
        <v/>
      </c>
      <c r="F27" s="95" t="str">
        <f>IFERROR(INDEX(AGENT_DATABASE!G:G,MATCH(1,(AGENT_DATABASE!B2:B5000="Agent 7")*1,0)+3),"")</f>
        <v/>
      </c>
      <c r="G27" s="96" t="str">
        <f>IFERROR(INDEX(AGENT_DATABASE!H:H,MATCH(1,(AGENT_DATABASE!B2:B5000="Agent 7")*1,0)+3),"")</f>
        <v/>
      </c>
      <c r="H27" s="95" t="str">
        <f>IFERROR(INDEX(AGENT_DATABASE!I:I,MATCH(1,(AGENT_DATABASE!B2:B5000="Agent 7")*1,0)+3),"")</f>
        <v/>
      </c>
      <c r="I27" s="92" t="str">
        <f>IFERROR(INDEX(AGENT_DATABASE!J:J,MATCH(1,(AGENT_DATABASE!B2:B5000="Agent 7")*1,0)+3),"")</f>
        <v/>
      </c>
      <c r="J27" s="92" t="str">
        <f>IFERROR(INDEX(AGENT_DATABASE!L:L,MATCH(1,(AGENT_DATABASE!B2:B5000="Agent 7")*1,0)+3),"")</f>
        <v/>
      </c>
      <c r="K27" s="92" t="str">
        <f>IFERROR(INDEX(AGENT_DATABASE!M:M,MATCH(1,(AGENT_DATABASE!B2:B5000="Agent 7")*1,0)+3),"")</f>
        <v/>
      </c>
      <c r="L27" s="94" t="str">
        <f>IFERROR(INDEX(AGENT_DATABASE!K:K,MATCH(1,(AGENT_DATABASE!B2:B5000="Agent 7")*1,0)+3),"")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7")*1,0)+4),"")</f>
        <v/>
      </c>
      <c r="C28" s="89" t="str">
        <f>IFERROR(INDEX(AGENT_DATABASE!C:C,MATCH(1,(AGENT_DATABASE!B2:B5000="Agent 7")*1,0)+4),"")</f>
        <v/>
      </c>
      <c r="D28" s="89" t="str">
        <f>IFERROR(INDEX(AGENT_DATABASE!D:D,MATCH(1,(AGENT_DATABASE!B2:B5000="Agent 7")*1,0)+4),"")</f>
        <v/>
      </c>
      <c r="E28" s="89" t="str">
        <f>IFERROR(INDEX(AGENT_DATABASE!F:F,MATCH(1,(AGENT_DATABASE!B2:B5000="Agent 7")*1,0)+4),"")</f>
        <v/>
      </c>
      <c r="F28" s="90" t="str">
        <f>IFERROR(INDEX(AGENT_DATABASE!G:G,MATCH(1,(AGENT_DATABASE!B2:B5000="Agent 7")*1,0)+4),"")</f>
        <v/>
      </c>
      <c r="G28" s="91" t="str">
        <f>IFERROR(INDEX(AGENT_DATABASE!H:H,MATCH(1,(AGENT_DATABASE!B2:B5000="Agent 7")*1,0)+4),"")</f>
        <v/>
      </c>
      <c r="H28" s="90" t="str">
        <f>IFERROR(INDEX(AGENT_DATABASE!I:I,MATCH(1,(AGENT_DATABASE!B2:B5000="Agent 7")*1,0)+4),"")</f>
        <v/>
      </c>
      <c r="I28" s="87" t="str">
        <f>IFERROR(INDEX(AGENT_DATABASE!J:J,MATCH(1,(AGENT_DATABASE!B2:B5000="Agent 7")*1,0)+4),"")</f>
        <v/>
      </c>
      <c r="J28" s="87" t="str">
        <f>IFERROR(INDEX(AGENT_DATABASE!L:L,MATCH(1,(AGENT_DATABASE!B2:B5000="Agent 7")*1,0)+4),"")</f>
        <v/>
      </c>
      <c r="K28" s="87" t="str">
        <f>IFERROR(INDEX(AGENT_DATABASE!M:M,MATCH(1,(AGENT_DATABASE!B2:B5000="Agent 7")*1,0)+4),"")</f>
        <v/>
      </c>
      <c r="L28" s="89" t="str">
        <f>IFERROR(INDEX(AGENT_DATABASE!K:K,MATCH(1,(AGENT_DATABASE!B2:B5000="Agent 7")*1,0)+4),"")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7")*1,0)+5),"")</f>
        <v/>
      </c>
      <c r="C29" s="94" t="str">
        <f>IFERROR(INDEX(AGENT_DATABASE!C:C,MATCH(1,(AGENT_DATABASE!B2:B5000="Agent 7")*1,0)+5),"")</f>
        <v/>
      </c>
      <c r="D29" s="94" t="str">
        <f>IFERROR(INDEX(AGENT_DATABASE!D:D,MATCH(1,(AGENT_DATABASE!B2:B5000="Agent 7")*1,0)+5),"")</f>
        <v/>
      </c>
      <c r="E29" s="94" t="str">
        <f>IFERROR(INDEX(AGENT_DATABASE!F:F,MATCH(1,(AGENT_DATABASE!B2:B5000="Agent 7")*1,0)+5),"")</f>
        <v/>
      </c>
      <c r="F29" s="95" t="str">
        <f>IFERROR(INDEX(AGENT_DATABASE!G:G,MATCH(1,(AGENT_DATABASE!B2:B5000="Agent 7")*1,0)+5),"")</f>
        <v/>
      </c>
      <c r="G29" s="96" t="str">
        <f>IFERROR(INDEX(AGENT_DATABASE!H:H,MATCH(1,(AGENT_DATABASE!B2:B5000="Agent 7")*1,0)+5),"")</f>
        <v/>
      </c>
      <c r="H29" s="95" t="str">
        <f>IFERROR(INDEX(AGENT_DATABASE!I:I,MATCH(1,(AGENT_DATABASE!B2:B5000="Agent 7")*1,0)+5),"")</f>
        <v/>
      </c>
      <c r="I29" s="92" t="str">
        <f>IFERROR(INDEX(AGENT_DATABASE!J:J,MATCH(1,(AGENT_DATABASE!B2:B5000="Agent 7")*1,0)+5),"")</f>
        <v/>
      </c>
      <c r="J29" s="92" t="str">
        <f>IFERROR(INDEX(AGENT_DATABASE!L:L,MATCH(1,(AGENT_DATABASE!B2:B5000="Agent 7")*1,0)+5),"")</f>
        <v/>
      </c>
      <c r="K29" s="92" t="str">
        <f>IFERROR(INDEX(AGENT_DATABASE!M:M,MATCH(1,(AGENT_DATABASE!B2:B5000="Agent 7")*1,0)+5),"")</f>
        <v/>
      </c>
      <c r="L29" s="94" t="str">
        <f>IFERROR(INDEX(AGENT_DATABASE!K:K,MATCH(1,(AGENT_DATABASE!B2:B5000="Agent 7")*1,0)+5),"")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7")*1,0)+6),"")</f>
        <v/>
      </c>
      <c r="C30" s="89" t="str">
        <f>IFERROR(INDEX(AGENT_DATABASE!C:C,MATCH(1,(AGENT_DATABASE!B2:B5000="Agent 7")*1,0)+6),"")</f>
        <v/>
      </c>
      <c r="D30" s="89" t="str">
        <f>IFERROR(INDEX(AGENT_DATABASE!D:D,MATCH(1,(AGENT_DATABASE!B2:B5000="Agent 7")*1,0)+6),"")</f>
        <v/>
      </c>
      <c r="E30" s="89" t="str">
        <f>IFERROR(INDEX(AGENT_DATABASE!F:F,MATCH(1,(AGENT_DATABASE!B2:B5000="Agent 7")*1,0)+6),"")</f>
        <v/>
      </c>
      <c r="F30" s="90" t="str">
        <f>IFERROR(INDEX(AGENT_DATABASE!G:G,MATCH(1,(AGENT_DATABASE!B2:B5000="Agent 7")*1,0)+6),"")</f>
        <v/>
      </c>
      <c r="G30" s="91" t="str">
        <f>IFERROR(INDEX(AGENT_DATABASE!H:H,MATCH(1,(AGENT_DATABASE!B2:B5000="Agent 7")*1,0)+6),"")</f>
        <v/>
      </c>
      <c r="H30" s="90" t="str">
        <f>IFERROR(INDEX(AGENT_DATABASE!I:I,MATCH(1,(AGENT_DATABASE!B2:B5000="Agent 7")*1,0)+6),"")</f>
        <v/>
      </c>
      <c r="I30" s="87" t="str">
        <f>IFERROR(INDEX(AGENT_DATABASE!J:J,MATCH(1,(AGENT_DATABASE!B2:B5000="Agent 7")*1,0)+6),"")</f>
        <v/>
      </c>
      <c r="J30" s="87" t="str">
        <f>IFERROR(INDEX(AGENT_DATABASE!L:L,MATCH(1,(AGENT_DATABASE!B2:B5000="Agent 7")*1,0)+6),"")</f>
        <v/>
      </c>
      <c r="K30" s="87" t="str">
        <f>IFERROR(INDEX(AGENT_DATABASE!M:M,MATCH(1,(AGENT_DATABASE!B2:B5000="Agent 7")*1,0)+6),"")</f>
        <v/>
      </c>
      <c r="L30" s="89" t="str">
        <f>IFERROR(INDEX(AGENT_DATABASE!K:K,MATCH(1,(AGENT_DATABASE!B2:B5000="Agent 7")*1,0)+6),"")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7")*1,0)+7),"")</f>
        <v/>
      </c>
      <c r="C31" s="94" t="str">
        <f>IFERROR(INDEX(AGENT_DATABASE!C:C,MATCH(1,(AGENT_DATABASE!B2:B5000="Agent 7")*1,0)+7),"")</f>
        <v/>
      </c>
      <c r="D31" s="94" t="str">
        <f>IFERROR(INDEX(AGENT_DATABASE!D:D,MATCH(1,(AGENT_DATABASE!B2:B5000="Agent 7")*1,0)+7),"")</f>
        <v/>
      </c>
      <c r="E31" s="94" t="str">
        <f>IFERROR(INDEX(AGENT_DATABASE!F:F,MATCH(1,(AGENT_DATABASE!B2:B5000="Agent 7")*1,0)+7),"")</f>
        <v/>
      </c>
      <c r="F31" s="95" t="str">
        <f>IFERROR(INDEX(AGENT_DATABASE!G:G,MATCH(1,(AGENT_DATABASE!B2:B5000="Agent 7")*1,0)+7),"")</f>
        <v/>
      </c>
      <c r="G31" s="96" t="str">
        <f>IFERROR(INDEX(AGENT_DATABASE!H:H,MATCH(1,(AGENT_DATABASE!B2:B5000="Agent 7")*1,0)+7),"")</f>
        <v/>
      </c>
      <c r="H31" s="95" t="str">
        <f>IFERROR(INDEX(AGENT_DATABASE!I:I,MATCH(1,(AGENT_DATABASE!B2:B5000="Agent 7")*1,0)+7),"")</f>
        <v/>
      </c>
      <c r="I31" s="92" t="str">
        <f>IFERROR(INDEX(AGENT_DATABASE!J:J,MATCH(1,(AGENT_DATABASE!B2:B5000="Agent 7")*1,0)+7),"")</f>
        <v/>
      </c>
      <c r="J31" s="92" t="str">
        <f>IFERROR(INDEX(AGENT_DATABASE!L:L,MATCH(1,(AGENT_DATABASE!B2:B5000="Agent 7")*1,0)+7),"")</f>
        <v/>
      </c>
      <c r="K31" s="92" t="str">
        <f>IFERROR(INDEX(AGENT_DATABASE!M:M,MATCH(1,(AGENT_DATABASE!B2:B5000="Agent 7")*1,0)+7),"")</f>
        <v/>
      </c>
      <c r="L31" s="94" t="str">
        <f>IFERROR(INDEX(AGENT_DATABASE!K:K,MATCH(1,(AGENT_DATABASE!B2:B5000="Agent 7")*1,0)+7),"")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7")*1,0)+8),"")</f>
        <v/>
      </c>
      <c r="C32" s="89" t="str">
        <f>IFERROR(INDEX(AGENT_DATABASE!C:C,MATCH(1,(AGENT_DATABASE!B2:B5000="Agent 7")*1,0)+8),"")</f>
        <v/>
      </c>
      <c r="D32" s="89" t="str">
        <f>IFERROR(INDEX(AGENT_DATABASE!D:D,MATCH(1,(AGENT_DATABASE!B2:B5000="Agent 7")*1,0)+8),"")</f>
        <v/>
      </c>
      <c r="E32" s="89" t="str">
        <f>IFERROR(INDEX(AGENT_DATABASE!F:F,MATCH(1,(AGENT_DATABASE!B2:B5000="Agent 7")*1,0)+8),"")</f>
        <v/>
      </c>
      <c r="F32" s="90" t="str">
        <f>IFERROR(INDEX(AGENT_DATABASE!G:G,MATCH(1,(AGENT_DATABASE!B2:B5000="Agent 7")*1,0)+8),"")</f>
        <v/>
      </c>
      <c r="G32" s="91" t="str">
        <f>IFERROR(INDEX(AGENT_DATABASE!H:H,MATCH(1,(AGENT_DATABASE!B2:B5000="Agent 7")*1,0)+8),"")</f>
        <v/>
      </c>
      <c r="H32" s="90" t="str">
        <f>IFERROR(INDEX(AGENT_DATABASE!I:I,MATCH(1,(AGENT_DATABASE!B2:B5000="Agent 7")*1,0)+8),"")</f>
        <v/>
      </c>
      <c r="I32" s="87" t="str">
        <f>IFERROR(INDEX(AGENT_DATABASE!J:J,MATCH(1,(AGENT_DATABASE!B2:B5000="Agent 7")*1,0)+8),"")</f>
        <v/>
      </c>
      <c r="J32" s="87" t="str">
        <f>IFERROR(INDEX(AGENT_DATABASE!L:L,MATCH(1,(AGENT_DATABASE!B2:B5000="Agent 7")*1,0)+8),"")</f>
        <v/>
      </c>
      <c r="K32" s="87" t="str">
        <f>IFERROR(INDEX(AGENT_DATABASE!M:M,MATCH(1,(AGENT_DATABASE!B2:B5000="Agent 7")*1,0)+8),"")</f>
        <v/>
      </c>
      <c r="L32" s="89" t="str">
        <f>IFERROR(INDEX(AGENT_DATABASE!K:K,MATCH(1,(AGENT_DATABASE!B2:B5000="Agent 7")*1,0)+8),"")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7")*1,0)+9),"")</f>
        <v/>
      </c>
      <c r="C33" s="94" t="str">
        <f>IFERROR(INDEX(AGENT_DATABASE!C:C,MATCH(1,(AGENT_DATABASE!B2:B5000="Agent 7")*1,0)+9),"")</f>
        <v/>
      </c>
      <c r="D33" s="94" t="str">
        <f>IFERROR(INDEX(AGENT_DATABASE!D:D,MATCH(1,(AGENT_DATABASE!B2:B5000="Agent 7")*1,0)+9),"")</f>
        <v/>
      </c>
      <c r="E33" s="94" t="str">
        <f>IFERROR(INDEX(AGENT_DATABASE!F:F,MATCH(1,(AGENT_DATABASE!B2:B5000="Agent 7")*1,0)+9),"")</f>
        <v/>
      </c>
      <c r="F33" s="95" t="str">
        <f>IFERROR(INDEX(AGENT_DATABASE!G:G,MATCH(1,(AGENT_DATABASE!B2:B5000="Agent 7")*1,0)+9),"")</f>
        <v/>
      </c>
      <c r="G33" s="96" t="str">
        <f>IFERROR(INDEX(AGENT_DATABASE!H:H,MATCH(1,(AGENT_DATABASE!B2:B5000="Agent 7")*1,0)+9),"")</f>
        <v/>
      </c>
      <c r="H33" s="95" t="str">
        <f>IFERROR(INDEX(AGENT_DATABASE!I:I,MATCH(1,(AGENT_DATABASE!B2:B5000="Agent 7")*1,0)+9),"")</f>
        <v/>
      </c>
      <c r="I33" s="92" t="str">
        <f>IFERROR(INDEX(AGENT_DATABASE!J:J,MATCH(1,(AGENT_DATABASE!B2:B5000="Agent 7")*1,0)+9),"")</f>
        <v/>
      </c>
      <c r="J33" s="92" t="str">
        <f>IFERROR(INDEX(AGENT_DATABASE!L:L,MATCH(1,(AGENT_DATABASE!B2:B5000="Agent 7")*1,0)+9),"")</f>
        <v/>
      </c>
      <c r="K33" s="92" t="str">
        <f>IFERROR(INDEX(AGENT_DATABASE!M:M,MATCH(1,(AGENT_DATABASE!B2:B5000="Agent 7")*1,0)+9),"")</f>
        <v/>
      </c>
      <c r="L33" s="94" t="str">
        <f>IFERROR(INDEX(AGENT_DATABASE!K:K,MATCH(1,(AGENT_DATABASE!B2:B5000="Agent 7")*1,0)+9),"")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7")*1,0)+10),"")</f>
        <v/>
      </c>
      <c r="C34" s="89" t="str">
        <f>IFERROR(INDEX(AGENT_DATABASE!C:C,MATCH(1,(AGENT_DATABASE!B2:B5000="Agent 7")*1,0)+10),"")</f>
        <v/>
      </c>
      <c r="D34" s="89" t="str">
        <f>IFERROR(INDEX(AGENT_DATABASE!D:D,MATCH(1,(AGENT_DATABASE!B2:B5000="Agent 7")*1,0)+10),"")</f>
        <v/>
      </c>
      <c r="E34" s="89" t="str">
        <f>IFERROR(INDEX(AGENT_DATABASE!F:F,MATCH(1,(AGENT_DATABASE!B2:B5000="Agent 7")*1,0)+10),"")</f>
        <v/>
      </c>
      <c r="F34" s="90" t="str">
        <f>IFERROR(INDEX(AGENT_DATABASE!G:G,MATCH(1,(AGENT_DATABASE!B2:B5000="Agent 7")*1,0)+10),"")</f>
        <v/>
      </c>
      <c r="G34" s="91" t="str">
        <f>IFERROR(INDEX(AGENT_DATABASE!H:H,MATCH(1,(AGENT_DATABASE!B2:B5000="Agent 7")*1,0)+10),"")</f>
        <v/>
      </c>
      <c r="H34" s="90" t="str">
        <f>IFERROR(INDEX(AGENT_DATABASE!I:I,MATCH(1,(AGENT_DATABASE!B2:B5000="Agent 7")*1,0)+10),"")</f>
        <v/>
      </c>
      <c r="I34" s="87" t="str">
        <f>IFERROR(INDEX(AGENT_DATABASE!J:J,MATCH(1,(AGENT_DATABASE!B2:B5000="Agent 7")*1,0)+10),"")</f>
        <v/>
      </c>
      <c r="J34" s="87" t="str">
        <f>IFERROR(INDEX(AGENT_DATABASE!L:L,MATCH(1,(AGENT_DATABASE!B2:B5000="Agent 7")*1,0)+10),"")</f>
        <v/>
      </c>
      <c r="K34" s="87" t="str">
        <f>IFERROR(INDEX(AGENT_DATABASE!M:M,MATCH(1,(AGENT_DATABASE!B2:B5000="Agent 7")*1,0)+10),"")</f>
        <v/>
      </c>
      <c r="L34" s="89" t="str">
        <f>IFERROR(INDEX(AGENT_DATABASE!K:K,MATCH(1,(AGENT_DATABASE!B2:B5000="Agent 7")*1,0)+10),"")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7")*1,0)+11),"")</f>
        <v/>
      </c>
      <c r="C35" s="94" t="str">
        <f>IFERROR(INDEX(AGENT_DATABASE!C:C,MATCH(1,(AGENT_DATABASE!B2:B5000="Agent 7")*1,0)+11),"")</f>
        <v/>
      </c>
      <c r="D35" s="94" t="str">
        <f>IFERROR(INDEX(AGENT_DATABASE!D:D,MATCH(1,(AGENT_DATABASE!B2:B5000="Agent 7")*1,0)+11),"")</f>
        <v/>
      </c>
      <c r="E35" s="94" t="str">
        <f>IFERROR(INDEX(AGENT_DATABASE!F:F,MATCH(1,(AGENT_DATABASE!B2:B5000="Agent 7")*1,0)+11),"")</f>
        <v/>
      </c>
      <c r="F35" s="95" t="str">
        <f>IFERROR(INDEX(AGENT_DATABASE!G:G,MATCH(1,(AGENT_DATABASE!B2:B5000="Agent 7")*1,0)+11),"")</f>
        <v/>
      </c>
      <c r="G35" s="96" t="str">
        <f>IFERROR(INDEX(AGENT_DATABASE!H:H,MATCH(1,(AGENT_DATABASE!B2:B5000="Agent 7")*1,0)+11),"")</f>
        <v/>
      </c>
      <c r="H35" s="95" t="str">
        <f>IFERROR(INDEX(AGENT_DATABASE!I:I,MATCH(1,(AGENT_DATABASE!B2:B5000="Agent 7")*1,0)+11),"")</f>
        <v/>
      </c>
      <c r="I35" s="92" t="str">
        <f>IFERROR(INDEX(AGENT_DATABASE!J:J,MATCH(1,(AGENT_DATABASE!B2:B5000="Agent 7")*1,0)+11),"")</f>
        <v/>
      </c>
      <c r="J35" s="92" t="str">
        <f>IFERROR(INDEX(AGENT_DATABASE!L:L,MATCH(1,(AGENT_DATABASE!B2:B5000="Agent 7")*1,0)+11),"")</f>
        <v/>
      </c>
      <c r="K35" s="92" t="str">
        <f>IFERROR(INDEX(AGENT_DATABASE!M:M,MATCH(1,(AGENT_DATABASE!B2:B5000="Agent 7")*1,0)+11),"")</f>
        <v/>
      </c>
      <c r="L35" s="94" t="str">
        <f>IFERROR(INDEX(AGENT_DATABASE!K:K,MATCH(1,(AGENT_DATABASE!B2:B5000="Agent 7")*1,0)+11),"")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7")*1,0)+12),"")</f>
        <v/>
      </c>
      <c r="C36" s="89" t="str">
        <f>IFERROR(INDEX(AGENT_DATABASE!C:C,MATCH(1,(AGENT_DATABASE!B2:B5000="Agent 7")*1,0)+12),"")</f>
        <v/>
      </c>
      <c r="D36" s="89" t="str">
        <f>IFERROR(INDEX(AGENT_DATABASE!D:D,MATCH(1,(AGENT_DATABASE!B2:B5000="Agent 7")*1,0)+12),"")</f>
        <v/>
      </c>
      <c r="E36" s="89" t="str">
        <f>IFERROR(INDEX(AGENT_DATABASE!F:F,MATCH(1,(AGENT_DATABASE!B2:B5000="Agent 7")*1,0)+12),"")</f>
        <v/>
      </c>
      <c r="F36" s="90" t="str">
        <f>IFERROR(INDEX(AGENT_DATABASE!G:G,MATCH(1,(AGENT_DATABASE!B2:B5000="Agent 7")*1,0)+12),"")</f>
        <v/>
      </c>
      <c r="G36" s="91" t="str">
        <f>IFERROR(INDEX(AGENT_DATABASE!H:H,MATCH(1,(AGENT_DATABASE!B2:B5000="Agent 7")*1,0)+12),"")</f>
        <v/>
      </c>
      <c r="H36" s="90" t="str">
        <f>IFERROR(INDEX(AGENT_DATABASE!I:I,MATCH(1,(AGENT_DATABASE!B2:B5000="Agent 7")*1,0)+12),"")</f>
        <v/>
      </c>
      <c r="I36" s="87" t="str">
        <f>IFERROR(INDEX(AGENT_DATABASE!J:J,MATCH(1,(AGENT_DATABASE!B2:B5000="Agent 7")*1,0)+12),"")</f>
        <v/>
      </c>
      <c r="J36" s="87" t="str">
        <f>IFERROR(INDEX(AGENT_DATABASE!L:L,MATCH(1,(AGENT_DATABASE!B2:B5000="Agent 7")*1,0)+12),"")</f>
        <v/>
      </c>
      <c r="K36" s="87" t="str">
        <f>IFERROR(INDEX(AGENT_DATABASE!M:M,MATCH(1,(AGENT_DATABASE!B2:B5000="Agent 7")*1,0)+12),"")</f>
        <v/>
      </c>
      <c r="L36" s="89" t="str">
        <f>IFERROR(INDEX(AGENT_DATABASE!K:K,MATCH(1,(AGENT_DATABASE!B2:B5000="Agent 7")*1,0)+12),"")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7")*1,0)+13),"")</f>
        <v/>
      </c>
      <c r="C37" s="94" t="str">
        <f>IFERROR(INDEX(AGENT_DATABASE!C:C,MATCH(1,(AGENT_DATABASE!B2:B5000="Agent 7")*1,0)+13),"")</f>
        <v/>
      </c>
      <c r="D37" s="94" t="str">
        <f>IFERROR(INDEX(AGENT_DATABASE!D:D,MATCH(1,(AGENT_DATABASE!B2:B5000="Agent 7")*1,0)+13),"")</f>
        <v/>
      </c>
      <c r="E37" s="94" t="str">
        <f>IFERROR(INDEX(AGENT_DATABASE!F:F,MATCH(1,(AGENT_DATABASE!B2:B5000="Agent 7")*1,0)+13),"")</f>
        <v/>
      </c>
      <c r="F37" s="95" t="str">
        <f>IFERROR(INDEX(AGENT_DATABASE!G:G,MATCH(1,(AGENT_DATABASE!B2:B5000="Agent 7")*1,0)+13),"")</f>
        <v/>
      </c>
      <c r="G37" s="96" t="str">
        <f>IFERROR(INDEX(AGENT_DATABASE!H:H,MATCH(1,(AGENT_DATABASE!B2:B5000="Agent 7")*1,0)+13),"")</f>
        <v/>
      </c>
      <c r="H37" s="95" t="str">
        <f>IFERROR(INDEX(AGENT_DATABASE!I:I,MATCH(1,(AGENT_DATABASE!B2:B5000="Agent 7")*1,0)+13),"")</f>
        <v/>
      </c>
      <c r="I37" s="92" t="str">
        <f>IFERROR(INDEX(AGENT_DATABASE!J:J,MATCH(1,(AGENT_DATABASE!B2:B5000="Agent 7")*1,0)+13),"")</f>
        <v/>
      </c>
      <c r="J37" s="92" t="str">
        <f>IFERROR(INDEX(AGENT_DATABASE!L:L,MATCH(1,(AGENT_DATABASE!B2:B5000="Agent 7")*1,0)+13),"")</f>
        <v/>
      </c>
      <c r="K37" s="92" t="str">
        <f>IFERROR(INDEX(AGENT_DATABASE!M:M,MATCH(1,(AGENT_DATABASE!B2:B5000="Agent 7")*1,0)+13),"")</f>
        <v/>
      </c>
      <c r="L37" s="94" t="str">
        <f>IFERROR(INDEX(AGENT_DATABASE!K:K,MATCH(1,(AGENT_DATABASE!B2:B5000="Agent 7")*1,0)+13),"")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7")*1,0)+14),"")</f>
        <v/>
      </c>
      <c r="C38" s="89" t="str">
        <f>IFERROR(INDEX(AGENT_DATABASE!C:C,MATCH(1,(AGENT_DATABASE!B2:B5000="Agent 7")*1,0)+14),"")</f>
        <v/>
      </c>
      <c r="D38" s="89" t="str">
        <f>IFERROR(INDEX(AGENT_DATABASE!D:D,MATCH(1,(AGENT_DATABASE!B2:B5000="Agent 7")*1,0)+14),"")</f>
        <v/>
      </c>
      <c r="E38" s="89" t="str">
        <f>IFERROR(INDEX(AGENT_DATABASE!F:F,MATCH(1,(AGENT_DATABASE!B2:B5000="Agent 7")*1,0)+14),"")</f>
        <v/>
      </c>
      <c r="F38" s="90" t="str">
        <f>IFERROR(INDEX(AGENT_DATABASE!G:G,MATCH(1,(AGENT_DATABASE!B2:B5000="Agent 7")*1,0)+14),"")</f>
        <v/>
      </c>
      <c r="G38" s="91" t="str">
        <f>IFERROR(INDEX(AGENT_DATABASE!H:H,MATCH(1,(AGENT_DATABASE!B2:B5000="Agent 7")*1,0)+14),"")</f>
        <v/>
      </c>
      <c r="H38" s="90" t="str">
        <f>IFERROR(INDEX(AGENT_DATABASE!I:I,MATCH(1,(AGENT_DATABASE!B2:B5000="Agent 7")*1,0)+14),"")</f>
        <v/>
      </c>
      <c r="I38" s="87" t="str">
        <f>IFERROR(INDEX(AGENT_DATABASE!J:J,MATCH(1,(AGENT_DATABASE!B2:B5000="Agent 7")*1,0)+14),"")</f>
        <v/>
      </c>
      <c r="J38" s="87" t="str">
        <f>IFERROR(INDEX(AGENT_DATABASE!L:L,MATCH(1,(AGENT_DATABASE!B2:B5000="Agent 7")*1,0)+14),"")</f>
        <v/>
      </c>
      <c r="K38" s="87" t="str">
        <f>IFERROR(INDEX(AGENT_DATABASE!M:M,MATCH(1,(AGENT_DATABASE!B2:B5000="Agent 7")*1,0)+14),"")</f>
        <v/>
      </c>
      <c r="L38" s="89" t="str">
        <f>IFERROR(INDEX(AGENT_DATABASE!K:K,MATCH(1,(AGENT_DATABASE!B2:B5000="Agent 7")*1,0)+14),"")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7")*1,0)+15),"")</f>
        <v/>
      </c>
      <c r="C39" s="94" t="str">
        <f>IFERROR(INDEX(AGENT_DATABASE!C:C,MATCH(1,(AGENT_DATABASE!B2:B5000="Agent 7")*1,0)+15),"")</f>
        <v/>
      </c>
      <c r="D39" s="94" t="str">
        <f>IFERROR(INDEX(AGENT_DATABASE!D:D,MATCH(1,(AGENT_DATABASE!B2:B5000="Agent 7")*1,0)+15),"")</f>
        <v/>
      </c>
      <c r="E39" s="94" t="str">
        <f>IFERROR(INDEX(AGENT_DATABASE!F:F,MATCH(1,(AGENT_DATABASE!B2:B5000="Agent 7")*1,0)+15),"")</f>
        <v/>
      </c>
      <c r="F39" s="95" t="str">
        <f>IFERROR(INDEX(AGENT_DATABASE!G:G,MATCH(1,(AGENT_DATABASE!B2:B5000="Agent 7")*1,0)+15),"")</f>
        <v/>
      </c>
      <c r="G39" s="96" t="str">
        <f>IFERROR(INDEX(AGENT_DATABASE!H:H,MATCH(1,(AGENT_DATABASE!B2:B5000="Agent 7")*1,0)+15),"")</f>
        <v/>
      </c>
      <c r="H39" s="95" t="str">
        <f>IFERROR(INDEX(AGENT_DATABASE!I:I,MATCH(1,(AGENT_DATABASE!B2:B5000="Agent 7")*1,0)+15),"")</f>
        <v/>
      </c>
      <c r="I39" s="92" t="str">
        <f>IFERROR(INDEX(AGENT_DATABASE!J:J,MATCH(1,(AGENT_DATABASE!B2:B5000="Agent 7")*1,0)+15),"")</f>
        <v/>
      </c>
      <c r="J39" s="92" t="str">
        <f>IFERROR(INDEX(AGENT_DATABASE!L:L,MATCH(1,(AGENT_DATABASE!B2:B5000="Agent 7")*1,0)+15),"")</f>
        <v/>
      </c>
      <c r="K39" s="92" t="str">
        <f>IFERROR(INDEX(AGENT_DATABASE!M:M,MATCH(1,(AGENT_DATABASE!B2:B5000="Agent 7")*1,0)+15),"")</f>
        <v/>
      </c>
      <c r="L39" s="94" t="str">
        <f>IFERROR(INDEX(AGENT_DATABASE!K:K,MATCH(1,(AGENT_DATABASE!B2:B5000="Agent 7")*1,0)+15),"")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7")*1,0)+16),"")</f>
        <v/>
      </c>
      <c r="C40" s="89" t="str">
        <f>IFERROR(INDEX(AGENT_DATABASE!C:C,MATCH(1,(AGENT_DATABASE!B2:B5000="Agent 7")*1,0)+16),"")</f>
        <v/>
      </c>
      <c r="D40" s="89" t="str">
        <f>IFERROR(INDEX(AGENT_DATABASE!D:D,MATCH(1,(AGENT_DATABASE!B2:B5000="Agent 7")*1,0)+16),"")</f>
        <v/>
      </c>
      <c r="E40" s="89" t="str">
        <f>IFERROR(INDEX(AGENT_DATABASE!F:F,MATCH(1,(AGENT_DATABASE!B2:B5000="Agent 7")*1,0)+16),"")</f>
        <v/>
      </c>
      <c r="F40" s="90" t="str">
        <f>IFERROR(INDEX(AGENT_DATABASE!G:G,MATCH(1,(AGENT_DATABASE!B2:B5000="Agent 7")*1,0)+16),"")</f>
        <v/>
      </c>
      <c r="G40" s="91" t="str">
        <f>IFERROR(INDEX(AGENT_DATABASE!H:H,MATCH(1,(AGENT_DATABASE!B2:B5000="Agent 7")*1,0)+16),"")</f>
        <v/>
      </c>
      <c r="H40" s="90" t="str">
        <f>IFERROR(INDEX(AGENT_DATABASE!I:I,MATCH(1,(AGENT_DATABASE!B2:B5000="Agent 7")*1,0)+16),"")</f>
        <v/>
      </c>
      <c r="I40" s="87" t="str">
        <f>IFERROR(INDEX(AGENT_DATABASE!J:J,MATCH(1,(AGENT_DATABASE!B2:B5000="Agent 7")*1,0)+16),"")</f>
        <v/>
      </c>
      <c r="J40" s="87" t="str">
        <f>IFERROR(INDEX(AGENT_DATABASE!L:L,MATCH(1,(AGENT_DATABASE!B2:B5000="Agent 7")*1,0)+16),"")</f>
        <v/>
      </c>
      <c r="K40" s="87" t="str">
        <f>IFERROR(INDEX(AGENT_DATABASE!M:M,MATCH(1,(AGENT_DATABASE!B2:B5000="Agent 7")*1,0)+16),"")</f>
        <v/>
      </c>
      <c r="L40" s="89" t="str">
        <f>IFERROR(INDEX(AGENT_DATABASE!K:K,MATCH(1,(AGENT_DATABASE!B2:B5000="Agent 7")*1,0)+16),"")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7")*1,0)+17),"")</f>
        <v/>
      </c>
      <c r="C41" s="94" t="str">
        <f>IFERROR(INDEX(AGENT_DATABASE!C:C,MATCH(1,(AGENT_DATABASE!B2:B5000="Agent 7")*1,0)+17),"")</f>
        <v/>
      </c>
      <c r="D41" s="94" t="str">
        <f>IFERROR(INDEX(AGENT_DATABASE!D:D,MATCH(1,(AGENT_DATABASE!B2:B5000="Agent 7")*1,0)+17),"")</f>
        <v/>
      </c>
      <c r="E41" s="94" t="str">
        <f>IFERROR(INDEX(AGENT_DATABASE!F:F,MATCH(1,(AGENT_DATABASE!B2:B5000="Agent 7")*1,0)+17),"")</f>
        <v/>
      </c>
      <c r="F41" s="95" t="str">
        <f>IFERROR(INDEX(AGENT_DATABASE!G:G,MATCH(1,(AGENT_DATABASE!B2:B5000="Agent 7")*1,0)+17),"")</f>
        <v/>
      </c>
      <c r="G41" s="96" t="str">
        <f>IFERROR(INDEX(AGENT_DATABASE!H:H,MATCH(1,(AGENT_DATABASE!B2:B5000="Agent 7")*1,0)+17),"")</f>
        <v/>
      </c>
      <c r="H41" s="95" t="str">
        <f>IFERROR(INDEX(AGENT_DATABASE!I:I,MATCH(1,(AGENT_DATABASE!B2:B5000="Agent 7")*1,0)+17),"")</f>
        <v/>
      </c>
      <c r="I41" s="92" t="str">
        <f>IFERROR(INDEX(AGENT_DATABASE!J:J,MATCH(1,(AGENT_DATABASE!B2:B5000="Agent 7")*1,0)+17),"")</f>
        <v/>
      </c>
      <c r="J41" s="92" t="str">
        <f>IFERROR(INDEX(AGENT_DATABASE!L:L,MATCH(1,(AGENT_DATABASE!B2:B5000="Agent 7")*1,0)+17),"")</f>
        <v/>
      </c>
      <c r="K41" s="92" t="str">
        <f>IFERROR(INDEX(AGENT_DATABASE!M:M,MATCH(1,(AGENT_DATABASE!B2:B5000="Agent 7")*1,0)+17),"")</f>
        <v/>
      </c>
      <c r="L41" s="94" t="str">
        <f>IFERROR(INDEX(AGENT_DATABASE!K:K,MATCH(1,(AGENT_DATABASE!B2:B5000="Agent 7")*1,0)+17),"")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7")*1,0)+18),"")</f>
        <v/>
      </c>
      <c r="C42" s="89" t="str">
        <f>IFERROR(INDEX(AGENT_DATABASE!C:C,MATCH(1,(AGENT_DATABASE!B2:B5000="Agent 7")*1,0)+18),"")</f>
        <v/>
      </c>
      <c r="D42" s="89" t="str">
        <f>IFERROR(INDEX(AGENT_DATABASE!D:D,MATCH(1,(AGENT_DATABASE!B2:B5000="Agent 7")*1,0)+18),"")</f>
        <v/>
      </c>
      <c r="E42" s="89" t="str">
        <f>IFERROR(INDEX(AGENT_DATABASE!F:F,MATCH(1,(AGENT_DATABASE!B2:B5000="Agent 7")*1,0)+18),"")</f>
        <v/>
      </c>
      <c r="F42" s="90" t="str">
        <f>IFERROR(INDEX(AGENT_DATABASE!G:G,MATCH(1,(AGENT_DATABASE!B2:B5000="Agent 7")*1,0)+18),"")</f>
        <v/>
      </c>
      <c r="G42" s="91" t="str">
        <f>IFERROR(INDEX(AGENT_DATABASE!H:H,MATCH(1,(AGENT_DATABASE!B2:B5000="Agent 7")*1,0)+18),"")</f>
        <v/>
      </c>
      <c r="H42" s="90" t="str">
        <f>IFERROR(INDEX(AGENT_DATABASE!I:I,MATCH(1,(AGENT_DATABASE!B2:B5000="Agent 7")*1,0)+18),"")</f>
        <v/>
      </c>
      <c r="I42" s="87" t="str">
        <f>IFERROR(INDEX(AGENT_DATABASE!J:J,MATCH(1,(AGENT_DATABASE!B2:B5000="Agent 7")*1,0)+18),"")</f>
        <v/>
      </c>
      <c r="J42" s="87" t="str">
        <f>IFERROR(INDEX(AGENT_DATABASE!L:L,MATCH(1,(AGENT_DATABASE!B2:B5000="Agent 7")*1,0)+18),"")</f>
        <v/>
      </c>
      <c r="K42" s="87" t="str">
        <f>IFERROR(INDEX(AGENT_DATABASE!M:M,MATCH(1,(AGENT_DATABASE!B2:B5000="Agent 7")*1,0)+18),"")</f>
        <v/>
      </c>
      <c r="L42" s="89" t="str">
        <f>IFERROR(INDEX(AGENT_DATABASE!K:K,MATCH(1,(AGENT_DATABASE!B2:B5000="Agent 7")*1,0)+18),"")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7")*1,0)+19),"")</f>
        <v/>
      </c>
      <c r="C43" s="94" t="str">
        <f>IFERROR(INDEX(AGENT_DATABASE!C:C,MATCH(1,(AGENT_DATABASE!B2:B5000="Agent 7")*1,0)+19),"")</f>
        <v/>
      </c>
      <c r="D43" s="94" t="str">
        <f>IFERROR(INDEX(AGENT_DATABASE!D:D,MATCH(1,(AGENT_DATABASE!B2:B5000="Agent 7")*1,0)+19),"")</f>
        <v/>
      </c>
      <c r="E43" s="94" t="str">
        <f>IFERROR(INDEX(AGENT_DATABASE!F:F,MATCH(1,(AGENT_DATABASE!B2:B5000="Agent 7")*1,0)+19),"")</f>
        <v/>
      </c>
      <c r="F43" s="95" t="str">
        <f>IFERROR(INDEX(AGENT_DATABASE!G:G,MATCH(1,(AGENT_DATABASE!B2:B5000="Agent 7")*1,0)+19),"")</f>
        <v/>
      </c>
      <c r="G43" s="96" t="str">
        <f>IFERROR(INDEX(AGENT_DATABASE!H:H,MATCH(1,(AGENT_DATABASE!B2:B5000="Agent 7")*1,0)+19),"")</f>
        <v/>
      </c>
      <c r="H43" s="95" t="str">
        <f>IFERROR(INDEX(AGENT_DATABASE!I:I,MATCH(1,(AGENT_DATABASE!B2:B5000="Agent 7")*1,0)+19),"")</f>
        <v/>
      </c>
      <c r="I43" s="92" t="str">
        <f>IFERROR(INDEX(AGENT_DATABASE!J:J,MATCH(1,(AGENT_DATABASE!B2:B5000="Agent 7")*1,0)+19),"")</f>
        <v/>
      </c>
      <c r="J43" s="92" t="str">
        <f>IFERROR(INDEX(AGENT_DATABASE!L:L,MATCH(1,(AGENT_DATABASE!B2:B5000="Agent 7")*1,0)+19),"")</f>
        <v/>
      </c>
      <c r="K43" s="92" t="str">
        <f>IFERROR(INDEX(AGENT_DATABASE!M:M,MATCH(1,(AGENT_DATABASE!B2:B5000="Agent 7")*1,0)+19),"")</f>
        <v/>
      </c>
      <c r="L43" s="94" t="str">
        <f>IFERROR(INDEX(AGENT_DATABASE!K:K,MATCH(1,(AGENT_DATABASE!B2:B5000="Agent 7")*1,0)+19),"")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7")*1,0)+20),"")</f>
        <v/>
      </c>
      <c r="C44" s="89" t="str">
        <f>IFERROR(INDEX(AGENT_DATABASE!C:C,MATCH(1,(AGENT_DATABASE!B2:B5000="Agent 7")*1,0)+20),"")</f>
        <v/>
      </c>
      <c r="D44" s="89" t="str">
        <f>IFERROR(INDEX(AGENT_DATABASE!D:D,MATCH(1,(AGENT_DATABASE!B2:B5000="Agent 7")*1,0)+20),"")</f>
        <v/>
      </c>
      <c r="E44" s="89" t="str">
        <f>IFERROR(INDEX(AGENT_DATABASE!F:F,MATCH(1,(AGENT_DATABASE!B2:B5000="Agent 7")*1,0)+20),"")</f>
        <v/>
      </c>
      <c r="F44" s="90" t="str">
        <f>IFERROR(INDEX(AGENT_DATABASE!G:G,MATCH(1,(AGENT_DATABASE!B2:B5000="Agent 7")*1,0)+20),"")</f>
        <v/>
      </c>
      <c r="G44" s="91" t="str">
        <f>IFERROR(INDEX(AGENT_DATABASE!H:H,MATCH(1,(AGENT_DATABASE!B2:B5000="Agent 7")*1,0)+20),"")</f>
        <v/>
      </c>
      <c r="H44" s="90" t="str">
        <f>IFERROR(INDEX(AGENT_DATABASE!I:I,MATCH(1,(AGENT_DATABASE!B2:B5000="Agent 7")*1,0)+20),"")</f>
        <v/>
      </c>
      <c r="I44" s="87" t="str">
        <f>IFERROR(INDEX(AGENT_DATABASE!J:J,MATCH(1,(AGENT_DATABASE!B2:B5000="Agent 7")*1,0)+20),"")</f>
        <v/>
      </c>
      <c r="J44" s="87" t="str">
        <f>IFERROR(INDEX(AGENT_DATABASE!L:L,MATCH(1,(AGENT_DATABASE!B2:B5000="Agent 7")*1,0)+20),"")</f>
        <v/>
      </c>
      <c r="K44" s="87" t="str">
        <f>IFERROR(INDEX(AGENT_DATABASE!M:M,MATCH(1,(AGENT_DATABASE!B2:B5000="Agent 7")*1,0)+20),"")</f>
        <v/>
      </c>
      <c r="L44" s="89" t="str">
        <f>IFERROR(INDEX(AGENT_DATABASE!K:K,MATCH(1,(AGENT_DATABASE!B2:B5000="Agent 7")*1,0)+20),"")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7")*1,0)+21),"")</f>
        <v/>
      </c>
      <c r="C45" s="94" t="str">
        <f>IFERROR(INDEX(AGENT_DATABASE!C:C,MATCH(1,(AGENT_DATABASE!B2:B5000="Agent 7")*1,0)+21),"")</f>
        <v/>
      </c>
      <c r="D45" s="94" t="str">
        <f>IFERROR(INDEX(AGENT_DATABASE!D:D,MATCH(1,(AGENT_DATABASE!B2:B5000="Agent 7")*1,0)+21),"")</f>
        <v/>
      </c>
      <c r="E45" s="94" t="str">
        <f>IFERROR(INDEX(AGENT_DATABASE!F:F,MATCH(1,(AGENT_DATABASE!B2:B5000="Agent 7")*1,0)+21),"")</f>
        <v/>
      </c>
      <c r="F45" s="95" t="str">
        <f>IFERROR(INDEX(AGENT_DATABASE!G:G,MATCH(1,(AGENT_DATABASE!B2:B5000="Agent 7")*1,0)+21),"")</f>
        <v/>
      </c>
      <c r="G45" s="96" t="str">
        <f>IFERROR(INDEX(AGENT_DATABASE!H:H,MATCH(1,(AGENT_DATABASE!B2:B5000="Agent 7")*1,0)+21),"")</f>
        <v/>
      </c>
      <c r="H45" s="95" t="str">
        <f>IFERROR(INDEX(AGENT_DATABASE!I:I,MATCH(1,(AGENT_DATABASE!B2:B5000="Agent 7")*1,0)+21),"")</f>
        <v/>
      </c>
      <c r="I45" s="92" t="str">
        <f>IFERROR(INDEX(AGENT_DATABASE!J:J,MATCH(1,(AGENT_DATABASE!B2:B5000="Agent 7")*1,0)+21),"")</f>
        <v/>
      </c>
      <c r="J45" s="92" t="str">
        <f>IFERROR(INDEX(AGENT_DATABASE!L:L,MATCH(1,(AGENT_DATABASE!B2:B5000="Agent 7")*1,0)+21),"")</f>
        <v/>
      </c>
      <c r="K45" s="92" t="str">
        <f>IFERROR(INDEX(AGENT_DATABASE!M:M,MATCH(1,(AGENT_DATABASE!B2:B5000="Agent 7")*1,0)+21),"")</f>
        <v/>
      </c>
      <c r="L45" s="94" t="str">
        <f>IFERROR(INDEX(AGENT_DATABASE!K:K,MATCH(1,(AGENT_DATABASE!B2:B5000="Agent 7")*1,0)+21),"")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7")*1,0)+22),"")</f>
        <v/>
      </c>
      <c r="C46" s="89" t="str">
        <f>IFERROR(INDEX(AGENT_DATABASE!C:C,MATCH(1,(AGENT_DATABASE!B2:B5000="Agent 7")*1,0)+22),"")</f>
        <v/>
      </c>
      <c r="D46" s="89" t="str">
        <f>IFERROR(INDEX(AGENT_DATABASE!D:D,MATCH(1,(AGENT_DATABASE!B2:B5000="Agent 7")*1,0)+22),"")</f>
        <v/>
      </c>
      <c r="E46" s="89" t="str">
        <f>IFERROR(INDEX(AGENT_DATABASE!F:F,MATCH(1,(AGENT_DATABASE!B2:B5000="Agent 7")*1,0)+22),"")</f>
        <v/>
      </c>
      <c r="F46" s="90" t="str">
        <f>IFERROR(INDEX(AGENT_DATABASE!G:G,MATCH(1,(AGENT_DATABASE!B2:B5000="Agent 7")*1,0)+22),"")</f>
        <v/>
      </c>
      <c r="G46" s="91" t="str">
        <f>IFERROR(INDEX(AGENT_DATABASE!H:H,MATCH(1,(AGENT_DATABASE!B2:B5000="Agent 7")*1,0)+22),"")</f>
        <v/>
      </c>
      <c r="H46" s="90" t="str">
        <f>IFERROR(INDEX(AGENT_DATABASE!I:I,MATCH(1,(AGENT_DATABASE!B2:B5000="Agent 7")*1,0)+22),"")</f>
        <v/>
      </c>
      <c r="I46" s="87" t="str">
        <f>IFERROR(INDEX(AGENT_DATABASE!J:J,MATCH(1,(AGENT_DATABASE!B2:B5000="Agent 7")*1,0)+22),"")</f>
        <v/>
      </c>
      <c r="J46" s="87" t="str">
        <f>IFERROR(INDEX(AGENT_DATABASE!L:L,MATCH(1,(AGENT_DATABASE!B2:B5000="Agent 7")*1,0)+22),"")</f>
        <v/>
      </c>
      <c r="K46" s="87" t="str">
        <f>IFERROR(INDEX(AGENT_DATABASE!M:M,MATCH(1,(AGENT_DATABASE!B2:B5000="Agent 7")*1,0)+22),"")</f>
        <v/>
      </c>
      <c r="L46" s="89" t="str">
        <f>IFERROR(INDEX(AGENT_DATABASE!K:K,MATCH(1,(AGENT_DATABASE!B2:B5000="Agent 7")*1,0)+22),"")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7")*1,0)+23),"")</f>
        <v/>
      </c>
      <c r="C47" s="94" t="str">
        <f>IFERROR(INDEX(AGENT_DATABASE!C:C,MATCH(1,(AGENT_DATABASE!B2:B5000="Agent 7")*1,0)+23),"")</f>
        <v/>
      </c>
      <c r="D47" s="94" t="str">
        <f>IFERROR(INDEX(AGENT_DATABASE!D:D,MATCH(1,(AGENT_DATABASE!B2:B5000="Agent 7")*1,0)+23),"")</f>
        <v/>
      </c>
      <c r="E47" s="94" t="str">
        <f>IFERROR(INDEX(AGENT_DATABASE!F:F,MATCH(1,(AGENT_DATABASE!B2:B5000="Agent 7")*1,0)+23),"")</f>
        <v/>
      </c>
      <c r="F47" s="95" t="str">
        <f>IFERROR(INDEX(AGENT_DATABASE!G:G,MATCH(1,(AGENT_DATABASE!B2:B5000="Agent 7")*1,0)+23),"")</f>
        <v/>
      </c>
      <c r="G47" s="96" t="str">
        <f>IFERROR(INDEX(AGENT_DATABASE!H:H,MATCH(1,(AGENT_DATABASE!B2:B5000="Agent 7")*1,0)+23),"")</f>
        <v/>
      </c>
      <c r="H47" s="95" t="str">
        <f>IFERROR(INDEX(AGENT_DATABASE!I:I,MATCH(1,(AGENT_DATABASE!B2:B5000="Agent 7")*1,0)+23),"")</f>
        <v/>
      </c>
      <c r="I47" s="92" t="str">
        <f>IFERROR(INDEX(AGENT_DATABASE!J:J,MATCH(1,(AGENT_DATABASE!B2:B5000="Agent 7")*1,0)+23),"")</f>
        <v/>
      </c>
      <c r="J47" s="92" t="str">
        <f>IFERROR(INDEX(AGENT_DATABASE!L:L,MATCH(1,(AGENT_DATABASE!B2:B5000="Agent 7")*1,0)+23),"")</f>
        <v/>
      </c>
      <c r="K47" s="92" t="str">
        <f>IFERROR(INDEX(AGENT_DATABASE!M:M,MATCH(1,(AGENT_DATABASE!B2:B5000="Agent 7")*1,0)+23),"")</f>
        <v/>
      </c>
      <c r="L47" s="94" t="str">
        <f>IFERROR(INDEX(AGENT_DATABASE!K:K,MATCH(1,(AGENT_DATABASE!B2:B5000="Agent 7")*1,0)+23),"")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7")*1,0)+24),"")</f>
        <v/>
      </c>
      <c r="C48" s="89" t="str">
        <f>IFERROR(INDEX(AGENT_DATABASE!C:C,MATCH(1,(AGENT_DATABASE!B2:B5000="Agent 7")*1,0)+24),"")</f>
        <v/>
      </c>
      <c r="D48" s="89" t="str">
        <f>IFERROR(INDEX(AGENT_DATABASE!D:D,MATCH(1,(AGENT_DATABASE!B2:B5000="Agent 7")*1,0)+24),"")</f>
        <v/>
      </c>
      <c r="E48" s="89" t="str">
        <f>IFERROR(INDEX(AGENT_DATABASE!F:F,MATCH(1,(AGENT_DATABASE!B2:B5000="Agent 7")*1,0)+24),"")</f>
        <v/>
      </c>
      <c r="F48" s="90" t="str">
        <f>IFERROR(INDEX(AGENT_DATABASE!G:G,MATCH(1,(AGENT_DATABASE!B2:B5000="Agent 7")*1,0)+24),"")</f>
        <v/>
      </c>
      <c r="G48" s="91" t="str">
        <f>IFERROR(INDEX(AGENT_DATABASE!H:H,MATCH(1,(AGENT_DATABASE!B2:B5000="Agent 7")*1,0)+24),"")</f>
        <v/>
      </c>
      <c r="H48" s="90" t="str">
        <f>IFERROR(INDEX(AGENT_DATABASE!I:I,MATCH(1,(AGENT_DATABASE!B2:B5000="Agent 7")*1,0)+24),"")</f>
        <v/>
      </c>
      <c r="I48" s="87" t="str">
        <f>IFERROR(INDEX(AGENT_DATABASE!J:J,MATCH(1,(AGENT_DATABASE!B2:B5000="Agent 7")*1,0)+24),"")</f>
        <v/>
      </c>
      <c r="J48" s="87" t="str">
        <f>IFERROR(INDEX(AGENT_DATABASE!L:L,MATCH(1,(AGENT_DATABASE!B2:B5000="Agent 7")*1,0)+24),"")</f>
        <v/>
      </c>
      <c r="K48" s="87" t="str">
        <f>IFERROR(INDEX(AGENT_DATABASE!M:M,MATCH(1,(AGENT_DATABASE!B2:B5000="Agent 7")*1,0)+24),"")</f>
        <v/>
      </c>
      <c r="L48" s="89" t="str">
        <f>IFERROR(INDEX(AGENT_DATABASE!K:K,MATCH(1,(AGENT_DATABASE!B2:B5000="Agent 7")*1,0)+24),"")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7")*1,0)+25),"")</f>
        <v/>
      </c>
      <c r="C49" s="94" t="str">
        <f>IFERROR(INDEX(AGENT_DATABASE!C:C,MATCH(1,(AGENT_DATABASE!B2:B5000="Agent 7")*1,0)+25),"")</f>
        <v/>
      </c>
      <c r="D49" s="94" t="str">
        <f>IFERROR(INDEX(AGENT_DATABASE!D:D,MATCH(1,(AGENT_DATABASE!B2:B5000="Agent 7")*1,0)+25),"")</f>
        <v/>
      </c>
      <c r="E49" s="94" t="str">
        <f>IFERROR(INDEX(AGENT_DATABASE!F:F,MATCH(1,(AGENT_DATABASE!B2:B5000="Agent 7")*1,0)+25),"")</f>
        <v/>
      </c>
      <c r="F49" s="95" t="str">
        <f>IFERROR(INDEX(AGENT_DATABASE!G:G,MATCH(1,(AGENT_DATABASE!B2:B5000="Agent 7")*1,0)+25),"")</f>
        <v/>
      </c>
      <c r="G49" s="96" t="str">
        <f>IFERROR(INDEX(AGENT_DATABASE!H:H,MATCH(1,(AGENT_DATABASE!B2:B5000="Agent 7")*1,0)+25),"")</f>
        <v/>
      </c>
      <c r="H49" s="95" t="str">
        <f>IFERROR(INDEX(AGENT_DATABASE!I:I,MATCH(1,(AGENT_DATABASE!B2:B5000="Agent 7")*1,0)+25),"")</f>
        <v/>
      </c>
      <c r="I49" s="92" t="str">
        <f>IFERROR(INDEX(AGENT_DATABASE!J:J,MATCH(1,(AGENT_DATABASE!B2:B5000="Agent 7")*1,0)+25),"")</f>
        <v/>
      </c>
      <c r="J49" s="92" t="str">
        <f>IFERROR(INDEX(AGENT_DATABASE!L:L,MATCH(1,(AGENT_DATABASE!B2:B5000="Agent 7")*1,0)+25),"")</f>
        <v/>
      </c>
      <c r="K49" s="92" t="str">
        <f>IFERROR(INDEX(AGENT_DATABASE!M:M,MATCH(1,(AGENT_DATABASE!B2:B5000="Agent 7")*1,0)+25),"")</f>
        <v/>
      </c>
      <c r="L49" s="94" t="str">
        <f>IFERROR(INDEX(AGENT_DATABASE!K:K,MATCH(1,(AGENT_DATABASE!B2:B5000="Agent 7")*1,0)+25),"")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7")*1,0)+26),"")</f>
        <v/>
      </c>
      <c r="C50" s="89" t="str">
        <f>IFERROR(INDEX(AGENT_DATABASE!C:C,MATCH(1,(AGENT_DATABASE!B2:B5000="Agent 7")*1,0)+26),"")</f>
        <v/>
      </c>
      <c r="D50" s="89" t="str">
        <f>IFERROR(INDEX(AGENT_DATABASE!D:D,MATCH(1,(AGENT_DATABASE!B2:B5000="Agent 7")*1,0)+26),"")</f>
        <v/>
      </c>
      <c r="E50" s="89" t="str">
        <f>IFERROR(INDEX(AGENT_DATABASE!F:F,MATCH(1,(AGENT_DATABASE!B2:B5000="Agent 7")*1,0)+26),"")</f>
        <v/>
      </c>
      <c r="F50" s="90" t="str">
        <f>IFERROR(INDEX(AGENT_DATABASE!G:G,MATCH(1,(AGENT_DATABASE!B2:B5000="Agent 7")*1,0)+26),"")</f>
        <v/>
      </c>
      <c r="G50" s="91" t="str">
        <f>IFERROR(INDEX(AGENT_DATABASE!H:H,MATCH(1,(AGENT_DATABASE!B2:B5000="Agent 7")*1,0)+26),"")</f>
        <v/>
      </c>
      <c r="H50" s="90" t="str">
        <f>IFERROR(INDEX(AGENT_DATABASE!I:I,MATCH(1,(AGENT_DATABASE!B2:B5000="Agent 7")*1,0)+26),"")</f>
        <v/>
      </c>
      <c r="I50" s="87" t="str">
        <f>IFERROR(INDEX(AGENT_DATABASE!J:J,MATCH(1,(AGENT_DATABASE!B2:B5000="Agent 7")*1,0)+26),"")</f>
        <v/>
      </c>
      <c r="J50" s="87" t="str">
        <f>IFERROR(INDEX(AGENT_DATABASE!L:L,MATCH(1,(AGENT_DATABASE!B2:B5000="Agent 7")*1,0)+26),"")</f>
        <v/>
      </c>
      <c r="K50" s="87" t="str">
        <f>IFERROR(INDEX(AGENT_DATABASE!M:M,MATCH(1,(AGENT_DATABASE!B2:B5000="Agent 7")*1,0)+26),"")</f>
        <v/>
      </c>
      <c r="L50" s="89" t="str">
        <f>IFERROR(INDEX(AGENT_DATABASE!K:K,MATCH(1,(AGENT_DATABASE!B2:B5000="Agent 7")*1,0)+26),"")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7")*1,0)+27),"")</f>
        <v/>
      </c>
      <c r="C51" s="94" t="str">
        <f>IFERROR(INDEX(AGENT_DATABASE!C:C,MATCH(1,(AGENT_DATABASE!B2:B5000="Agent 7")*1,0)+27),"")</f>
        <v/>
      </c>
      <c r="D51" s="94" t="str">
        <f>IFERROR(INDEX(AGENT_DATABASE!D:D,MATCH(1,(AGENT_DATABASE!B2:B5000="Agent 7")*1,0)+27),"")</f>
        <v/>
      </c>
      <c r="E51" s="94" t="str">
        <f>IFERROR(INDEX(AGENT_DATABASE!F:F,MATCH(1,(AGENT_DATABASE!B2:B5000="Agent 7")*1,0)+27),"")</f>
        <v/>
      </c>
      <c r="F51" s="95" t="str">
        <f>IFERROR(INDEX(AGENT_DATABASE!G:G,MATCH(1,(AGENT_DATABASE!B2:B5000="Agent 7")*1,0)+27),"")</f>
        <v/>
      </c>
      <c r="G51" s="96" t="str">
        <f>IFERROR(INDEX(AGENT_DATABASE!H:H,MATCH(1,(AGENT_DATABASE!B2:B5000="Agent 7")*1,0)+27),"")</f>
        <v/>
      </c>
      <c r="H51" s="95" t="str">
        <f>IFERROR(INDEX(AGENT_DATABASE!I:I,MATCH(1,(AGENT_DATABASE!B2:B5000="Agent 7")*1,0)+27),"")</f>
        <v/>
      </c>
      <c r="I51" s="92" t="str">
        <f>IFERROR(INDEX(AGENT_DATABASE!J:J,MATCH(1,(AGENT_DATABASE!B2:B5000="Agent 7")*1,0)+27),"")</f>
        <v/>
      </c>
      <c r="J51" s="92" t="str">
        <f>IFERROR(INDEX(AGENT_DATABASE!L:L,MATCH(1,(AGENT_DATABASE!B2:B5000="Agent 7")*1,0)+27),"")</f>
        <v/>
      </c>
      <c r="K51" s="92" t="str">
        <f>IFERROR(INDEX(AGENT_DATABASE!M:M,MATCH(1,(AGENT_DATABASE!B2:B5000="Agent 7")*1,0)+27),"")</f>
        <v/>
      </c>
      <c r="L51" s="94" t="str">
        <f>IFERROR(INDEX(AGENT_DATABASE!K:K,MATCH(1,(AGENT_DATABASE!B2:B5000="Agent 7")*1,0)+27),"")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7")*1,0)+28),"")</f>
        <v/>
      </c>
      <c r="C52" s="89" t="str">
        <f>IFERROR(INDEX(AGENT_DATABASE!C:C,MATCH(1,(AGENT_DATABASE!B2:B5000="Agent 7")*1,0)+28),"")</f>
        <v/>
      </c>
      <c r="D52" s="89" t="str">
        <f>IFERROR(INDEX(AGENT_DATABASE!D:D,MATCH(1,(AGENT_DATABASE!B2:B5000="Agent 7")*1,0)+28),"")</f>
        <v/>
      </c>
      <c r="E52" s="89" t="str">
        <f>IFERROR(INDEX(AGENT_DATABASE!F:F,MATCH(1,(AGENT_DATABASE!B2:B5000="Agent 7")*1,0)+28),"")</f>
        <v/>
      </c>
      <c r="F52" s="90" t="str">
        <f>IFERROR(INDEX(AGENT_DATABASE!G:G,MATCH(1,(AGENT_DATABASE!B2:B5000="Agent 7")*1,0)+28),"")</f>
        <v/>
      </c>
      <c r="G52" s="91" t="str">
        <f>IFERROR(INDEX(AGENT_DATABASE!H:H,MATCH(1,(AGENT_DATABASE!B2:B5000="Agent 7")*1,0)+28),"")</f>
        <v/>
      </c>
      <c r="H52" s="90" t="str">
        <f>IFERROR(INDEX(AGENT_DATABASE!I:I,MATCH(1,(AGENT_DATABASE!B2:B5000="Agent 7")*1,0)+28),"")</f>
        <v/>
      </c>
      <c r="I52" s="87" t="str">
        <f>IFERROR(INDEX(AGENT_DATABASE!J:J,MATCH(1,(AGENT_DATABASE!B2:B5000="Agent 7")*1,0)+28),"")</f>
        <v/>
      </c>
      <c r="J52" s="87" t="str">
        <f>IFERROR(INDEX(AGENT_DATABASE!L:L,MATCH(1,(AGENT_DATABASE!B2:B5000="Agent 7")*1,0)+28),"")</f>
        <v/>
      </c>
      <c r="K52" s="87" t="str">
        <f>IFERROR(INDEX(AGENT_DATABASE!M:M,MATCH(1,(AGENT_DATABASE!B2:B5000="Agent 7")*1,0)+28),"")</f>
        <v/>
      </c>
      <c r="L52" s="89" t="str">
        <f>IFERROR(INDEX(AGENT_DATABASE!K:K,MATCH(1,(AGENT_DATABASE!B2:B5000="Agent 7")*1,0)+28),"")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7")*1,0)+29),"")</f>
        <v/>
      </c>
      <c r="C53" s="94" t="str">
        <f>IFERROR(INDEX(AGENT_DATABASE!C:C,MATCH(1,(AGENT_DATABASE!B2:B5000="Agent 7")*1,0)+29),"")</f>
        <v/>
      </c>
      <c r="D53" s="94" t="str">
        <f>IFERROR(INDEX(AGENT_DATABASE!D:D,MATCH(1,(AGENT_DATABASE!B2:B5000="Agent 7")*1,0)+29),"")</f>
        <v/>
      </c>
      <c r="E53" s="94" t="str">
        <f>IFERROR(INDEX(AGENT_DATABASE!F:F,MATCH(1,(AGENT_DATABASE!B2:B5000="Agent 7")*1,0)+29),"")</f>
        <v/>
      </c>
      <c r="F53" s="95" t="str">
        <f>IFERROR(INDEX(AGENT_DATABASE!G:G,MATCH(1,(AGENT_DATABASE!B2:B5000="Agent 7")*1,0)+29),"")</f>
        <v/>
      </c>
      <c r="G53" s="96" t="str">
        <f>IFERROR(INDEX(AGENT_DATABASE!H:H,MATCH(1,(AGENT_DATABASE!B2:B5000="Agent 7")*1,0)+29),"")</f>
        <v/>
      </c>
      <c r="H53" s="95" t="str">
        <f>IFERROR(INDEX(AGENT_DATABASE!I:I,MATCH(1,(AGENT_DATABASE!B2:B5000="Agent 7")*1,0)+29),"")</f>
        <v/>
      </c>
      <c r="I53" s="92" t="str">
        <f>IFERROR(INDEX(AGENT_DATABASE!J:J,MATCH(1,(AGENT_DATABASE!B2:B5000="Agent 7")*1,0)+29),"")</f>
        <v/>
      </c>
      <c r="J53" s="92" t="str">
        <f>IFERROR(INDEX(AGENT_DATABASE!L:L,MATCH(1,(AGENT_DATABASE!B2:B5000="Agent 7")*1,0)+29),"")</f>
        <v/>
      </c>
      <c r="K53" s="92" t="str">
        <f>IFERROR(INDEX(AGENT_DATABASE!M:M,MATCH(1,(AGENT_DATABASE!B2:B5000="Agent 7")*1,0)+29),"")</f>
        <v/>
      </c>
      <c r="L53" s="94" t="str">
        <f>IFERROR(INDEX(AGENT_DATABASE!K:K,MATCH(1,(AGENT_DATABASE!B2:B5000="Agent 7")*1,0)+29),"")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800-000000000000}">
      <formula1>"Savings Deposit,Withdrawal"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179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180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f ca="1">SUMPRODUCT((AGENT_DATABASE!B2:B5000="Agent 8")*(AGENT_DATABASE!F2:F5000="Savings Deposit")*(TEXT(AGENT_DATABASE!A2:A5000,"DD/MM/YYYY")=TEXT(TODAY(),"DD/MM/YYYY"))*AGENT_DATABASE!G2:G5000)</f>
        <v>0</v>
      </c>
      <c r="C6" s="132"/>
      <c r="D6" s="135">
        <f ca="1">SUMPRODUCT((AGENT_DATABASE!B2:B5000="Agent 8")*(AGENT_DATABASE!F2:F5000="Loan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8")*(AGENT_DATABASE!F2:F5000="Withdrawal")*(TEXT(AGENT_DATABASE!A2:A5000,"DD/MM/YYYY")=TEXT(TODAY(),"DD/MM/YYYY"))*AGENT_DATABASE!G2:G5000)</f>
        <v>0</v>
      </c>
      <c r="G6" s="132"/>
      <c r="H6" s="135">
        <f ca="1">IFERROR(B6-F6-D6,0)</f>
        <v>0</v>
      </c>
      <c r="I6" s="132"/>
      <c r="J6" s="136">
        <f ca="1">SUMPRODUCT((AGENT_DATABASE!B2:B5000="Agent 8")*(TEXT(AGENT_DATABASE!A2:A5000,"DD/MM/YYYY")=TEXT(TODAY(),"DD/MM/YYYY"))*1)</f>
        <v>0</v>
      </c>
      <c r="K6" s="132"/>
    </row>
    <row r="7" spans="1:12" ht="27.95" customHeight="1" x14ac:dyDescent="0.25">
      <c r="A7" s="129" t="s">
        <v>181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8")*(AGENT_DATABASE!F2:F5000="Savings Deposit")*(TEXT(AGENT_DATABASE!A2:A5000,"DD/MM/YYYY")=TEXT(TODAY(),"DD/MM/YYYY"))*AGENT_DATABASE!G2:G5000),2)=0,ROUND(E9-SUMPRODUCT((AGENT_DATABASE!B2:B5000="Agent 8")*(AGENT_DATABASE!F2:F5000="Withdrawal")*(TEXT(AGENT_DATABASE!A2:A5000,"DD/MM/YYYY")=TEXT(TODAY(),"DD/MM/YYYY"))*AGENT_DATABASE!G2:G5000),2)=0,ROUND(G9-SUMPRODUCT((AGENT_DATABASE!B2:B5000="Agent 8")*(AGENT_DATABASE!F2:F5000="Loan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8")*1,0)+0),"")</f>
        <v/>
      </c>
      <c r="C24" s="89" t="str">
        <f>IFERROR(INDEX(AGENT_DATABASE!C:C,MATCH(1,(AGENT_DATABASE!B2:B5000="Agent 8")*1,0)+0),"")</f>
        <v/>
      </c>
      <c r="D24" s="89" t="str">
        <f>IFERROR(INDEX(AGENT_DATABASE!D:D,MATCH(1,(AGENT_DATABASE!B2:B5000="Agent 8")*1,0)+0),"")</f>
        <v/>
      </c>
      <c r="E24" s="89" t="str">
        <f>IFERROR(INDEX(AGENT_DATABASE!F:F,MATCH(1,(AGENT_DATABASE!B2:B5000="Agent 8")*1,0)+0),"")</f>
        <v/>
      </c>
      <c r="F24" s="90" t="str">
        <f>IFERROR(INDEX(AGENT_DATABASE!G:G,MATCH(1,(AGENT_DATABASE!B2:B5000="Agent 8")*1,0)+0),"")</f>
        <v/>
      </c>
      <c r="G24" s="91" t="str">
        <f>IFERROR(INDEX(AGENT_DATABASE!H:H,MATCH(1,(AGENT_DATABASE!B2:B5000="Agent 8")*1,0)+0),"")</f>
        <v/>
      </c>
      <c r="H24" s="90" t="str">
        <f>IFERROR(INDEX(AGENT_DATABASE!I:I,MATCH(1,(AGENT_DATABASE!B2:B5000="Agent 8")*1,0)+0),"")</f>
        <v/>
      </c>
      <c r="I24" s="87" t="str">
        <f>IFERROR(INDEX(AGENT_DATABASE!J:J,MATCH(1,(AGENT_DATABASE!B2:B5000="Agent 8")*1,0)+0),"")</f>
        <v/>
      </c>
      <c r="J24" s="87" t="str">
        <f>IFERROR(INDEX(AGENT_DATABASE!L:L,MATCH(1,(AGENT_DATABASE!B2:B5000="Agent 8")*1,0)+0),"")</f>
        <v/>
      </c>
      <c r="K24" s="87" t="str">
        <f>IFERROR(INDEX(AGENT_DATABASE!M:M,MATCH(1,(AGENT_DATABASE!B2:B5000="Agent 8")*1,0)+0),"")</f>
        <v/>
      </c>
      <c r="L24" s="89" t="str">
        <f>IFERROR(INDEX(AGENT_DATABASE!K:K,MATCH(1,(AGENT_DATABASE!B2:B5000="Agent 8")*1,0)+0),"")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8")*1,0)+1),"")</f>
        <v/>
      </c>
      <c r="C25" s="94" t="str">
        <f>IFERROR(INDEX(AGENT_DATABASE!C:C,MATCH(1,(AGENT_DATABASE!B2:B5000="Agent 8")*1,0)+1),"")</f>
        <v/>
      </c>
      <c r="D25" s="94" t="str">
        <f>IFERROR(INDEX(AGENT_DATABASE!D:D,MATCH(1,(AGENT_DATABASE!B2:B5000="Agent 8")*1,0)+1),"")</f>
        <v/>
      </c>
      <c r="E25" s="94" t="str">
        <f>IFERROR(INDEX(AGENT_DATABASE!F:F,MATCH(1,(AGENT_DATABASE!B2:B5000="Agent 8")*1,0)+1),"")</f>
        <v/>
      </c>
      <c r="F25" s="95" t="str">
        <f>IFERROR(INDEX(AGENT_DATABASE!G:G,MATCH(1,(AGENT_DATABASE!B2:B5000="Agent 8")*1,0)+1),"")</f>
        <v/>
      </c>
      <c r="G25" s="96" t="str">
        <f>IFERROR(INDEX(AGENT_DATABASE!H:H,MATCH(1,(AGENT_DATABASE!B2:B5000="Agent 8")*1,0)+1),"")</f>
        <v/>
      </c>
      <c r="H25" s="95" t="str">
        <f>IFERROR(INDEX(AGENT_DATABASE!I:I,MATCH(1,(AGENT_DATABASE!B2:B5000="Agent 8")*1,0)+1),"")</f>
        <v/>
      </c>
      <c r="I25" s="92" t="str">
        <f>IFERROR(INDEX(AGENT_DATABASE!J:J,MATCH(1,(AGENT_DATABASE!B2:B5000="Agent 8")*1,0)+1),"")</f>
        <v/>
      </c>
      <c r="J25" s="92" t="str">
        <f>IFERROR(INDEX(AGENT_DATABASE!L:L,MATCH(1,(AGENT_DATABASE!B2:B5000="Agent 8")*1,0)+1),"")</f>
        <v/>
      </c>
      <c r="K25" s="92" t="str">
        <f>IFERROR(INDEX(AGENT_DATABASE!M:M,MATCH(1,(AGENT_DATABASE!B2:B5000="Agent 8")*1,0)+1),"")</f>
        <v/>
      </c>
      <c r="L25" s="94" t="str">
        <f>IFERROR(INDEX(AGENT_DATABASE!K:K,MATCH(1,(AGENT_DATABASE!B2:B5000="Agent 8")*1,0)+1),"")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8")*1,0)+2),"")</f>
        <v/>
      </c>
      <c r="C26" s="89" t="str">
        <f>IFERROR(INDEX(AGENT_DATABASE!C:C,MATCH(1,(AGENT_DATABASE!B2:B5000="Agent 8")*1,0)+2),"")</f>
        <v/>
      </c>
      <c r="D26" s="89" t="str">
        <f>IFERROR(INDEX(AGENT_DATABASE!D:D,MATCH(1,(AGENT_DATABASE!B2:B5000="Agent 8")*1,0)+2),"")</f>
        <v/>
      </c>
      <c r="E26" s="89" t="str">
        <f>IFERROR(INDEX(AGENT_DATABASE!F:F,MATCH(1,(AGENT_DATABASE!B2:B5000="Agent 8")*1,0)+2),"")</f>
        <v/>
      </c>
      <c r="F26" s="90" t="str">
        <f>IFERROR(INDEX(AGENT_DATABASE!G:G,MATCH(1,(AGENT_DATABASE!B2:B5000="Agent 8")*1,0)+2),"")</f>
        <v/>
      </c>
      <c r="G26" s="91" t="str">
        <f>IFERROR(INDEX(AGENT_DATABASE!H:H,MATCH(1,(AGENT_DATABASE!B2:B5000="Agent 8")*1,0)+2),"")</f>
        <v/>
      </c>
      <c r="H26" s="90" t="str">
        <f>IFERROR(INDEX(AGENT_DATABASE!I:I,MATCH(1,(AGENT_DATABASE!B2:B5000="Agent 8")*1,0)+2),"")</f>
        <v/>
      </c>
      <c r="I26" s="87" t="str">
        <f>IFERROR(INDEX(AGENT_DATABASE!J:J,MATCH(1,(AGENT_DATABASE!B2:B5000="Agent 8")*1,0)+2),"")</f>
        <v/>
      </c>
      <c r="J26" s="87" t="str">
        <f>IFERROR(INDEX(AGENT_DATABASE!L:L,MATCH(1,(AGENT_DATABASE!B2:B5000="Agent 8")*1,0)+2),"")</f>
        <v/>
      </c>
      <c r="K26" s="87" t="str">
        <f>IFERROR(INDEX(AGENT_DATABASE!M:M,MATCH(1,(AGENT_DATABASE!B2:B5000="Agent 8")*1,0)+2),"")</f>
        <v/>
      </c>
      <c r="L26" s="89" t="str">
        <f>IFERROR(INDEX(AGENT_DATABASE!K:K,MATCH(1,(AGENT_DATABASE!B2:B5000="Agent 8")*1,0)+2),"")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8")*1,0)+3),"")</f>
        <v/>
      </c>
      <c r="C27" s="94" t="str">
        <f>IFERROR(INDEX(AGENT_DATABASE!C:C,MATCH(1,(AGENT_DATABASE!B2:B5000="Agent 8")*1,0)+3),"")</f>
        <v/>
      </c>
      <c r="D27" s="94" t="str">
        <f>IFERROR(INDEX(AGENT_DATABASE!D:D,MATCH(1,(AGENT_DATABASE!B2:B5000="Agent 8")*1,0)+3),"")</f>
        <v/>
      </c>
      <c r="E27" s="94" t="str">
        <f>IFERROR(INDEX(AGENT_DATABASE!F:F,MATCH(1,(AGENT_DATABASE!B2:B5000="Agent 8")*1,0)+3),"")</f>
        <v/>
      </c>
      <c r="F27" s="95" t="str">
        <f>IFERROR(INDEX(AGENT_DATABASE!G:G,MATCH(1,(AGENT_DATABASE!B2:B5000="Agent 8")*1,0)+3),"")</f>
        <v/>
      </c>
      <c r="G27" s="96" t="str">
        <f>IFERROR(INDEX(AGENT_DATABASE!H:H,MATCH(1,(AGENT_DATABASE!B2:B5000="Agent 8")*1,0)+3),"")</f>
        <v/>
      </c>
      <c r="H27" s="95" t="str">
        <f>IFERROR(INDEX(AGENT_DATABASE!I:I,MATCH(1,(AGENT_DATABASE!B2:B5000="Agent 8")*1,0)+3),"")</f>
        <v/>
      </c>
      <c r="I27" s="92" t="str">
        <f>IFERROR(INDEX(AGENT_DATABASE!J:J,MATCH(1,(AGENT_DATABASE!B2:B5000="Agent 8")*1,0)+3),"")</f>
        <v/>
      </c>
      <c r="J27" s="92" t="str">
        <f>IFERROR(INDEX(AGENT_DATABASE!L:L,MATCH(1,(AGENT_DATABASE!B2:B5000="Agent 8")*1,0)+3),"")</f>
        <v/>
      </c>
      <c r="K27" s="92" t="str">
        <f>IFERROR(INDEX(AGENT_DATABASE!M:M,MATCH(1,(AGENT_DATABASE!B2:B5000="Agent 8")*1,0)+3),"")</f>
        <v/>
      </c>
      <c r="L27" s="94" t="str">
        <f>IFERROR(INDEX(AGENT_DATABASE!K:K,MATCH(1,(AGENT_DATABASE!B2:B5000="Agent 8")*1,0)+3),"")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8")*1,0)+4),"")</f>
        <v/>
      </c>
      <c r="C28" s="89" t="str">
        <f>IFERROR(INDEX(AGENT_DATABASE!C:C,MATCH(1,(AGENT_DATABASE!B2:B5000="Agent 8")*1,0)+4),"")</f>
        <v/>
      </c>
      <c r="D28" s="89" t="str">
        <f>IFERROR(INDEX(AGENT_DATABASE!D:D,MATCH(1,(AGENT_DATABASE!B2:B5000="Agent 8")*1,0)+4),"")</f>
        <v/>
      </c>
      <c r="E28" s="89" t="str">
        <f>IFERROR(INDEX(AGENT_DATABASE!F:F,MATCH(1,(AGENT_DATABASE!B2:B5000="Agent 8")*1,0)+4),"")</f>
        <v/>
      </c>
      <c r="F28" s="90" t="str">
        <f>IFERROR(INDEX(AGENT_DATABASE!G:G,MATCH(1,(AGENT_DATABASE!B2:B5000="Agent 8")*1,0)+4),"")</f>
        <v/>
      </c>
      <c r="G28" s="91" t="str">
        <f>IFERROR(INDEX(AGENT_DATABASE!H:H,MATCH(1,(AGENT_DATABASE!B2:B5000="Agent 8")*1,0)+4),"")</f>
        <v/>
      </c>
      <c r="H28" s="90" t="str">
        <f>IFERROR(INDEX(AGENT_DATABASE!I:I,MATCH(1,(AGENT_DATABASE!B2:B5000="Agent 8")*1,0)+4),"")</f>
        <v/>
      </c>
      <c r="I28" s="87" t="str">
        <f>IFERROR(INDEX(AGENT_DATABASE!J:J,MATCH(1,(AGENT_DATABASE!B2:B5000="Agent 8")*1,0)+4),"")</f>
        <v/>
      </c>
      <c r="J28" s="87" t="str">
        <f>IFERROR(INDEX(AGENT_DATABASE!L:L,MATCH(1,(AGENT_DATABASE!B2:B5000="Agent 8")*1,0)+4),"")</f>
        <v/>
      </c>
      <c r="K28" s="87" t="str">
        <f>IFERROR(INDEX(AGENT_DATABASE!M:M,MATCH(1,(AGENT_DATABASE!B2:B5000="Agent 8")*1,0)+4),"")</f>
        <v/>
      </c>
      <c r="L28" s="89" t="str">
        <f>IFERROR(INDEX(AGENT_DATABASE!K:K,MATCH(1,(AGENT_DATABASE!B2:B5000="Agent 8")*1,0)+4),"")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8")*1,0)+5),"")</f>
        <v/>
      </c>
      <c r="C29" s="94" t="str">
        <f>IFERROR(INDEX(AGENT_DATABASE!C:C,MATCH(1,(AGENT_DATABASE!B2:B5000="Agent 8")*1,0)+5),"")</f>
        <v/>
      </c>
      <c r="D29" s="94" t="str">
        <f>IFERROR(INDEX(AGENT_DATABASE!D:D,MATCH(1,(AGENT_DATABASE!B2:B5000="Agent 8")*1,0)+5),"")</f>
        <v/>
      </c>
      <c r="E29" s="94" t="str">
        <f>IFERROR(INDEX(AGENT_DATABASE!F:F,MATCH(1,(AGENT_DATABASE!B2:B5000="Agent 8")*1,0)+5),"")</f>
        <v/>
      </c>
      <c r="F29" s="95" t="str">
        <f>IFERROR(INDEX(AGENT_DATABASE!G:G,MATCH(1,(AGENT_DATABASE!B2:B5000="Agent 8")*1,0)+5),"")</f>
        <v/>
      </c>
      <c r="G29" s="96" t="str">
        <f>IFERROR(INDEX(AGENT_DATABASE!H:H,MATCH(1,(AGENT_DATABASE!B2:B5000="Agent 8")*1,0)+5),"")</f>
        <v/>
      </c>
      <c r="H29" s="95" t="str">
        <f>IFERROR(INDEX(AGENT_DATABASE!I:I,MATCH(1,(AGENT_DATABASE!B2:B5000="Agent 8")*1,0)+5),"")</f>
        <v/>
      </c>
      <c r="I29" s="92" t="str">
        <f>IFERROR(INDEX(AGENT_DATABASE!J:J,MATCH(1,(AGENT_DATABASE!B2:B5000="Agent 8")*1,0)+5),"")</f>
        <v/>
      </c>
      <c r="J29" s="92" t="str">
        <f>IFERROR(INDEX(AGENT_DATABASE!L:L,MATCH(1,(AGENT_DATABASE!B2:B5000="Agent 8")*1,0)+5),"")</f>
        <v/>
      </c>
      <c r="K29" s="92" t="str">
        <f>IFERROR(INDEX(AGENT_DATABASE!M:M,MATCH(1,(AGENT_DATABASE!B2:B5000="Agent 8")*1,0)+5),"")</f>
        <v/>
      </c>
      <c r="L29" s="94" t="str">
        <f>IFERROR(INDEX(AGENT_DATABASE!K:K,MATCH(1,(AGENT_DATABASE!B2:B5000="Agent 8")*1,0)+5),"")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8")*1,0)+6),"")</f>
        <v/>
      </c>
      <c r="C30" s="89" t="str">
        <f>IFERROR(INDEX(AGENT_DATABASE!C:C,MATCH(1,(AGENT_DATABASE!B2:B5000="Agent 8")*1,0)+6),"")</f>
        <v/>
      </c>
      <c r="D30" s="89" t="str">
        <f>IFERROR(INDEX(AGENT_DATABASE!D:D,MATCH(1,(AGENT_DATABASE!B2:B5000="Agent 8")*1,0)+6),"")</f>
        <v/>
      </c>
      <c r="E30" s="89" t="str">
        <f>IFERROR(INDEX(AGENT_DATABASE!F:F,MATCH(1,(AGENT_DATABASE!B2:B5000="Agent 8")*1,0)+6),"")</f>
        <v/>
      </c>
      <c r="F30" s="90" t="str">
        <f>IFERROR(INDEX(AGENT_DATABASE!G:G,MATCH(1,(AGENT_DATABASE!B2:B5000="Agent 8")*1,0)+6),"")</f>
        <v/>
      </c>
      <c r="G30" s="91" t="str">
        <f>IFERROR(INDEX(AGENT_DATABASE!H:H,MATCH(1,(AGENT_DATABASE!B2:B5000="Agent 8")*1,0)+6),"")</f>
        <v/>
      </c>
      <c r="H30" s="90" t="str">
        <f>IFERROR(INDEX(AGENT_DATABASE!I:I,MATCH(1,(AGENT_DATABASE!B2:B5000="Agent 8")*1,0)+6),"")</f>
        <v/>
      </c>
      <c r="I30" s="87" t="str">
        <f>IFERROR(INDEX(AGENT_DATABASE!J:J,MATCH(1,(AGENT_DATABASE!B2:B5000="Agent 8")*1,0)+6),"")</f>
        <v/>
      </c>
      <c r="J30" s="87" t="str">
        <f>IFERROR(INDEX(AGENT_DATABASE!L:L,MATCH(1,(AGENT_DATABASE!B2:B5000="Agent 8")*1,0)+6),"")</f>
        <v/>
      </c>
      <c r="K30" s="87" t="str">
        <f>IFERROR(INDEX(AGENT_DATABASE!M:M,MATCH(1,(AGENT_DATABASE!B2:B5000="Agent 8")*1,0)+6),"")</f>
        <v/>
      </c>
      <c r="L30" s="89" t="str">
        <f>IFERROR(INDEX(AGENT_DATABASE!K:K,MATCH(1,(AGENT_DATABASE!B2:B5000="Agent 8")*1,0)+6),"")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8")*1,0)+7),"")</f>
        <v/>
      </c>
      <c r="C31" s="94" t="str">
        <f>IFERROR(INDEX(AGENT_DATABASE!C:C,MATCH(1,(AGENT_DATABASE!B2:B5000="Agent 8")*1,0)+7),"")</f>
        <v/>
      </c>
      <c r="D31" s="94" t="str">
        <f>IFERROR(INDEX(AGENT_DATABASE!D:D,MATCH(1,(AGENT_DATABASE!B2:B5000="Agent 8")*1,0)+7),"")</f>
        <v/>
      </c>
      <c r="E31" s="94" t="str">
        <f>IFERROR(INDEX(AGENT_DATABASE!F:F,MATCH(1,(AGENT_DATABASE!B2:B5000="Agent 8")*1,0)+7),"")</f>
        <v/>
      </c>
      <c r="F31" s="95" t="str">
        <f>IFERROR(INDEX(AGENT_DATABASE!G:G,MATCH(1,(AGENT_DATABASE!B2:B5000="Agent 8")*1,0)+7),"")</f>
        <v/>
      </c>
      <c r="G31" s="96" t="str">
        <f>IFERROR(INDEX(AGENT_DATABASE!H:H,MATCH(1,(AGENT_DATABASE!B2:B5000="Agent 8")*1,0)+7),"")</f>
        <v/>
      </c>
      <c r="H31" s="95" t="str">
        <f>IFERROR(INDEX(AGENT_DATABASE!I:I,MATCH(1,(AGENT_DATABASE!B2:B5000="Agent 8")*1,0)+7),"")</f>
        <v/>
      </c>
      <c r="I31" s="92" t="str">
        <f>IFERROR(INDEX(AGENT_DATABASE!J:J,MATCH(1,(AGENT_DATABASE!B2:B5000="Agent 8")*1,0)+7),"")</f>
        <v/>
      </c>
      <c r="J31" s="92" t="str">
        <f>IFERROR(INDEX(AGENT_DATABASE!L:L,MATCH(1,(AGENT_DATABASE!B2:B5000="Agent 8")*1,0)+7),"")</f>
        <v/>
      </c>
      <c r="K31" s="92" t="str">
        <f>IFERROR(INDEX(AGENT_DATABASE!M:M,MATCH(1,(AGENT_DATABASE!B2:B5000="Agent 8")*1,0)+7),"")</f>
        <v/>
      </c>
      <c r="L31" s="94" t="str">
        <f>IFERROR(INDEX(AGENT_DATABASE!K:K,MATCH(1,(AGENT_DATABASE!B2:B5000="Agent 8")*1,0)+7),"")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8")*1,0)+8),"")</f>
        <v/>
      </c>
      <c r="C32" s="89" t="str">
        <f>IFERROR(INDEX(AGENT_DATABASE!C:C,MATCH(1,(AGENT_DATABASE!B2:B5000="Agent 8")*1,0)+8),"")</f>
        <v/>
      </c>
      <c r="D32" s="89" t="str">
        <f>IFERROR(INDEX(AGENT_DATABASE!D:D,MATCH(1,(AGENT_DATABASE!B2:B5000="Agent 8")*1,0)+8),"")</f>
        <v/>
      </c>
      <c r="E32" s="89" t="str">
        <f>IFERROR(INDEX(AGENT_DATABASE!F:F,MATCH(1,(AGENT_DATABASE!B2:B5000="Agent 8")*1,0)+8),"")</f>
        <v/>
      </c>
      <c r="F32" s="90" t="str">
        <f>IFERROR(INDEX(AGENT_DATABASE!G:G,MATCH(1,(AGENT_DATABASE!B2:B5000="Agent 8")*1,0)+8),"")</f>
        <v/>
      </c>
      <c r="G32" s="91" t="str">
        <f>IFERROR(INDEX(AGENT_DATABASE!H:H,MATCH(1,(AGENT_DATABASE!B2:B5000="Agent 8")*1,0)+8),"")</f>
        <v/>
      </c>
      <c r="H32" s="90" t="str">
        <f>IFERROR(INDEX(AGENT_DATABASE!I:I,MATCH(1,(AGENT_DATABASE!B2:B5000="Agent 8")*1,0)+8),"")</f>
        <v/>
      </c>
      <c r="I32" s="87" t="str">
        <f>IFERROR(INDEX(AGENT_DATABASE!J:J,MATCH(1,(AGENT_DATABASE!B2:B5000="Agent 8")*1,0)+8),"")</f>
        <v/>
      </c>
      <c r="J32" s="87" t="str">
        <f>IFERROR(INDEX(AGENT_DATABASE!L:L,MATCH(1,(AGENT_DATABASE!B2:B5000="Agent 8")*1,0)+8),"")</f>
        <v/>
      </c>
      <c r="K32" s="87" t="str">
        <f>IFERROR(INDEX(AGENT_DATABASE!M:M,MATCH(1,(AGENT_DATABASE!B2:B5000="Agent 8")*1,0)+8),"")</f>
        <v/>
      </c>
      <c r="L32" s="89" t="str">
        <f>IFERROR(INDEX(AGENT_DATABASE!K:K,MATCH(1,(AGENT_DATABASE!B2:B5000="Agent 8")*1,0)+8),"")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8")*1,0)+9),"")</f>
        <v/>
      </c>
      <c r="C33" s="94" t="str">
        <f>IFERROR(INDEX(AGENT_DATABASE!C:C,MATCH(1,(AGENT_DATABASE!B2:B5000="Agent 8")*1,0)+9),"")</f>
        <v/>
      </c>
      <c r="D33" s="94" t="str">
        <f>IFERROR(INDEX(AGENT_DATABASE!D:D,MATCH(1,(AGENT_DATABASE!B2:B5000="Agent 8")*1,0)+9),"")</f>
        <v/>
      </c>
      <c r="E33" s="94" t="str">
        <f>IFERROR(INDEX(AGENT_DATABASE!F:F,MATCH(1,(AGENT_DATABASE!B2:B5000="Agent 8")*1,0)+9),"")</f>
        <v/>
      </c>
      <c r="F33" s="95" t="str">
        <f>IFERROR(INDEX(AGENT_DATABASE!G:G,MATCH(1,(AGENT_DATABASE!B2:B5000="Agent 8")*1,0)+9),"")</f>
        <v/>
      </c>
      <c r="G33" s="96" t="str">
        <f>IFERROR(INDEX(AGENT_DATABASE!H:H,MATCH(1,(AGENT_DATABASE!B2:B5000="Agent 8")*1,0)+9),"")</f>
        <v/>
      </c>
      <c r="H33" s="95" t="str">
        <f>IFERROR(INDEX(AGENT_DATABASE!I:I,MATCH(1,(AGENT_DATABASE!B2:B5000="Agent 8")*1,0)+9),"")</f>
        <v/>
      </c>
      <c r="I33" s="92" t="str">
        <f>IFERROR(INDEX(AGENT_DATABASE!J:J,MATCH(1,(AGENT_DATABASE!B2:B5000="Agent 8")*1,0)+9),"")</f>
        <v/>
      </c>
      <c r="J33" s="92" t="str">
        <f>IFERROR(INDEX(AGENT_DATABASE!L:L,MATCH(1,(AGENT_DATABASE!B2:B5000="Agent 8")*1,0)+9),"")</f>
        <v/>
      </c>
      <c r="K33" s="92" t="str">
        <f>IFERROR(INDEX(AGENT_DATABASE!M:M,MATCH(1,(AGENT_DATABASE!B2:B5000="Agent 8")*1,0)+9),"")</f>
        <v/>
      </c>
      <c r="L33" s="94" t="str">
        <f>IFERROR(INDEX(AGENT_DATABASE!K:K,MATCH(1,(AGENT_DATABASE!B2:B5000="Agent 8")*1,0)+9),"")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8")*1,0)+10),"")</f>
        <v/>
      </c>
      <c r="C34" s="89" t="str">
        <f>IFERROR(INDEX(AGENT_DATABASE!C:C,MATCH(1,(AGENT_DATABASE!B2:B5000="Agent 8")*1,0)+10),"")</f>
        <v/>
      </c>
      <c r="D34" s="89" t="str">
        <f>IFERROR(INDEX(AGENT_DATABASE!D:D,MATCH(1,(AGENT_DATABASE!B2:B5000="Agent 8")*1,0)+10),"")</f>
        <v/>
      </c>
      <c r="E34" s="89" t="str">
        <f>IFERROR(INDEX(AGENT_DATABASE!F:F,MATCH(1,(AGENT_DATABASE!B2:B5000="Agent 8")*1,0)+10),"")</f>
        <v/>
      </c>
      <c r="F34" s="90" t="str">
        <f>IFERROR(INDEX(AGENT_DATABASE!G:G,MATCH(1,(AGENT_DATABASE!B2:B5000="Agent 8")*1,0)+10),"")</f>
        <v/>
      </c>
      <c r="G34" s="91" t="str">
        <f>IFERROR(INDEX(AGENT_DATABASE!H:H,MATCH(1,(AGENT_DATABASE!B2:B5000="Agent 8")*1,0)+10),"")</f>
        <v/>
      </c>
      <c r="H34" s="90" t="str">
        <f>IFERROR(INDEX(AGENT_DATABASE!I:I,MATCH(1,(AGENT_DATABASE!B2:B5000="Agent 8")*1,0)+10),"")</f>
        <v/>
      </c>
      <c r="I34" s="87" t="str">
        <f>IFERROR(INDEX(AGENT_DATABASE!J:J,MATCH(1,(AGENT_DATABASE!B2:B5000="Agent 8")*1,0)+10),"")</f>
        <v/>
      </c>
      <c r="J34" s="87" t="str">
        <f>IFERROR(INDEX(AGENT_DATABASE!L:L,MATCH(1,(AGENT_DATABASE!B2:B5000="Agent 8")*1,0)+10),"")</f>
        <v/>
      </c>
      <c r="K34" s="87" t="str">
        <f>IFERROR(INDEX(AGENT_DATABASE!M:M,MATCH(1,(AGENT_DATABASE!B2:B5000="Agent 8")*1,0)+10),"")</f>
        <v/>
      </c>
      <c r="L34" s="89" t="str">
        <f>IFERROR(INDEX(AGENT_DATABASE!K:K,MATCH(1,(AGENT_DATABASE!B2:B5000="Agent 8")*1,0)+10),"")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8")*1,0)+11),"")</f>
        <v/>
      </c>
      <c r="C35" s="94" t="str">
        <f>IFERROR(INDEX(AGENT_DATABASE!C:C,MATCH(1,(AGENT_DATABASE!B2:B5000="Agent 8")*1,0)+11),"")</f>
        <v/>
      </c>
      <c r="D35" s="94" t="str">
        <f>IFERROR(INDEX(AGENT_DATABASE!D:D,MATCH(1,(AGENT_DATABASE!B2:B5000="Agent 8")*1,0)+11),"")</f>
        <v/>
      </c>
      <c r="E35" s="94" t="str">
        <f>IFERROR(INDEX(AGENT_DATABASE!F:F,MATCH(1,(AGENT_DATABASE!B2:B5000="Agent 8")*1,0)+11),"")</f>
        <v/>
      </c>
      <c r="F35" s="95" t="str">
        <f>IFERROR(INDEX(AGENT_DATABASE!G:G,MATCH(1,(AGENT_DATABASE!B2:B5000="Agent 8")*1,0)+11),"")</f>
        <v/>
      </c>
      <c r="G35" s="96" t="str">
        <f>IFERROR(INDEX(AGENT_DATABASE!H:H,MATCH(1,(AGENT_DATABASE!B2:B5000="Agent 8")*1,0)+11),"")</f>
        <v/>
      </c>
      <c r="H35" s="95" t="str">
        <f>IFERROR(INDEX(AGENT_DATABASE!I:I,MATCH(1,(AGENT_DATABASE!B2:B5000="Agent 8")*1,0)+11),"")</f>
        <v/>
      </c>
      <c r="I35" s="92" t="str">
        <f>IFERROR(INDEX(AGENT_DATABASE!J:J,MATCH(1,(AGENT_DATABASE!B2:B5000="Agent 8")*1,0)+11),"")</f>
        <v/>
      </c>
      <c r="J35" s="92" t="str">
        <f>IFERROR(INDEX(AGENT_DATABASE!L:L,MATCH(1,(AGENT_DATABASE!B2:B5000="Agent 8")*1,0)+11),"")</f>
        <v/>
      </c>
      <c r="K35" s="92" t="str">
        <f>IFERROR(INDEX(AGENT_DATABASE!M:M,MATCH(1,(AGENT_DATABASE!B2:B5000="Agent 8")*1,0)+11),"")</f>
        <v/>
      </c>
      <c r="L35" s="94" t="str">
        <f>IFERROR(INDEX(AGENT_DATABASE!K:K,MATCH(1,(AGENT_DATABASE!B2:B5000="Agent 8")*1,0)+11),"")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8")*1,0)+12),"")</f>
        <v/>
      </c>
      <c r="C36" s="89" t="str">
        <f>IFERROR(INDEX(AGENT_DATABASE!C:C,MATCH(1,(AGENT_DATABASE!B2:B5000="Agent 8")*1,0)+12),"")</f>
        <v/>
      </c>
      <c r="D36" s="89" t="str">
        <f>IFERROR(INDEX(AGENT_DATABASE!D:D,MATCH(1,(AGENT_DATABASE!B2:B5000="Agent 8")*1,0)+12),"")</f>
        <v/>
      </c>
      <c r="E36" s="89" t="str">
        <f>IFERROR(INDEX(AGENT_DATABASE!F:F,MATCH(1,(AGENT_DATABASE!B2:B5000="Agent 8")*1,0)+12),"")</f>
        <v/>
      </c>
      <c r="F36" s="90" t="str">
        <f>IFERROR(INDEX(AGENT_DATABASE!G:G,MATCH(1,(AGENT_DATABASE!B2:B5000="Agent 8")*1,0)+12),"")</f>
        <v/>
      </c>
      <c r="G36" s="91" t="str">
        <f>IFERROR(INDEX(AGENT_DATABASE!H:H,MATCH(1,(AGENT_DATABASE!B2:B5000="Agent 8")*1,0)+12),"")</f>
        <v/>
      </c>
      <c r="H36" s="90" t="str">
        <f>IFERROR(INDEX(AGENT_DATABASE!I:I,MATCH(1,(AGENT_DATABASE!B2:B5000="Agent 8")*1,0)+12),"")</f>
        <v/>
      </c>
      <c r="I36" s="87" t="str">
        <f>IFERROR(INDEX(AGENT_DATABASE!J:J,MATCH(1,(AGENT_DATABASE!B2:B5000="Agent 8")*1,0)+12),"")</f>
        <v/>
      </c>
      <c r="J36" s="87" t="str">
        <f>IFERROR(INDEX(AGENT_DATABASE!L:L,MATCH(1,(AGENT_DATABASE!B2:B5000="Agent 8")*1,0)+12),"")</f>
        <v/>
      </c>
      <c r="K36" s="87" t="str">
        <f>IFERROR(INDEX(AGENT_DATABASE!M:M,MATCH(1,(AGENT_DATABASE!B2:B5000="Agent 8")*1,0)+12),"")</f>
        <v/>
      </c>
      <c r="L36" s="89" t="str">
        <f>IFERROR(INDEX(AGENT_DATABASE!K:K,MATCH(1,(AGENT_DATABASE!B2:B5000="Agent 8")*1,0)+12),"")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8")*1,0)+13),"")</f>
        <v/>
      </c>
      <c r="C37" s="94" t="str">
        <f>IFERROR(INDEX(AGENT_DATABASE!C:C,MATCH(1,(AGENT_DATABASE!B2:B5000="Agent 8")*1,0)+13),"")</f>
        <v/>
      </c>
      <c r="D37" s="94" t="str">
        <f>IFERROR(INDEX(AGENT_DATABASE!D:D,MATCH(1,(AGENT_DATABASE!B2:B5000="Agent 8")*1,0)+13),"")</f>
        <v/>
      </c>
      <c r="E37" s="94" t="str">
        <f>IFERROR(INDEX(AGENT_DATABASE!F:F,MATCH(1,(AGENT_DATABASE!B2:B5000="Agent 8")*1,0)+13),"")</f>
        <v/>
      </c>
      <c r="F37" s="95" t="str">
        <f>IFERROR(INDEX(AGENT_DATABASE!G:G,MATCH(1,(AGENT_DATABASE!B2:B5000="Agent 8")*1,0)+13),"")</f>
        <v/>
      </c>
      <c r="G37" s="96" t="str">
        <f>IFERROR(INDEX(AGENT_DATABASE!H:H,MATCH(1,(AGENT_DATABASE!B2:B5000="Agent 8")*1,0)+13),"")</f>
        <v/>
      </c>
      <c r="H37" s="95" t="str">
        <f>IFERROR(INDEX(AGENT_DATABASE!I:I,MATCH(1,(AGENT_DATABASE!B2:B5000="Agent 8")*1,0)+13),"")</f>
        <v/>
      </c>
      <c r="I37" s="92" t="str">
        <f>IFERROR(INDEX(AGENT_DATABASE!J:J,MATCH(1,(AGENT_DATABASE!B2:B5000="Agent 8")*1,0)+13),"")</f>
        <v/>
      </c>
      <c r="J37" s="92" t="str">
        <f>IFERROR(INDEX(AGENT_DATABASE!L:L,MATCH(1,(AGENT_DATABASE!B2:B5000="Agent 8")*1,0)+13),"")</f>
        <v/>
      </c>
      <c r="K37" s="92" t="str">
        <f>IFERROR(INDEX(AGENT_DATABASE!M:M,MATCH(1,(AGENT_DATABASE!B2:B5000="Agent 8")*1,0)+13),"")</f>
        <v/>
      </c>
      <c r="L37" s="94" t="str">
        <f>IFERROR(INDEX(AGENT_DATABASE!K:K,MATCH(1,(AGENT_DATABASE!B2:B5000="Agent 8")*1,0)+13),"")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8")*1,0)+14),"")</f>
        <v/>
      </c>
      <c r="C38" s="89" t="str">
        <f>IFERROR(INDEX(AGENT_DATABASE!C:C,MATCH(1,(AGENT_DATABASE!B2:B5000="Agent 8")*1,0)+14),"")</f>
        <v/>
      </c>
      <c r="D38" s="89" t="str">
        <f>IFERROR(INDEX(AGENT_DATABASE!D:D,MATCH(1,(AGENT_DATABASE!B2:B5000="Agent 8")*1,0)+14),"")</f>
        <v/>
      </c>
      <c r="E38" s="89" t="str">
        <f>IFERROR(INDEX(AGENT_DATABASE!F:F,MATCH(1,(AGENT_DATABASE!B2:B5000="Agent 8")*1,0)+14),"")</f>
        <v/>
      </c>
      <c r="F38" s="90" t="str">
        <f>IFERROR(INDEX(AGENT_DATABASE!G:G,MATCH(1,(AGENT_DATABASE!B2:B5000="Agent 8")*1,0)+14),"")</f>
        <v/>
      </c>
      <c r="G38" s="91" t="str">
        <f>IFERROR(INDEX(AGENT_DATABASE!H:H,MATCH(1,(AGENT_DATABASE!B2:B5000="Agent 8")*1,0)+14),"")</f>
        <v/>
      </c>
      <c r="H38" s="90" t="str">
        <f>IFERROR(INDEX(AGENT_DATABASE!I:I,MATCH(1,(AGENT_DATABASE!B2:B5000="Agent 8")*1,0)+14),"")</f>
        <v/>
      </c>
      <c r="I38" s="87" t="str">
        <f>IFERROR(INDEX(AGENT_DATABASE!J:J,MATCH(1,(AGENT_DATABASE!B2:B5000="Agent 8")*1,0)+14),"")</f>
        <v/>
      </c>
      <c r="J38" s="87" t="str">
        <f>IFERROR(INDEX(AGENT_DATABASE!L:L,MATCH(1,(AGENT_DATABASE!B2:B5000="Agent 8")*1,0)+14),"")</f>
        <v/>
      </c>
      <c r="K38" s="87" t="str">
        <f>IFERROR(INDEX(AGENT_DATABASE!M:M,MATCH(1,(AGENT_DATABASE!B2:B5000="Agent 8")*1,0)+14),"")</f>
        <v/>
      </c>
      <c r="L38" s="89" t="str">
        <f>IFERROR(INDEX(AGENT_DATABASE!K:K,MATCH(1,(AGENT_DATABASE!B2:B5000="Agent 8")*1,0)+14),"")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8")*1,0)+15),"")</f>
        <v/>
      </c>
      <c r="C39" s="94" t="str">
        <f>IFERROR(INDEX(AGENT_DATABASE!C:C,MATCH(1,(AGENT_DATABASE!B2:B5000="Agent 8")*1,0)+15),"")</f>
        <v/>
      </c>
      <c r="D39" s="94" t="str">
        <f>IFERROR(INDEX(AGENT_DATABASE!D:D,MATCH(1,(AGENT_DATABASE!B2:B5000="Agent 8")*1,0)+15),"")</f>
        <v/>
      </c>
      <c r="E39" s="94" t="str">
        <f>IFERROR(INDEX(AGENT_DATABASE!F:F,MATCH(1,(AGENT_DATABASE!B2:B5000="Agent 8")*1,0)+15),"")</f>
        <v/>
      </c>
      <c r="F39" s="95" t="str">
        <f>IFERROR(INDEX(AGENT_DATABASE!G:G,MATCH(1,(AGENT_DATABASE!B2:B5000="Agent 8")*1,0)+15),"")</f>
        <v/>
      </c>
      <c r="G39" s="96" t="str">
        <f>IFERROR(INDEX(AGENT_DATABASE!H:H,MATCH(1,(AGENT_DATABASE!B2:B5000="Agent 8")*1,0)+15),"")</f>
        <v/>
      </c>
      <c r="H39" s="95" t="str">
        <f>IFERROR(INDEX(AGENT_DATABASE!I:I,MATCH(1,(AGENT_DATABASE!B2:B5000="Agent 8")*1,0)+15),"")</f>
        <v/>
      </c>
      <c r="I39" s="92" t="str">
        <f>IFERROR(INDEX(AGENT_DATABASE!J:J,MATCH(1,(AGENT_DATABASE!B2:B5000="Agent 8")*1,0)+15),"")</f>
        <v/>
      </c>
      <c r="J39" s="92" t="str">
        <f>IFERROR(INDEX(AGENT_DATABASE!L:L,MATCH(1,(AGENT_DATABASE!B2:B5000="Agent 8")*1,0)+15),"")</f>
        <v/>
      </c>
      <c r="K39" s="92" t="str">
        <f>IFERROR(INDEX(AGENT_DATABASE!M:M,MATCH(1,(AGENT_DATABASE!B2:B5000="Agent 8")*1,0)+15),"")</f>
        <v/>
      </c>
      <c r="L39" s="94" t="str">
        <f>IFERROR(INDEX(AGENT_DATABASE!K:K,MATCH(1,(AGENT_DATABASE!B2:B5000="Agent 8")*1,0)+15),"")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8")*1,0)+16),"")</f>
        <v/>
      </c>
      <c r="C40" s="89" t="str">
        <f>IFERROR(INDEX(AGENT_DATABASE!C:C,MATCH(1,(AGENT_DATABASE!B2:B5000="Agent 8")*1,0)+16),"")</f>
        <v/>
      </c>
      <c r="D40" s="89" t="str">
        <f>IFERROR(INDEX(AGENT_DATABASE!D:D,MATCH(1,(AGENT_DATABASE!B2:B5000="Agent 8")*1,0)+16),"")</f>
        <v/>
      </c>
      <c r="E40" s="89" t="str">
        <f>IFERROR(INDEX(AGENT_DATABASE!F:F,MATCH(1,(AGENT_DATABASE!B2:B5000="Agent 8")*1,0)+16),"")</f>
        <v/>
      </c>
      <c r="F40" s="90" t="str">
        <f>IFERROR(INDEX(AGENT_DATABASE!G:G,MATCH(1,(AGENT_DATABASE!B2:B5000="Agent 8")*1,0)+16),"")</f>
        <v/>
      </c>
      <c r="G40" s="91" t="str">
        <f>IFERROR(INDEX(AGENT_DATABASE!H:H,MATCH(1,(AGENT_DATABASE!B2:B5000="Agent 8")*1,0)+16),"")</f>
        <v/>
      </c>
      <c r="H40" s="90" t="str">
        <f>IFERROR(INDEX(AGENT_DATABASE!I:I,MATCH(1,(AGENT_DATABASE!B2:B5000="Agent 8")*1,0)+16),"")</f>
        <v/>
      </c>
      <c r="I40" s="87" t="str">
        <f>IFERROR(INDEX(AGENT_DATABASE!J:J,MATCH(1,(AGENT_DATABASE!B2:B5000="Agent 8")*1,0)+16),"")</f>
        <v/>
      </c>
      <c r="J40" s="87" t="str">
        <f>IFERROR(INDEX(AGENT_DATABASE!L:L,MATCH(1,(AGENT_DATABASE!B2:B5000="Agent 8")*1,0)+16),"")</f>
        <v/>
      </c>
      <c r="K40" s="87" t="str">
        <f>IFERROR(INDEX(AGENT_DATABASE!M:M,MATCH(1,(AGENT_DATABASE!B2:B5000="Agent 8")*1,0)+16),"")</f>
        <v/>
      </c>
      <c r="L40" s="89" t="str">
        <f>IFERROR(INDEX(AGENT_DATABASE!K:K,MATCH(1,(AGENT_DATABASE!B2:B5000="Agent 8")*1,0)+16),"")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8")*1,0)+17),"")</f>
        <v/>
      </c>
      <c r="C41" s="94" t="str">
        <f>IFERROR(INDEX(AGENT_DATABASE!C:C,MATCH(1,(AGENT_DATABASE!B2:B5000="Agent 8")*1,0)+17),"")</f>
        <v/>
      </c>
      <c r="D41" s="94" t="str">
        <f>IFERROR(INDEX(AGENT_DATABASE!D:D,MATCH(1,(AGENT_DATABASE!B2:B5000="Agent 8")*1,0)+17),"")</f>
        <v/>
      </c>
      <c r="E41" s="94" t="str">
        <f>IFERROR(INDEX(AGENT_DATABASE!F:F,MATCH(1,(AGENT_DATABASE!B2:B5000="Agent 8")*1,0)+17),"")</f>
        <v/>
      </c>
      <c r="F41" s="95" t="str">
        <f>IFERROR(INDEX(AGENT_DATABASE!G:G,MATCH(1,(AGENT_DATABASE!B2:B5000="Agent 8")*1,0)+17),"")</f>
        <v/>
      </c>
      <c r="G41" s="96" t="str">
        <f>IFERROR(INDEX(AGENT_DATABASE!H:H,MATCH(1,(AGENT_DATABASE!B2:B5000="Agent 8")*1,0)+17),"")</f>
        <v/>
      </c>
      <c r="H41" s="95" t="str">
        <f>IFERROR(INDEX(AGENT_DATABASE!I:I,MATCH(1,(AGENT_DATABASE!B2:B5000="Agent 8")*1,0)+17),"")</f>
        <v/>
      </c>
      <c r="I41" s="92" t="str">
        <f>IFERROR(INDEX(AGENT_DATABASE!J:J,MATCH(1,(AGENT_DATABASE!B2:B5000="Agent 8")*1,0)+17),"")</f>
        <v/>
      </c>
      <c r="J41" s="92" t="str">
        <f>IFERROR(INDEX(AGENT_DATABASE!L:L,MATCH(1,(AGENT_DATABASE!B2:B5000="Agent 8")*1,0)+17),"")</f>
        <v/>
      </c>
      <c r="K41" s="92" t="str">
        <f>IFERROR(INDEX(AGENT_DATABASE!M:M,MATCH(1,(AGENT_DATABASE!B2:B5000="Agent 8")*1,0)+17),"")</f>
        <v/>
      </c>
      <c r="L41" s="94" t="str">
        <f>IFERROR(INDEX(AGENT_DATABASE!K:K,MATCH(1,(AGENT_DATABASE!B2:B5000="Agent 8")*1,0)+17),"")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8")*1,0)+18),"")</f>
        <v/>
      </c>
      <c r="C42" s="89" t="str">
        <f>IFERROR(INDEX(AGENT_DATABASE!C:C,MATCH(1,(AGENT_DATABASE!B2:B5000="Agent 8")*1,0)+18),"")</f>
        <v/>
      </c>
      <c r="D42" s="89" t="str">
        <f>IFERROR(INDEX(AGENT_DATABASE!D:D,MATCH(1,(AGENT_DATABASE!B2:B5000="Agent 8")*1,0)+18),"")</f>
        <v/>
      </c>
      <c r="E42" s="89" t="str">
        <f>IFERROR(INDEX(AGENT_DATABASE!F:F,MATCH(1,(AGENT_DATABASE!B2:B5000="Agent 8")*1,0)+18),"")</f>
        <v/>
      </c>
      <c r="F42" s="90" t="str">
        <f>IFERROR(INDEX(AGENT_DATABASE!G:G,MATCH(1,(AGENT_DATABASE!B2:B5000="Agent 8")*1,0)+18),"")</f>
        <v/>
      </c>
      <c r="G42" s="91" t="str">
        <f>IFERROR(INDEX(AGENT_DATABASE!H:H,MATCH(1,(AGENT_DATABASE!B2:B5000="Agent 8")*1,0)+18),"")</f>
        <v/>
      </c>
      <c r="H42" s="90" t="str">
        <f>IFERROR(INDEX(AGENT_DATABASE!I:I,MATCH(1,(AGENT_DATABASE!B2:B5000="Agent 8")*1,0)+18),"")</f>
        <v/>
      </c>
      <c r="I42" s="87" t="str">
        <f>IFERROR(INDEX(AGENT_DATABASE!J:J,MATCH(1,(AGENT_DATABASE!B2:B5000="Agent 8")*1,0)+18),"")</f>
        <v/>
      </c>
      <c r="J42" s="87" t="str">
        <f>IFERROR(INDEX(AGENT_DATABASE!L:L,MATCH(1,(AGENT_DATABASE!B2:B5000="Agent 8")*1,0)+18),"")</f>
        <v/>
      </c>
      <c r="K42" s="87" t="str">
        <f>IFERROR(INDEX(AGENT_DATABASE!M:M,MATCH(1,(AGENT_DATABASE!B2:B5000="Agent 8")*1,0)+18),"")</f>
        <v/>
      </c>
      <c r="L42" s="89" t="str">
        <f>IFERROR(INDEX(AGENT_DATABASE!K:K,MATCH(1,(AGENT_DATABASE!B2:B5000="Agent 8")*1,0)+18),"")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8")*1,0)+19),"")</f>
        <v/>
      </c>
      <c r="C43" s="94" t="str">
        <f>IFERROR(INDEX(AGENT_DATABASE!C:C,MATCH(1,(AGENT_DATABASE!B2:B5000="Agent 8")*1,0)+19),"")</f>
        <v/>
      </c>
      <c r="D43" s="94" t="str">
        <f>IFERROR(INDEX(AGENT_DATABASE!D:D,MATCH(1,(AGENT_DATABASE!B2:B5000="Agent 8")*1,0)+19),"")</f>
        <v/>
      </c>
      <c r="E43" s="94" t="str">
        <f>IFERROR(INDEX(AGENT_DATABASE!F:F,MATCH(1,(AGENT_DATABASE!B2:B5000="Agent 8")*1,0)+19),"")</f>
        <v/>
      </c>
      <c r="F43" s="95" t="str">
        <f>IFERROR(INDEX(AGENT_DATABASE!G:G,MATCH(1,(AGENT_DATABASE!B2:B5000="Agent 8")*1,0)+19),"")</f>
        <v/>
      </c>
      <c r="G43" s="96" t="str">
        <f>IFERROR(INDEX(AGENT_DATABASE!H:H,MATCH(1,(AGENT_DATABASE!B2:B5000="Agent 8")*1,0)+19),"")</f>
        <v/>
      </c>
      <c r="H43" s="95" t="str">
        <f>IFERROR(INDEX(AGENT_DATABASE!I:I,MATCH(1,(AGENT_DATABASE!B2:B5000="Agent 8")*1,0)+19),"")</f>
        <v/>
      </c>
      <c r="I43" s="92" t="str">
        <f>IFERROR(INDEX(AGENT_DATABASE!J:J,MATCH(1,(AGENT_DATABASE!B2:B5000="Agent 8")*1,0)+19),"")</f>
        <v/>
      </c>
      <c r="J43" s="92" t="str">
        <f>IFERROR(INDEX(AGENT_DATABASE!L:L,MATCH(1,(AGENT_DATABASE!B2:B5000="Agent 8")*1,0)+19),"")</f>
        <v/>
      </c>
      <c r="K43" s="92" t="str">
        <f>IFERROR(INDEX(AGENT_DATABASE!M:M,MATCH(1,(AGENT_DATABASE!B2:B5000="Agent 8")*1,0)+19),"")</f>
        <v/>
      </c>
      <c r="L43" s="94" t="str">
        <f>IFERROR(INDEX(AGENT_DATABASE!K:K,MATCH(1,(AGENT_DATABASE!B2:B5000="Agent 8")*1,0)+19),"")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8")*1,0)+20),"")</f>
        <v/>
      </c>
      <c r="C44" s="89" t="str">
        <f>IFERROR(INDEX(AGENT_DATABASE!C:C,MATCH(1,(AGENT_DATABASE!B2:B5000="Agent 8")*1,0)+20),"")</f>
        <v/>
      </c>
      <c r="D44" s="89" t="str">
        <f>IFERROR(INDEX(AGENT_DATABASE!D:D,MATCH(1,(AGENT_DATABASE!B2:B5000="Agent 8")*1,0)+20),"")</f>
        <v/>
      </c>
      <c r="E44" s="89" t="str">
        <f>IFERROR(INDEX(AGENT_DATABASE!F:F,MATCH(1,(AGENT_DATABASE!B2:B5000="Agent 8")*1,0)+20),"")</f>
        <v/>
      </c>
      <c r="F44" s="90" t="str">
        <f>IFERROR(INDEX(AGENT_DATABASE!G:G,MATCH(1,(AGENT_DATABASE!B2:B5000="Agent 8")*1,0)+20),"")</f>
        <v/>
      </c>
      <c r="G44" s="91" t="str">
        <f>IFERROR(INDEX(AGENT_DATABASE!H:H,MATCH(1,(AGENT_DATABASE!B2:B5000="Agent 8")*1,0)+20),"")</f>
        <v/>
      </c>
      <c r="H44" s="90" t="str">
        <f>IFERROR(INDEX(AGENT_DATABASE!I:I,MATCH(1,(AGENT_DATABASE!B2:B5000="Agent 8")*1,0)+20),"")</f>
        <v/>
      </c>
      <c r="I44" s="87" t="str">
        <f>IFERROR(INDEX(AGENT_DATABASE!J:J,MATCH(1,(AGENT_DATABASE!B2:B5000="Agent 8")*1,0)+20),"")</f>
        <v/>
      </c>
      <c r="J44" s="87" t="str">
        <f>IFERROR(INDEX(AGENT_DATABASE!L:L,MATCH(1,(AGENT_DATABASE!B2:B5000="Agent 8")*1,0)+20),"")</f>
        <v/>
      </c>
      <c r="K44" s="87" t="str">
        <f>IFERROR(INDEX(AGENT_DATABASE!M:M,MATCH(1,(AGENT_DATABASE!B2:B5000="Agent 8")*1,0)+20),"")</f>
        <v/>
      </c>
      <c r="L44" s="89" t="str">
        <f>IFERROR(INDEX(AGENT_DATABASE!K:K,MATCH(1,(AGENT_DATABASE!B2:B5000="Agent 8")*1,0)+20),"")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8")*1,0)+21),"")</f>
        <v/>
      </c>
      <c r="C45" s="94" t="str">
        <f>IFERROR(INDEX(AGENT_DATABASE!C:C,MATCH(1,(AGENT_DATABASE!B2:B5000="Agent 8")*1,0)+21),"")</f>
        <v/>
      </c>
      <c r="D45" s="94" t="str">
        <f>IFERROR(INDEX(AGENT_DATABASE!D:D,MATCH(1,(AGENT_DATABASE!B2:B5000="Agent 8")*1,0)+21),"")</f>
        <v/>
      </c>
      <c r="E45" s="94" t="str">
        <f>IFERROR(INDEX(AGENT_DATABASE!F:F,MATCH(1,(AGENT_DATABASE!B2:B5000="Agent 8")*1,0)+21),"")</f>
        <v/>
      </c>
      <c r="F45" s="95" t="str">
        <f>IFERROR(INDEX(AGENT_DATABASE!G:G,MATCH(1,(AGENT_DATABASE!B2:B5000="Agent 8")*1,0)+21),"")</f>
        <v/>
      </c>
      <c r="G45" s="96" t="str">
        <f>IFERROR(INDEX(AGENT_DATABASE!H:H,MATCH(1,(AGENT_DATABASE!B2:B5000="Agent 8")*1,0)+21),"")</f>
        <v/>
      </c>
      <c r="H45" s="95" t="str">
        <f>IFERROR(INDEX(AGENT_DATABASE!I:I,MATCH(1,(AGENT_DATABASE!B2:B5000="Agent 8")*1,0)+21),"")</f>
        <v/>
      </c>
      <c r="I45" s="92" t="str">
        <f>IFERROR(INDEX(AGENT_DATABASE!J:J,MATCH(1,(AGENT_DATABASE!B2:B5000="Agent 8")*1,0)+21),"")</f>
        <v/>
      </c>
      <c r="J45" s="92" t="str">
        <f>IFERROR(INDEX(AGENT_DATABASE!L:L,MATCH(1,(AGENT_DATABASE!B2:B5000="Agent 8")*1,0)+21),"")</f>
        <v/>
      </c>
      <c r="K45" s="92" t="str">
        <f>IFERROR(INDEX(AGENT_DATABASE!M:M,MATCH(1,(AGENT_DATABASE!B2:B5000="Agent 8")*1,0)+21),"")</f>
        <v/>
      </c>
      <c r="L45" s="94" t="str">
        <f>IFERROR(INDEX(AGENT_DATABASE!K:K,MATCH(1,(AGENT_DATABASE!B2:B5000="Agent 8")*1,0)+21),"")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8")*1,0)+22),"")</f>
        <v/>
      </c>
      <c r="C46" s="89" t="str">
        <f>IFERROR(INDEX(AGENT_DATABASE!C:C,MATCH(1,(AGENT_DATABASE!B2:B5000="Agent 8")*1,0)+22),"")</f>
        <v/>
      </c>
      <c r="D46" s="89" t="str">
        <f>IFERROR(INDEX(AGENT_DATABASE!D:D,MATCH(1,(AGENT_DATABASE!B2:B5000="Agent 8")*1,0)+22),"")</f>
        <v/>
      </c>
      <c r="E46" s="89" t="str">
        <f>IFERROR(INDEX(AGENT_DATABASE!F:F,MATCH(1,(AGENT_DATABASE!B2:B5000="Agent 8")*1,0)+22),"")</f>
        <v/>
      </c>
      <c r="F46" s="90" t="str">
        <f>IFERROR(INDEX(AGENT_DATABASE!G:G,MATCH(1,(AGENT_DATABASE!B2:B5000="Agent 8")*1,0)+22),"")</f>
        <v/>
      </c>
      <c r="G46" s="91" t="str">
        <f>IFERROR(INDEX(AGENT_DATABASE!H:H,MATCH(1,(AGENT_DATABASE!B2:B5000="Agent 8")*1,0)+22),"")</f>
        <v/>
      </c>
      <c r="H46" s="90" t="str">
        <f>IFERROR(INDEX(AGENT_DATABASE!I:I,MATCH(1,(AGENT_DATABASE!B2:B5000="Agent 8")*1,0)+22),"")</f>
        <v/>
      </c>
      <c r="I46" s="87" t="str">
        <f>IFERROR(INDEX(AGENT_DATABASE!J:J,MATCH(1,(AGENT_DATABASE!B2:B5000="Agent 8")*1,0)+22),"")</f>
        <v/>
      </c>
      <c r="J46" s="87" t="str">
        <f>IFERROR(INDEX(AGENT_DATABASE!L:L,MATCH(1,(AGENT_DATABASE!B2:B5000="Agent 8")*1,0)+22),"")</f>
        <v/>
      </c>
      <c r="K46" s="87" t="str">
        <f>IFERROR(INDEX(AGENT_DATABASE!M:M,MATCH(1,(AGENT_DATABASE!B2:B5000="Agent 8")*1,0)+22),"")</f>
        <v/>
      </c>
      <c r="L46" s="89" t="str">
        <f>IFERROR(INDEX(AGENT_DATABASE!K:K,MATCH(1,(AGENT_DATABASE!B2:B5000="Agent 8")*1,0)+22),"")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8")*1,0)+23),"")</f>
        <v/>
      </c>
      <c r="C47" s="94" t="str">
        <f>IFERROR(INDEX(AGENT_DATABASE!C:C,MATCH(1,(AGENT_DATABASE!B2:B5000="Agent 8")*1,0)+23),"")</f>
        <v/>
      </c>
      <c r="D47" s="94" t="str">
        <f>IFERROR(INDEX(AGENT_DATABASE!D:D,MATCH(1,(AGENT_DATABASE!B2:B5000="Agent 8")*1,0)+23),"")</f>
        <v/>
      </c>
      <c r="E47" s="94" t="str">
        <f>IFERROR(INDEX(AGENT_DATABASE!F:F,MATCH(1,(AGENT_DATABASE!B2:B5000="Agent 8")*1,0)+23),"")</f>
        <v/>
      </c>
      <c r="F47" s="95" t="str">
        <f>IFERROR(INDEX(AGENT_DATABASE!G:G,MATCH(1,(AGENT_DATABASE!B2:B5000="Agent 8")*1,0)+23),"")</f>
        <v/>
      </c>
      <c r="G47" s="96" t="str">
        <f>IFERROR(INDEX(AGENT_DATABASE!H:H,MATCH(1,(AGENT_DATABASE!B2:B5000="Agent 8")*1,0)+23),"")</f>
        <v/>
      </c>
      <c r="H47" s="95" t="str">
        <f>IFERROR(INDEX(AGENT_DATABASE!I:I,MATCH(1,(AGENT_DATABASE!B2:B5000="Agent 8")*1,0)+23),"")</f>
        <v/>
      </c>
      <c r="I47" s="92" t="str">
        <f>IFERROR(INDEX(AGENT_DATABASE!J:J,MATCH(1,(AGENT_DATABASE!B2:B5000="Agent 8")*1,0)+23),"")</f>
        <v/>
      </c>
      <c r="J47" s="92" t="str">
        <f>IFERROR(INDEX(AGENT_DATABASE!L:L,MATCH(1,(AGENT_DATABASE!B2:B5000="Agent 8")*1,0)+23),"")</f>
        <v/>
      </c>
      <c r="K47" s="92" t="str">
        <f>IFERROR(INDEX(AGENT_DATABASE!M:M,MATCH(1,(AGENT_DATABASE!B2:B5000="Agent 8")*1,0)+23),"")</f>
        <v/>
      </c>
      <c r="L47" s="94" t="str">
        <f>IFERROR(INDEX(AGENT_DATABASE!K:K,MATCH(1,(AGENT_DATABASE!B2:B5000="Agent 8")*1,0)+23),"")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8")*1,0)+24),"")</f>
        <v/>
      </c>
      <c r="C48" s="89" t="str">
        <f>IFERROR(INDEX(AGENT_DATABASE!C:C,MATCH(1,(AGENT_DATABASE!B2:B5000="Agent 8")*1,0)+24),"")</f>
        <v/>
      </c>
      <c r="D48" s="89" t="str">
        <f>IFERROR(INDEX(AGENT_DATABASE!D:D,MATCH(1,(AGENT_DATABASE!B2:B5000="Agent 8")*1,0)+24),"")</f>
        <v/>
      </c>
      <c r="E48" s="89" t="str">
        <f>IFERROR(INDEX(AGENT_DATABASE!F:F,MATCH(1,(AGENT_DATABASE!B2:B5000="Agent 8")*1,0)+24),"")</f>
        <v/>
      </c>
      <c r="F48" s="90" t="str">
        <f>IFERROR(INDEX(AGENT_DATABASE!G:G,MATCH(1,(AGENT_DATABASE!B2:B5000="Agent 8")*1,0)+24),"")</f>
        <v/>
      </c>
      <c r="G48" s="91" t="str">
        <f>IFERROR(INDEX(AGENT_DATABASE!H:H,MATCH(1,(AGENT_DATABASE!B2:B5000="Agent 8")*1,0)+24),"")</f>
        <v/>
      </c>
      <c r="H48" s="90" t="str">
        <f>IFERROR(INDEX(AGENT_DATABASE!I:I,MATCH(1,(AGENT_DATABASE!B2:B5000="Agent 8")*1,0)+24),"")</f>
        <v/>
      </c>
      <c r="I48" s="87" t="str">
        <f>IFERROR(INDEX(AGENT_DATABASE!J:J,MATCH(1,(AGENT_DATABASE!B2:B5000="Agent 8")*1,0)+24),"")</f>
        <v/>
      </c>
      <c r="J48" s="87" t="str">
        <f>IFERROR(INDEX(AGENT_DATABASE!L:L,MATCH(1,(AGENT_DATABASE!B2:B5000="Agent 8")*1,0)+24),"")</f>
        <v/>
      </c>
      <c r="K48" s="87" t="str">
        <f>IFERROR(INDEX(AGENT_DATABASE!M:M,MATCH(1,(AGENT_DATABASE!B2:B5000="Agent 8")*1,0)+24),"")</f>
        <v/>
      </c>
      <c r="L48" s="89" t="str">
        <f>IFERROR(INDEX(AGENT_DATABASE!K:K,MATCH(1,(AGENT_DATABASE!B2:B5000="Agent 8")*1,0)+24),"")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8")*1,0)+25),"")</f>
        <v/>
      </c>
      <c r="C49" s="94" t="str">
        <f>IFERROR(INDEX(AGENT_DATABASE!C:C,MATCH(1,(AGENT_DATABASE!B2:B5000="Agent 8")*1,0)+25),"")</f>
        <v/>
      </c>
      <c r="D49" s="94" t="str">
        <f>IFERROR(INDEX(AGENT_DATABASE!D:D,MATCH(1,(AGENT_DATABASE!B2:B5000="Agent 8")*1,0)+25),"")</f>
        <v/>
      </c>
      <c r="E49" s="94" t="str">
        <f>IFERROR(INDEX(AGENT_DATABASE!F:F,MATCH(1,(AGENT_DATABASE!B2:B5000="Agent 8")*1,0)+25),"")</f>
        <v/>
      </c>
      <c r="F49" s="95" t="str">
        <f>IFERROR(INDEX(AGENT_DATABASE!G:G,MATCH(1,(AGENT_DATABASE!B2:B5000="Agent 8")*1,0)+25),"")</f>
        <v/>
      </c>
      <c r="G49" s="96" t="str">
        <f>IFERROR(INDEX(AGENT_DATABASE!H:H,MATCH(1,(AGENT_DATABASE!B2:B5000="Agent 8")*1,0)+25),"")</f>
        <v/>
      </c>
      <c r="H49" s="95" t="str">
        <f>IFERROR(INDEX(AGENT_DATABASE!I:I,MATCH(1,(AGENT_DATABASE!B2:B5000="Agent 8")*1,0)+25),"")</f>
        <v/>
      </c>
      <c r="I49" s="92" t="str">
        <f>IFERROR(INDEX(AGENT_DATABASE!J:J,MATCH(1,(AGENT_DATABASE!B2:B5000="Agent 8")*1,0)+25),"")</f>
        <v/>
      </c>
      <c r="J49" s="92" t="str">
        <f>IFERROR(INDEX(AGENT_DATABASE!L:L,MATCH(1,(AGENT_DATABASE!B2:B5000="Agent 8")*1,0)+25),"")</f>
        <v/>
      </c>
      <c r="K49" s="92" t="str">
        <f>IFERROR(INDEX(AGENT_DATABASE!M:M,MATCH(1,(AGENT_DATABASE!B2:B5000="Agent 8")*1,0)+25),"")</f>
        <v/>
      </c>
      <c r="L49" s="94" t="str">
        <f>IFERROR(INDEX(AGENT_DATABASE!K:K,MATCH(1,(AGENT_DATABASE!B2:B5000="Agent 8")*1,0)+25),"")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8")*1,0)+26),"")</f>
        <v/>
      </c>
      <c r="C50" s="89" t="str">
        <f>IFERROR(INDEX(AGENT_DATABASE!C:C,MATCH(1,(AGENT_DATABASE!B2:B5000="Agent 8")*1,0)+26),"")</f>
        <v/>
      </c>
      <c r="D50" s="89" t="str">
        <f>IFERROR(INDEX(AGENT_DATABASE!D:D,MATCH(1,(AGENT_DATABASE!B2:B5000="Agent 8")*1,0)+26),"")</f>
        <v/>
      </c>
      <c r="E50" s="89" t="str">
        <f>IFERROR(INDEX(AGENT_DATABASE!F:F,MATCH(1,(AGENT_DATABASE!B2:B5000="Agent 8")*1,0)+26),"")</f>
        <v/>
      </c>
      <c r="F50" s="90" t="str">
        <f>IFERROR(INDEX(AGENT_DATABASE!G:G,MATCH(1,(AGENT_DATABASE!B2:B5000="Agent 8")*1,0)+26),"")</f>
        <v/>
      </c>
      <c r="G50" s="91" t="str">
        <f>IFERROR(INDEX(AGENT_DATABASE!H:H,MATCH(1,(AGENT_DATABASE!B2:B5000="Agent 8")*1,0)+26),"")</f>
        <v/>
      </c>
      <c r="H50" s="90" t="str">
        <f>IFERROR(INDEX(AGENT_DATABASE!I:I,MATCH(1,(AGENT_DATABASE!B2:B5000="Agent 8")*1,0)+26),"")</f>
        <v/>
      </c>
      <c r="I50" s="87" t="str">
        <f>IFERROR(INDEX(AGENT_DATABASE!J:J,MATCH(1,(AGENT_DATABASE!B2:B5000="Agent 8")*1,0)+26),"")</f>
        <v/>
      </c>
      <c r="J50" s="87" t="str">
        <f>IFERROR(INDEX(AGENT_DATABASE!L:L,MATCH(1,(AGENT_DATABASE!B2:B5000="Agent 8")*1,0)+26),"")</f>
        <v/>
      </c>
      <c r="K50" s="87" t="str">
        <f>IFERROR(INDEX(AGENT_DATABASE!M:M,MATCH(1,(AGENT_DATABASE!B2:B5000="Agent 8")*1,0)+26),"")</f>
        <v/>
      </c>
      <c r="L50" s="89" t="str">
        <f>IFERROR(INDEX(AGENT_DATABASE!K:K,MATCH(1,(AGENT_DATABASE!B2:B5000="Agent 8")*1,0)+26),"")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8")*1,0)+27),"")</f>
        <v/>
      </c>
      <c r="C51" s="94" t="str">
        <f>IFERROR(INDEX(AGENT_DATABASE!C:C,MATCH(1,(AGENT_DATABASE!B2:B5000="Agent 8")*1,0)+27),"")</f>
        <v/>
      </c>
      <c r="D51" s="94" t="str">
        <f>IFERROR(INDEX(AGENT_DATABASE!D:D,MATCH(1,(AGENT_DATABASE!B2:B5000="Agent 8")*1,0)+27),"")</f>
        <v/>
      </c>
      <c r="E51" s="94" t="str">
        <f>IFERROR(INDEX(AGENT_DATABASE!F:F,MATCH(1,(AGENT_DATABASE!B2:B5000="Agent 8")*1,0)+27),"")</f>
        <v/>
      </c>
      <c r="F51" s="95" t="str">
        <f>IFERROR(INDEX(AGENT_DATABASE!G:G,MATCH(1,(AGENT_DATABASE!B2:B5000="Agent 8")*1,0)+27),"")</f>
        <v/>
      </c>
      <c r="G51" s="96" t="str">
        <f>IFERROR(INDEX(AGENT_DATABASE!H:H,MATCH(1,(AGENT_DATABASE!B2:B5000="Agent 8")*1,0)+27),"")</f>
        <v/>
      </c>
      <c r="H51" s="95" t="str">
        <f>IFERROR(INDEX(AGENT_DATABASE!I:I,MATCH(1,(AGENT_DATABASE!B2:B5000="Agent 8")*1,0)+27),"")</f>
        <v/>
      </c>
      <c r="I51" s="92" t="str">
        <f>IFERROR(INDEX(AGENT_DATABASE!J:J,MATCH(1,(AGENT_DATABASE!B2:B5000="Agent 8")*1,0)+27),"")</f>
        <v/>
      </c>
      <c r="J51" s="92" t="str">
        <f>IFERROR(INDEX(AGENT_DATABASE!L:L,MATCH(1,(AGENT_DATABASE!B2:B5000="Agent 8")*1,0)+27),"")</f>
        <v/>
      </c>
      <c r="K51" s="92" t="str">
        <f>IFERROR(INDEX(AGENT_DATABASE!M:M,MATCH(1,(AGENT_DATABASE!B2:B5000="Agent 8")*1,0)+27),"")</f>
        <v/>
      </c>
      <c r="L51" s="94" t="str">
        <f>IFERROR(INDEX(AGENT_DATABASE!K:K,MATCH(1,(AGENT_DATABASE!B2:B5000="Agent 8")*1,0)+27),"")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8")*1,0)+28),"")</f>
        <v/>
      </c>
      <c r="C52" s="89" t="str">
        <f>IFERROR(INDEX(AGENT_DATABASE!C:C,MATCH(1,(AGENT_DATABASE!B2:B5000="Agent 8")*1,0)+28),"")</f>
        <v/>
      </c>
      <c r="D52" s="89" t="str">
        <f>IFERROR(INDEX(AGENT_DATABASE!D:D,MATCH(1,(AGENT_DATABASE!B2:B5000="Agent 8")*1,0)+28),"")</f>
        <v/>
      </c>
      <c r="E52" s="89" t="str">
        <f>IFERROR(INDEX(AGENT_DATABASE!F:F,MATCH(1,(AGENT_DATABASE!B2:B5000="Agent 8")*1,0)+28),"")</f>
        <v/>
      </c>
      <c r="F52" s="90" t="str">
        <f>IFERROR(INDEX(AGENT_DATABASE!G:G,MATCH(1,(AGENT_DATABASE!B2:B5000="Agent 8")*1,0)+28),"")</f>
        <v/>
      </c>
      <c r="G52" s="91" t="str">
        <f>IFERROR(INDEX(AGENT_DATABASE!H:H,MATCH(1,(AGENT_DATABASE!B2:B5000="Agent 8")*1,0)+28),"")</f>
        <v/>
      </c>
      <c r="H52" s="90" t="str">
        <f>IFERROR(INDEX(AGENT_DATABASE!I:I,MATCH(1,(AGENT_DATABASE!B2:B5000="Agent 8")*1,0)+28),"")</f>
        <v/>
      </c>
      <c r="I52" s="87" t="str">
        <f>IFERROR(INDEX(AGENT_DATABASE!J:J,MATCH(1,(AGENT_DATABASE!B2:B5000="Agent 8")*1,0)+28),"")</f>
        <v/>
      </c>
      <c r="J52" s="87" t="str">
        <f>IFERROR(INDEX(AGENT_DATABASE!L:L,MATCH(1,(AGENT_DATABASE!B2:B5000="Agent 8")*1,0)+28),"")</f>
        <v/>
      </c>
      <c r="K52" s="87" t="str">
        <f>IFERROR(INDEX(AGENT_DATABASE!M:M,MATCH(1,(AGENT_DATABASE!B2:B5000="Agent 8")*1,0)+28),"")</f>
        <v/>
      </c>
      <c r="L52" s="89" t="str">
        <f>IFERROR(INDEX(AGENT_DATABASE!K:K,MATCH(1,(AGENT_DATABASE!B2:B5000="Agent 8")*1,0)+28),"")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8")*1,0)+29),"")</f>
        <v/>
      </c>
      <c r="C53" s="94" t="str">
        <f>IFERROR(INDEX(AGENT_DATABASE!C:C,MATCH(1,(AGENT_DATABASE!B2:B5000="Agent 8")*1,0)+29),"")</f>
        <v/>
      </c>
      <c r="D53" s="94" t="str">
        <f>IFERROR(INDEX(AGENT_DATABASE!D:D,MATCH(1,(AGENT_DATABASE!B2:B5000="Agent 8")*1,0)+29),"")</f>
        <v/>
      </c>
      <c r="E53" s="94" t="str">
        <f>IFERROR(INDEX(AGENT_DATABASE!F:F,MATCH(1,(AGENT_DATABASE!B2:B5000="Agent 8")*1,0)+29),"")</f>
        <v/>
      </c>
      <c r="F53" s="95" t="str">
        <f>IFERROR(INDEX(AGENT_DATABASE!G:G,MATCH(1,(AGENT_DATABASE!B2:B5000="Agent 8")*1,0)+29),"")</f>
        <v/>
      </c>
      <c r="G53" s="96" t="str">
        <f>IFERROR(INDEX(AGENT_DATABASE!H:H,MATCH(1,(AGENT_DATABASE!B2:B5000="Agent 8")*1,0)+29),"")</f>
        <v/>
      </c>
      <c r="H53" s="95" t="str">
        <f>IFERROR(INDEX(AGENT_DATABASE!I:I,MATCH(1,(AGENT_DATABASE!B2:B5000="Agent 8")*1,0)+29),"")</f>
        <v/>
      </c>
      <c r="I53" s="92" t="str">
        <f>IFERROR(INDEX(AGENT_DATABASE!J:J,MATCH(1,(AGENT_DATABASE!B2:B5000="Agent 8")*1,0)+29),"")</f>
        <v/>
      </c>
      <c r="J53" s="92" t="str">
        <f>IFERROR(INDEX(AGENT_DATABASE!L:L,MATCH(1,(AGENT_DATABASE!B2:B5000="Agent 8")*1,0)+29),"")</f>
        <v/>
      </c>
      <c r="K53" s="92" t="str">
        <f>IFERROR(INDEX(AGENT_DATABASE!M:M,MATCH(1,(AGENT_DATABASE!B2:B5000="Agent 8")*1,0)+29),"")</f>
        <v/>
      </c>
      <c r="L53" s="94" t="str">
        <f>IFERROR(INDEX(AGENT_DATABASE!K:K,MATCH(1,(AGENT_DATABASE!B2:B5000="Agent 8")*1,0)+29),"")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900-000000000000}">
      <formula1>"Savings Deposit,Withdrawal"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1E6B3A"/>
  </sheetPr>
  <dimension ref="A1:L60"/>
  <sheetViews>
    <sheetView workbookViewId="0">
      <pane ySplit="2" topLeftCell="A3" activePane="bottomLeft" state="frozen"/>
      <selection pane="bottomLeft" sqref="A1:L1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182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183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f ca="1">SUMPRODUCT((AGENT_DATABASE!B2:B5000="Agent 9")*(AGENT_DATABASE!F2:F5000="Savings Deposit")*(TEXT(AGENT_DATABASE!A2:A5000,"DD/MM/YYYY")=TEXT(TODAY(),"DD/MM/YYYY"))*AGENT_DATABASE!G2:G5000)</f>
        <v>0</v>
      </c>
      <c r="C6" s="132"/>
      <c r="D6" s="135">
        <f ca="1">SUMPRODUCT((AGENT_DATABASE!B2:B5000="Agent 9")*(AGENT_DATABASE!F2:F5000="Loan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9")*(AGENT_DATABASE!F2:F5000="Withdrawal")*(TEXT(AGENT_DATABASE!A2:A5000,"DD/MM/YYYY")=TEXT(TODAY(),"DD/MM/YYYY"))*AGENT_DATABASE!G2:G5000)</f>
        <v>0</v>
      </c>
      <c r="G6" s="132"/>
      <c r="H6" s="135">
        <f ca="1">IFERROR(B6-F6-D6,0)</f>
        <v>0</v>
      </c>
      <c r="I6" s="132"/>
      <c r="J6" s="136">
        <f ca="1">SUMPRODUCT((AGENT_DATABASE!B2:B5000="Agent 9")*(TEXT(AGENT_DATABASE!A2:A5000,"DD/MM/YYYY")=TEXT(TODAY(),"DD/MM/YYYY"))*1)</f>
        <v>0</v>
      </c>
      <c r="K6" s="132"/>
    </row>
    <row r="7" spans="1:12" ht="27.95" customHeight="1" x14ac:dyDescent="0.25">
      <c r="A7" s="129" t="s">
        <v>184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9")*(AGENT_DATABASE!F2:F5000="Savings Deposit")*(TEXT(AGENT_DATABASE!A2:A5000,"DD/MM/YYYY")=TEXT(TODAY(),"DD/MM/YYYY"))*AGENT_DATABASE!G2:G5000),2)=0,ROUND(E9-SUMPRODUCT((AGENT_DATABASE!B2:B5000="Agent 9")*(AGENT_DATABASE!F2:F5000="Withdrawal")*(TEXT(AGENT_DATABASE!A2:A5000,"DD/MM/YYYY")=TEXT(TODAY(),"DD/MM/YYYY"))*AGENT_DATABASE!G2:G5000),2)=0,ROUND(G9-SUMPRODUCT((AGENT_DATABASE!B2:B5000="Agent 9")*(AGENT_DATABASE!F2:F5000="Loan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9")*1,0)+0),"")</f>
        <v/>
      </c>
      <c r="C24" s="89" t="str">
        <f>IFERROR(INDEX(AGENT_DATABASE!C:C,MATCH(1,(AGENT_DATABASE!B2:B5000="Agent 9")*1,0)+0),"")</f>
        <v/>
      </c>
      <c r="D24" s="89" t="str">
        <f>IFERROR(INDEX(AGENT_DATABASE!D:D,MATCH(1,(AGENT_DATABASE!B2:B5000="Agent 9")*1,0)+0),"")</f>
        <v/>
      </c>
      <c r="E24" s="89" t="str">
        <f>IFERROR(INDEX(AGENT_DATABASE!F:F,MATCH(1,(AGENT_DATABASE!B2:B5000="Agent 9")*1,0)+0),"")</f>
        <v/>
      </c>
      <c r="F24" s="90" t="str">
        <f>IFERROR(INDEX(AGENT_DATABASE!G:G,MATCH(1,(AGENT_DATABASE!B2:B5000="Agent 9")*1,0)+0),"")</f>
        <v/>
      </c>
      <c r="G24" s="91" t="str">
        <f>IFERROR(INDEX(AGENT_DATABASE!H:H,MATCH(1,(AGENT_DATABASE!B2:B5000="Agent 9")*1,0)+0),"")</f>
        <v/>
      </c>
      <c r="H24" s="90" t="str">
        <f>IFERROR(INDEX(AGENT_DATABASE!I:I,MATCH(1,(AGENT_DATABASE!B2:B5000="Agent 9")*1,0)+0),"")</f>
        <v/>
      </c>
      <c r="I24" s="87" t="str">
        <f>IFERROR(INDEX(AGENT_DATABASE!J:J,MATCH(1,(AGENT_DATABASE!B2:B5000="Agent 9")*1,0)+0),"")</f>
        <v/>
      </c>
      <c r="J24" s="87" t="str">
        <f>IFERROR(INDEX(AGENT_DATABASE!L:L,MATCH(1,(AGENT_DATABASE!B2:B5000="Agent 9")*1,0)+0),"")</f>
        <v/>
      </c>
      <c r="K24" s="87" t="str">
        <f>IFERROR(INDEX(AGENT_DATABASE!M:M,MATCH(1,(AGENT_DATABASE!B2:B5000="Agent 9")*1,0)+0),"")</f>
        <v/>
      </c>
      <c r="L24" s="89" t="str">
        <f>IFERROR(INDEX(AGENT_DATABASE!K:K,MATCH(1,(AGENT_DATABASE!B2:B5000="Agent 9")*1,0)+0),"")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9")*1,0)+1),"")</f>
        <v/>
      </c>
      <c r="C25" s="94" t="str">
        <f>IFERROR(INDEX(AGENT_DATABASE!C:C,MATCH(1,(AGENT_DATABASE!B2:B5000="Agent 9")*1,0)+1),"")</f>
        <v/>
      </c>
      <c r="D25" s="94" t="str">
        <f>IFERROR(INDEX(AGENT_DATABASE!D:D,MATCH(1,(AGENT_DATABASE!B2:B5000="Agent 9")*1,0)+1),"")</f>
        <v/>
      </c>
      <c r="E25" s="94" t="str">
        <f>IFERROR(INDEX(AGENT_DATABASE!F:F,MATCH(1,(AGENT_DATABASE!B2:B5000="Agent 9")*1,0)+1),"")</f>
        <v/>
      </c>
      <c r="F25" s="95" t="str">
        <f>IFERROR(INDEX(AGENT_DATABASE!G:G,MATCH(1,(AGENT_DATABASE!B2:B5000="Agent 9")*1,0)+1),"")</f>
        <v/>
      </c>
      <c r="G25" s="96" t="str">
        <f>IFERROR(INDEX(AGENT_DATABASE!H:H,MATCH(1,(AGENT_DATABASE!B2:B5000="Agent 9")*1,0)+1),"")</f>
        <v/>
      </c>
      <c r="H25" s="95" t="str">
        <f>IFERROR(INDEX(AGENT_DATABASE!I:I,MATCH(1,(AGENT_DATABASE!B2:B5000="Agent 9")*1,0)+1),"")</f>
        <v/>
      </c>
      <c r="I25" s="92" t="str">
        <f>IFERROR(INDEX(AGENT_DATABASE!J:J,MATCH(1,(AGENT_DATABASE!B2:B5000="Agent 9")*1,0)+1),"")</f>
        <v/>
      </c>
      <c r="J25" s="92" t="str">
        <f>IFERROR(INDEX(AGENT_DATABASE!L:L,MATCH(1,(AGENT_DATABASE!B2:B5000="Agent 9")*1,0)+1),"")</f>
        <v/>
      </c>
      <c r="K25" s="92" t="str">
        <f>IFERROR(INDEX(AGENT_DATABASE!M:M,MATCH(1,(AGENT_DATABASE!B2:B5000="Agent 9")*1,0)+1),"")</f>
        <v/>
      </c>
      <c r="L25" s="94" t="str">
        <f>IFERROR(INDEX(AGENT_DATABASE!K:K,MATCH(1,(AGENT_DATABASE!B2:B5000="Agent 9")*1,0)+1),"")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9")*1,0)+2),"")</f>
        <v/>
      </c>
      <c r="C26" s="89" t="str">
        <f>IFERROR(INDEX(AGENT_DATABASE!C:C,MATCH(1,(AGENT_DATABASE!B2:B5000="Agent 9")*1,0)+2),"")</f>
        <v/>
      </c>
      <c r="D26" s="89" t="str">
        <f>IFERROR(INDEX(AGENT_DATABASE!D:D,MATCH(1,(AGENT_DATABASE!B2:B5000="Agent 9")*1,0)+2),"")</f>
        <v/>
      </c>
      <c r="E26" s="89" t="str">
        <f>IFERROR(INDEX(AGENT_DATABASE!F:F,MATCH(1,(AGENT_DATABASE!B2:B5000="Agent 9")*1,0)+2),"")</f>
        <v/>
      </c>
      <c r="F26" s="90" t="str">
        <f>IFERROR(INDEX(AGENT_DATABASE!G:G,MATCH(1,(AGENT_DATABASE!B2:B5000="Agent 9")*1,0)+2),"")</f>
        <v/>
      </c>
      <c r="G26" s="91" t="str">
        <f>IFERROR(INDEX(AGENT_DATABASE!H:H,MATCH(1,(AGENT_DATABASE!B2:B5000="Agent 9")*1,0)+2),"")</f>
        <v/>
      </c>
      <c r="H26" s="90" t="str">
        <f>IFERROR(INDEX(AGENT_DATABASE!I:I,MATCH(1,(AGENT_DATABASE!B2:B5000="Agent 9")*1,0)+2),"")</f>
        <v/>
      </c>
      <c r="I26" s="87" t="str">
        <f>IFERROR(INDEX(AGENT_DATABASE!J:J,MATCH(1,(AGENT_DATABASE!B2:B5000="Agent 9")*1,0)+2),"")</f>
        <v/>
      </c>
      <c r="J26" s="87" t="str">
        <f>IFERROR(INDEX(AGENT_DATABASE!L:L,MATCH(1,(AGENT_DATABASE!B2:B5000="Agent 9")*1,0)+2),"")</f>
        <v/>
      </c>
      <c r="K26" s="87" t="str">
        <f>IFERROR(INDEX(AGENT_DATABASE!M:M,MATCH(1,(AGENT_DATABASE!B2:B5000="Agent 9")*1,0)+2),"")</f>
        <v/>
      </c>
      <c r="L26" s="89" t="str">
        <f>IFERROR(INDEX(AGENT_DATABASE!K:K,MATCH(1,(AGENT_DATABASE!B2:B5000="Agent 9")*1,0)+2),"")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9")*1,0)+3),"")</f>
        <v/>
      </c>
      <c r="C27" s="94" t="str">
        <f>IFERROR(INDEX(AGENT_DATABASE!C:C,MATCH(1,(AGENT_DATABASE!B2:B5000="Agent 9")*1,0)+3),"")</f>
        <v/>
      </c>
      <c r="D27" s="94" t="str">
        <f>IFERROR(INDEX(AGENT_DATABASE!D:D,MATCH(1,(AGENT_DATABASE!B2:B5000="Agent 9")*1,0)+3),"")</f>
        <v/>
      </c>
      <c r="E27" s="94" t="str">
        <f>IFERROR(INDEX(AGENT_DATABASE!F:F,MATCH(1,(AGENT_DATABASE!B2:B5000="Agent 9")*1,0)+3),"")</f>
        <v/>
      </c>
      <c r="F27" s="95" t="str">
        <f>IFERROR(INDEX(AGENT_DATABASE!G:G,MATCH(1,(AGENT_DATABASE!B2:B5000="Agent 9")*1,0)+3),"")</f>
        <v/>
      </c>
      <c r="G27" s="96" t="str">
        <f>IFERROR(INDEX(AGENT_DATABASE!H:H,MATCH(1,(AGENT_DATABASE!B2:B5000="Agent 9")*1,0)+3),"")</f>
        <v/>
      </c>
      <c r="H27" s="95" t="str">
        <f>IFERROR(INDEX(AGENT_DATABASE!I:I,MATCH(1,(AGENT_DATABASE!B2:B5000="Agent 9")*1,0)+3),"")</f>
        <v/>
      </c>
      <c r="I27" s="92" t="str">
        <f>IFERROR(INDEX(AGENT_DATABASE!J:J,MATCH(1,(AGENT_DATABASE!B2:B5000="Agent 9")*1,0)+3),"")</f>
        <v/>
      </c>
      <c r="J27" s="92" t="str">
        <f>IFERROR(INDEX(AGENT_DATABASE!L:L,MATCH(1,(AGENT_DATABASE!B2:B5000="Agent 9")*1,0)+3),"")</f>
        <v/>
      </c>
      <c r="K27" s="92" t="str">
        <f>IFERROR(INDEX(AGENT_DATABASE!M:M,MATCH(1,(AGENT_DATABASE!B2:B5000="Agent 9")*1,0)+3),"")</f>
        <v/>
      </c>
      <c r="L27" s="94" t="str">
        <f>IFERROR(INDEX(AGENT_DATABASE!K:K,MATCH(1,(AGENT_DATABASE!B2:B5000="Agent 9")*1,0)+3),"")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9")*1,0)+4),"")</f>
        <v/>
      </c>
      <c r="C28" s="89" t="str">
        <f>IFERROR(INDEX(AGENT_DATABASE!C:C,MATCH(1,(AGENT_DATABASE!B2:B5000="Agent 9")*1,0)+4),"")</f>
        <v/>
      </c>
      <c r="D28" s="89" t="str">
        <f>IFERROR(INDEX(AGENT_DATABASE!D:D,MATCH(1,(AGENT_DATABASE!B2:B5000="Agent 9")*1,0)+4),"")</f>
        <v/>
      </c>
      <c r="E28" s="89" t="str">
        <f>IFERROR(INDEX(AGENT_DATABASE!F:F,MATCH(1,(AGENT_DATABASE!B2:B5000="Agent 9")*1,0)+4),"")</f>
        <v/>
      </c>
      <c r="F28" s="90" t="str">
        <f>IFERROR(INDEX(AGENT_DATABASE!G:G,MATCH(1,(AGENT_DATABASE!B2:B5000="Agent 9")*1,0)+4),"")</f>
        <v/>
      </c>
      <c r="G28" s="91" t="str">
        <f>IFERROR(INDEX(AGENT_DATABASE!H:H,MATCH(1,(AGENT_DATABASE!B2:B5000="Agent 9")*1,0)+4),"")</f>
        <v/>
      </c>
      <c r="H28" s="90" t="str">
        <f>IFERROR(INDEX(AGENT_DATABASE!I:I,MATCH(1,(AGENT_DATABASE!B2:B5000="Agent 9")*1,0)+4),"")</f>
        <v/>
      </c>
      <c r="I28" s="87" t="str">
        <f>IFERROR(INDEX(AGENT_DATABASE!J:J,MATCH(1,(AGENT_DATABASE!B2:B5000="Agent 9")*1,0)+4),"")</f>
        <v/>
      </c>
      <c r="J28" s="87" t="str">
        <f>IFERROR(INDEX(AGENT_DATABASE!L:L,MATCH(1,(AGENT_DATABASE!B2:B5000="Agent 9")*1,0)+4),"")</f>
        <v/>
      </c>
      <c r="K28" s="87" t="str">
        <f>IFERROR(INDEX(AGENT_DATABASE!M:M,MATCH(1,(AGENT_DATABASE!B2:B5000="Agent 9")*1,0)+4),"")</f>
        <v/>
      </c>
      <c r="L28" s="89" t="str">
        <f>IFERROR(INDEX(AGENT_DATABASE!K:K,MATCH(1,(AGENT_DATABASE!B2:B5000="Agent 9")*1,0)+4),"")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9")*1,0)+5),"")</f>
        <v/>
      </c>
      <c r="C29" s="94" t="str">
        <f>IFERROR(INDEX(AGENT_DATABASE!C:C,MATCH(1,(AGENT_DATABASE!B2:B5000="Agent 9")*1,0)+5),"")</f>
        <v/>
      </c>
      <c r="D29" s="94" t="str">
        <f>IFERROR(INDEX(AGENT_DATABASE!D:D,MATCH(1,(AGENT_DATABASE!B2:B5000="Agent 9")*1,0)+5),"")</f>
        <v/>
      </c>
      <c r="E29" s="94" t="str">
        <f>IFERROR(INDEX(AGENT_DATABASE!F:F,MATCH(1,(AGENT_DATABASE!B2:B5000="Agent 9")*1,0)+5),"")</f>
        <v/>
      </c>
      <c r="F29" s="95" t="str">
        <f>IFERROR(INDEX(AGENT_DATABASE!G:G,MATCH(1,(AGENT_DATABASE!B2:B5000="Agent 9")*1,0)+5),"")</f>
        <v/>
      </c>
      <c r="G29" s="96" t="str">
        <f>IFERROR(INDEX(AGENT_DATABASE!H:H,MATCH(1,(AGENT_DATABASE!B2:B5000="Agent 9")*1,0)+5),"")</f>
        <v/>
      </c>
      <c r="H29" s="95" t="str">
        <f>IFERROR(INDEX(AGENT_DATABASE!I:I,MATCH(1,(AGENT_DATABASE!B2:B5000="Agent 9")*1,0)+5),"")</f>
        <v/>
      </c>
      <c r="I29" s="92" t="str">
        <f>IFERROR(INDEX(AGENT_DATABASE!J:J,MATCH(1,(AGENT_DATABASE!B2:B5000="Agent 9")*1,0)+5),"")</f>
        <v/>
      </c>
      <c r="J29" s="92" t="str">
        <f>IFERROR(INDEX(AGENT_DATABASE!L:L,MATCH(1,(AGENT_DATABASE!B2:B5000="Agent 9")*1,0)+5),"")</f>
        <v/>
      </c>
      <c r="K29" s="92" t="str">
        <f>IFERROR(INDEX(AGENT_DATABASE!M:M,MATCH(1,(AGENT_DATABASE!B2:B5000="Agent 9")*1,0)+5),"")</f>
        <v/>
      </c>
      <c r="L29" s="94" t="str">
        <f>IFERROR(INDEX(AGENT_DATABASE!K:K,MATCH(1,(AGENT_DATABASE!B2:B5000="Agent 9")*1,0)+5),"")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9")*1,0)+6),"")</f>
        <v/>
      </c>
      <c r="C30" s="89" t="str">
        <f>IFERROR(INDEX(AGENT_DATABASE!C:C,MATCH(1,(AGENT_DATABASE!B2:B5000="Agent 9")*1,0)+6),"")</f>
        <v/>
      </c>
      <c r="D30" s="89" t="str">
        <f>IFERROR(INDEX(AGENT_DATABASE!D:D,MATCH(1,(AGENT_DATABASE!B2:B5000="Agent 9")*1,0)+6),"")</f>
        <v/>
      </c>
      <c r="E30" s="89" t="str">
        <f>IFERROR(INDEX(AGENT_DATABASE!F:F,MATCH(1,(AGENT_DATABASE!B2:B5000="Agent 9")*1,0)+6),"")</f>
        <v/>
      </c>
      <c r="F30" s="90" t="str">
        <f>IFERROR(INDEX(AGENT_DATABASE!G:G,MATCH(1,(AGENT_DATABASE!B2:B5000="Agent 9")*1,0)+6),"")</f>
        <v/>
      </c>
      <c r="G30" s="91" t="str">
        <f>IFERROR(INDEX(AGENT_DATABASE!H:H,MATCH(1,(AGENT_DATABASE!B2:B5000="Agent 9")*1,0)+6),"")</f>
        <v/>
      </c>
      <c r="H30" s="90" t="str">
        <f>IFERROR(INDEX(AGENT_DATABASE!I:I,MATCH(1,(AGENT_DATABASE!B2:B5000="Agent 9")*1,0)+6),"")</f>
        <v/>
      </c>
      <c r="I30" s="87" t="str">
        <f>IFERROR(INDEX(AGENT_DATABASE!J:J,MATCH(1,(AGENT_DATABASE!B2:B5000="Agent 9")*1,0)+6),"")</f>
        <v/>
      </c>
      <c r="J30" s="87" t="str">
        <f>IFERROR(INDEX(AGENT_DATABASE!L:L,MATCH(1,(AGENT_DATABASE!B2:B5000="Agent 9")*1,0)+6),"")</f>
        <v/>
      </c>
      <c r="K30" s="87" t="str">
        <f>IFERROR(INDEX(AGENT_DATABASE!M:M,MATCH(1,(AGENT_DATABASE!B2:B5000="Agent 9")*1,0)+6),"")</f>
        <v/>
      </c>
      <c r="L30" s="89" t="str">
        <f>IFERROR(INDEX(AGENT_DATABASE!K:K,MATCH(1,(AGENT_DATABASE!B2:B5000="Agent 9")*1,0)+6),"")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9")*1,0)+7),"")</f>
        <v/>
      </c>
      <c r="C31" s="94" t="str">
        <f>IFERROR(INDEX(AGENT_DATABASE!C:C,MATCH(1,(AGENT_DATABASE!B2:B5000="Agent 9")*1,0)+7),"")</f>
        <v/>
      </c>
      <c r="D31" s="94" t="str">
        <f>IFERROR(INDEX(AGENT_DATABASE!D:D,MATCH(1,(AGENT_DATABASE!B2:B5000="Agent 9")*1,0)+7),"")</f>
        <v/>
      </c>
      <c r="E31" s="94" t="str">
        <f>IFERROR(INDEX(AGENT_DATABASE!F:F,MATCH(1,(AGENT_DATABASE!B2:B5000="Agent 9")*1,0)+7),"")</f>
        <v/>
      </c>
      <c r="F31" s="95" t="str">
        <f>IFERROR(INDEX(AGENT_DATABASE!G:G,MATCH(1,(AGENT_DATABASE!B2:B5000="Agent 9")*1,0)+7),"")</f>
        <v/>
      </c>
      <c r="G31" s="96" t="str">
        <f>IFERROR(INDEX(AGENT_DATABASE!H:H,MATCH(1,(AGENT_DATABASE!B2:B5000="Agent 9")*1,0)+7),"")</f>
        <v/>
      </c>
      <c r="H31" s="95" t="str">
        <f>IFERROR(INDEX(AGENT_DATABASE!I:I,MATCH(1,(AGENT_DATABASE!B2:B5000="Agent 9")*1,0)+7),"")</f>
        <v/>
      </c>
      <c r="I31" s="92" t="str">
        <f>IFERROR(INDEX(AGENT_DATABASE!J:J,MATCH(1,(AGENT_DATABASE!B2:B5000="Agent 9")*1,0)+7),"")</f>
        <v/>
      </c>
      <c r="J31" s="92" t="str">
        <f>IFERROR(INDEX(AGENT_DATABASE!L:L,MATCH(1,(AGENT_DATABASE!B2:B5000="Agent 9")*1,0)+7),"")</f>
        <v/>
      </c>
      <c r="K31" s="92" t="str">
        <f>IFERROR(INDEX(AGENT_DATABASE!M:M,MATCH(1,(AGENT_DATABASE!B2:B5000="Agent 9")*1,0)+7),"")</f>
        <v/>
      </c>
      <c r="L31" s="94" t="str">
        <f>IFERROR(INDEX(AGENT_DATABASE!K:K,MATCH(1,(AGENT_DATABASE!B2:B5000="Agent 9")*1,0)+7),"")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9")*1,0)+8),"")</f>
        <v/>
      </c>
      <c r="C32" s="89" t="str">
        <f>IFERROR(INDEX(AGENT_DATABASE!C:C,MATCH(1,(AGENT_DATABASE!B2:B5000="Agent 9")*1,0)+8),"")</f>
        <v/>
      </c>
      <c r="D32" s="89" t="str">
        <f>IFERROR(INDEX(AGENT_DATABASE!D:D,MATCH(1,(AGENT_DATABASE!B2:B5000="Agent 9")*1,0)+8),"")</f>
        <v/>
      </c>
      <c r="E32" s="89" t="str">
        <f>IFERROR(INDEX(AGENT_DATABASE!F:F,MATCH(1,(AGENT_DATABASE!B2:B5000="Agent 9")*1,0)+8),"")</f>
        <v/>
      </c>
      <c r="F32" s="90" t="str">
        <f>IFERROR(INDEX(AGENT_DATABASE!G:G,MATCH(1,(AGENT_DATABASE!B2:B5000="Agent 9")*1,0)+8),"")</f>
        <v/>
      </c>
      <c r="G32" s="91" t="str">
        <f>IFERROR(INDEX(AGENT_DATABASE!H:H,MATCH(1,(AGENT_DATABASE!B2:B5000="Agent 9")*1,0)+8),"")</f>
        <v/>
      </c>
      <c r="H32" s="90" t="str">
        <f>IFERROR(INDEX(AGENT_DATABASE!I:I,MATCH(1,(AGENT_DATABASE!B2:B5000="Agent 9")*1,0)+8),"")</f>
        <v/>
      </c>
      <c r="I32" s="87" t="str">
        <f>IFERROR(INDEX(AGENT_DATABASE!J:J,MATCH(1,(AGENT_DATABASE!B2:B5000="Agent 9")*1,0)+8),"")</f>
        <v/>
      </c>
      <c r="J32" s="87" t="str">
        <f>IFERROR(INDEX(AGENT_DATABASE!L:L,MATCH(1,(AGENT_DATABASE!B2:B5000="Agent 9")*1,0)+8),"")</f>
        <v/>
      </c>
      <c r="K32" s="87" t="str">
        <f>IFERROR(INDEX(AGENT_DATABASE!M:M,MATCH(1,(AGENT_DATABASE!B2:B5000="Agent 9")*1,0)+8),"")</f>
        <v/>
      </c>
      <c r="L32" s="89" t="str">
        <f>IFERROR(INDEX(AGENT_DATABASE!K:K,MATCH(1,(AGENT_DATABASE!B2:B5000="Agent 9")*1,0)+8),"")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9")*1,0)+9),"")</f>
        <v/>
      </c>
      <c r="C33" s="94" t="str">
        <f>IFERROR(INDEX(AGENT_DATABASE!C:C,MATCH(1,(AGENT_DATABASE!B2:B5000="Agent 9")*1,0)+9),"")</f>
        <v/>
      </c>
      <c r="D33" s="94" t="str">
        <f>IFERROR(INDEX(AGENT_DATABASE!D:D,MATCH(1,(AGENT_DATABASE!B2:B5000="Agent 9")*1,0)+9),"")</f>
        <v/>
      </c>
      <c r="E33" s="94" t="str">
        <f>IFERROR(INDEX(AGENT_DATABASE!F:F,MATCH(1,(AGENT_DATABASE!B2:B5000="Agent 9")*1,0)+9),"")</f>
        <v/>
      </c>
      <c r="F33" s="95" t="str">
        <f>IFERROR(INDEX(AGENT_DATABASE!G:G,MATCH(1,(AGENT_DATABASE!B2:B5000="Agent 9")*1,0)+9),"")</f>
        <v/>
      </c>
      <c r="G33" s="96" t="str">
        <f>IFERROR(INDEX(AGENT_DATABASE!H:H,MATCH(1,(AGENT_DATABASE!B2:B5000="Agent 9")*1,0)+9),"")</f>
        <v/>
      </c>
      <c r="H33" s="95" t="str">
        <f>IFERROR(INDEX(AGENT_DATABASE!I:I,MATCH(1,(AGENT_DATABASE!B2:B5000="Agent 9")*1,0)+9),"")</f>
        <v/>
      </c>
      <c r="I33" s="92" t="str">
        <f>IFERROR(INDEX(AGENT_DATABASE!J:J,MATCH(1,(AGENT_DATABASE!B2:B5000="Agent 9")*1,0)+9),"")</f>
        <v/>
      </c>
      <c r="J33" s="92" t="str">
        <f>IFERROR(INDEX(AGENT_DATABASE!L:L,MATCH(1,(AGENT_DATABASE!B2:B5000="Agent 9")*1,0)+9),"")</f>
        <v/>
      </c>
      <c r="K33" s="92" t="str">
        <f>IFERROR(INDEX(AGENT_DATABASE!M:M,MATCH(1,(AGENT_DATABASE!B2:B5000="Agent 9")*1,0)+9),"")</f>
        <v/>
      </c>
      <c r="L33" s="94" t="str">
        <f>IFERROR(INDEX(AGENT_DATABASE!K:K,MATCH(1,(AGENT_DATABASE!B2:B5000="Agent 9")*1,0)+9),"")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9")*1,0)+10),"")</f>
        <v/>
      </c>
      <c r="C34" s="89" t="str">
        <f>IFERROR(INDEX(AGENT_DATABASE!C:C,MATCH(1,(AGENT_DATABASE!B2:B5000="Agent 9")*1,0)+10),"")</f>
        <v/>
      </c>
      <c r="D34" s="89" t="str">
        <f>IFERROR(INDEX(AGENT_DATABASE!D:D,MATCH(1,(AGENT_DATABASE!B2:B5000="Agent 9")*1,0)+10),"")</f>
        <v/>
      </c>
      <c r="E34" s="89" t="str">
        <f>IFERROR(INDEX(AGENT_DATABASE!F:F,MATCH(1,(AGENT_DATABASE!B2:B5000="Agent 9")*1,0)+10),"")</f>
        <v/>
      </c>
      <c r="F34" s="90" t="str">
        <f>IFERROR(INDEX(AGENT_DATABASE!G:G,MATCH(1,(AGENT_DATABASE!B2:B5000="Agent 9")*1,0)+10),"")</f>
        <v/>
      </c>
      <c r="G34" s="91" t="str">
        <f>IFERROR(INDEX(AGENT_DATABASE!H:H,MATCH(1,(AGENT_DATABASE!B2:B5000="Agent 9")*1,0)+10),"")</f>
        <v/>
      </c>
      <c r="H34" s="90" t="str">
        <f>IFERROR(INDEX(AGENT_DATABASE!I:I,MATCH(1,(AGENT_DATABASE!B2:B5000="Agent 9")*1,0)+10),"")</f>
        <v/>
      </c>
      <c r="I34" s="87" t="str">
        <f>IFERROR(INDEX(AGENT_DATABASE!J:J,MATCH(1,(AGENT_DATABASE!B2:B5000="Agent 9")*1,0)+10),"")</f>
        <v/>
      </c>
      <c r="J34" s="87" t="str">
        <f>IFERROR(INDEX(AGENT_DATABASE!L:L,MATCH(1,(AGENT_DATABASE!B2:B5000="Agent 9")*1,0)+10),"")</f>
        <v/>
      </c>
      <c r="K34" s="87" t="str">
        <f>IFERROR(INDEX(AGENT_DATABASE!M:M,MATCH(1,(AGENT_DATABASE!B2:B5000="Agent 9")*1,0)+10),"")</f>
        <v/>
      </c>
      <c r="L34" s="89" t="str">
        <f>IFERROR(INDEX(AGENT_DATABASE!K:K,MATCH(1,(AGENT_DATABASE!B2:B5000="Agent 9")*1,0)+10),"")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9")*1,0)+11),"")</f>
        <v/>
      </c>
      <c r="C35" s="94" t="str">
        <f>IFERROR(INDEX(AGENT_DATABASE!C:C,MATCH(1,(AGENT_DATABASE!B2:B5000="Agent 9")*1,0)+11),"")</f>
        <v/>
      </c>
      <c r="D35" s="94" t="str">
        <f>IFERROR(INDEX(AGENT_DATABASE!D:D,MATCH(1,(AGENT_DATABASE!B2:B5000="Agent 9")*1,0)+11),"")</f>
        <v/>
      </c>
      <c r="E35" s="94" t="str">
        <f>IFERROR(INDEX(AGENT_DATABASE!F:F,MATCH(1,(AGENT_DATABASE!B2:B5000="Agent 9")*1,0)+11),"")</f>
        <v/>
      </c>
      <c r="F35" s="95" t="str">
        <f>IFERROR(INDEX(AGENT_DATABASE!G:G,MATCH(1,(AGENT_DATABASE!B2:B5000="Agent 9")*1,0)+11),"")</f>
        <v/>
      </c>
      <c r="G35" s="96" t="str">
        <f>IFERROR(INDEX(AGENT_DATABASE!H:H,MATCH(1,(AGENT_DATABASE!B2:B5000="Agent 9")*1,0)+11),"")</f>
        <v/>
      </c>
      <c r="H35" s="95" t="str">
        <f>IFERROR(INDEX(AGENT_DATABASE!I:I,MATCH(1,(AGENT_DATABASE!B2:B5000="Agent 9")*1,0)+11),"")</f>
        <v/>
      </c>
      <c r="I35" s="92" t="str">
        <f>IFERROR(INDEX(AGENT_DATABASE!J:J,MATCH(1,(AGENT_DATABASE!B2:B5000="Agent 9")*1,0)+11),"")</f>
        <v/>
      </c>
      <c r="J35" s="92" t="str">
        <f>IFERROR(INDEX(AGENT_DATABASE!L:L,MATCH(1,(AGENT_DATABASE!B2:B5000="Agent 9")*1,0)+11),"")</f>
        <v/>
      </c>
      <c r="K35" s="92" t="str">
        <f>IFERROR(INDEX(AGENT_DATABASE!M:M,MATCH(1,(AGENT_DATABASE!B2:B5000="Agent 9")*1,0)+11),"")</f>
        <v/>
      </c>
      <c r="L35" s="94" t="str">
        <f>IFERROR(INDEX(AGENT_DATABASE!K:K,MATCH(1,(AGENT_DATABASE!B2:B5000="Agent 9")*1,0)+11),"")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9")*1,0)+12),"")</f>
        <v/>
      </c>
      <c r="C36" s="89" t="str">
        <f>IFERROR(INDEX(AGENT_DATABASE!C:C,MATCH(1,(AGENT_DATABASE!B2:B5000="Agent 9")*1,0)+12),"")</f>
        <v/>
      </c>
      <c r="D36" s="89" t="str">
        <f>IFERROR(INDEX(AGENT_DATABASE!D:D,MATCH(1,(AGENT_DATABASE!B2:B5000="Agent 9")*1,0)+12),"")</f>
        <v/>
      </c>
      <c r="E36" s="89" t="str">
        <f>IFERROR(INDEX(AGENT_DATABASE!F:F,MATCH(1,(AGENT_DATABASE!B2:B5000="Agent 9")*1,0)+12),"")</f>
        <v/>
      </c>
      <c r="F36" s="90" t="str">
        <f>IFERROR(INDEX(AGENT_DATABASE!G:G,MATCH(1,(AGENT_DATABASE!B2:B5000="Agent 9")*1,0)+12),"")</f>
        <v/>
      </c>
      <c r="G36" s="91" t="str">
        <f>IFERROR(INDEX(AGENT_DATABASE!H:H,MATCH(1,(AGENT_DATABASE!B2:B5000="Agent 9")*1,0)+12),"")</f>
        <v/>
      </c>
      <c r="H36" s="90" t="str">
        <f>IFERROR(INDEX(AGENT_DATABASE!I:I,MATCH(1,(AGENT_DATABASE!B2:B5000="Agent 9")*1,0)+12),"")</f>
        <v/>
      </c>
      <c r="I36" s="87" t="str">
        <f>IFERROR(INDEX(AGENT_DATABASE!J:J,MATCH(1,(AGENT_DATABASE!B2:B5000="Agent 9")*1,0)+12),"")</f>
        <v/>
      </c>
      <c r="J36" s="87" t="str">
        <f>IFERROR(INDEX(AGENT_DATABASE!L:L,MATCH(1,(AGENT_DATABASE!B2:B5000="Agent 9")*1,0)+12),"")</f>
        <v/>
      </c>
      <c r="K36" s="87" t="str">
        <f>IFERROR(INDEX(AGENT_DATABASE!M:M,MATCH(1,(AGENT_DATABASE!B2:B5000="Agent 9")*1,0)+12),"")</f>
        <v/>
      </c>
      <c r="L36" s="89" t="str">
        <f>IFERROR(INDEX(AGENT_DATABASE!K:K,MATCH(1,(AGENT_DATABASE!B2:B5000="Agent 9")*1,0)+12),"")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9")*1,0)+13),"")</f>
        <v/>
      </c>
      <c r="C37" s="94" t="str">
        <f>IFERROR(INDEX(AGENT_DATABASE!C:C,MATCH(1,(AGENT_DATABASE!B2:B5000="Agent 9")*1,0)+13),"")</f>
        <v/>
      </c>
      <c r="D37" s="94" t="str">
        <f>IFERROR(INDEX(AGENT_DATABASE!D:D,MATCH(1,(AGENT_DATABASE!B2:B5000="Agent 9")*1,0)+13),"")</f>
        <v/>
      </c>
      <c r="E37" s="94" t="str">
        <f>IFERROR(INDEX(AGENT_DATABASE!F:F,MATCH(1,(AGENT_DATABASE!B2:B5000="Agent 9")*1,0)+13),"")</f>
        <v/>
      </c>
      <c r="F37" s="95" t="str">
        <f>IFERROR(INDEX(AGENT_DATABASE!G:G,MATCH(1,(AGENT_DATABASE!B2:B5000="Agent 9")*1,0)+13),"")</f>
        <v/>
      </c>
      <c r="G37" s="96" t="str">
        <f>IFERROR(INDEX(AGENT_DATABASE!H:H,MATCH(1,(AGENT_DATABASE!B2:B5000="Agent 9")*1,0)+13),"")</f>
        <v/>
      </c>
      <c r="H37" s="95" t="str">
        <f>IFERROR(INDEX(AGENT_DATABASE!I:I,MATCH(1,(AGENT_DATABASE!B2:B5000="Agent 9")*1,0)+13),"")</f>
        <v/>
      </c>
      <c r="I37" s="92" t="str">
        <f>IFERROR(INDEX(AGENT_DATABASE!J:J,MATCH(1,(AGENT_DATABASE!B2:B5000="Agent 9")*1,0)+13),"")</f>
        <v/>
      </c>
      <c r="J37" s="92" t="str">
        <f>IFERROR(INDEX(AGENT_DATABASE!L:L,MATCH(1,(AGENT_DATABASE!B2:B5000="Agent 9")*1,0)+13),"")</f>
        <v/>
      </c>
      <c r="K37" s="92" t="str">
        <f>IFERROR(INDEX(AGENT_DATABASE!M:M,MATCH(1,(AGENT_DATABASE!B2:B5000="Agent 9")*1,0)+13),"")</f>
        <v/>
      </c>
      <c r="L37" s="94" t="str">
        <f>IFERROR(INDEX(AGENT_DATABASE!K:K,MATCH(1,(AGENT_DATABASE!B2:B5000="Agent 9")*1,0)+13),"")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9")*1,0)+14),"")</f>
        <v/>
      </c>
      <c r="C38" s="89" t="str">
        <f>IFERROR(INDEX(AGENT_DATABASE!C:C,MATCH(1,(AGENT_DATABASE!B2:B5000="Agent 9")*1,0)+14),"")</f>
        <v/>
      </c>
      <c r="D38" s="89" t="str">
        <f>IFERROR(INDEX(AGENT_DATABASE!D:D,MATCH(1,(AGENT_DATABASE!B2:B5000="Agent 9")*1,0)+14),"")</f>
        <v/>
      </c>
      <c r="E38" s="89" t="str">
        <f>IFERROR(INDEX(AGENT_DATABASE!F:F,MATCH(1,(AGENT_DATABASE!B2:B5000="Agent 9")*1,0)+14),"")</f>
        <v/>
      </c>
      <c r="F38" s="90" t="str">
        <f>IFERROR(INDEX(AGENT_DATABASE!G:G,MATCH(1,(AGENT_DATABASE!B2:B5000="Agent 9")*1,0)+14),"")</f>
        <v/>
      </c>
      <c r="G38" s="91" t="str">
        <f>IFERROR(INDEX(AGENT_DATABASE!H:H,MATCH(1,(AGENT_DATABASE!B2:B5000="Agent 9")*1,0)+14),"")</f>
        <v/>
      </c>
      <c r="H38" s="90" t="str">
        <f>IFERROR(INDEX(AGENT_DATABASE!I:I,MATCH(1,(AGENT_DATABASE!B2:B5000="Agent 9")*1,0)+14),"")</f>
        <v/>
      </c>
      <c r="I38" s="87" t="str">
        <f>IFERROR(INDEX(AGENT_DATABASE!J:J,MATCH(1,(AGENT_DATABASE!B2:B5000="Agent 9")*1,0)+14),"")</f>
        <v/>
      </c>
      <c r="J38" s="87" t="str">
        <f>IFERROR(INDEX(AGENT_DATABASE!L:L,MATCH(1,(AGENT_DATABASE!B2:B5000="Agent 9")*1,0)+14),"")</f>
        <v/>
      </c>
      <c r="K38" s="87" t="str">
        <f>IFERROR(INDEX(AGENT_DATABASE!M:M,MATCH(1,(AGENT_DATABASE!B2:B5000="Agent 9")*1,0)+14),"")</f>
        <v/>
      </c>
      <c r="L38" s="89" t="str">
        <f>IFERROR(INDEX(AGENT_DATABASE!K:K,MATCH(1,(AGENT_DATABASE!B2:B5000="Agent 9")*1,0)+14),"")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9")*1,0)+15),"")</f>
        <v/>
      </c>
      <c r="C39" s="94" t="str">
        <f>IFERROR(INDEX(AGENT_DATABASE!C:C,MATCH(1,(AGENT_DATABASE!B2:B5000="Agent 9")*1,0)+15),"")</f>
        <v/>
      </c>
      <c r="D39" s="94" t="str">
        <f>IFERROR(INDEX(AGENT_DATABASE!D:D,MATCH(1,(AGENT_DATABASE!B2:B5000="Agent 9")*1,0)+15),"")</f>
        <v/>
      </c>
      <c r="E39" s="94" t="str">
        <f>IFERROR(INDEX(AGENT_DATABASE!F:F,MATCH(1,(AGENT_DATABASE!B2:B5000="Agent 9")*1,0)+15),"")</f>
        <v/>
      </c>
      <c r="F39" s="95" t="str">
        <f>IFERROR(INDEX(AGENT_DATABASE!G:G,MATCH(1,(AGENT_DATABASE!B2:B5000="Agent 9")*1,0)+15),"")</f>
        <v/>
      </c>
      <c r="G39" s="96" t="str">
        <f>IFERROR(INDEX(AGENT_DATABASE!H:H,MATCH(1,(AGENT_DATABASE!B2:B5000="Agent 9")*1,0)+15),"")</f>
        <v/>
      </c>
      <c r="H39" s="95" t="str">
        <f>IFERROR(INDEX(AGENT_DATABASE!I:I,MATCH(1,(AGENT_DATABASE!B2:B5000="Agent 9")*1,0)+15),"")</f>
        <v/>
      </c>
      <c r="I39" s="92" t="str">
        <f>IFERROR(INDEX(AGENT_DATABASE!J:J,MATCH(1,(AGENT_DATABASE!B2:B5000="Agent 9")*1,0)+15),"")</f>
        <v/>
      </c>
      <c r="J39" s="92" t="str">
        <f>IFERROR(INDEX(AGENT_DATABASE!L:L,MATCH(1,(AGENT_DATABASE!B2:B5000="Agent 9")*1,0)+15),"")</f>
        <v/>
      </c>
      <c r="K39" s="92" t="str">
        <f>IFERROR(INDEX(AGENT_DATABASE!M:M,MATCH(1,(AGENT_DATABASE!B2:B5000="Agent 9")*1,0)+15),"")</f>
        <v/>
      </c>
      <c r="L39" s="94" t="str">
        <f>IFERROR(INDEX(AGENT_DATABASE!K:K,MATCH(1,(AGENT_DATABASE!B2:B5000="Agent 9")*1,0)+15),"")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9")*1,0)+16),"")</f>
        <v/>
      </c>
      <c r="C40" s="89" t="str">
        <f>IFERROR(INDEX(AGENT_DATABASE!C:C,MATCH(1,(AGENT_DATABASE!B2:B5000="Agent 9")*1,0)+16),"")</f>
        <v/>
      </c>
      <c r="D40" s="89" t="str">
        <f>IFERROR(INDEX(AGENT_DATABASE!D:D,MATCH(1,(AGENT_DATABASE!B2:B5000="Agent 9")*1,0)+16),"")</f>
        <v/>
      </c>
      <c r="E40" s="89" t="str">
        <f>IFERROR(INDEX(AGENT_DATABASE!F:F,MATCH(1,(AGENT_DATABASE!B2:B5000="Agent 9")*1,0)+16),"")</f>
        <v/>
      </c>
      <c r="F40" s="90" t="str">
        <f>IFERROR(INDEX(AGENT_DATABASE!G:G,MATCH(1,(AGENT_DATABASE!B2:B5000="Agent 9")*1,0)+16),"")</f>
        <v/>
      </c>
      <c r="G40" s="91" t="str">
        <f>IFERROR(INDEX(AGENT_DATABASE!H:H,MATCH(1,(AGENT_DATABASE!B2:B5000="Agent 9")*1,0)+16),"")</f>
        <v/>
      </c>
      <c r="H40" s="90" t="str">
        <f>IFERROR(INDEX(AGENT_DATABASE!I:I,MATCH(1,(AGENT_DATABASE!B2:B5000="Agent 9")*1,0)+16),"")</f>
        <v/>
      </c>
      <c r="I40" s="87" t="str">
        <f>IFERROR(INDEX(AGENT_DATABASE!J:J,MATCH(1,(AGENT_DATABASE!B2:B5000="Agent 9")*1,0)+16),"")</f>
        <v/>
      </c>
      <c r="J40" s="87" t="str">
        <f>IFERROR(INDEX(AGENT_DATABASE!L:L,MATCH(1,(AGENT_DATABASE!B2:B5000="Agent 9")*1,0)+16),"")</f>
        <v/>
      </c>
      <c r="K40" s="87" t="str">
        <f>IFERROR(INDEX(AGENT_DATABASE!M:M,MATCH(1,(AGENT_DATABASE!B2:B5000="Agent 9")*1,0)+16),"")</f>
        <v/>
      </c>
      <c r="L40" s="89" t="str">
        <f>IFERROR(INDEX(AGENT_DATABASE!K:K,MATCH(1,(AGENT_DATABASE!B2:B5000="Agent 9")*1,0)+16),"")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9")*1,0)+17),"")</f>
        <v/>
      </c>
      <c r="C41" s="94" t="str">
        <f>IFERROR(INDEX(AGENT_DATABASE!C:C,MATCH(1,(AGENT_DATABASE!B2:B5000="Agent 9")*1,0)+17),"")</f>
        <v/>
      </c>
      <c r="D41" s="94" t="str">
        <f>IFERROR(INDEX(AGENT_DATABASE!D:D,MATCH(1,(AGENT_DATABASE!B2:B5000="Agent 9")*1,0)+17),"")</f>
        <v/>
      </c>
      <c r="E41" s="94" t="str">
        <f>IFERROR(INDEX(AGENT_DATABASE!F:F,MATCH(1,(AGENT_DATABASE!B2:B5000="Agent 9")*1,0)+17),"")</f>
        <v/>
      </c>
      <c r="F41" s="95" t="str">
        <f>IFERROR(INDEX(AGENT_DATABASE!G:G,MATCH(1,(AGENT_DATABASE!B2:B5000="Agent 9")*1,0)+17),"")</f>
        <v/>
      </c>
      <c r="G41" s="96" t="str">
        <f>IFERROR(INDEX(AGENT_DATABASE!H:H,MATCH(1,(AGENT_DATABASE!B2:B5000="Agent 9")*1,0)+17),"")</f>
        <v/>
      </c>
      <c r="H41" s="95" t="str">
        <f>IFERROR(INDEX(AGENT_DATABASE!I:I,MATCH(1,(AGENT_DATABASE!B2:B5000="Agent 9")*1,0)+17),"")</f>
        <v/>
      </c>
      <c r="I41" s="92" t="str">
        <f>IFERROR(INDEX(AGENT_DATABASE!J:J,MATCH(1,(AGENT_DATABASE!B2:B5000="Agent 9")*1,0)+17),"")</f>
        <v/>
      </c>
      <c r="J41" s="92" t="str">
        <f>IFERROR(INDEX(AGENT_DATABASE!L:L,MATCH(1,(AGENT_DATABASE!B2:B5000="Agent 9")*1,0)+17),"")</f>
        <v/>
      </c>
      <c r="K41" s="92" t="str">
        <f>IFERROR(INDEX(AGENT_DATABASE!M:M,MATCH(1,(AGENT_DATABASE!B2:B5000="Agent 9")*1,0)+17),"")</f>
        <v/>
      </c>
      <c r="L41" s="94" t="str">
        <f>IFERROR(INDEX(AGENT_DATABASE!K:K,MATCH(1,(AGENT_DATABASE!B2:B5000="Agent 9")*1,0)+17),"")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9")*1,0)+18),"")</f>
        <v/>
      </c>
      <c r="C42" s="89" t="str">
        <f>IFERROR(INDEX(AGENT_DATABASE!C:C,MATCH(1,(AGENT_DATABASE!B2:B5000="Agent 9")*1,0)+18),"")</f>
        <v/>
      </c>
      <c r="D42" s="89" t="str">
        <f>IFERROR(INDEX(AGENT_DATABASE!D:D,MATCH(1,(AGENT_DATABASE!B2:B5000="Agent 9")*1,0)+18),"")</f>
        <v/>
      </c>
      <c r="E42" s="89" t="str">
        <f>IFERROR(INDEX(AGENT_DATABASE!F:F,MATCH(1,(AGENT_DATABASE!B2:B5000="Agent 9")*1,0)+18),"")</f>
        <v/>
      </c>
      <c r="F42" s="90" t="str">
        <f>IFERROR(INDEX(AGENT_DATABASE!G:G,MATCH(1,(AGENT_DATABASE!B2:B5000="Agent 9")*1,0)+18),"")</f>
        <v/>
      </c>
      <c r="G42" s="91" t="str">
        <f>IFERROR(INDEX(AGENT_DATABASE!H:H,MATCH(1,(AGENT_DATABASE!B2:B5000="Agent 9")*1,0)+18),"")</f>
        <v/>
      </c>
      <c r="H42" s="90" t="str">
        <f>IFERROR(INDEX(AGENT_DATABASE!I:I,MATCH(1,(AGENT_DATABASE!B2:B5000="Agent 9")*1,0)+18),"")</f>
        <v/>
      </c>
      <c r="I42" s="87" t="str">
        <f>IFERROR(INDEX(AGENT_DATABASE!J:J,MATCH(1,(AGENT_DATABASE!B2:B5000="Agent 9")*1,0)+18),"")</f>
        <v/>
      </c>
      <c r="J42" s="87" t="str">
        <f>IFERROR(INDEX(AGENT_DATABASE!L:L,MATCH(1,(AGENT_DATABASE!B2:B5000="Agent 9")*1,0)+18),"")</f>
        <v/>
      </c>
      <c r="K42" s="87" t="str">
        <f>IFERROR(INDEX(AGENT_DATABASE!M:M,MATCH(1,(AGENT_DATABASE!B2:B5000="Agent 9")*1,0)+18),"")</f>
        <v/>
      </c>
      <c r="L42" s="89" t="str">
        <f>IFERROR(INDEX(AGENT_DATABASE!K:K,MATCH(1,(AGENT_DATABASE!B2:B5000="Agent 9")*1,0)+18),"")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9")*1,0)+19),"")</f>
        <v/>
      </c>
      <c r="C43" s="94" t="str">
        <f>IFERROR(INDEX(AGENT_DATABASE!C:C,MATCH(1,(AGENT_DATABASE!B2:B5000="Agent 9")*1,0)+19),"")</f>
        <v/>
      </c>
      <c r="D43" s="94" t="str">
        <f>IFERROR(INDEX(AGENT_DATABASE!D:D,MATCH(1,(AGENT_DATABASE!B2:B5000="Agent 9")*1,0)+19),"")</f>
        <v/>
      </c>
      <c r="E43" s="94" t="str">
        <f>IFERROR(INDEX(AGENT_DATABASE!F:F,MATCH(1,(AGENT_DATABASE!B2:B5000="Agent 9")*1,0)+19),"")</f>
        <v/>
      </c>
      <c r="F43" s="95" t="str">
        <f>IFERROR(INDEX(AGENT_DATABASE!G:G,MATCH(1,(AGENT_DATABASE!B2:B5000="Agent 9")*1,0)+19),"")</f>
        <v/>
      </c>
      <c r="G43" s="96" t="str">
        <f>IFERROR(INDEX(AGENT_DATABASE!H:H,MATCH(1,(AGENT_DATABASE!B2:B5000="Agent 9")*1,0)+19),"")</f>
        <v/>
      </c>
      <c r="H43" s="95" t="str">
        <f>IFERROR(INDEX(AGENT_DATABASE!I:I,MATCH(1,(AGENT_DATABASE!B2:B5000="Agent 9")*1,0)+19),"")</f>
        <v/>
      </c>
      <c r="I43" s="92" t="str">
        <f>IFERROR(INDEX(AGENT_DATABASE!J:J,MATCH(1,(AGENT_DATABASE!B2:B5000="Agent 9")*1,0)+19),"")</f>
        <v/>
      </c>
      <c r="J43" s="92" t="str">
        <f>IFERROR(INDEX(AGENT_DATABASE!L:L,MATCH(1,(AGENT_DATABASE!B2:B5000="Agent 9")*1,0)+19),"")</f>
        <v/>
      </c>
      <c r="K43" s="92" t="str">
        <f>IFERROR(INDEX(AGENT_DATABASE!M:M,MATCH(1,(AGENT_DATABASE!B2:B5000="Agent 9")*1,0)+19),"")</f>
        <v/>
      </c>
      <c r="L43" s="94" t="str">
        <f>IFERROR(INDEX(AGENT_DATABASE!K:K,MATCH(1,(AGENT_DATABASE!B2:B5000="Agent 9")*1,0)+19),"")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9")*1,0)+20),"")</f>
        <v/>
      </c>
      <c r="C44" s="89" t="str">
        <f>IFERROR(INDEX(AGENT_DATABASE!C:C,MATCH(1,(AGENT_DATABASE!B2:B5000="Agent 9")*1,0)+20),"")</f>
        <v/>
      </c>
      <c r="D44" s="89" t="str">
        <f>IFERROR(INDEX(AGENT_DATABASE!D:D,MATCH(1,(AGENT_DATABASE!B2:B5000="Agent 9")*1,0)+20),"")</f>
        <v/>
      </c>
      <c r="E44" s="89" t="str">
        <f>IFERROR(INDEX(AGENT_DATABASE!F:F,MATCH(1,(AGENT_DATABASE!B2:B5000="Agent 9")*1,0)+20),"")</f>
        <v/>
      </c>
      <c r="F44" s="90" t="str">
        <f>IFERROR(INDEX(AGENT_DATABASE!G:G,MATCH(1,(AGENT_DATABASE!B2:B5000="Agent 9")*1,0)+20),"")</f>
        <v/>
      </c>
      <c r="G44" s="91" t="str">
        <f>IFERROR(INDEX(AGENT_DATABASE!H:H,MATCH(1,(AGENT_DATABASE!B2:B5000="Agent 9")*1,0)+20),"")</f>
        <v/>
      </c>
      <c r="H44" s="90" t="str">
        <f>IFERROR(INDEX(AGENT_DATABASE!I:I,MATCH(1,(AGENT_DATABASE!B2:B5000="Agent 9")*1,0)+20),"")</f>
        <v/>
      </c>
      <c r="I44" s="87" t="str">
        <f>IFERROR(INDEX(AGENT_DATABASE!J:J,MATCH(1,(AGENT_DATABASE!B2:B5000="Agent 9")*1,0)+20),"")</f>
        <v/>
      </c>
      <c r="J44" s="87" t="str">
        <f>IFERROR(INDEX(AGENT_DATABASE!L:L,MATCH(1,(AGENT_DATABASE!B2:B5000="Agent 9")*1,0)+20),"")</f>
        <v/>
      </c>
      <c r="K44" s="87" t="str">
        <f>IFERROR(INDEX(AGENT_DATABASE!M:M,MATCH(1,(AGENT_DATABASE!B2:B5000="Agent 9")*1,0)+20),"")</f>
        <v/>
      </c>
      <c r="L44" s="89" t="str">
        <f>IFERROR(INDEX(AGENT_DATABASE!K:K,MATCH(1,(AGENT_DATABASE!B2:B5000="Agent 9")*1,0)+20),"")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9")*1,0)+21),"")</f>
        <v/>
      </c>
      <c r="C45" s="94" t="str">
        <f>IFERROR(INDEX(AGENT_DATABASE!C:C,MATCH(1,(AGENT_DATABASE!B2:B5000="Agent 9")*1,0)+21),"")</f>
        <v/>
      </c>
      <c r="D45" s="94" t="str">
        <f>IFERROR(INDEX(AGENT_DATABASE!D:D,MATCH(1,(AGENT_DATABASE!B2:B5000="Agent 9")*1,0)+21),"")</f>
        <v/>
      </c>
      <c r="E45" s="94" t="str">
        <f>IFERROR(INDEX(AGENT_DATABASE!F:F,MATCH(1,(AGENT_DATABASE!B2:B5000="Agent 9")*1,0)+21),"")</f>
        <v/>
      </c>
      <c r="F45" s="95" t="str">
        <f>IFERROR(INDEX(AGENT_DATABASE!G:G,MATCH(1,(AGENT_DATABASE!B2:B5000="Agent 9")*1,0)+21),"")</f>
        <v/>
      </c>
      <c r="G45" s="96" t="str">
        <f>IFERROR(INDEX(AGENT_DATABASE!H:H,MATCH(1,(AGENT_DATABASE!B2:B5000="Agent 9")*1,0)+21),"")</f>
        <v/>
      </c>
      <c r="H45" s="95" t="str">
        <f>IFERROR(INDEX(AGENT_DATABASE!I:I,MATCH(1,(AGENT_DATABASE!B2:B5000="Agent 9")*1,0)+21),"")</f>
        <v/>
      </c>
      <c r="I45" s="92" t="str">
        <f>IFERROR(INDEX(AGENT_DATABASE!J:J,MATCH(1,(AGENT_DATABASE!B2:B5000="Agent 9")*1,0)+21),"")</f>
        <v/>
      </c>
      <c r="J45" s="92" t="str">
        <f>IFERROR(INDEX(AGENT_DATABASE!L:L,MATCH(1,(AGENT_DATABASE!B2:B5000="Agent 9")*1,0)+21),"")</f>
        <v/>
      </c>
      <c r="K45" s="92" t="str">
        <f>IFERROR(INDEX(AGENT_DATABASE!M:M,MATCH(1,(AGENT_DATABASE!B2:B5000="Agent 9")*1,0)+21),"")</f>
        <v/>
      </c>
      <c r="L45" s="94" t="str">
        <f>IFERROR(INDEX(AGENT_DATABASE!K:K,MATCH(1,(AGENT_DATABASE!B2:B5000="Agent 9")*1,0)+21),"")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9")*1,0)+22),"")</f>
        <v/>
      </c>
      <c r="C46" s="89" t="str">
        <f>IFERROR(INDEX(AGENT_DATABASE!C:C,MATCH(1,(AGENT_DATABASE!B2:B5000="Agent 9")*1,0)+22),"")</f>
        <v/>
      </c>
      <c r="D46" s="89" t="str">
        <f>IFERROR(INDEX(AGENT_DATABASE!D:D,MATCH(1,(AGENT_DATABASE!B2:B5000="Agent 9")*1,0)+22),"")</f>
        <v/>
      </c>
      <c r="E46" s="89" t="str">
        <f>IFERROR(INDEX(AGENT_DATABASE!F:F,MATCH(1,(AGENT_DATABASE!B2:B5000="Agent 9")*1,0)+22),"")</f>
        <v/>
      </c>
      <c r="F46" s="90" t="str">
        <f>IFERROR(INDEX(AGENT_DATABASE!G:G,MATCH(1,(AGENT_DATABASE!B2:B5000="Agent 9")*1,0)+22),"")</f>
        <v/>
      </c>
      <c r="G46" s="91" t="str">
        <f>IFERROR(INDEX(AGENT_DATABASE!H:H,MATCH(1,(AGENT_DATABASE!B2:B5000="Agent 9")*1,0)+22),"")</f>
        <v/>
      </c>
      <c r="H46" s="90" t="str">
        <f>IFERROR(INDEX(AGENT_DATABASE!I:I,MATCH(1,(AGENT_DATABASE!B2:B5000="Agent 9")*1,0)+22),"")</f>
        <v/>
      </c>
      <c r="I46" s="87" t="str">
        <f>IFERROR(INDEX(AGENT_DATABASE!J:J,MATCH(1,(AGENT_DATABASE!B2:B5000="Agent 9")*1,0)+22),"")</f>
        <v/>
      </c>
      <c r="J46" s="87" t="str">
        <f>IFERROR(INDEX(AGENT_DATABASE!L:L,MATCH(1,(AGENT_DATABASE!B2:B5000="Agent 9")*1,0)+22),"")</f>
        <v/>
      </c>
      <c r="K46" s="87" t="str">
        <f>IFERROR(INDEX(AGENT_DATABASE!M:M,MATCH(1,(AGENT_DATABASE!B2:B5000="Agent 9")*1,0)+22),"")</f>
        <v/>
      </c>
      <c r="L46" s="89" t="str">
        <f>IFERROR(INDEX(AGENT_DATABASE!K:K,MATCH(1,(AGENT_DATABASE!B2:B5000="Agent 9")*1,0)+22),"")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9")*1,0)+23),"")</f>
        <v/>
      </c>
      <c r="C47" s="94" t="str">
        <f>IFERROR(INDEX(AGENT_DATABASE!C:C,MATCH(1,(AGENT_DATABASE!B2:B5000="Agent 9")*1,0)+23),"")</f>
        <v/>
      </c>
      <c r="D47" s="94" t="str">
        <f>IFERROR(INDEX(AGENT_DATABASE!D:D,MATCH(1,(AGENT_DATABASE!B2:B5000="Agent 9")*1,0)+23),"")</f>
        <v/>
      </c>
      <c r="E47" s="94" t="str">
        <f>IFERROR(INDEX(AGENT_DATABASE!F:F,MATCH(1,(AGENT_DATABASE!B2:B5000="Agent 9")*1,0)+23),"")</f>
        <v/>
      </c>
      <c r="F47" s="95" t="str">
        <f>IFERROR(INDEX(AGENT_DATABASE!G:G,MATCH(1,(AGENT_DATABASE!B2:B5000="Agent 9")*1,0)+23),"")</f>
        <v/>
      </c>
      <c r="G47" s="96" t="str">
        <f>IFERROR(INDEX(AGENT_DATABASE!H:H,MATCH(1,(AGENT_DATABASE!B2:B5000="Agent 9")*1,0)+23),"")</f>
        <v/>
      </c>
      <c r="H47" s="95" t="str">
        <f>IFERROR(INDEX(AGENT_DATABASE!I:I,MATCH(1,(AGENT_DATABASE!B2:B5000="Agent 9")*1,0)+23),"")</f>
        <v/>
      </c>
      <c r="I47" s="92" t="str">
        <f>IFERROR(INDEX(AGENT_DATABASE!J:J,MATCH(1,(AGENT_DATABASE!B2:B5000="Agent 9")*1,0)+23),"")</f>
        <v/>
      </c>
      <c r="J47" s="92" t="str">
        <f>IFERROR(INDEX(AGENT_DATABASE!L:L,MATCH(1,(AGENT_DATABASE!B2:B5000="Agent 9")*1,0)+23),"")</f>
        <v/>
      </c>
      <c r="K47" s="92" t="str">
        <f>IFERROR(INDEX(AGENT_DATABASE!M:M,MATCH(1,(AGENT_DATABASE!B2:B5000="Agent 9")*1,0)+23),"")</f>
        <v/>
      </c>
      <c r="L47" s="94" t="str">
        <f>IFERROR(INDEX(AGENT_DATABASE!K:K,MATCH(1,(AGENT_DATABASE!B2:B5000="Agent 9")*1,0)+23),"")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9")*1,0)+24),"")</f>
        <v/>
      </c>
      <c r="C48" s="89" t="str">
        <f>IFERROR(INDEX(AGENT_DATABASE!C:C,MATCH(1,(AGENT_DATABASE!B2:B5000="Agent 9")*1,0)+24),"")</f>
        <v/>
      </c>
      <c r="D48" s="89" t="str">
        <f>IFERROR(INDEX(AGENT_DATABASE!D:D,MATCH(1,(AGENT_DATABASE!B2:B5000="Agent 9")*1,0)+24),"")</f>
        <v/>
      </c>
      <c r="E48" s="89" t="str">
        <f>IFERROR(INDEX(AGENT_DATABASE!F:F,MATCH(1,(AGENT_DATABASE!B2:B5000="Agent 9")*1,0)+24),"")</f>
        <v/>
      </c>
      <c r="F48" s="90" t="str">
        <f>IFERROR(INDEX(AGENT_DATABASE!G:G,MATCH(1,(AGENT_DATABASE!B2:B5000="Agent 9")*1,0)+24),"")</f>
        <v/>
      </c>
      <c r="G48" s="91" t="str">
        <f>IFERROR(INDEX(AGENT_DATABASE!H:H,MATCH(1,(AGENT_DATABASE!B2:B5000="Agent 9")*1,0)+24),"")</f>
        <v/>
      </c>
      <c r="H48" s="90" t="str">
        <f>IFERROR(INDEX(AGENT_DATABASE!I:I,MATCH(1,(AGENT_DATABASE!B2:B5000="Agent 9")*1,0)+24),"")</f>
        <v/>
      </c>
      <c r="I48" s="87" t="str">
        <f>IFERROR(INDEX(AGENT_DATABASE!J:J,MATCH(1,(AGENT_DATABASE!B2:B5000="Agent 9")*1,0)+24),"")</f>
        <v/>
      </c>
      <c r="J48" s="87" t="str">
        <f>IFERROR(INDEX(AGENT_DATABASE!L:L,MATCH(1,(AGENT_DATABASE!B2:B5000="Agent 9")*1,0)+24),"")</f>
        <v/>
      </c>
      <c r="K48" s="87" t="str">
        <f>IFERROR(INDEX(AGENT_DATABASE!M:M,MATCH(1,(AGENT_DATABASE!B2:B5000="Agent 9")*1,0)+24),"")</f>
        <v/>
      </c>
      <c r="L48" s="89" t="str">
        <f>IFERROR(INDEX(AGENT_DATABASE!K:K,MATCH(1,(AGENT_DATABASE!B2:B5000="Agent 9")*1,0)+24),"")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9")*1,0)+25),"")</f>
        <v/>
      </c>
      <c r="C49" s="94" t="str">
        <f>IFERROR(INDEX(AGENT_DATABASE!C:C,MATCH(1,(AGENT_DATABASE!B2:B5000="Agent 9")*1,0)+25),"")</f>
        <v/>
      </c>
      <c r="D49" s="94" t="str">
        <f>IFERROR(INDEX(AGENT_DATABASE!D:D,MATCH(1,(AGENT_DATABASE!B2:B5000="Agent 9")*1,0)+25),"")</f>
        <v/>
      </c>
      <c r="E49" s="94" t="str">
        <f>IFERROR(INDEX(AGENT_DATABASE!F:F,MATCH(1,(AGENT_DATABASE!B2:B5000="Agent 9")*1,0)+25),"")</f>
        <v/>
      </c>
      <c r="F49" s="95" t="str">
        <f>IFERROR(INDEX(AGENT_DATABASE!G:G,MATCH(1,(AGENT_DATABASE!B2:B5000="Agent 9")*1,0)+25),"")</f>
        <v/>
      </c>
      <c r="G49" s="96" t="str">
        <f>IFERROR(INDEX(AGENT_DATABASE!H:H,MATCH(1,(AGENT_DATABASE!B2:B5000="Agent 9")*1,0)+25),"")</f>
        <v/>
      </c>
      <c r="H49" s="95" t="str">
        <f>IFERROR(INDEX(AGENT_DATABASE!I:I,MATCH(1,(AGENT_DATABASE!B2:B5000="Agent 9")*1,0)+25),"")</f>
        <v/>
      </c>
      <c r="I49" s="92" t="str">
        <f>IFERROR(INDEX(AGENT_DATABASE!J:J,MATCH(1,(AGENT_DATABASE!B2:B5000="Agent 9")*1,0)+25),"")</f>
        <v/>
      </c>
      <c r="J49" s="92" t="str">
        <f>IFERROR(INDEX(AGENT_DATABASE!L:L,MATCH(1,(AGENT_DATABASE!B2:B5000="Agent 9")*1,0)+25),"")</f>
        <v/>
      </c>
      <c r="K49" s="92" t="str">
        <f>IFERROR(INDEX(AGENT_DATABASE!M:M,MATCH(1,(AGENT_DATABASE!B2:B5000="Agent 9")*1,0)+25),"")</f>
        <v/>
      </c>
      <c r="L49" s="94" t="str">
        <f>IFERROR(INDEX(AGENT_DATABASE!K:K,MATCH(1,(AGENT_DATABASE!B2:B5000="Agent 9")*1,0)+25),"")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9")*1,0)+26),"")</f>
        <v/>
      </c>
      <c r="C50" s="89" t="str">
        <f>IFERROR(INDEX(AGENT_DATABASE!C:C,MATCH(1,(AGENT_DATABASE!B2:B5000="Agent 9")*1,0)+26),"")</f>
        <v/>
      </c>
      <c r="D50" s="89" t="str">
        <f>IFERROR(INDEX(AGENT_DATABASE!D:D,MATCH(1,(AGENT_DATABASE!B2:B5000="Agent 9")*1,0)+26),"")</f>
        <v/>
      </c>
      <c r="E50" s="89" t="str">
        <f>IFERROR(INDEX(AGENT_DATABASE!F:F,MATCH(1,(AGENT_DATABASE!B2:B5000="Agent 9")*1,0)+26),"")</f>
        <v/>
      </c>
      <c r="F50" s="90" t="str">
        <f>IFERROR(INDEX(AGENT_DATABASE!G:G,MATCH(1,(AGENT_DATABASE!B2:B5000="Agent 9")*1,0)+26),"")</f>
        <v/>
      </c>
      <c r="G50" s="91" t="str">
        <f>IFERROR(INDEX(AGENT_DATABASE!H:H,MATCH(1,(AGENT_DATABASE!B2:B5000="Agent 9")*1,0)+26),"")</f>
        <v/>
      </c>
      <c r="H50" s="90" t="str">
        <f>IFERROR(INDEX(AGENT_DATABASE!I:I,MATCH(1,(AGENT_DATABASE!B2:B5000="Agent 9")*1,0)+26),"")</f>
        <v/>
      </c>
      <c r="I50" s="87" t="str">
        <f>IFERROR(INDEX(AGENT_DATABASE!J:J,MATCH(1,(AGENT_DATABASE!B2:B5000="Agent 9")*1,0)+26),"")</f>
        <v/>
      </c>
      <c r="J50" s="87" t="str">
        <f>IFERROR(INDEX(AGENT_DATABASE!L:L,MATCH(1,(AGENT_DATABASE!B2:B5000="Agent 9")*1,0)+26),"")</f>
        <v/>
      </c>
      <c r="K50" s="87" t="str">
        <f>IFERROR(INDEX(AGENT_DATABASE!M:M,MATCH(1,(AGENT_DATABASE!B2:B5000="Agent 9")*1,0)+26),"")</f>
        <v/>
      </c>
      <c r="L50" s="89" t="str">
        <f>IFERROR(INDEX(AGENT_DATABASE!K:K,MATCH(1,(AGENT_DATABASE!B2:B5000="Agent 9")*1,0)+26),"")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9")*1,0)+27),"")</f>
        <v/>
      </c>
      <c r="C51" s="94" t="str">
        <f>IFERROR(INDEX(AGENT_DATABASE!C:C,MATCH(1,(AGENT_DATABASE!B2:B5000="Agent 9")*1,0)+27),"")</f>
        <v/>
      </c>
      <c r="D51" s="94" t="str">
        <f>IFERROR(INDEX(AGENT_DATABASE!D:D,MATCH(1,(AGENT_DATABASE!B2:B5000="Agent 9")*1,0)+27),"")</f>
        <v/>
      </c>
      <c r="E51" s="94" t="str">
        <f>IFERROR(INDEX(AGENT_DATABASE!F:F,MATCH(1,(AGENT_DATABASE!B2:B5000="Agent 9")*1,0)+27),"")</f>
        <v/>
      </c>
      <c r="F51" s="95" t="str">
        <f>IFERROR(INDEX(AGENT_DATABASE!G:G,MATCH(1,(AGENT_DATABASE!B2:B5000="Agent 9")*1,0)+27),"")</f>
        <v/>
      </c>
      <c r="G51" s="96" t="str">
        <f>IFERROR(INDEX(AGENT_DATABASE!H:H,MATCH(1,(AGENT_DATABASE!B2:B5000="Agent 9")*1,0)+27),"")</f>
        <v/>
      </c>
      <c r="H51" s="95" t="str">
        <f>IFERROR(INDEX(AGENT_DATABASE!I:I,MATCH(1,(AGENT_DATABASE!B2:B5000="Agent 9")*1,0)+27),"")</f>
        <v/>
      </c>
      <c r="I51" s="92" t="str">
        <f>IFERROR(INDEX(AGENT_DATABASE!J:J,MATCH(1,(AGENT_DATABASE!B2:B5000="Agent 9")*1,0)+27),"")</f>
        <v/>
      </c>
      <c r="J51" s="92" t="str">
        <f>IFERROR(INDEX(AGENT_DATABASE!L:L,MATCH(1,(AGENT_DATABASE!B2:B5000="Agent 9")*1,0)+27),"")</f>
        <v/>
      </c>
      <c r="K51" s="92" t="str">
        <f>IFERROR(INDEX(AGENT_DATABASE!M:M,MATCH(1,(AGENT_DATABASE!B2:B5000="Agent 9")*1,0)+27),"")</f>
        <v/>
      </c>
      <c r="L51" s="94" t="str">
        <f>IFERROR(INDEX(AGENT_DATABASE!K:K,MATCH(1,(AGENT_DATABASE!B2:B5000="Agent 9")*1,0)+27),"")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9")*1,0)+28),"")</f>
        <v/>
      </c>
      <c r="C52" s="89" t="str">
        <f>IFERROR(INDEX(AGENT_DATABASE!C:C,MATCH(1,(AGENT_DATABASE!B2:B5000="Agent 9")*1,0)+28),"")</f>
        <v/>
      </c>
      <c r="D52" s="89" t="str">
        <f>IFERROR(INDEX(AGENT_DATABASE!D:D,MATCH(1,(AGENT_DATABASE!B2:B5000="Agent 9")*1,0)+28),"")</f>
        <v/>
      </c>
      <c r="E52" s="89" t="str">
        <f>IFERROR(INDEX(AGENT_DATABASE!F:F,MATCH(1,(AGENT_DATABASE!B2:B5000="Agent 9")*1,0)+28),"")</f>
        <v/>
      </c>
      <c r="F52" s="90" t="str">
        <f>IFERROR(INDEX(AGENT_DATABASE!G:G,MATCH(1,(AGENT_DATABASE!B2:B5000="Agent 9")*1,0)+28),"")</f>
        <v/>
      </c>
      <c r="G52" s="91" t="str">
        <f>IFERROR(INDEX(AGENT_DATABASE!H:H,MATCH(1,(AGENT_DATABASE!B2:B5000="Agent 9")*1,0)+28),"")</f>
        <v/>
      </c>
      <c r="H52" s="90" t="str">
        <f>IFERROR(INDEX(AGENT_DATABASE!I:I,MATCH(1,(AGENT_DATABASE!B2:B5000="Agent 9")*1,0)+28),"")</f>
        <v/>
      </c>
      <c r="I52" s="87" t="str">
        <f>IFERROR(INDEX(AGENT_DATABASE!J:J,MATCH(1,(AGENT_DATABASE!B2:B5000="Agent 9")*1,0)+28),"")</f>
        <v/>
      </c>
      <c r="J52" s="87" t="str">
        <f>IFERROR(INDEX(AGENT_DATABASE!L:L,MATCH(1,(AGENT_DATABASE!B2:B5000="Agent 9")*1,0)+28),"")</f>
        <v/>
      </c>
      <c r="K52" s="87" t="str">
        <f>IFERROR(INDEX(AGENT_DATABASE!M:M,MATCH(1,(AGENT_DATABASE!B2:B5000="Agent 9")*1,0)+28),"")</f>
        <v/>
      </c>
      <c r="L52" s="89" t="str">
        <f>IFERROR(INDEX(AGENT_DATABASE!K:K,MATCH(1,(AGENT_DATABASE!B2:B5000="Agent 9")*1,0)+28),"")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9")*1,0)+29),"")</f>
        <v/>
      </c>
      <c r="C53" s="94" t="str">
        <f>IFERROR(INDEX(AGENT_DATABASE!C:C,MATCH(1,(AGENT_DATABASE!B2:B5000="Agent 9")*1,0)+29),"")</f>
        <v/>
      </c>
      <c r="D53" s="94" t="str">
        <f>IFERROR(INDEX(AGENT_DATABASE!D:D,MATCH(1,(AGENT_DATABASE!B2:B5000="Agent 9")*1,0)+29),"")</f>
        <v/>
      </c>
      <c r="E53" s="94" t="str">
        <f>IFERROR(INDEX(AGENT_DATABASE!F:F,MATCH(1,(AGENT_DATABASE!B2:B5000="Agent 9")*1,0)+29),"")</f>
        <v/>
      </c>
      <c r="F53" s="95" t="str">
        <f>IFERROR(INDEX(AGENT_DATABASE!G:G,MATCH(1,(AGENT_DATABASE!B2:B5000="Agent 9")*1,0)+29),"")</f>
        <v/>
      </c>
      <c r="G53" s="96" t="str">
        <f>IFERROR(INDEX(AGENT_DATABASE!H:H,MATCH(1,(AGENT_DATABASE!B2:B5000="Agent 9")*1,0)+29),"")</f>
        <v/>
      </c>
      <c r="H53" s="95" t="str">
        <f>IFERROR(INDEX(AGENT_DATABASE!I:I,MATCH(1,(AGENT_DATABASE!B2:B5000="Agent 9")*1,0)+29),"")</f>
        <v/>
      </c>
      <c r="I53" s="92" t="str">
        <f>IFERROR(INDEX(AGENT_DATABASE!J:J,MATCH(1,(AGENT_DATABASE!B2:B5000="Agent 9")*1,0)+29),"")</f>
        <v/>
      </c>
      <c r="J53" s="92" t="str">
        <f>IFERROR(INDEX(AGENT_DATABASE!L:L,MATCH(1,(AGENT_DATABASE!B2:B5000="Agent 9")*1,0)+29),"")</f>
        <v/>
      </c>
      <c r="K53" s="92" t="str">
        <f>IFERROR(INDEX(AGENT_DATABASE!M:M,MATCH(1,(AGENT_DATABASE!B2:B5000="Agent 9")*1,0)+29),"")</f>
        <v/>
      </c>
      <c r="L53" s="94" t="str">
        <f>IFERROR(INDEX(AGENT_DATABASE!K:K,MATCH(1,(AGENT_DATABASE!B2:B5000="Agent 9")*1,0)+29),"")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A00-000000000000}">
      <formula1>"Savings Deposit,Withdrawal"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1E6B3A"/>
  </sheetPr>
  <dimension ref="A1:L60"/>
  <sheetViews>
    <sheetView workbookViewId="0">
      <pane ySplit="2" topLeftCell="A3" activePane="bottomLeft" state="frozen"/>
      <selection pane="bottomLeft" activeCell="A22" sqref="A22:L22"/>
    </sheetView>
  </sheetViews>
  <sheetFormatPr defaultRowHeight="15" x14ac:dyDescent="0.25"/>
  <cols>
    <col min="1" max="1" width="1" customWidth="1"/>
    <col min="2" max="2" width="22" customWidth="1"/>
    <col min="3" max="3" width="16" customWidth="1"/>
    <col min="4" max="4" width="18" customWidth="1"/>
    <col min="5" max="10" width="14" customWidth="1"/>
    <col min="11" max="11" width="16" customWidth="1"/>
    <col min="12" max="12" width="1" customWidth="1"/>
  </cols>
  <sheetData>
    <row r="1" spans="1:12" ht="45" customHeight="1" x14ac:dyDescent="0.25">
      <c r="A1" s="141" t="s">
        <v>185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2" spans="1:12" ht="20.100000000000001" customHeight="1" x14ac:dyDescent="0.25">
      <c r="A2" s="143" t="str">
        <f ca="1">TEXT(TODAY(),"DD MMM YYYY")</f>
        <v>12 Apr 2026</v>
      </c>
      <c r="B2" s="130"/>
      <c r="C2" s="130"/>
      <c r="D2" s="130"/>
      <c r="E2" s="144" t="s">
        <v>186</v>
      </c>
      <c r="F2" s="130"/>
      <c r="G2" s="130"/>
      <c r="H2" s="130"/>
      <c r="I2" s="139" t="s">
        <v>2</v>
      </c>
      <c r="J2" s="130"/>
      <c r="K2" s="130"/>
      <c r="L2" s="130"/>
    </row>
    <row r="3" spans="1:12" ht="9.9499999999999993" customHeight="1" x14ac:dyDescent="0.25"/>
    <row r="4" spans="1:12" ht="21.95" customHeight="1" x14ac:dyDescent="0.25">
      <c r="A4" s="140" t="s">
        <v>3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</row>
    <row r="5" spans="1:12" ht="20.100000000000001" customHeight="1" x14ac:dyDescent="0.25">
      <c r="B5" s="131" t="s">
        <v>4</v>
      </c>
      <c r="C5" s="132"/>
      <c r="D5" s="142" t="s">
        <v>5</v>
      </c>
      <c r="E5" s="132"/>
      <c r="F5" s="137" t="s">
        <v>6</v>
      </c>
      <c r="G5" s="132"/>
      <c r="H5" s="142" t="s">
        <v>7</v>
      </c>
      <c r="I5" s="132"/>
      <c r="J5" s="131" t="s">
        <v>8</v>
      </c>
      <c r="K5" s="132"/>
    </row>
    <row r="6" spans="1:12" ht="27.95" customHeight="1" x14ac:dyDescent="0.25">
      <c r="B6" s="136">
        <f ca="1">SUMPRODUCT((AGENT_DATABASE!B2:B5000="Agent 10")*(AGENT_DATABASE!F2:F5000="Savings Deposit")*(TEXT(AGENT_DATABASE!A2:A5000,"DD/MM/YYYY")=TEXT(TODAY(),"DD/MM/YYYY"))*AGENT_DATABASE!G2:G5000)</f>
        <v>0</v>
      </c>
      <c r="C6" s="132"/>
      <c r="D6" s="135">
        <f ca="1">SUMPRODUCT((AGENT_DATABASE!B2:B5000="Agent 10")*(AGENT_DATABASE!F2:F5000="Loan Request")*(TEXT(AGENT_DATABASE!A2:A5000,"DD/MM/YYYY")=TEXT(TODAY(),"DD/MM/YYYY"))*AGENT_DATABASE!G2:G5000)</f>
        <v>0</v>
      </c>
      <c r="E6" s="132"/>
      <c r="F6" s="133">
        <f ca="1">SUMPRODUCT((AGENT_DATABASE!B2:B5000="Agent 10")*(AGENT_DATABASE!F2:F5000="Withdrawal")*(TEXT(AGENT_DATABASE!A2:A5000,"DD/MM/YYYY")=TEXT(TODAY(),"DD/MM/YYYY"))*AGENT_DATABASE!G2:G5000)</f>
        <v>0</v>
      </c>
      <c r="G6" s="132"/>
      <c r="H6" s="135">
        <f ca="1">IFERROR(B6-F6-D6,0)</f>
        <v>0</v>
      </c>
      <c r="I6" s="132"/>
      <c r="J6" s="136">
        <f ca="1">SUMPRODUCT((AGENT_DATABASE!B2:B5000="Agent 10")*(TEXT(AGENT_DATABASE!A2:A5000,"DD/MM/YYYY")=TEXT(TODAY(),"DD/MM/YYYY"))*1)</f>
        <v>0</v>
      </c>
      <c r="K6" s="132"/>
    </row>
    <row r="7" spans="1:12" ht="27.95" customHeight="1" x14ac:dyDescent="0.25">
      <c r="A7" s="129" t="s">
        <v>187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2" ht="21.95" customHeight="1" x14ac:dyDescent="0.25">
      <c r="A8" s="134" t="s">
        <v>10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</row>
    <row r="9" spans="1:12" ht="21.95" customHeight="1" x14ac:dyDescent="0.25">
      <c r="A9" s="80" t="s">
        <v>11</v>
      </c>
      <c r="B9" s="112" t="s">
        <v>12</v>
      </c>
      <c r="C9" s="113">
        <v>0</v>
      </c>
      <c r="D9" s="112" t="s">
        <v>13</v>
      </c>
      <c r="E9" s="113">
        <v>0</v>
      </c>
      <c r="F9" s="112" t="s">
        <v>14</v>
      </c>
      <c r="G9" s="113">
        <v>0</v>
      </c>
      <c r="H9" s="114" t="s">
        <v>15</v>
      </c>
      <c r="I9" s="115" t="str">
        <f ca="1">IF(AND(ROUND(C9-SUMPRODUCT((AGENT_DATABASE!B2:B5000="Agent 10")*(AGENT_DATABASE!F2:F5000="Savings Deposit")*(TEXT(AGENT_DATABASE!A2:A5000,"DD/MM/YYYY")=TEXT(TODAY(),"DD/MM/YYYY"))*AGENT_DATABASE!G2:G5000),2)=0,ROUND(E9-SUMPRODUCT((AGENT_DATABASE!B2:B5000="Agent 10")*(AGENT_DATABASE!F2:F5000="Withdrawal")*(TEXT(AGENT_DATABASE!A2:A5000,"DD/MM/YYYY")=TEXT(TODAY(),"DD/MM/YYYY"))*AGENT_DATABASE!G2:G5000),2)=0,ROUND(G9-SUMPRODUCT((AGENT_DATABASE!B2:B5000="Agent 10")*(AGENT_DATABASE!F2:F5000="Loan Request")*(TEXT(AGENT_DATABASE!A2:A5000,"DD/MM/YYYY")=TEXT(TODAY(),"DD/MM/YYYY"))*AGENT_DATABASE!G2:G5000),2)=0),"✅ BALANCED","🚨 UNBALANCED — Keep Recording")</f>
        <v>✅ BALANCED</v>
      </c>
    </row>
    <row r="10" spans="1:12" ht="20.100000000000001" customHeight="1" x14ac:dyDescent="0.25">
      <c r="A10" s="80" t="s">
        <v>16</v>
      </c>
      <c r="E10" s="80" t="s">
        <v>17</v>
      </c>
      <c r="F10" t="s">
        <v>188</v>
      </c>
      <c r="I10" s="81" t="s">
        <v>18</v>
      </c>
    </row>
    <row r="11" spans="1:12" ht="20.100000000000001" customHeight="1" x14ac:dyDescent="0.25">
      <c r="A11" s="80" t="s">
        <v>19</v>
      </c>
      <c r="E11" s="80" t="s">
        <v>20</v>
      </c>
      <c r="I11" s="80" t="s">
        <v>21</v>
      </c>
      <c r="J11" s="82"/>
    </row>
    <row r="13" spans="1:12" ht="21.95" customHeight="1" x14ac:dyDescent="0.25">
      <c r="A13" s="140" t="s">
        <v>22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</row>
    <row r="14" spans="1:12" ht="20.100000000000001" customHeight="1" x14ac:dyDescent="0.25">
      <c r="B14" s="80" t="s">
        <v>23</v>
      </c>
      <c r="C14" s="83"/>
      <c r="D14" s="80" t="s">
        <v>24</v>
      </c>
      <c r="E14" s="83"/>
      <c r="F14" s="80" t="s">
        <v>25</v>
      </c>
      <c r="G14" s="83"/>
      <c r="H14" s="80" t="s">
        <v>26</v>
      </c>
      <c r="I14" s="83"/>
    </row>
    <row r="15" spans="1:12" ht="20.100000000000001" customHeight="1" x14ac:dyDescent="0.25">
      <c r="B15" s="80" t="s">
        <v>27</v>
      </c>
      <c r="C15" s="83"/>
      <c r="D15" s="80" t="s">
        <v>28</v>
      </c>
      <c r="E15" s="83"/>
      <c r="F15" s="80" t="s">
        <v>29</v>
      </c>
      <c r="G15" s="83"/>
    </row>
    <row r="17" spans="1:12" ht="21.95" customHeight="1" x14ac:dyDescent="0.25">
      <c r="A17" s="138" t="s">
        <v>30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</row>
    <row r="18" spans="1:12" ht="20.100000000000001" customHeight="1" x14ac:dyDescent="0.25">
      <c r="B18" s="80" t="s">
        <v>31</v>
      </c>
      <c r="C18" s="84"/>
      <c r="D18" s="80" t="s">
        <v>24</v>
      </c>
      <c r="E18" s="84"/>
      <c r="F18" s="80" t="s">
        <v>32</v>
      </c>
      <c r="G18" s="84"/>
      <c r="H18" s="80" t="s">
        <v>33</v>
      </c>
      <c r="I18" s="84"/>
      <c r="J18" s="80" t="s">
        <v>34</v>
      </c>
      <c r="K18" s="84"/>
    </row>
    <row r="19" spans="1:12" ht="20.100000000000001" customHeight="1" x14ac:dyDescent="0.25">
      <c r="B19" s="80" t="s">
        <v>27</v>
      </c>
      <c r="C19" s="84"/>
      <c r="D19" s="80" t="s">
        <v>35</v>
      </c>
      <c r="E19" s="84"/>
      <c r="F19" s="80" t="s">
        <v>36</v>
      </c>
      <c r="G19" s="84"/>
      <c r="H19" s="80" t="s">
        <v>37</v>
      </c>
      <c r="I19" s="85">
        <f>IFERROR(K18*L18/100,"")</f>
        <v>0</v>
      </c>
      <c r="J19" s="80" t="s">
        <v>38</v>
      </c>
      <c r="K19" s="85">
        <f>IFERROR(K18+I19,"")</f>
        <v>0</v>
      </c>
    </row>
    <row r="21" spans="1:12" ht="9.9499999999999993" customHeight="1" x14ac:dyDescent="0.25"/>
    <row r="22" spans="1:12" ht="21.95" customHeight="1" x14ac:dyDescent="0.25">
      <c r="A22" s="134" t="s">
        <v>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</row>
    <row r="23" spans="1:12" ht="18" customHeight="1" x14ac:dyDescent="0.25">
      <c r="A23" s="86" t="s">
        <v>40</v>
      </c>
      <c r="B23" s="86" t="s">
        <v>41</v>
      </c>
      <c r="C23" s="86" t="s">
        <v>42</v>
      </c>
      <c r="D23" s="86" t="s">
        <v>43</v>
      </c>
      <c r="E23" s="86" t="s">
        <v>44</v>
      </c>
      <c r="F23" s="86" t="s">
        <v>45</v>
      </c>
      <c r="G23" s="86" t="s">
        <v>46</v>
      </c>
      <c r="H23" s="86" t="s">
        <v>47</v>
      </c>
      <c r="I23" s="86" t="s">
        <v>48</v>
      </c>
      <c r="J23" s="86" t="s">
        <v>49</v>
      </c>
      <c r="K23" s="86" t="s">
        <v>50</v>
      </c>
      <c r="L23" s="86" t="s">
        <v>51</v>
      </c>
    </row>
    <row r="24" spans="1:12" ht="15.95" customHeight="1" x14ac:dyDescent="0.25">
      <c r="A24" s="87">
        <v>1</v>
      </c>
      <c r="B24" s="88" t="str">
        <f>IFERROR(INDEX(AGENT_DATABASE!A:A,MATCH(1,(AGENT_DATABASE!B2:B5000="Agent 10")*1,0)+0),"")</f>
        <v/>
      </c>
      <c r="C24" s="89" t="str">
        <f>IFERROR(INDEX(AGENT_DATABASE!C:C,MATCH(1,(AGENT_DATABASE!B2:B5000="Agent 10")*1,0)+0),"")</f>
        <v/>
      </c>
      <c r="D24" s="89" t="str">
        <f>IFERROR(INDEX(AGENT_DATABASE!D:D,MATCH(1,(AGENT_DATABASE!B2:B5000="Agent 10")*1,0)+0),"")</f>
        <v/>
      </c>
      <c r="E24" s="89" t="str">
        <f>IFERROR(INDEX(AGENT_DATABASE!F:F,MATCH(1,(AGENT_DATABASE!B2:B5000="Agent 10")*1,0)+0),"")</f>
        <v/>
      </c>
      <c r="F24" s="90" t="str">
        <f>IFERROR(INDEX(AGENT_DATABASE!G:G,MATCH(1,(AGENT_DATABASE!B2:B5000="Agent 10")*1,0)+0),"")</f>
        <v/>
      </c>
      <c r="G24" s="91" t="str">
        <f>IFERROR(INDEX(AGENT_DATABASE!H:H,MATCH(1,(AGENT_DATABASE!B2:B5000="Agent 10")*1,0)+0),"")</f>
        <v/>
      </c>
      <c r="H24" s="90" t="str">
        <f>IFERROR(INDEX(AGENT_DATABASE!I:I,MATCH(1,(AGENT_DATABASE!B2:B5000="Agent 10")*1,0)+0),"")</f>
        <v/>
      </c>
      <c r="I24" s="87" t="str">
        <f>IFERROR(INDEX(AGENT_DATABASE!J:J,MATCH(1,(AGENT_DATABASE!B2:B5000="Agent 10")*1,0)+0),"")</f>
        <v/>
      </c>
      <c r="J24" s="87" t="str">
        <f>IFERROR(INDEX(AGENT_DATABASE!L:L,MATCH(1,(AGENT_DATABASE!B2:B5000="Agent 10")*1,0)+0),"")</f>
        <v/>
      </c>
      <c r="K24" s="87" t="str">
        <f>IFERROR(INDEX(AGENT_DATABASE!M:M,MATCH(1,(AGENT_DATABASE!B2:B5000="Agent 10")*1,0)+0),"")</f>
        <v/>
      </c>
      <c r="L24" s="89" t="str">
        <f>IFERROR(INDEX(AGENT_DATABASE!K:K,MATCH(1,(AGENT_DATABASE!B2:B5000="Agent 10")*1,0)+0),"")</f>
        <v/>
      </c>
    </row>
    <row r="25" spans="1:12" ht="15.95" customHeight="1" x14ac:dyDescent="0.25">
      <c r="A25" s="92">
        <v>2</v>
      </c>
      <c r="B25" s="93" t="str">
        <f>IFERROR(INDEX(AGENT_DATABASE!A:A,MATCH(1,(AGENT_DATABASE!B2:B5000="Agent 10")*1,0)+1),"")</f>
        <v/>
      </c>
      <c r="C25" s="94" t="str">
        <f>IFERROR(INDEX(AGENT_DATABASE!C:C,MATCH(1,(AGENT_DATABASE!B2:B5000="Agent 10")*1,0)+1),"")</f>
        <v/>
      </c>
      <c r="D25" s="94" t="str">
        <f>IFERROR(INDEX(AGENT_DATABASE!D:D,MATCH(1,(AGENT_DATABASE!B2:B5000="Agent 10")*1,0)+1),"")</f>
        <v/>
      </c>
      <c r="E25" s="94" t="str">
        <f>IFERROR(INDEX(AGENT_DATABASE!F:F,MATCH(1,(AGENT_DATABASE!B2:B5000="Agent 10")*1,0)+1),"")</f>
        <v/>
      </c>
      <c r="F25" s="95" t="str">
        <f>IFERROR(INDEX(AGENT_DATABASE!G:G,MATCH(1,(AGENT_DATABASE!B2:B5000="Agent 10")*1,0)+1),"")</f>
        <v/>
      </c>
      <c r="G25" s="96" t="str">
        <f>IFERROR(INDEX(AGENT_DATABASE!H:H,MATCH(1,(AGENT_DATABASE!B2:B5000="Agent 10")*1,0)+1),"")</f>
        <v/>
      </c>
      <c r="H25" s="95" t="str">
        <f>IFERROR(INDEX(AGENT_DATABASE!I:I,MATCH(1,(AGENT_DATABASE!B2:B5000="Agent 10")*1,0)+1),"")</f>
        <v/>
      </c>
      <c r="I25" s="92" t="str">
        <f>IFERROR(INDEX(AGENT_DATABASE!J:J,MATCH(1,(AGENT_DATABASE!B2:B5000="Agent 10")*1,0)+1),"")</f>
        <v/>
      </c>
      <c r="J25" s="92" t="str">
        <f>IFERROR(INDEX(AGENT_DATABASE!L:L,MATCH(1,(AGENT_DATABASE!B2:B5000="Agent 10")*1,0)+1),"")</f>
        <v/>
      </c>
      <c r="K25" s="92" t="str">
        <f>IFERROR(INDEX(AGENT_DATABASE!M:M,MATCH(1,(AGENT_DATABASE!B2:B5000="Agent 10")*1,0)+1),"")</f>
        <v/>
      </c>
      <c r="L25" s="94" t="str">
        <f>IFERROR(INDEX(AGENT_DATABASE!K:K,MATCH(1,(AGENT_DATABASE!B2:B5000="Agent 10")*1,0)+1),"")</f>
        <v/>
      </c>
    </row>
    <row r="26" spans="1:12" ht="15.95" customHeight="1" x14ac:dyDescent="0.25">
      <c r="A26" s="87">
        <v>3</v>
      </c>
      <c r="B26" s="88" t="str">
        <f>IFERROR(INDEX(AGENT_DATABASE!A:A,MATCH(1,(AGENT_DATABASE!B2:B5000="Agent 10")*1,0)+2),"")</f>
        <v/>
      </c>
      <c r="C26" s="89" t="str">
        <f>IFERROR(INDEX(AGENT_DATABASE!C:C,MATCH(1,(AGENT_DATABASE!B2:B5000="Agent 10")*1,0)+2),"")</f>
        <v/>
      </c>
      <c r="D26" s="89" t="str">
        <f>IFERROR(INDEX(AGENT_DATABASE!D:D,MATCH(1,(AGENT_DATABASE!B2:B5000="Agent 10")*1,0)+2),"")</f>
        <v/>
      </c>
      <c r="E26" s="89" t="str">
        <f>IFERROR(INDEX(AGENT_DATABASE!F:F,MATCH(1,(AGENT_DATABASE!B2:B5000="Agent 10")*1,0)+2),"")</f>
        <v/>
      </c>
      <c r="F26" s="90" t="str">
        <f>IFERROR(INDEX(AGENT_DATABASE!G:G,MATCH(1,(AGENT_DATABASE!B2:B5000="Agent 10")*1,0)+2),"")</f>
        <v/>
      </c>
      <c r="G26" s="91" t="str">
        <f>IFERROR(INDEX(AGENT_DATABASE!H:H,MATCH(1,(AGENT_DATABASE!B2:B5000="Agent 10")*1,0)+2),"")</f>
        <v/>
      </c>
      <c r="H26" s="90" t="str">
        <f>IFERROR(INDEX(AGENT_DATABASE!I:I,MATCH(1,(AGENT_DATABASE!B2:B5000="Agent 10")*1,0)+2),"")</f>
        <v/>
      </c>
      <c r="I26" s="87" t="str">
        <f>IFERROR(INDEX(AGENT_DATABASE!J:J,MATCH(1,(AGENT_DATABASE!B2:B5000="Agent 10")*1,0)+2),"")</f>
        <v/>
      </c>
      <c r="J26" s="87" t="str">
        <f>IFERROR(INDEX(AGENT_DATABASE!L:L,MATCH(1,(AGENT_DATABASE!B2:B5000="Agent 10")*1,0)+2),"")</f>
        <v/>
      </c>
      <c r="K26" s="87" t="str">
        <f>IFERROR(INDEX(AGENT_DATABASE!M:M,MATCH(1,(AGENT_DATABASE!B2:B5000="Agent 10")*1,0)+2),"")</f>
        <v/>
      </c>
      <c r="L26" s="89" t="str">
        <f>IFERROR(INDEX(AGENT_DATABASE!K:K,MATCH(1,(AGENT_DATABASE!B2:B5000="Agent 10")*1,0)+2),"")</f>
        <v/>
      </c>
    </row>
    <row r="27" spans="1:12" ht="15.95" customHeight="1" x14ac:dyDescent="0.25">
      <c r="A27" s="92">
        <v>4</v>
      </c>
      <c r="B27" s="93" t="str">
        <f>IFERROR(INDEX(AGENT_DATABASE!A:A,MATCH(1,(AGENT_DATABASE!B2:B5000="Agent 10")*1,0)+3),"")</f>
        <v/>
      </c>
      <c r="C27" s="94" t="str">
        <f>IFERROR(INDEX(AGENT_DATABASE!C:C,MATCH(1,(AGENT_DATABASE!B2:B5000="Agent 10")*1,0)+3),"")</f>
        <v/>
      </c>
      <c r="D27" s="94" t="str">
        <f>IFERROR(INDEX(AGENT_DATABASE!D:D,MATCH(1,(AGENT_DATABASE!B2:B5000="Agent 10")*1,0)+3),"")</f>
        <v/>
      </c>
      <c r="E27" s="94" t="str">
        <f>IFERROR(INDEX(AGENT_DATABASE!F:F,MATCH(1,(AGENT_DATABASE!B2:B5000="Agent 10")*1,0)+3),"")</f>
        <v/>
      </c>
      <c r="F27" s="95" t="str">
        <f>IFERROR(INDEX(AGENT_DATABASE!G:G,MATCH(1,(AGENT_DATABASE!B2:B5000="Agent 10")*1,0)+3),"")</f>
        <v/>
      </c>
      <c r="G27" s="96" t="str">
        <f>IFERROR(INDEX(AGENT_DATABASE!H:H,MATCH(1,(AGENT_DATABASE!B2:B5000="Agent 10")*1,0)+3),"")</f>
        <v/>
      </c>
      <c r="H27" s="95" t="str">
        <f>IFERROR(INDEX(AGENT_DATABASE!I:I,MATCH(1,(AGENT_DATABASE!B2:B5000="Agent 10")*1,0)+3),"")</f>
        <v/>
      </c>
      <c r="I27" s="92" t="str">
        <f>IFERROR(INDEX(AGENT_DATABASE!J:J,MATCH(1,(AGENT_DATABASE!B2:B5000="Agent 10")*1,0)+3),"")</f>
        <v/>
      </c>
      <c r="J27" s="92" t="str">
        <f>IFERROR(INDEX(AGENT_DATABASE!L:L,MATCH(1,(AGENT_DATABASE!B2:B5000="Agent 10")*1,0)+3),"")</f>
        <v/>
      </c>
      <c r="K27" s="92" t="str">
        <f>IFERROR(INDEX(AGENT_DATABASE!M:M,MATCH(1,(AGENT_DATABASE!B2:B5000="Agent 10")*1,0)+3),"")</f>
        <v/>
      </c>
      <c r="L27" s="94" t="str">
        <f>IFERROR(INDEX(AGENT_DATABASE!K:K,MATCH(1,(AGENT_DATABASE!B2:B5000="Agent 10")*1,0)+3),"")</f>
        <v/>
      </c>
    </row>
    <row r="28" spans="1:12" ht="15.95" customHeight="1" x14ac:dyDescent="0.25">
      <c r="A28" s="87">
        <v>5</v>
      </c>
      <c r="B28" s="88" t="str">
        <f>IFERROR(INDEX(AGENT_DATABASE!A:A,MATCH(1,(AGENT_DATABASE!B2:B5000="Agent 10")*1,0)+4),"")</f>
        <v/>
      </c>
      <c r="C28" s="89" t="str">
        <f>IFERROR(INDEX(AGENT_DATABASE!C:C,MATCH(1,(AGENT_DATABASE!B2:B5000="Agent 10")*1,0)+4),"")</f>
        <v/>
      </c>
      <c r="D28" s="89" t="str">
        <f>IFERROR(INDEX(AGENT_DATABASE!D:D,MATCH(1,(AGENT_DATABASE!B2:B5000="Agent 10")*1,0)+4),"")</f>
        <v/>
      </c>
      <c r="E28" s="89" t="str">
        <f>IFERROR(INDEX(AGENT_DATABASE!F:F,MATCH(1,(AGENT_DATABASE!B2:B5000="Agent 10")*1,0)+4),"")</f>
        <v/>
      </c>
      <c r="F28" s="90" t="str">
        <f>IFERROR(INDEX(AGENT_DATABASE!G:G,MATCH(1,(AGENT_DATABASE!B2:B5000="Agent 10")*1,0)+4),"")</f>
        <v/>
      </c>
      <c r="G28" s="91" t="str">
        <f>IFERROR(INDEX(AGENT_DATABASE!H:H,MATCH(1,(AGENT_DATABASE!B2:B5000="Agent 10")*1,0)+4),"")</f>
        <v/>
      </c>
      <c r="H28" s="90" t="str">
        <f>IFERROR(INDEX(AGENT_DATABASE!I:I,MATCH(1,(AGENT_DATABASE!B2:B5000="Agent 10")*1,0)+4),"")</f>
        <v/>
      </c>
      <c r="I28" s="87" t="str">
        <f>IFERROR(INDEX(AGENT_DATABASE!J:J,MATCH(1,(AGENT_DATABASE!B2:B5000="Agent 10")*1,0)+4),"")</f>
        <v/>
      </c>
      <c r="J28" s="87" t="str">
        <f>IFERROR(INDEX(AGENT_DATABASE!L:L,MATCH(1,(AGENT_DATABASE!B2:B5000="Agent 10")*1,0)+4),"")</f>
        <v/>
      </c>
      <c r="K28" s="87" t="str">
        <f>IFERROR(INDEX(AGENT_DATABASE!M:M,MATCH(1,(AGENT_DATABASE!B2:B5000="Agent 10")*1,0)+4),"")</f>
        <v/>
      </c>
      <c r="L28" s="89" t="str">
        <f>IFERROR(INDEX(AGENT_DATABASE!K:K,MATCH(1,(AGENT_DATABASE!B2:B5000="Agent 10")*1,0)+4),"")</f>
        <v/>
      </c>
    </row>
    <row r="29" spans="1:12" ht="15.95" customHeight="1" x14ac:dyDescent="0.25">
      <c r="A29" s="92">
        <v>6</v>
      </c>
      <c r="B29" s="93" t="str">
        <f>IFERROR(INDEX(AGENT_DATABASE!A:A,MATCH(1,(AGENT_DATABASE!B2:B5000="Agent 10")*1,0)+5),"")</f>
        <v/>
      </c>
      <c r="C29" s="94" t="str">
        <f>IFERROR(INDEX(AGENT_DATABASE!C:C,MATCH(1,(AGENT_DATABASE!B2:B5000="Agent 10")*1,0)+5),"")</f>
        <v/>
      </c>
      <c r="D29" s="94" t="str">
        <f>IFERROR(INDEX(AGENT_DATABASE!D:D,MATCH(1,(AGENT_DATABASE!B2:B5000="Agent 10")*1,0)+5),"")</f>
        <v/>
      </c>
      <c r="E29" s="94" t="str">
        <f>IFERROR(INDEX(AGENT_DATABASE!F:F,MATCH(1,(AGENT_DATABASE!B2:B5000="Agent 10")*1,0)+5),"")</f>
        <v/>
      </c>
      <c r="F29" s="95" t="str">
        <f>IFERROR(INDEX(AGENT_DATABASE!G:G,MATCH(1,(AGENT_DATABASE!B2:B5000="Agent 10")*1,0)+5),"")</f>
        <v/>
      </c>
      <c r="G29" s="96" t="str">
        <f>IFERROR(INDEX(AGENT_DATABASE!H:H,MATCH(1,(AGENT_DATABASE!B2:B5000="Agent 10")*1,0)+5),"")</f>
        <v/>
      </c>
      <c r="H29" s="95" t="str">
        <f>IFERROR(INDEX(AGENT_DATABASE!I:I,MATCH(1,(AGENT_DATABASE!B2:B5000="Agent 10")*1,0)+5),"")</f>
        <v/>
      </c>
      <c r="I29" s="92" t="str">
        <f>IFERROR(INDEX(AGENT_DATABASE!J:J,MATCH(1,(AGENT_DATABASE!B2:B5000="Agent 10")*1,0)+5),"")</f>
        <v/>
      </c>
      <c r="J29" s="92" t="str">
        <f>IFERROR(INDEX(AGENT_DATABASE!L:L,MATCH(1,(AGENT_DATABASE!B2:B5000="Agent 10")*1,0)+5),"")</f>
        <v/>
      </c>
      <c r="K29" s="92" t="str">
        <f>IFERROR(INDEX(AGENT_DATABASE!M:M,MATCH(1,(AGENT_DATABASE!B2:B5000="Agent 10")*1,0)+5),"")</f>
        <v/>
      </c>
      <c r="L29" s="94" t="str">
        <f>IFERROR(INDEX(AGENT_DATABASE!K:K,MATCH(1,(AGENT_DATABASE!B2:B5000="Agent 10")*1,0)+5),"")</f>
        <v/>
      </c>
    </row>
    <row r="30" spans="1:12" ht="15.95" customHeight="1" x14ac:dyDescent="0.25">
      <c r="A30" s="87">
        <v>7</v>
      </c>
      <c r="B30" s="88" t="str">
        <f>IFERROR(INDEX(AGENT_DATABASE!A:A,MATCH(1,(AGENT_DATABASE!B2:B5000="Agent 10")*1,0)+6),"")</f>
        <v/>
      </c>
      <c r="C30" s="89" t="str">
        <f>IFERROR(INDEX(AGENT_DATABASE!C:C,MATCH(1,(AGENT_DATABASE!B2:B5000="Agent 10")*1,0)+6),"")</f>
        <v/>
      </c>
      <c r="D30" s="89" t="str">
        <f>IFERROR(INDEX(AGENT_DATABASE!D:D,MATCH(1,(AGENT_DATABASE!B2:B5000="Agent 10")*1,0)+6),"")</f>
        <v/>
      </c>
      <c r="E30" s="89" t="str">
        <f>IFERROR(INDEX(AGENT_DATABASE!F:F,MATCH(1,(AGENT_DATABASE!B2:B5000="Agent 10")*1,0)+6),"")</f>
        <v/>
      </c>
      <c r="F30" s="90" t="str">
        <f>IFERROR(INDEX(AGENT_DATABASE!G:G,MATCH(1,(AGENT_DATABASE!B2:B5000="Agent 10")*1,0)+6),"")</f>
        <v/>
      </c>
      <c r="G30" s="91" t="str">
        <f>IFERROR(INDEX(AGENT_DATABASE!H:H,MATCH(1,(AGENT_DATABASE!B2:B5000="Agent 10")*1,0)+6),"")</f>
        <v/>
      </c>
      <c r="H30" s="90" t="str">
        <f>IFERROR(INDEX(AGENT_DATABASE!I:I,MATCH(1,(AGENT_DATABASE!B2:B5000="Agent 10")*1,0)+6),"")</f>
        <v/>
      </c>
      <c r="I30" s="87" t="str">
        <f>IFERROR(INDEX(AGENT_DATABASE!J:J,MATCH(1,(AGENT_DATABASE!B2:B5000="Agent 10")*1,0)+6),"")</f>
        <v/>
      </c>
      <c r="J30" s="87" t="str">
        <f>IFERROR(INDEX(AGENT_DATABASE!L:L,MATCH(1,(AGENT_DATABASE!B2:B5000="Agent 10")*1,0)+6),"")</f>
        <v/>
      </c>
      <c r="K30" s="87" t="str">
        <f>IFERROR(INDEX(AGENT_DATABASE!M:M,MATCH(1,(AGENT_DATABASE!B2:B5000="Agent 10")*1,0)+6),"")</f>
        <v/>
      </c>
      <c r="L30" s="89" t="str">
        <f>IFERROR(INDEX(AGENT_DATABASE!K:K,MATCH(1,(AGENT_DATABASE!B2:B5000="Agent 10")*1,0)+6),"")</f>
        <v/>
      </c>
    </row>
    <row r="31" spans="1:12" ht="15.95" customHeight="1" x14ac:dyDescent="0.25">
      <c r="A31" s="92">
        <v>8</v>
      </c>
      <c r="B31" s="93" t="str">
        <f>IFERROR(INDEX(AGENT_DATABASE!A:A,MATCH(1,(AGENT_DATABASE!B2:B5000="Agent 10")*1,0)+7),"")</f>
        <v/>
      </c>
      <c r="C31" s="94" t="str">
        <f>IFERROR(INDEX(AGENT_DATABASE!C:C,MATCH(1,(AGENT_DATABASE!B2:B5000="Agent 10")*1,0)+7),"")</f>
        <v/>
      </c>
      <c r="D31" s="94" t="str">
        <f>IFERROR(INDEX(AGENT_DATABASE!D:D,MATCH(1,(AGENT_DATABASE!B2:B5000="Agent 10")*1,0)+7),"")</f>
        <v/>
      </c>
      <c r="E31" s="94" t="str">
        <f>IFERROR(INDEX(AGENT_DATABASE!F:F,MATCH(1,(AGENT_DATABASE!B2:B5000="Agent 10")*1,0)+7),"")</f>
        <v/>
      </c>
      <c r="F31" s="95" t="str">
        <f>IFERROR(INDEX(AGENT_DATABASE!G:G,MATCH(1,(AGENT_DATABASE!B2:B5000="Agent 10")*1,0)+7),"")</f>
        <v/>
      </c>
      <c r="G31" s="96" t="str">
        <f>IFERROR(INDEX(AGENT_DATABASE!H:H,MATCH(1,(AGENT_DATABASE!B2:B5000="Agent 10")*1,0)+7),"")</f>
        <v/>
      </c>
      <c r="H31" s="95" t="str">
        <f>IFERROR(INDEX(AGENT_DATABASE!I:I,MATCH(1,(AGENT_DATABASE!B2:B5000="Agent 10")*1,0)+7),"")</f>
        <v/>
      </c>
      <c r="I31" s="92" t="str">
        <f>IFERROR(INDEX(AGENT_DATABASE!J:J,MATCH(1,(AGENT_DATABASE!B2:B5000="Agent 10")*1,0)+7),"")</f>
        <v/>
      </c>
      <c r="J31" s="92" t="str">
        <f>IFERROR(INDEX(AGENT_DATABASE!L:L,MATCH(1,(AGENT_DATABASE!B2:B5000="Agent 10")*1,0)+7),"")</f>
        <v/>
      </c>
      <c r="K31" s="92" t="str">
        <f>IFERROR(INDEX(AGENT_DATABASE!M:M,MATCH(1,(AGENT_DATABASE!B2:B5000="Agent 10")*1,0)+7),"")</f>
        <v/>
      </c>
      <c r="L31" s="94" t="str">
        <f>IFERROR(INDEX(AGENT_DATABASE!K:K,MATCH(1,(AGENT_DATABASE!B2:B5000="Agent 10")*1,0)+7),"")</f>
        <v/>
      </c>
    </row>
    <row r="32" spans="1:12" ht="15.95" customHeight="1" x14ac:dyDescent="0.25">
      <c r="A32" s="87">
        <v>9</v>
      </c>
      <c r="B32" s="88" t="str">
        <f>IFERROR(INDEX(AGENT_DATABASE!A:A,MATCH(1,(AGENT_DATABASE!B2:B5000="Agent 10")*1,0)+8),"")</f>
        <v/>
      </c>
      <c r="C32" s="89" t="str">
        <f>IFERROR(INDEX(AGENT_DATABASE!C:C,MATCH(1,(AGENT_DATABASE!B2:B5000="Agent 10")*1,0)+8),"")</f>
        <v/>
      </c>
      <c r="D32" s="89" t="str">
        <f>IFERROR(INDEX(AGENT_DATABASE!D:D,MATCH(1,(AGENT_DATABASE!B2:B5000="Agent 10")*1,0)+8),"")</f>
        <v/>
      </c>
      <c r="E32" s="89" t="str">
        <f>IFERROR(INDEX(AGENT_DATABASE!F:F,MATCH(1,(AGENT_DATABASE!B2:B5000="Agent 10")*1,0)+8),"")</f>
        <v/>
      </c>
      <c r="F32" s="90" t="str">
        <f>IFERROR(INDEX(AGENT_DATABASE!G:G,MATCH(1,(AGENT_DATABASE!B2:B5000="Agent 10")*1,0)+8),"")</f>
        <v/>
      </c>
      <c r="G32" s="91" t="str">
        <f>IFERROR(INDEX(AGENT_DATABASE!H:H,MATCH(1,(AGENT_DATABASE!B2:B5000="Agent 10")*1,0)+8),"")</f>
        <v/>
      </c>
      <c r="H32" s="90" t="str">
        <f>IFERROR(INDEX(AGENT_DATABASE!I:I,MATCH(1,(AGENT_DATABASE!B2:B5000="Agent 10")*1,0)+8),"")</f>
        <v/>
      </c>
      <c r="I32" s="87" t="str">
        <f>IFERROR(INDEX(AGENT_DATABASE!J:J,MATCH(1,(AGENT_DATABASE!B2:B5000="Agent 10")*1,0)+8),"")</f>
        <v/>
      </c>
      <c r="J32" s="87" t="str">
        <f>IFERROR(INDEX(AGENT_DATABASE!L:L,MATCH(1,(AGENT_DATABASE!B2:B5000="Agent 10")*1,0)+8),"")</f>
        <v/>
      </c>
      <c r="K32" s="87" t="str">
        <f>IFERROR(INDEX(AGENT_DATABASE!M:M,MATCH(1,(AGENT_DATABASE!B2:B5000="Agent 10")*1,0)+8),"")</f>
        <v/>
      </c>
      <c r="L32" s="89" t="str">
        <f>IFERROR(INDEX(AGENT_DATABASE!K:K,MATCH(1,(AGENT_DATABASE!B2:B5000="Agent 10")*1,0)+8),"")</f>
        <v/>
      </c>
    </row>
    <row r="33" spans="1:12" ht="15.95" customHeight="1" x14ac:dyDescent="0.25">
      <c r="A33" s="92">
        <v>10</v>
      </c>
      <c r="B33" s="93" t="str">
        <f>IFERROR(INDEX(AGENT_DATABASE!A:A,MATCH(1,(AGENT_DATABASE!B2:B5000="Agent 10")*1,0)+9),"")</f>
        <v/>
      </c>
      <c r="C33" s="94" t="str">
        <f>IFERROR(INDEX(AGENT_DATABASE!C:C,MATCH(1,(AGENT_DATABASE!B2:B5000="Agent 10")*1,0)+9),"")</f>
        <v/>
      </c>
      <c r="D33" s="94" t="str">
        <f>IFERROR(INDEX(AGENT_DATABASE!D:D,MATCH(1,(AGENT_DATABASE!B2:B5000="Agent 10")*1,0)+9),"")</f>
        <v/>
      </c>
      <c r="E33" s="94" t="str">
        <f>IFERROR(INDEX(AGENT_DATABASE!F:F,MATCH(1,(AGENT_DATABASE!B2:B5000="Agent 10")*1,0)+9),"")</f>
        <v/>
      </c>
      <c r="F33" s="95" t="str">
        <f>IFERROR(INDEX(AGENT_DATABASE!G:G,MATCH(1,(AGENT_DATABASE!B2:B5000="Agent 10")*1,0)+9),"")</f>
        <v/>
      </c>
      <c r="G33" s="96" t="str">
        <f>IFERROR(INDEX(AGENT_DATABASE!H:H,MATCH(1,(AGENT_DATABASE!B2:B5000="Agent 10")*1,0)+9),"")</f>
        <v/>
      </c>
      <c r="H33" s="95" t="str">
        <f>IFERROR(INDEX(AGENT_DATABASE!I:I,MATCH(1,(AGENT_DATABASE!B2:B5000="Agent 10")*1,0)+9),"")</f>
        <v/>
      </c>
      <c r="I33" s="92" t="str">
        <f>IFERROR(INDEX(AGENT_DATABASE!J:J,MATCH(1,(AGENT_DATABASE!B2:B5000="Agent 10")*1,0)+9),"")</f>
        <v/>
      </c>
      <c r="J33" s="92" t="str">
        <f>IFERROR(INDEX(AGENT_DATABASE!L:L,MATCH(1,(AGENT_DATABASE!B2:B5000="Agent 10")*1,0)+9),"")</f>
        <v/>
      </c>
      <c r="K33" s="92" t="str">
        <f>IFERROR(INDEX(AGENT_DATABASE!M:M,MATCH(1,(AGENT_DATABASE!B2:B5000="Agent 10")*1,0)+9),"")</f>
        <v/>
      </c>
      <c r="L33" s="94" t="str">
        <f>IFERROR(INDEX(AGENT_DATABASE!K:K,MATCH(1,(AGENT_DATABASE!B2:B5000="Agent 10")*1,0)+9),"")</f>
        <v/>
      </c>
    </row>
    <row r="34" spans="1:12" ht="15.95" customHeight="1" x14ac:dyDescent="0.25">
      <c r="A34" s="87">
        <v>11</v>
      </c>
      <c r="B34" s="88" t="str">
        <f>IFERROR(INDEX(AGENT_DATABASE!A:A,MATCH(1,(AGENT_DATABASE!B2:B5000="Agent 10")*1,0)+10),"")</f>
        <v/>
      </c>
      <c r="C34" s="89" t="str">
        <f>IFERROR(INDEX(AGENT_DATABASE!C:C,MATCH(1,(AGENT_DATABASE!B2:B5000="Agent 10")*1,0)+10),"")</f>
        <v/>
      </c>
      <c r="D34" s="89" t="str">
        <f>IFERROR(INDEX(AGENT_DATABASE!D:D,MATCH(1,(AGENT_DATABASE!B2:B5000="Agent 10")*1,0)+10),"")</f>
        <v/>
      </c>
      <c r="E34" s="89" t="str">
        <f>IFERROR(INDEX(AGENT_DATABASE!F:F,MATCH(1,(AGENT_DATABASE!B2:B5000="Agent 10")*1,0)+10),"")</f>
        <v/>
      </c>
      <c r="F34" s="90" t="str">
        <f>IFERROR(INDEX(AGENT_DATABASE!G:G,MATCH(1,(AGENT_DATABASE!B2:B5000="Agent 10")*1,0)+10),"")</f>
        <v/>
      </c>
      <c r="G34" s="91" t="str">
        <f>IFERROR(INDEX(AGENT_DATABASE!H:H,MATCH(1,(AGENT_DATABASE!B2:B5000="Agent 10")*1,0)+10),"")</f>
        <v/>
      </c>
      <c r="H34" s="90" t="str">
        <f>IFERROR(INDEX(AGENT_DATABASE!I:I,MATCH(1,(AGENT_DATABASE!B2:B5000="Agent 10")*1,0)+10),"")</f>
        <v/>
      </c>
      <c r="I34" s="87" t="str">
        <f>IFERROR(INDEX(AGENT_DATABASE!J:J,MATCH(1,(AGENT_DATABASE!B2:B5000="Agent 10")*1,0)+10),"")</f>
        <v/>
      </c>
      <c r="J34" s="87" t="str">
        <f>IFERROR(INDEX(AGENT_DATABASE!L:L,MATCH(1,(AGENT_DATABASE!B2:B5000="Agent 10")*1,0)+10),"")</f>
        <v/>
      </c>
      <c r="K34" s="87" t="str">
        <f>IFERROR(INDEX(AGENT_DATABASE!M:M,MATCH(1,(AGENT_DATABASE!B2:B5000="Agent 10")*1,0)+10),"")</f>
        <v/>
      </c>
      <c r="L34" s="89" t="str">
        <f>IFERROR(INDEX(AGENT_DATABASE!K:K,MATCH(1,(AGENT_DATABASE!B2:B5000="Agent 10")*1,0)+10),"")</f>
        <v/>
      </c>
    </row>
    <row r="35" spans="1:12" ht="15.95" customHeight="1" x14ac:dyDescent="0.25">
      <c r="A35" s="92">
        <v>12</v>
      </c>
      <c r="B35" s="93" t="str">
        <f>IFERROR(INDEX(AGENT_DATABASE!A:A,MATCH(1,(AGENT_DATABASE!B2:B5000="Agent 10")*1,0)+11),"")</f>
        <v/>
      </c>
      <c r="C35" s="94" t="str">
        <f>IFERROR(INDEX(AGENT_DATABASE!C:C,MATCH(1,(AGENT_DATABASE!B2:B5000="Agent 10")*1,0)+11),"")</f>
        <v/>
      </c>
      <c r="D35" s="94" t="str">
        <f>IFERROR(INDEX(AGENT_DATABASE!D:D,MATCH(1,(AGENT_DATABASE!B2:B5000="Agent 10")*1,0)+11),"")</f>
        <v/>
      </c>
      <c r="E35" s="94" t="str">
        <f>IFERROR(INDEX(AGENT_DATABASE!F:F,MATCH(1,(AGENT_DATABASE!B2:B5000="Agent 10")*1,0)+11),"")</f>
        <v/>
      </c>
      <c r="F35" s="95" t="str">
        <f>IFERROR(INDEX(AGENT_DATABASE!G:G,MATCH(1,(AGENT_DATABASE!B2:B5000="Agent 10")*1,0)+11),"")</f>
        <v/>
      </c>
      <c r="G35" s="96" t="str">
        <f>IFERROR(INDEX(AGENT_DATABASE!H:H,MATCH(1,(AGENT_DATABASE!B2:B5000="Agent 10")*1,0)+11),"")</f>
        <v/>
      </c>
      <c r="H35" s="95" t="str">
        <f>IFERROR(INDEX(AGENT_DATABASE!I:I,MATCH(1,(AGENT_DATABASE!B2:B5000="Agent 10")*1,0)+11),"")</f>
        <v/>
      </c>
      <c r="I35" s="92" t="str">
        <f>IFERROR(INDEX(AGENT_DATABASE!J:J,MATCH(1,(AGENT_DATABASE!B2:B5000="Agent 10")*1,0)+11),"")</f>
        <v/>
      </c>
      <c r="J35" s="92" t="str">
        <f>IFERROR(INDEX(AGENT_DATABASE!L:L,MATCH(1,(AGENT_DATABASE!B2:B5000="Agent 10")*1,0)+11),"")</f>
        <v/>
      </c>
      <c r="K35" s="92" t="str">
        <f>IFERROR(INDEX(AGENT_DATABASE!M:M,MATCH(1,(AGENT_DATABASE!B2:B5000="Agent 10")*1,0)+11),"")</f>
        <v/>
      </c>
      <c r="L35" s="94" t="str">
        <f>IFERROR(INDEX(AGENT_DATABASE!K:K,MATCH(1,(AGENT_DATABASE!B2:B5000="Agent 10")*1,0)+11),"")</f>
        <v/>
      </c>
    </row>
    <row r="36" spans="1:12" ht="15.95" customHeight="1" x14ac:dyDescent="0.25">
      <c r="A36" s="87">
        <v>13</v>
      </c>
      <c r="B36" s="88" t="str">
        <f>IFERROR(INDEX(AGENT_DATABASE!A:A,MATCH(1,(AGENT_DATABASE!B2:B5000="Agent 10")*1,0)+12),"")</f>
        <v/>
      </c>
      <c r="C36" s="89" t="str">
        <f>IFERROR(INDEX(AGENT_DATABASE!C:C,MATCH(1,(AGENT_DATABASE!B2:B5000="Agent 10")*1,0)+12),"")</f>
        <v/>
      </c>
      <c r="D36" s="89" t="str">
        <f>IFERROR(INDEX(AGENT_DATABASE!D:D,MATCH(1,(AGENT_DATABASE!B2:B5000="Agent 10")*1,0)+12),"")</f>
        <v/>
      </c>
      <c r="E36" s="89" t="str">
        <f>IFERROR(INDEX(AGENT_DATABASE!F:F,MATCH(1,(AGENT_DATABASE!B2:B5000="Agent 10")*1,0)+12),"")</f>
        <v/>
      </c>
      <c r="F36" s="90" t="str">
        <f>IFERROR(INDEX(AGENT_DATABASE!G:G,MATCH(1,(AGENT_DATABASE!B2:B5000="Agent 10")*1,0)+12),"")</f>
        <v/>
      </c>
      <c r="G36" s="91" t="str">
        <f>IFERROR(INDEX(AGENT_DATABASE!H:H,MATCH(1,(AGENT_DATABASE!B2:B5000="Agent 10")*1,0)+12),"")</f>
        <v/>
      </c>
      <c r="H36" s="90" t="str">
        <f>IFERROR(INDEX(AGENT_DATABASE!I:I,MATCH(1,(AGENT_DATABASE!B2:B5000="Agent 10")*1,0)+12),"")</f>
        <v/>
      </c>
      <c r="I36" s="87" t="str">
        <f>IFERROR(INDEX(AGENT_DATABASE!J:J,MATCH(1,(AGENT_DATABASE!B2:B5000="Agent 10")*1,0)+12),"")</f>
        <v/>
      </c>
      <c r="J36" s="87" t="str">
        <f>IFERROR(INDEX(AGENT_DATABASE!L:L,MATCH(1,(AGENT_DATABASE!B2:B5000="Agent 10")*1,0)+12),"")</f>
        <v/>
      </c>
      <c r="K36" s="87" t="str">
        <f>IFERROR(INDEX(AGENT_DATABASE!M:M,MATCH(1,(AGENT_DATABASE!B2:B5000="Agent 10")*1,0)+12),"")</f>
        <v/>
      </c>
      <c r="L36" s="89" t="str">
        <f>IFERROR(INDEX(AGENT_DATABASE!K:K,MATCH(1,(AGENT_DATABASE!B2:B5000="Agent 10")*1,0)+12),"")</f>
        <v/>
      </c>
    </row>
    <row r="37" spans="1:12" ht="15.95" customHeight="1" x14ac:dyDescent="0.25">
      <c r="A37" s="92">
        <v>14</v>
      </c>
      <c r="B37" s="93" t="str">
        <f>IFERROR(INDEX(AGENT_DATABASE!A:A,MATCH(1,(AGENT_DATABASE!B2:B5000="Agent 10")*1,0)+13),"")</f>
        <v/>
      </c>
      <c r="C37" s="94" t="str">
        <f>IFERROR(INDEX(AGENT_DATABASE!C:C,MATCH(1,(AGENT_DATABASE!B2:B5000="Agent 10")*1,0)+13),"")</f>
        <v/>
      </c>
      <c r="D37" s="94" t="str">
        <f>IFERROR(INDEX(AGENT_DATABASE!D:D,MATCH(1,(AGENT_DATABASE!B2:B5000="Agent 10")*1,0)+13),"")</f>
        <v/>
      </c>
      <c r="E37" s="94" t="str">
        <f>IFERROR(INDEX(AGENT_DATABASE!F:F,MATCH(1,(AGENT_DATABASE!B2:B5000="Agent 10")*1,0)+13),"")</f>
        <v/>
      </c>
      <c r="F37" s="95" t="str">
        <f>IFERROR(INDEX(AGENT_DATABASE!G:G,MATCH(1,(AGENT_DATABASE!B2:B5000="Agent 10")*1,0)+13),"")</f>
        <v/>
      </c>
      <c r="G37" s="96" t="str">
        <f>IFERROR(INDEX(AGENT_DATABASE!H:H,MATCH(1,(AGENT_DATABASE!B2:B5000="Agent 10")*1,0)+13),"")</f>
        <v/>
      </c>
      <c r="H37" s="95" t="str">
        <f>IFERROR(INDEX(AGENT_DATABASE!I:I,MATCH(1,(AGENT_DATABASE!B2:B5000="Agent 10")*1,0)+13),"")</f>
        <v/>
      </c>
      <c r="I37" s="92" t="str">
        <f>IFERROR(INDEX(AGENT_DATABASE!J:J,MATCH(1,(AGENT_DATABASE!B2:B5000="Agent 10")*1,0)+13),"")</f>
        <v/>
      </c>
      <c r="J37" s="92" t="str">
        <f>IFERROR(INDEX(AGENT_DATABASE!L:L,MATCH(1,(AGENT_DATABASE!B2:B5000="Agent 10")*1,0)+13),"")</f>
        <v/>
      </c>
      <c r="K37" s="92" t="str">
        <f>IFERROR(INDEX(AGENT_DATABASE!M:M,MATCH(1,(AGENT_DATABASE!B2:B5000="Agent 10")*1,0)+13),"")</f>
        <v/>
      </c>
      <c r="L37" s="94" t="str">
        <f>IFERROR(INDEX(AGENT_DATABASE!K:K,MATCH(1,(AGENT_DATABASE!B2:B5000="Agent 10")*1,0)+13),"")</f>
        <v/>
      </c>
    </row>
    <row r="38" spans="1:12" ht="15.95" customHeight="1" x14ac:dyDescent="0.25">
      <c r="A38" s="87">
        <v>15</v>
      </c>
      <c r="B38" s="88" t="str">
        <f>IFERROR(INDEX(AGENT_DATABASE!A:A,MATCH(1,(AGENT_DATABASE!B2:B5000="Agent 10")*1,0)+14),"")</f>
        <v/>
      </c>
      <c r="C38" s="89" t="str">
        <f>IFERROR(INDEX(AGENT_DATABASE!C:C,MATCH(1,(AGENT_DATABASE!B2:B5000="Agent 10")*1,0)+14),"")</f>
        <v/>
      </c>
      <c r="D38" s="89" t="str">
        <f>IFERROR(INDEX(AGENT_DATABASE!D:D,MATCH(1,(AGENT_DATABASE!B2:B5000="Agent 10")*1,0)+14),"")</f>
        <v/>
      </c>
      <c r="E38" s="89" t="str">
        <f>IFERROR(INDEX(AGENT_DATABASE!F:F,MATCH(1,(AGENT_DATABASE!B2:B5000="Agent 10")*1,0)+14),"")</f>
        <v/>
      </c>
      <c r="F38" s="90" t="str">
        <f>IFERROR(INDEX(AGENT_DATABASE!G:G,MATCH(1,(AGENT_DATABASE!B2:B5000="Agent 10")*1,0)+14),"")</f>
        <v/>
      </c>
      <c r="G38" s="91" t="str">
        <f>IFERROR(INDEX(AGENT_DATABASE!H:H,MATCH(1,(AGENT_DATABASE!B2:B5000="Agent 10")*1,0)+14),"")</f>
        <v/>
      </c>
      <c r="H38" s="90" t="str">
        <f>IFERROR(INDEX(AGENT_DATABASE!I:I,MATCH(1,(AGENT_DATABASE!B2:B5000="Agent 10")*1,0)+14),"")</f>
        <v/>
      </c>
      <c r="I38" s="87" t="str">
        <f>IFERROR(INDEX(AGENT_DATABASE!J:J,MATCH(1,(AGENT_DATABASE!B2:B5000="Agent 10")*1,0)+14),"")</f>
        <v/>
      </c>
      <c r="J38" s="87" t="str">
        <f>IFERROR(INDEX(AGENT_DATABASE!L:L,MATCH(1,(AGENT_DATABASE!B2:B5000="Agent 10")*1,0)+14),"")</f>
        <v/>
      </c>
      <c r="K38" s="87" t="str">
        <f>IFERROR(INDEX(AGENT_DATABASE!M:M,MATCH(1,(AGENT_DATABASE!B2:B5000="Agent 10")*1,0)+14),"")</f>
        <v/>
      </c>
      <c r="L38" s="89" t="str">
        <f>IFERROR(INDEX(AGENT_DATABASE!K:K,MATCH(1,(AGENT_DATABASE!B2:B5000="Agent 10")*1,0)+14),"")</f>
        <v/>
      </c>
    </row>
    <row r="39" spans="1:12" ht="15.95" customHeight="1" x14ac:dyDescent="0.25">
      <c r="A39" s="92">
        <v>16</v>
      </c>
      <c r="B39" s="93" t="str">
        <f>IFERROR(INDEX(AGENT_DATABASE!A:A,MATCH(1,(AGENT_DATABASE!B2:B5000="Agent 10")*1,0)+15),"")</f>
        <v/>
      </c>
      <c r="C39" s="94" t="str">
        <f>IFERROR(INDEX(AGENT_DATABASE!C:C,MATCH(1,(AGENT_DATABASE!B2:B5000="Agent 10")*1,0)+15),"")</f>
        <v/>
      </c>
      <c r="D39" s="94" t="str">
        <f>IFERROR(INDEX(AGENT_DATABASE!D:D,MATCH(1,(AGENT_DATABASE!B2:B5000="Agent 10")*1,0)+15),"")</f>
        <v/>
      </c>
      <c r="E39" s="94" t="str">
        <f>IFERROR(INDEX(AGENT_DATABASE!F:F,MATCH(1,(AGENT_DATABASE!B2:B5000="Agent 10")*1,0)+15),"")</f>
        <v/>
      </c>
      <c r="F39" s="95" t="str">
        <f>IFERROR(INDEX(AGENT_DATABASE!G:G,MATCH(1,(AGENT_DATABASE!B2:B5000="Agent 10")*1,0)+15),"")</f>
        <v/>
      </c>
      <c r="G39" s="96" t="str">
        <f>IFERROR(INDEX(AGENT_DATABASE!H:H,MATCH(1,(AGENT_DATABASE!B2:B5000="Agent 10")*1,0)+15),"")</f>
        <v/>
      </c>
      <c r="H39" s="95" t="str">
        <f>IFERROR(INDEX(AGENT_DATABASE!I:I,MATCH(1,(AGENT_DATABASE!B2:B5000="Agent 10")*1,0)+15),"")</f>
        <v/>
      </c>
      <c r="I39" s="92" t="str">
        <f>IFERROR(INDEX(AGENT_DATABASE!J:J,MATCH(1,(AGENT_DATABASE!B2:B5000="Agent 10")*1,0)+15),"")</f>
        <v/>
      </c>
      <c r="J39" s="92" t="str">
        <f>IFERROR(INDEX(AGENT_DATABASE!L:L,MATCH(1,(AGENT_DATABASE!B2:B5000="Agent 10")*1,0)+15),"")</f>
        <v/>
      </c>
      <c r="K39" s="92" t="str">
        <f>IFERROR(INDEX(AGENT_DATABASE!M:M,MATCH(1,(AGENT_DATABASE!B2:B5000="Agent 10")*1,0)+15),"")</f>
        <v/>
      </c>
      <c r="L39" s="94" t="str">
        <f>IFERROR(INDEX(AGENT_DATABASE!K:K,MATCH(1,(AGENT_DATABASE!B2:B5000="Agent 10")*1,0)+15),"")</f>
        <v/>
      </c>
    </row>
    <row r="40" spans="1:12" ht="15.95" customHeight="1" x14ac:dyDescent="0.25">
      <c r="A40" s="87">
        <v>17</v>
      </c>
      <c r="B40" s="88" t="str">
        <f>IFERROR(INDEX(AGENT_DATABASE!A:A,MATCH(1,(AGENT_DATABASE!B2:B5000="Agent 10")*1,0)+16),"")</f>
        <v/>
      </c>
      <c r="C40" s="89" t="str">
        <f>IFERROR(INDEX(AGENT_DATABASE!C:C,MATCH(1,(AGENT_DATABASE!B2:B5000="Agent 10")*1,0)+16),"")</f>
        <v/>
      </c>
      <c r="D40" s="89" t="str">
        <f>IFERROR(INDEX(AGENT_DATABASE!D:D,MATCH(1,(AGENT_DATABASE!B2:B5000="Agent 10")*1,0)+16),"")</f>
        <v/>
      </c>
      <c r="E40" s="89" t="str">
        <f>IFERROR(INDEX(AGENT_DATABASE!F:F,MATCH(1,(AGENT_DATABASE!B2:B5000="Agent 10")*1,0)+16),"")</f>
        <v/>
      </c>
      <c r="F40" s="90" t="str">
        <f>IFERROR(INDEX(AGENT_DATABASE!G:G,MATCH(1,(AGENT_DATABASE!B2:B5000="Agent 10")*1,0)+16),"")</f>
        <v/>
      </c>
      <c r="G40" s="91" t="str">
        <f>IFERROR(INDEX(AGENT_DATABASE!H:H,MATCH(1,(AGENT_DATABASE!B2:B5000="Agent 10")*1,0)+16),"")</f>
        <v/>
      </c>
      <c r="H40" s="90" t="str">
        <f>IFERROR(INDEX(AGENT_DATABASE!I:I,MATCH(1,(AGENT_DATABASE!B2:B5000="Agent 10")*1,0)+16),"")</f>
        <v/>
      </c>
      <c r="I40" s="87" t="str">
        <f>IFERROR(INDEX(AGENT_DATABASE!J:J,MATCH(1,(AGENT_DATABASE!B2:B5000="Agent 10")*1,0)+16),"")</f>
        <v/>
      </c>
      <c r="J40" s="87" t="str">
        <f>IFERROR(INDEX(AGENT_DATABASE!L:L,MATCH(1,(AGENT_DATABASE!B2:B5000="Agent 10")*1,0)+16),"")</f>
        <v/>
      </c>
      <c r="K40" s="87" t="str">
        <f>IFERROR(INDEX(AGENT_DATABASE!M:M,MATCH(1,(AGENT_DATABASE!B2:B5000="Agent 10")*1,0)+16),"")</f>
        <v/>
      </c>
      <c r="L40" s="89" t="str">
        <f>IFERROR(INDEX(AGENT_DATABASE!K:K,MATCH(1,(AGENT_DATABASE!B2:B5000="Agent 10")*1,0)+16),"")</f>
        <v/>
      </c>
    </row>
    <row r="41" spans="1:12" ht="15.95" customHeight="1" x14ac:dyDescent="0.25">
      <c r="A41" s="92">
        <v>18</v>
      </c>
      <c r="B41" s="93" t="str">
        <f>IFERROR(INDEX(AGENT_DATABASE!A:A,MATCH(1,(AGENT_DATABASE!B2:B5000="Agent 10")*1,0)+17),"")</f>
        <v/>
      </c>
      <c r="C41" s="94" t="str">
        <f>IFERROR(INDEX(AGENT_DATABASE!C:C,MATCH(1,(AGENT_DATABASE!B2:B5000="Agent 10")*1,0)+17),"")</f>
        <v/>
      </c>
      <c r="D41" s="94" t="str">
        <f>IFERROR(INDEX(AGENT_DATABASE!D:D,MATCH(1,(AGENT_DATABASE!B2:B5000="Agent 10")*1,0)+17),"")</f>
        <v/>
      </c>
      <c r="E41" s="94" t="str">
        <f>IFERROR(INDEX(AGENT_DATABASE!F:F,MATCH(1,(AGENT_DATABASE!B2:B5000="Agent 10")*1,0)+17),"")</f>
        <v/>
      </c>
      <c r="F41" s="95" t="str">
        <f>IFERROR(INDEX(AGENT_DATABASE!G:G,MATCH(1,(AGENT_DATABASE!B2:B5000="Agent 10")*1,0)+17),"")</f>
        <v/>
      </c>
      <c r="G41" s="96" t="str">
        <f>IFERROR(INDEX(AGENT_DATABASE!H:H,MATCH(1,(AGENT_DATABASE!B2:B5000="Agent 10")*1,0)+17),"")</f>
        <v/>
      </c>
      <c r="H41" s="95" t="str">
        <f>IFERROR(INDEX(AGENT_DATABASE!I:I,MATCH(1,(AGENT_DATABASE!B2:B5000="Agent 10")*1,0)+17),"")</f>
        <v/>
      </c>
      <c r="I41" s="92" t="str">
        <f>IFERROR(INDEX(AGENT_DATABASE!J:J,MATCH(1,(AGENT_DATABASE!B2:B5000="Agent 10")*1,0)+17),"")</f>
        <v/>
      </c>
      <c r="J41" s="92" t="str">
        <f>IFERROR(INDEX(AGENT_DATABASE!L:L,MATCH(1,(AGENT_DATABASE!B2:B5000="Agent 10")*1,0)+17),"")</f>
        <v/>
      </c>
      <c r="K41" s="92" t="str">
        <f>IFERROR(INDEX(AGENT_DATABASE!M:M,MATCH(1,(AGENT_DATABASE!B2:B5000="Agent 10")*1,0)+17),"")</f>
        <v/>
      </c>
      <c r="L41" s="94" t="str">
        <f>IFERROR(INDEX(AGENT_DATABASE!K:K,MATCH(1,(AGENT_DATABASE!B2:B5000="Agent 10")*1,0)+17),"")</f>
        <v/>
      </c>
    </row>
    <row r="42" spans="1:12" ht="15.95" customHeight="1" x14ac:dyDescent="0.25">
      <c r="A42" s="87">
        <v>19</v>
      </c>
      <c r="B42" s="88" t="str">
        <f>IFERROR(INDEX(AGENT_DATABASE!A:A,MATCH(1,(AGENT_DATABASE!B2:B5000="Agent 10")*1,0)+18),"")</f>
        <v/>
      </c>
      <c r="C42" s="89" t="str">
        <f>IFERROR(INDEX(AGENT_DATABASE!C:C,MATCH(1,(AGENT_DATABASE!B2:B5000="Agent 10")*1,0)+18),"")</f>
        <v/>
      </c>
      <c r="D42" s="89" t="str">
        <f>IFERROR(INDEX(AGENT_DATABASE!D:D,MATCH(1,(AGENT_DATABASE!B2:B5000="Agent 10")*1,0)+18),"")</f>
        <v/>
      </c>
      <c r="E42" s="89" t="str">
        <f>IFERROR(INDEX(AGENT_DATABASE!F:F,MATCH(1,(AGENT_DATABASE!B2:B5000="Agent 10")*1,0)+18),"")</f>
        <v/>
      </c>
      <c r="F42" s="90" t="str">
        <f>IFERROR(INDEX(AGENT_DATABASE!G:G,MATCH(1,(AGENT_DATABASE!B2:B5000="Agent 10")*1,0)+18),"")</f>
        <v/>
      </c>
      <c r="G42" s="91" t="str">
        <f>IFERROR(INDEX(AGENT_DATABASE!H:H,MATCH(1,(AGENT_DATABASE!B2:B5000="Agent 10")*1,0)+18),"")</f>
        <v/>
      </c>
      <c r="H42" s="90" t="str">
        <f>IFERROR(INDEX(AGENT_DATABASE!I:I,MATCH(1,(AGENT_DATABASE!B2:B5000="Agent 10")*1,0)+18),"")</f>
        <v/>
      </c>
      <c r="I42" s="87" t="str">
        <f>IFERROR(INDEX(AGENT_DATABASE!J:J,MATCH(1,(AGENT_DATABASE!B2:B5000="Agent 10")*1,0)+18),"")</f>
        <v/>
      </c>
      <c r="J42" s="87" t="str">
        <f>IFERROR(INDEX(AGENT_DATABASE!L:L,MATCH(1,(AGENT_DATABASE!B2:B5000="Agent 10")*1,0)+18),"")</f>
        <v/>
      </c>
      <c r="K42" s="87" t="str">
        <f>IFERROR(INDEX(AGENT_DATABASE!M:M,MATCH(1,(AGENT_DATABASE!B2:B5000="Agent 10")*1,0)+18),"")</f>
        <v/>
      </c>
      <c r="L42" s="89" t="str">
        <f>IFERROR(INDEX(AGENT_DATABASE!K:K,MATCH(1,(AGENT_DATABASE!B2:B5000="Agent 10")*1,0)+18),"")</f>
        <v/>
      </c>
    </row>
    <row r="43" spans="1:12" ht="15.95" customHeight="1" x14ac:dyDescent="0.25">
      <c r="A43" s="92">
        <v>20</v>
      </c>
      <c r="B43" s="93" t="str">
        <f>IFERROR(INDEX(AGENT_DATABASE!A:A,MATCH(1,(AGENT_DATABASE!B2:B5000="Agent 10")*1,0)+19),"")</f>
        <v/>
      </c>
      <c r="C43" s="94" t="str">
        <f>IFERROR(INDEX(AGENT_DATABASE!C:C,MATCH(1,(AGENT_DATABASE!B2:B5000="Agent 10")*1,0)+19),"")</f>
        <v/>
      </c>
      <c r="D43" s="94" t="str">
        <f>IFERROR(INDEX(AGENT_DATABASE!D:D,MATCH(1,(AGENT_DATABASE!B2:B5000="Agent 10")*1,0)+19),"")</f>
        <v/>
      </c>
      <c r="E43" s="94" t="str">
        <f>IFERROR(INDEX(AGENT_DATABASE!F:F,MATCH(1,(AGENT_DATABASE!B2:B5000="Agent 10")*1,0)+19),"")</f>
        <v/>
      </c>
      <c r="F43" s="95" t="str">
        <f>IFERROR(INDEX(AGENT_DATABASE!G:G,MATCH(1,(AGENT_DATABASE!B2:B5000="Agent 10")*1,0)+19),"")</f>
        <v/>
      </c>
      <c r="G43" s="96" t="str">
        <f>IFERROR(INDEX(AGENT_DATABASE!H:H,MATCH(1,(AGENT_DATABASE!B2:B5000="Agent 10")*1,0)+19),"")</f>
        <v/>
      </c>
      <c r="H43" s="95" t="str">
        <f>IFERROR(INDEX(AGENT_DATABASE!I:I,MATCH(1,(AGENT_DATABASE!B2:B5000="Agent 10")*1,0)+19),"")</f>
        <v/>
      </c>
      <c r="I43" s="92" t="str">
        <f>IFERROR(INDEX(AGENT_DATABASE!J:J,MATCH(1,(AGENT_DATABASE!B2:B5000="Agent 10")*1,0)+19),"")</f>
        <v/>
      </c>
      <c r="J43" s="92" t="str">
        <f>IFERROR(INDEX(AGENT_DATABASE!L:L,MATCH(1,(AGENT_DATABASE!B2:B5000="Agent 10")*1,0)+19),"")</f>
        <v/>
      </c>
      <c r="K43" s="92" t="str">
        <f>IFERROR(INDEX(AGENT_DATABASE!M:M,MATCH(1,(AGENT_DATABASE!B2:B5000="Agent 10")*1,0)+19),"")</f>
        <v/>
      </c>
      <c r="L43" s="94" t="str">
        <f>IFERROR(INDEX(AGENT_DATABASE!K:K,MATCH(1,(AGENT_DATABASE!B2:B5000="Agent 10")*1,0)+19),"")</f>
        <v/>
      </c>
    </row>
    <row r="44" spans="1:12" ht="15.95" customHeight="1" x14ac:dyDescent="0.25">
      <c r="A44" s="87">
        <v>21</v>
      </c>
      <c r="B44" s="88" t="str">
        <f>IFERROR(INDEX(AGENT_DATABASE!A:A,MATCH(1,(AGENT_DATABASE!B2:B5000="Agent 10")*1,0)+20),"")</f>
        <v/>
      </c>
      <c r="C44" s="89" t="str">
        <f>IFERROR(INDEX(AGENT_DATABASE!C:C,MATCH(1,(AGENT_DATABASE!B2:B5000="Agent 10")*1,0)+20),"")</f>
        <v/>
      </c>
      <c r="D44" s="89" t="str">
        <f>IFERROR(INDEX(AGENT_DATABASE!D:D,MATCH(1,(AGENT_DATABASE!B2:B5000="Agent 10")*1,0)+20),"")</f>
        <v/>
      </c>
      <c r="E44" s="89" t="str">
        <f>IFERROR(INDEX(AGENT_DATABASE!F:F,MATCH(1,(AGENT_DATABASE!B2:B5000="Agent 10")*1,0)+20),"")</f>
        <v/>
      </c>
      <c r="F44" s="90" t="str">
        <f>IFERROR(INDEX(AGENT_DATABASE!G:G,MATCH(1,(AGENT_DATABASE!B2:B5000="Agent 10")*1,0)+20),"")</f>
        <v/>
      </c>
      <c r="G44" s="91" t="str">
        <f>IFERROR(INDEX(AGENT_DATABASE!H:H,MATCH(1,(AGENT_DATABASE!B2:B5000="Agent 10")*1,0)+20),"")</f>
        <v/>
      </c>
      <c r="H44" s="90" t="str">
        <f>IFERROR(INDEX(AGENT_DATABASE!I:I,MATCH(1,(AGENT_DATABASE!B2:B5000="Agent 10")*1,0)+20),"")</f>
        <v/>
      </c>
      <c r="I44" s="87" t="str">
        <f>IFERROR(INDEX(AGENT_DATABASE!J:J,MATCH(1,(AGENT_DATABASE!B2:B5000="Agent 10")*1,0)+20),"")</f>
        <v/>
      </c>
      <c r="J44" s="87" t="str">
        <f>IFERROR(INDEX(AGENT_DATABASE!L:L,MATCH(1,(AGENT_DATABASE!B2:B5000="Agent 10")*1,0)+20),"")</f>
        <v/>
      </c>
      <c r="K44" s="87" t="str">
        <f>IFERROR(INDEX(AGENT_DATABASE!M:M,MATCH(1,(AGENT_DATABASE!B2:B5000="Agent 10")*1,0)+20),"")</f>
        <v/>
      </c>
      <c r="L44" s="89" t="str">
        <f>IFERROR(INDEX(AGENT_DATABASE!K:K,MATCH(1,(AGENT_DATABASE!B2:B5000="Agent 10")*1,0)+20),"")</f>
        <v/>
      </c>
    </row>
    <row r="45" spans="1:12" ht="15.95" customHeight="1" x14ac:dyDescent="0.25">
      <c r="A45" s="92">
        <v>22</v>
      </c>
      <c r="B45" s="93" t="str">
        <f>IFERROR(INDEX(AGENT_DATABASE!A:A,MATCH(1,(AGENT_DATABASE!B2:B5000="Agent 10")*1,0)+21),"")</f>
        <v/>
      </c>
      <c r="C45" s="94" t="str">
        <f>IFERROR(INDEX(AGENT_DATABASE!C:C,MATCH(1,(AGENT_DATABASE!B2:B5000="Agent 10")*1,0)+21),"")</f>
        <v/>
      </c>
      <c r="D45" s="94" t="str">
        <f>IFERROR(INDEX(AGENT_DATABASE!D:D,MATCH(1,(AGENT_DATABASE!B2:B5000="Agent 10")*1,0)+21),"")</f>
        <v/>
      </c>
      <c r="E45" s="94" t="str">
        <f>IFERROR(INDEX(AGENT_DATABASE!F:F,MATCH(1,(AGENT_DATABASE!B2:B5000="Agent 10")*1,0)+21),"")</f>
        <v/>
      </c>
      <c r="F45" s="95" t="str">
        <f>IFERROR(INDEX(AGENT_DATABASE!G:G,MATCH(1,(AGENT_DATABASE!B2:B5000="Agent 10")*1,0)+21),"")</f>
        <v/>
      </c>
      <c r="G45" s="96" t="str">
        <f>IFERROR(INDEX(AGENT_DATABASE!H:H,MATCH(1,(AGENT_DATABASE!B2:B5000="Agent 10")*1,0)+21),"")</f>
        <v/>
      </c>
      <c r="H45" s="95" t="str">
        <f>IFERROR(INDEX(AGENT_DATABASE!I:I,MATCH(1,(AGENT_DATABASE!B2:B5000="Agent 10")*1,0)+21),"")</f>
        <v/>
      </c>
      <c r="I45" s="92" t="str">
        <f>IFERROR(INDEX(AGENT_DATABASE!J:J,MATCH(1,(AGENT_DATABASE!B2:B5000="Agent 10")*1,0)+21),"")</f>
        <v/>
      </c>
      <c r="J45" s="92" t="str">
        <f>IFERROR(INDEX(AGENT_DATABASE!L:L,MATCH(1,(AGENT_DATABASE!B2:B5000="Agent 10")*1,0)+21),"")</f>
        <v/>
      </c>
      <c r="K45" s="92" t="str">
        <f>IFERROR(INDEX(AGENT_DATABASE!M:M,MATCH(1,(AGENT_DATABASE!B2:B5000="Agent 10")*1,0)+21),"")</f>
        <v/>
      </c>
      <c r="L45" s="94" t="str">
        <f>IFERROR(INDEX(AGENT_DATABASE!K:K,MATCH(1,(AGENT_DATABASE!B2:B5000="Agent 10")*1,0)+21),"")</f>
        <v/>
      </c>
    </row>
    <row r="46" spans="1:12" ht="15.95" customHeight="1" x14ac:dyDescent="0.25">
      <c r="A46" s="87">
        <v>23</v>
      </c>
      <c r="B46" s="88" t="str">
        <f>IFERROR(INDEX(AGENT_DATABASE!A:A,MATCH(1,(AGENT_DATABASE!B2:B5000="Agent 10")*1,0)+22),"")</f>
        <v/>
      </c>
      <c r="C46" s="89" t="str">
        <f>IFERROR(INDEX(AGENT_DATABASE!C:C,MATCH(1,(AGENT_DATABASE!B2:B5000="Agent 10")*1,0)+22),"")</f>
        <v/>
      </c>
      <c r="D46" s="89" t="str">
        <f>IFERROR(INDEX(AGENT_DATABASE!D:D,MATCH(1,(AGENT_DATABASE!B2:B5000="Agent 10")*1,0)+22),"")</f>
        <v/>
      </c>
      <c r="E46" s="89" t="str">
        <f>IFERROR(INDEX(AGENT_DATABASE!F:F,MATCH(1,(AGENT_DATABASE!B2:B5000="Agent 10")*1,0)+22),"")</f>
        <v/>
      </c>
      <c r="F46" s="90" t="str">
        <f>IFERROR(INDEX(AGENT_DATABASE!G:G,MATCH(1,(AGENT_DATABASE!B2:B5000="Agent 10")*1,0)+22),"")</f>
        <v/>
      </c>
      <c r="G46" s="91" t="str">
        <f>IFERROR(INDEX(AGENT_DATABASE!H:H,MATCH(1,(AGENT_DATABASE!B2:B5000="Agent 10")*1,0)+22),"")</f>
        <v/>
      </c>
      <c r="H46" s="90" t="str">
        <f>IFERROR(INDEX(AGENT_DATABASE!I:I,MATCH(1,(AGENT_DATABASE!B2:B5000="Agent 10")*1,0)+22),"")</f>
        <v/>
      </c>
      <c r="I46" s="87" t="str">
        <f>IFERROR(INDEX(AGENT_DATABASE!J:J,MATCH(1,(AGENT_DATABASE!B2:B5000="Agent 10")*1,0)+22),"")</f>
        <v/>
      </c>
      <c r="J46" s="87" t="str">
        <f>IFERROR(INDEX(AGENT_DATABASE!L:L,MATCH(1,(AGENT_DATABASE!B2:B5000="Agent 10")*1,0)+22),"")</f>
        <v/>
      </c>
      <c r="K46" s="87" t="str">
        <f>IFERROR(INDEX(AGENT_DATABASE!M:M,MATCH(1,(AGENT_DATABASE!B2:B5000="Agent 10")*1,0)+22),"")</f>
        <v/>
      </c>
      <c r="L46" s="89" t="str">
        <f>IFERROR(INDEX(AGENT_DATABASE!K:K,MATCH(1,(AGENT_DATABASE!B2:B5000="Agent 10")*1,0)+22),"")</f>
        <v/>
      </c>
    </row>
    <row r="47" spans="1:12" ht="15.95" customHeight="1" x14ac:dyDescent="0.25">
      <c r="A47" s="92">
        <v>24</v>
      </c>
      <c r="B47" s="93" t="str">
        <f>IFERROR(INDEX(AGENT_DATABASE!A:A,MATCH(1,(AGENT_DATABASE!B2:B5000="Agent 10")*1,0)+23),"")</f>
        <v/>
      </c>
      <c r="C47" s="94" t="str">
        <f>IFERROR(INDEX(AGENT_DATABASE!C:C,MATCH(1,(AGENT_DATABASE!B2:B5000="Agent 10")*1,0)+23),"")</f>
        <v/>
      </c>
      <c r="D47" s="94" t="str">
        <f>IFERROR(INDEX(AGENT_DATABASE!D:D,MATCH(1,(AGENT_DATABASE!B2:B5000="Agent 10")*1,0)+23),"")</f>
        <v/>
      </c>
      <c r="E47" s="94" t="str">
        <f>IFERROR(INDEX(AGENT_DATABASE!F:F,MATCH(1,(AGENT_DATABASE!B2:B5000="Agent 10")*1,0)+23),"")</f>
        <v/>
      </c>
      <c r="F47" s="95" t="str">
        <f>IFERROR(INDEX(AGENT_DATABASE!G:G,MATCH(1,(AGENT_DATABASE!B2:B5000="Agent 10")*1,0)+23),"")</f>
        <v/>
      </c>
      <c r="G47" s="96" t="str">
        <f>IFERROR(INDEX(AGENT_DATABASE!H:H,MATCH(1,(AGENT_DATABASE!B2:B5000="Agent 10")*1,0)+23),"")</f>
        <v/>
      </c>
      <c r="H47" s="95" t="str">
        <f>IFERROR(INDEX(AGENT_DATABASE!I:I,MATCH(1,(AGENT_DATABASE!B2:B5000="Agent 10")*1,0)+23),"")</f>
        <v/>
      </c>
      <c r="I47" s="92" t="str">
        <f>IFERROR(INDEX(AGENT_DATABASE!J:J,MATCH(1,(AGENT_DATABASE!B2:B5000="Agent 10")*1,0)+23),"")</f>
        <v/>
      </c>
      <c r="J47" s="92" t="str">
        <f>IFERROR(INDEX(AGENT_DATABASE!L:L,MATCH(1,(AGENT_DATABASE!B2:B5000="Agent 10")*1,0)+23),"")</f>
        <v/>
      </c>
      <c r="K47" s="92" t="str">
        <f>IFERROR(INDEX(AGENT_DATABASE!M:M,MATCH(1,(AGENT_DATABASE!B2:B5000="Agent 10")*1,0)+23),"")</f>
        <v/>
      </c>
      <c r="L47" s="94" t="str">
        <f>IFERROR(INDEX(AGENT_DATABASE!K:K,MATCH(1,(AGENT_DATABASE!B2:B5000="Agent 10")*1,0)+23),"")</f>
        <v/>
      </c>
    </row>
    <row r="48" spans="1:12" ht="15.95" customHeight="1" x14ac:dyDescent="0.25">
      <c r="A48" s="87">
        <v>25</v>
      </c>
      <c r="B48" s="88" t="str">
        <f>IFERROR(INDEX(AGENT_DATABASE!A:A,MATCH(1,(AGENT_DATABASE!B2:B5000="Agent 10")*1,0)+24),"")</f>
        <v/>
      </c>
      <c r="C48" s="89" t="str">
        <f>IFERROR(INDEX(AGENT_DATABASE!C:C,MATCH(1,(AGENT_DATABASE!B2:B5000="Agent 10")*1,0)+24),"")</f>
        <v/>
      </c>
      <c r="D48" s="89" t="str">
        <f>IFERROR(INDEX(AGENT_DATABASE!D:D,MATCH(1,(AGENT_DATABASE!B2:B5000="Agent 10")*1,0)+24),"")</f>
        <v/>
      </c>
      <c r="E48" s="89" t="str">
        <f>IFERROR(INDEX(AGENT_DATABASE!F:F,MATCH(1,(AGENT_DATABASE!B2:B5000="Agent 10")*1,0)+24),"")</f>
        <v/>
      </c>
      <c r="F48" s="90" t="str">
        <f>IFERROR(INDEX(AGENT_DATABASE!G:G,MATCH(1,(AGENT_DATABASE!B2:B5000="Agent 10")*1,0)+24),"")</f>
        <v/>
      </c>
      <c r="G48" s="91" t="str">
        <f>IFERROR(INDEX(AGENT_DATABASE!H:H,MATCH(1,(AGENT_DATABASE!B2:B5000="Agent 10")*1,0)+24),"")</f>
        <v/>
      </c>
      <c r="H48" s="90" t="str">
        <f>IFERROR(INDEX(AGENT_DATABASE!I:I,MATCH(1,(AGENT_DATABASE!B2:B5000="Agent 10")*1,0)+24),"")</f>
        <v/>
      </c>
      <c r="I48" s="87" t="str">
        <f>IFERROR(INDEX(AGENT_DATABASE!J:J,MATCH(1,(AGENT_DATABASE!B2:B5000="Agent 10")*1,0)+24),"")</f>
        <v/>
      </c>
      <c r="J48" s="87" t="str">
        <f>IFERROR(INDEX(AGENT_DATABASE!L:L,MATCH(1,(AGENT_DATABASE!B2:B5000="Agent 10")*1,0)+24),"")</f>
        <v/>
      </c>
      <c r="K48" s="87" t="str">
        <f>IFERROR(INDEX(AGENT_DATABASE!M:M,MATCH(1,(AGENT_DATABASE!B2:B5000="Agent 10")*1,0)+24),"")</f>
        <v/>
      </c>
      <c r="L48" s="89" t="str">
        <f>IFERROR(INDEX(AGENT_DATABASE!K:K,MATCH(1,(AGENT_DATABASE!B2:B5000="Agent 10")*1,0)+24),"")</f>
        <v/>
      </c>
    </row>
    <row r="49" spans="1:12" ht="15.95" customHeight="1" x14ac:dyDescent="0.25">
      <c r="A49" s="92">
        <v>26</v>
      </c>
      <c r="B49" s="93" t="str">
        <f>IFERROR(INDEX(AGENT_DATABASE!A:A,MATCH(1,(AGENT_DATABASE!B2:B5000="Agent 10")*1,0)+25),"")</f>
        <v/>
      </c>
      <c r="C49" s="94" t="str">
        <f>IFERROR(INDEX(AGENT_DATABASE!C:C,MATCH(1,(AGENT_DATABASE!B2:B5000="Agent 10")*1,0)+25),"")</f>
        <v/>
      </c>
      <c r="D49" s="94" t="str">
        <f>IFERROR(INDEX(AGENT_DATABASE!D:D,MATCH(1,(AGENT_DATABASE!B2:B5000="Agent 10")*1,0)+25),"")</f>
        <v/>
      </c>
      <c r="E49" s="94" t="str">
        <f>IFERROR(INDEX(AGENT_DATABASE!F:F,MATCH(1,(AGENT_DATABASE!B2:B5000="Agent 10")*1,0)+25),"")</f>
        <v/>
      </c>
      <c r="F49" s="95" t="str">
        <f>IFERROR(INDEX(AGENT_DATABASE!G:G,MATCH(1,(AGENT_DATABASE!B2:B5000="Agent 10")*1,0)+25),"")</f>
        <v/>
      </c>
      <c r="G49" s="96" t="str">
        <f>IFERROR(INDEX(AGENT_DATABASE!H:H,MATCH(1,(AGENT_DATABASE!B2:B5000="Agent 10")*1,0)+25),"")</f>
        <v/>
      </c>
      <c r="H49" s="95" t="str">
        <f>IFERROR(INDEX(AGENT_DATABASE!I:I,MATCH(1,(AGENT_DATABASE!B2:B5000="Agent 10")*1,0)+25),"")</f>
        <v/>
      </c>
      <c r="I49" s="92" t="str">
        <f>IFERROR(INDEX(AGENT_DATABASE!J:J,MATCH(1,(AGENT_DATABASE!B2:B5000="Agent 10")*1,0)+25),"")</f>
        <v/>
      </c>
      <c r="J49" s="92" t="str">
        <f>IFERROR(INDEX(AGENT_DATABASE!L:L,MATCH(1,(AGENT_DATABASE!B2:B5000="Agent 10")*1,0)+25),"")</f>
        <v/>
      </c>
      <c r="K49" s="92" t="str">
        <f>IFERROR(INDEX(AGENT_DATABASE!M:M,MATCH(1,(AGENT_DATABASE!B2:B5000="Agent 10")*1,0)+25),"")</f>
        <v/>
      </c>
      <c r="L49" s="94" t="str">
        <f>IFERROR(INDEX(AGENT_DATABASE!K:K,MATCH(1,(AGENT_DATABASE!B2:B5000="Agent 10")*1,0)+25),"")</f>
        <v/>
      </c>
    </row>
    <row r="50" spans="1:12" ht="15.95" customHeight="1" x14ac:dyDescent="0.25">
      <c r="A50" s="87">
        <v>27</v>
      </c>
      <c r="B50" s="88" t="str">
        <f>IFERROR(INDEX(AGENT_DATABASE!A:A,MATCH(1,(AGENT_DATABASE!B2:B5000="Agent 10")*1,0)+26),"")</f>
        <v/>
      </c>
      <c r="C50" s="89" t="str">
        <f>IFERROR(INDEX(AGENT_DATABASE!C:C,MATCH(1,(AGENT_DATABASE!B2:B5000="Agent 10")*1,0)+26),"")</f>
        <v/>
      </c>
      <c r="D50" s="89" t="str">
        <f>IFERROR(INDEX(AGENT_DATABASE!D:D,MATCH(1,(AGENT_DATABASE!B2:B5000="Agent 10")*1,0)+26),"")</f>
        <v/>
      </c>
      <c r="E50" s="89" t="str">
        <f>IFERROR(INDEX(AGENT_DATABASE!F:F,MATCH(1,(AGENT_DATABASE!B2:B5000="Agent 10")*1,0)+26),"")</f>
        <v/>
      </c>
      <c r="F50" s="90" t="str">
        <f>IFERROR(INDEX(AGENT_DATABASE!G:G,MATCH(1,(AGENT_DATABASE!B2:B5000="Agent 10")*1,0)+26),"")</f>
        <v/>
      </c>
      <c r="G50" s="91" t="str">
        <f>IFERROR(INDEX(AGENT_DATABASE!H:H,MATCH(1,(AGENT_DATABASE!B2:B5000="Agent 10")*1,0)+26),"")</f>
        <v/>
      </c>
      <c r="H50" s="90" t="str">
        <f>IFERROR(INDEX(AGENT_DATABASE!I:I,MATCH(1,(AGENT_DATABASE!B2:B5000="Agent 10")*1,0)+26),"")</f>
        <v/>
      </c>
      <c r="I50" s="87" t="str">
        <f>IFERROR(INDEX(AGENT_DATABASE!J:J,MATCH(1,(AGENT_DATABASE!B2:B5000="Agent 10")*1,0)+26),"")</f>
        <v/>
      </c>
      <c r="J50" s="87" t="str">
        <f>IFERROR(INDEX(AGENT_DATABASE!L:L,MATCH(1,(AGENT_DATABASE!B2:B5000="Agent 10")*1,0)+26),"")</f>
        <v/>
      </c>
      <c r="K50" s="87" t="str">
        <f>IFERROR(INDEX(AGENT_DATABASE!M:M,MATCH(1,(AGENT_DATABASE!B2:B5000="Agent 10")*1,0)+26),"")</f>
        <v/>
      </c>
      <c r="L50" s="89" t="str">
        <f>IFERROR(INDEX(AGENT_DATABASE!K:K,MATCH(1,(AGENT_DATABASE!B2:B5000="Agent 10")*1,0)+26),"")</f>
        <v/>
      </c>
    </row>
    <row r="51" spans="1:12" ht="15.95" customHeight="1" x14ac:dyDescent="0.25">
      <c r="A51" s="92">
        <v>28</v>
      </c>
      <c r="B51" s="93" t="str">
        <f>IFERROR(INDEX(AGENT_DATABASE!A:A,MATCH(1,(AGENT_DATABASE!B2:B5000="Agent 10")*1,0)+27),"")</f>
        <v/>
      </c>
      <c r="C51" s="94" t="str">
        <f>IFERROR(INDEX(AGENT_DATABASE!C:C,MATCH(1,(AGENT_DATABASE!B2:B5000="Agent 10")*1,0)+27),"")</f>
        <v/>
      </c>
      <c r="D51" s="94" t="str">
        <f>IFERROR(INDEX(AGENT_DATABASE!D:D,MATCH(1,(AGENT_DATABASE!B2:B5000="Agent 10")*1,0)+27),"")</f>
        <v/>
      </c>
      <c r="E51" s="94" t="str">
        <f>IFERROR(INDEX(AGENT_DATABASE!F:F,MATCH(1,(AGENT_DATABASE!B2:B5000="Agent 10")*1,0)+27),"")</f>
        <v/>
      </c>
      <c r="F51" s="95" t="str">
        <f>IFERROR(INDEX(AGENT_DATABASE!G:G,MATCH(1,(AGENT_DATABASE!B2:B5000="Agent 10")*1,0)+27),"")</f>
        <v/>
      </c>
      <c r="G51" s="96" t="str">
        <f>IFERROR(INDEX(AGENT_DATABASE!H:H,MATCH(1,(AGENT_DATABASE!B2:B5000="Agent 10")*1,0)+27),"")</f>
        <v/>
      </c>
      <c r="H51" s="95" t="str">
        <f>IFERROR(INDEX(AGENT_DATABASE!I:I,MATCH(1,(AGENT_DATABASE!B2:B5000="Agent 10")*1,0)+27),"")</f>
        <v/>
      </c>
      <c r="I51" s="92" t="str">
        <f>IFERROR(INDEX(AGENT_DATABASE!J:J,MATCH(1,(AGENT_DATABASE!B2:B5000="Agent 10")*1,0)+27),"")</f>
        <v/>
      </c>
      <c r="J51" s="92" t="str">
        <f>IFERROR(INDEX(AGENT_DATABASE!L:L,MATCH(1,(AGENT_DATABASE!B2:B5000="Agent 10")*1,0)+27),"")</f>
        <v/>
      </c>
      <c r="K51" s="92" t="str">
        <f>IFERROR(INDEX(AGENT_DATABASE!M:M,MATCH(1,(AGENT_DATABASE!B2:B5000="Agent 10")*1,0)+27),"")</f>
        <v/>
      </c>
      <c r="L51" s="94" t="str">
        <f>IFERROR(INDEX(AGENT_DATABASE!K:K,MATCH(1,(AGENT_DATABASE!B2:B5000="Agent 10")*1,0)+27),"")</f>
        <v/>
      </c>
    </row>
    <row r="52" spans="1:12" ht="15.95" customHeight="1" x14ac:dyDescent="0.25">
      <c r="A52" s="87">
        <v>29</v>
      </c>
      <c r="B52" s="88" t="str">
        <f>IFERROR(INDEX(AGENT_DATABASE!A:A,MATCH(1,(AGENT_DATABASE!B2:B5000="Agent 10")*1,0)+28),"")</f>
        <v/>
      </c>
      <c r="C52" s="89" t="str">
        <f>IFERROR(INDEX(AGENT_DATABASE!C:C,MATCH(1,(AGENT_DATABASE!B2:B5000="Agent 10")*1,0)+28),"")</f>
        <v/>
      </c>
      <c r="D52" s="89" t="str">
        <f>IFERROR(INDEX(AGENT_DATABASE!D:D,MATCH(1,(AGENT_DATABASE!B2:B5000="Agent 10")*1,0)+28),"")</f>
        <v/>
      </c>
      <c r="E52" s="89" t="str">
        <f>IFERROR(INDEX(AGENT_DATABASE!F:F,MATCH(1,(AGENT_DATABASE!B2:B5000="Agent 10")*1,0)+28),"")</f>
        <v/>
      </c>
      <c r="F52" s="90" t="str">
        <f>IFERROR(INDEX(AGENT_DATABASE!G:G,MATCH(1,(AGENT_DATABASE!B2:B5000="Agent 10")*1,0)+28),"")</f>
        <v/>
      </c>
      <c r="G52" s="91" t="str">
        <f>IFERROR(INDEX(AGENT_DATABASE!H:H,MATCH(1,(AGENT_DATABASE!B2:B5000="Agent 10")*1,0)+28),"")</f>
        <v/>
      </c>
      <c r="H52" s="90" t="str">
        <f>IFERROR(INDEX(AGENT_DATABASE!I:I,MATCH(1,(AGENT_DATABASE!B2:B5000="Agent 10")*1,0)+28),"")</f>
        <v/>
      </c>
      <c r="I52" s="87" t="str">
        <f>IFERROR(INDEX(AGENT_DATABASE!J:J,MATCH(1,(AGENT_DATABASE!B2:B5000="Agent 10")*1,0)+28),"")</f>
        <v/>
      </c>
      <c r="J52" s="87" t="str">
        <f>IFERROR(INDEX(AGENT_DATABASE!L:L,MATCH(1,(AGENT_DATABASE!B2:B5000="Agent 10")*1,0)+28),"")</f>
        <v/>
      </c>
      <c r="K52" s="87" t="str">
        <f>IFERROR(INDEX(AGENT_DATABASE!M:M,MATCH(1,(AGENT_DATABASE!B2:B5000="Agent 10")*1,0)+28),"")</f>
        <v/>
      </c>
      <c r="L52" s="89" t="str">
        <f>IFERROR(INDEX(AGENT_DATABASE!K:K,MATCH(1,(AGENT_DATABASE!B2:B5000="Agent 10")*1,0)+28),"")</f>
        <v/>
      </c>
    </row>
    <row r="53" spans="1:12" ht="15.95" customHeight="1" x14ac:dyDescent="0.25">
      <c r="A53" s="92">
        <v>30</v>
      </c>
      <c r="B53" s="93" t="str">
        <f>IFERROR(INDEX(AGENT_DATABASE!A:A,MATCH(1,(AGENT_DATABASE!B2:B5000="Agent 10")*1,0)+29),"")</f>
        <v/>
      </c>
      <c r="C53" s="94" t="str">
        <f>IFERROR(INDEX(AGENT_DATABASE!C:C,MATCH(1,(AGENT_DATABASE!B2:B5000="Agent 10")*1,0)+29),"")</f>
        <v/>
      </c>
      <c r="D53" s="94" t="str">
        <f>IFERROR(INDEX(AGENT_DATABASE!D:D,MATCH(1,(AGENT_DATABASE!B2:B5000="Agent 10")*1,0)+29),"")</f>
        <v/>
      </c>
      <c r="E53" s="94" t="str">
        <f>IFERROR(INDEX(AGENT_DATABASE!F:F,MATCH(1,(AGENT_DATABASE!B2:B5000="Agent 10")*1,0)+29),"")</f>
        <v/>
      </c>
      <c r="F53" s="95" t="str">
        <f>IFERROR(INDEX(AGENT_DATABASE!G:G,MATCH(1,(AGENT_DATABASE!B2:B5000="Agent 10")*1,0)+29),"")</f>
        <v/>
      </c>
      <c r="G53" s="96" t="str">
        <f>IFERROR(INDEX(AGENT_DATABASE!H:H,MATCH(1,(AGENT_DATABASE!B2:B5000="Agent 10")*1,0)+29),"")</f>
        <v/>
      </c>
      <c r="H53" s="95" t="str">
        <f>IFERROR(INDEX(AGENT_DATABASE!I:I,MATCH(1,(AGENT_DATABASE!B2:B5000="Agent 10")*1,0)+29),"")</f>
        <v/>
      </c>
      <c r="I53" s="92" t="str">
        <f>IFERROR(INDEX(AGENT_DATABASE!J:J,MATCH(1,(AGENT_DATABASE!B2:B5000="Agent 10")*1,0)+29),"")</f>
        <v/>
      </c>
      <c r="J53" s="92" t="str">
        <f>IFERROR(INDEX(AGENT_DATABASE!L:L,MATCH(1,(AGENT_DATABASE!B2:B5000="Agent 10")*1,0)+29),"")</f>
        <v/>
      </c>
      <c r="K53" s="92" t="str">
        <f>IFERROR(INDEX(AGENT_DATABASE!M:M,MATCH(1,(AGENT_DATABASE!B2:B5000="Agent 10")*1,0)+29),"")</f>
        <v/>
      </c>
      <c r="L53" s="94" t="str">
        <f>IFERROR(INDEX(AGENT_DATABASE!K:K,MATCH(1,(AGENT_DATABASE!B2:B5000="Agent 10")*1,0)+29),"")</f>
        <v/>
      </c>
    </row>
    <row r="55" spans="1:12" ht="21.95" customHeight="1" x14ac:dyDescent="0.25">
      <c r="A55" s="134" t="s">
        <v>52</v>
      </c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</row>
    <row r="56" spans="1:12" x14ac:dyDescent="0.25">
      <c r="A56" s="65" t="s">
        <v>53</v>
      </c>
      <c r="B56" s="65" t="s">
        <v>54</v>
      </c>
      <c r="C56" s="65" t="s">
        <v>55</v>
      </c>
      <c r="D56" s="65" t="s">
        <v>56</v>
      </c>
      <c r="E56" s="65" t="s">
        <v>57</v>
      </c>
      <c r="F56" s="65" t="s">
        <v>58</v>
      </c>
      <c r="G56" s="65" t="s">
        <v>59</v>
      </c>
      <c r="H56" s="65" t="s">
        <v>60</v>
      </c>
    </row>
    <row r="57" spans="1:12" ht="18" customHeight="1" x14ac:dyDescent="0.25">
      <c r="A57" s="97" t="s">
        <v>61</v>
      </c>
      <c r="B57" s="98"/>
      <c r="C57" s="98"/>
      <c r="D57" s="98"/>
      <c r="E57" s="98"/>
      <c r="F57" s="98"/>
      <c r="G57" s="98"/>
      <c r="H57" s="98">
        <f>SUM(B57:G57)</f>
        <v>0</v>
      </c>
    </row>
    <row r="58" spans="1:12" ht="18" customHeight="1" x14ac:dyDescent="0.25">
      <c r="A58" s="99" t="s">
        <v>62</v>
      </c>
      <c r="B58" s="100"/>
      <c r="C58" s="100"/>
      <c r="D58" s="100"/>
      <c r="E58" s="100"/>
      <c r="F58" s="100"/>
      <c r="G58" s="100"/>
      <c r="H58" s="100">
        <f>SUM(B58:G58)</f>
        <v>0</v>
      </c>
    </row>
    <row r="59" spans="1:12" ht="18" customHeight="1" x14ac:dyDescent="0.25">
      <c r="A59" s="97" t="s">
        <v>63</v>
      </c>
      <c r="B59" s="98"/>
      <c r="C59" s="98"/>
      <c r="D59" s="98"/>
      <c r="E59" s="98"/>
      <c r="F59" s="98"/>
      <c r="G59" s="98"/>
      <c r="H59" s="98">
        <f>SUM(B59:G59)</f>
        <v>0</v>
      </c>
    </row>
    <row r="60" spans="1:12" ht="18" customHeight="1" x14ac:dyDescent="0.25">
      <c r="A60" s="99" t="s">
        <v>64</v>
      </c>
      <c r="B60" s="100"/>
      <c r="C60" s="100"/>
      <c r="D60" s="100"/>
      <c r="E60" s="100"/>
      <c r="F60" s="100"/>
      <c r="G60" s="100"/>
      <c r="H60" s="100">
        <f>SUM(B60:G60)</f>
        <v>0</v>
      </c>
    </row>
  </sheetData>
  <mergeCells count="21">
    <mergeCell ref="A1:L1"/>
    <mergeCell ref="D5:E5"/>
    <mergeCell ref="H5:I5"/>
    <mergeCell ref="A2:D2"/>
    <mergeCell ref="E2:H2"/>
    <mergeCell ref="I2:L2"/>
    <mergeCell ref="A4:L4"/>
    <mergeCell ref="A13:L13"/>
    <mergeCell ref="B6:C6"/>
    <mergeCell ref="B5:C5"/>
    <mergeCell ref="A7:L7"/>
    <mergeCell ref="J5:K5"/>
    <mergeCell ref="F6:G6"/>
    <mergeCell ref="A55:L55"/>
    <mergeCell ref="D6:E6"/>
    <mergeCell ref="H6:I6"/>
    <mergeCell ref="J6:K6"/>
    <mergeCell ref="F5:G5"/>
    <mergeCell ref="A8:L8"/>
    <mergeCell ref="A22:L22"/>
    <mergeCell ref="A17:L17"/>
  </mergeCells>
  <dataValidations count="1">
    <dataValidation type="list" allowBlank="1" sqref="G14" xr:uid="{00000000-0002-0000-0B00-000000000000}">
      <formula1>"Savings Deposit,Withdrawal"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77777"/>
  </sheetPr>
  <dimension ref="A1:J5"/>
  <sheetViews>
    <sheetView workbookViewId="0">
      <selection sqref="A1:J1"/>
    </sheetView>
  </sheetViews>
  <sheetFormatPr defaultRowHeight="15" x14ac:dyDescent="0.25"/>
  <cols>
    <col min="1" max="10" width="16" customWidth="1"/>
  </cols>
  <sheetData>
    <row r="1" spans="1:10" ht="36" customHeight="1" x14ac:dyDescent="0.25">
      <c r="A1" s="159" t="s">
        <v>189</v>
      </c>
      <c r="B1" s="130"/>
      <c r="C1" s="130"/>
      <c r="D1" s="130"/>
      <c r="E1" s="130"/>
      <c r="F1" s="130"/>
      <c r="G1" s="130"/>
      <c r="H1" s="130"/>
      <c r="I1" s="130"/>
      <c r="J1" s="130"/>
    </row>
    <row r="3" spans="1:10" x14ac:dyDescent="0.25">
      <c r="A3" s="80" t="s">
        <v>190</v>
      </c>
      <c r="B3" s="101"/>
      <c r="D3" s="80" t="s">
        <v>191</v>
      </c>
      <c r="E3" s="101"/>
    </row>
    <row r="5" spans="1:10" x14ac:dyDescent="0.25">
      <c r="A5" s="64" t="s">
        <v>49</v>
      </c>
      <c r="B5" s="64" t="s">
        <v>43</v>
      </c>
      <c r="C5" s="64" t="s">
        <v>42</v>
      </c>
      <c r="D5" s="64" t="s">
        <v>76</v>
      </c>
      <c r="E5" s="64" t="s">
        <v>192</v>
      </c>
      <c r="F5" s="64" t="s">
        <v>193</v>
      </c>
      <c r="G5" s="64" t="s">
        <v>194</v>
      </c>
      <c r="H5" s="64" t="s">
        <v>195</v>
      </c>
      <c r="I5" s="64" t="s">
        <v>196</v>
      </c>
      <c r="J5" s="64" t="s">
        <v>75</v>
      </c>
    </row>
  </sheetData>
  <mergeCells count="1">
    <mergeCell ref="A1:J1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555555"/>
  </sheetPr>
  <dimension ref="A1:F38"/>
  <sheetViews>
    <sheetView workbookViewId="0"/>
  </sheetViews>
  <sheetFormatPr defaultRowHeight="15" x14ac:dyDescent="0.25"/>
  <cols>
    <col min="1" max="1" width="30" customWidth="1"/>
    <col min="2" max="2" width="20" customWidth="1"/>
    <col min="4" max="4" width="15" customWidth="1"/>
    <col min="5" max="5" width="25" customWidth="1"/>
    <col min="6" max="6" width="15" customWidth="1"/>
  </cols>
  <sheetData>
    <row r="1" spans="1:6" ht="32.1" customHeight="1" x14ac:dyDescent="0.25">
      <c r="A1" s="160" t="s">
        <v>197</v>
      </c>
      <c r="B1" s="130"/>
    </row>
    <row r="3" spans="1:6" x14ac:dyDescent="0.25">
      <c r="A3" s="79" t="s">
        <v>198</v>
      </c>
      <c r="B3" s="79" t="s">
        <v>199</v>
      </c>
      <c r="D3" s="76" t="s">
        <v>200</v>
      </c>
      <c r="E3" s="76" t="s">
        <v>201</v>
      </c>
      <c r="F3" s="76" t="s">
        <v>202</v>
      </c>
    </row>
    <row r="4" spans="1:6" x14ac:dyDescent="0.25">
      <c r="A4" s="102" t="s">
        <v>203</v>
      </c>
      <c r="B4" s="103">
        <v>5</v>
      </c>
      <c r="D4" s="102" t="s">
        <v>204</v>
      </c>
      <c r="E4" s="102" t="s">
        <v>109</v>
      </c>
      <c r="F4" s="104" t="s">
        <v>205</v>
      </c>
    </row>
    <row r="5" spans="1:6" x14ac:dyDescent="0.25">
      <c r="A5" s="102" t="s">
        <v>206</v>
      </c>
      <c r="B5" s="103">
        <v>10</v>
      </c>
      <c r="D5" s="102" t="s">
        <v>207</v>
      </c>
      <c r="E5" s="102" t="s">
        <v>110</v>
      </c>
      <c r="F5" s="104" t="s">
        <v>205</v>
      </c>
    </row>
    <row r="6" spans="1:6" x14ac:dyDescent="0.25">
      <c r="A6" s="102" t="s">
        <v>208</v>
      </c>
      <c r="B6" s="103">
        <v>15</v>
      </c>
      <c r="D6" s="102" t="s">
        <v>209</v>
      </c>
      <c r="E6" s="102" t="s">
        <v>111</v>
      </c>
      <c r="F6" s="104" t="s">
        <v>205</v>
      </c>
    </row>
    <row r="7" spans="1:6" x14ac:dyDescent="0.25">
      <c r="A7" s="102" t="s">
        <v>210</v>
      </c>
      <c r="B7" s="103">
        <v>20</v>
      </c>
      <c r="D7" s="102" t="s">
        <v>211</v>
      </c>
      <c r="E7" s="102" t="s">
        <v>112</v>
      </c>
      <c r="F7" s="104" t="s">
        <v>205</v>
      </c>
    </row>
    <row r="8" spans="1:6" x14ac:dyDescent="0.25">
      <c r="A8" s="102" t="s">
        <v>212</v>
      </c>
      <c r="B8" s="103">
        <v>25</v>
      </c>
      <c r="D8" s="102" t="s">
        <v>213</v>
      </c>
      <c r="E8" s="102" t="s">
        <v>113</v>
      </c>
      <c r="F8" s="104" t="s">
        <v>205</v>
      </c>
    </row>
    <row r="9" spans="1:6" x14ac:dyDescent="0.25">
      <c r="A9" s="102" t="s">
        <v>214</v>
      </c>
      <c r="B9" s="103">
        <v>30</v>
      </c>
      <c r="D9" s="102" t="s">
        <v>215</v>
      </c>
      <c r="E9" s="102" t="s">
        <v>114</v>
      </c>
      <c r="F9" s="104" t="s">
        <v>205</v>
      </c>
    </row>
    <row r="10" spans="1:6" x14ac:dyDescent="0.25">
      <c r="A10" s="102" t="s">
        <v>216</v>
      </c>
      <c r="B10" s="103">
        <v>5</v>
      </c>
      <c r="D10" s="102" t="s">
        <v>217</v>
      </c>
      <c r="E10" s="102" t="s">
        <v>115</v>
      </c>
      <c r="F10" s="104" t="s">
        <v>205</v>
      </c>
    </row>
    <row r="11" spans="1:6" x14ac:dyDescent="0.25">
      <c r="A11" s="102" t="s">
        <v>218</v>
      </c>
      <c r="B11" s="103">
        <v>10</v>
      </c>
      <c r="D11" s="102" t="s">
        <v>219</v>
      </c>
      <c r="E11" s="102" t="s">
        <v>116</v>
      </c>
      <c r="F11" s="104" t="s">
        <v>205</v>
      </c>
    </row>
    <row r="12" spans="1:6" x14ac:dyDescent="0.25">
      <c r="A12" s="102" t="s">
        <v>220</v>
      </c>
      <c r="B12" s="103">
        <v>15</v>
      </c>
      <c r="D12" s="102" t="s">
        <v>221</v>
      </c>
      <c r="E12" s="102" t="s">
        <v>117</v>
      </c>
      <c r="F12" s="104" t="s">
        <v>205</v>
      </c>
    </row>
    <row r="13" spans="1:6" x14ac:dyDescent="0.25">
      <c r="D13" s="102" t="s">
        <v>222</v>
      </c>
      <c r="E13" s="102" t="s">
        <v>118</v>
      </c>
      <c r="F13" s="104" t="s">
        <v>205</v>
      </c>
    </row>
    <row r="20" spans="1:2" x14ac:dyDescent="0.25">
      <c r="B20" t="s">
        <v>223</v>
      </c>
    </row>
    <row r="30" spans="1:2" x14ac:dyDescent="0.25">
      <c r="A30" t="s">
        <v>203</v>
      </c>
    </row>
    <row r="31" spans="1:2" x14ac:dyDescent="0.25">
      <c r="A31" t="s">
        <v>206</v>
      </c>
    </row>
    <row r="32" spans="1:2" x14ac:dyDescent="0.25">
      <c r="A32" t="s">
        <v>208</v>
      </c>
    </row>
    <row r="33" spans="1:1" x14ac:dyDescent="0.25">
      <c r="A33" t="s">
        <v>210</v>
      </c>
    </row>
    <row r="34" spans="1:1" x14ac:dyDescent="0.25">
      <c r="A34" t="s">
        <v>212</v>
      </c>
    </row>
    <row r="35" spans="1:1" x14ac:dyDescent="0.25">
      <c r="A35" t="s">
        <v>214</v>
      </c>
    </row>
    <row r="36" spans="1:1" x14ac:dyDescent="0.25">
      <c r="A36" t="s">
        <v>216</v>
      </c>
    </row>
    <row r="37" spans="1:1" x14ac:dyDescent="0.25">
      <c r="A37" t="s">
        <v>218</v>
      </c>
    </row>
    <row r="38" spans="1:1" x14ac:dyDescent="0.25">
      <c r="A38" t="s">
        <v>220</v>
      </c>
    </row>
  </sheetData>
  <mergeCells count="1">
    <mergeCell ref="A1:B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333333"/>
  </sheetPr>
  <dimension ref="A1:M1"/>
  <sheetViews>
    <sheetView workbookViewId="0"/>
  </sheetViews>
  <sheetFormatPr defaultRowHeight="15" x14ac:dyDescent="0.25"/>
  <cols>
    <col min="1" max="13" width="18" customWidth="1"/>
  </cols>
  <sheetData>
    <row r="1" spans="1:13" x14ac:dyDescent="0.25">
      <c r="A1" s="76" t="s">
        <v>41</v>
      </c>
      <c r="B1" s="76" t="s">
        <v>75</v>
      </c>
      <c r="C1" s="76" t="s">
        <v>224</v>
      </c>
      <c r="D1" s="76" t="s">
        <v>225</v>
      </c>
      <c r="E1" s="76" t="s">
        <v>76</v>
      </c>
      <c r="F1" s="76" t="s">
        <v>226</v>
      </c>
      <c r="G1" s="76" t="s">
        <v>227</v>
      </c>
      <c r="H1" s="76" t="s">
        <v>228</v>
      </c>
      <c r="I1" s="76" t="s">
        <v>229</v>
      </c>
      <c r="J1" s="76" t="s">
        <v>48</v>
      </c>
      <c r="K1" s="76" t="s">
        <v>230</v>
      </c>
      <c r="L1" s="76" t="s">
        <v>231</v>
      </c>
      <c r="M1" s="76" t="s">
        <v>232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P103"/>
  <sheetViews>
    <sheetView zoomScaleNormal="100" workbookViewId="0">
      <pane ySplit="3" topLeftCell="A17" activePane="bottomLeft" state="frozen"/>
      <selection pane="bottomLeft" activeCell="E7" sqref="E7"/>
    </sheetView>
  </sheetViews>
  <sheetFormatPr defaultColWidth="8.7109375" defaultRowHeight="15" x14ac:dyDescent="0.25"/>
  <cols>
    <col min="1" max="1" width="14" customWidth="1"/>
    <col min="2" max="2" width="24" customWidth="1"/>
    <col min="3" max="3" width="10" customWidth="1"/>
    <col min="4" max="4" width="13" customWidth="1"/>
    <col min="5" max="6" width="14" customWidth="1"/>
    <col min="7" max="7" width="13" customWidth="1"/>
    <col min="8" max="8" width="15" customWidth="1"/>
    <col min="9" max="10" width="12" customWidth="1"/>
    <col min="11" max="11" width="14" customWidth="1"/>
    <col min="12" max="12" width="12" customWidth="1"/>
    <col min="13" max="14" width="16" customWidth="1"/>
    <col min="15" max="16" width="18" customWidth="1"/>
  </cols>
  <sheetData>
    <row r="1" spans="1:16" ht="31.5" customHeight="1" x14ac:dyDescent="0.25">
      <c r="A1" s="161" t="s">
        <v>233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</row>
    <row r="2" spans="1:16" ht="21.75" customHeight="1" x14ac:dyDescent="0.25">
      <c r="A2" s="3" t="s">
        <v>234</v>
      </c>
      <c r="B2" s="8"/>
      <c r="C2" s="8"/>
      <c r="G2" s="9" t="s">
        <v>235</v>
      </c>
      <c r="I2" s="10" t="s">
        <v>236</v>
      </c>
      <c r="K2" s="1" t="s">
        <v>237</v>
      </c>
    </row>
    <row r="3" spans="1:16" ht="24" customHeight="1" x14ac:dyDescent="0.25">
      <c r="A3" s="1" t="s">
        <v>238</v>
      </c>
      <c r="B3" s="1" t="s">
        <v>239</v>
      </c>
      <c r="C3" s="1" t="s">
        <v>240</v>
      </c>
      <c r="D3" s="1" t="s">
        <v>241</v>
      </c>
      <c r="E3" s="1" t="s">
        <v>242</v>
      </c>
      <c r="F3" s="1" t="s">
        <v>243</v>
      </c>
      <c r="G3" s="1" t="s">
        <v>244</v>
      </c>
      <c r="H3" s="1" t="s">
        <v>245</v>
      </c>
      <c r="I3" s="1" t="s">
        <v>246</v>
      </c>
      <c r="J3" s="1" t="s">
        <v>247</v>
      </c>
      <c r="K3" s="1" t="s">
        <v>248</v>
      </c>
      <c r="L3" s="1" t="s">
        <v>249</v>
      </c>
      <c r="M3" s="1" t="s">
        <v>250</v>
      </c>
      <c r="N3" s="1" t="s">
        <v>251</v>
      </c>
      <c r="O3" s="1" t="s">
        <v>252</v>
      </c>
      <c r="P3" s="1" t="s">
        <v>51</v>
      </c>
    </row>
    <row r="4" spans="1:16" ht="15.7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2" t="str">
        <f t="shared" ref="L4:L35" si="0">IF(A4="","",IF(AND(G4&lt;&gt;"",H4&lt;&gt;"",E4&lt;&gt;""),"✅ Verified","⚠ Pending"))</f>
        <v/>
      </c>
      <c r="M4" s="13" t="str">
        <f>IF(A4="","",IFERROR(SUMIF(Transactions!D$4:D$1003,A4,Transactions!H$4:H$1003),0))</f>
        <v/>
      </c>
      <c r="N4" s="13" t="str">
        <f>IF(A4="","",IFERROR(SUMIF(Loans!C$4:C$1003,A4,Loans!K$4:K$1003),0))</f>
        <v/>
      </c>
      <c r="O4" s="13" t="str">
        <f>IF(A4="","",IFERROR(SUMIF(Int_Repayments!C$4:C$1003,A4,Int_Repayments!E$4:E$1003),0))</f>
        <v/>
      </c>
      <c r="P4" s="11"/>
    </row>
    <row r="5" spans="1:16" ht="15.75" customHeight="1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2" t="str">
        <f t="shared" si="0"/>
        <v/>
      </c>
      <c r="M5" s="13" t="str">
        <f>IF(A5="","",IFERROR(SUMIF(Transactions!D$4:D$1003,A5,Transactions!H$4:H$1003),0))</f>
        <v/>
      </c>
      <c r="N5" s="13" t="str">
        <f>IF(A5="","",IFERROR(SUMIF(Loans!C$4:C$1003,A5,Loans!K$4:K$1003),0))</f>
        <v/>
      </c>
      <c r="O5" s="13" t="str">
        <f>IF(A5="","",IFERROR(SUMIF(Int_Repayments!C$4:C$1003,A5,Int_Repayments!E$4:E$1003),0))</f>
        <v/>
      </c>
      <c r="P5" s="11"/>
    </row>
    <row r="6" spans="1:16" ht="15.75" customHeight="1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2" t="str">
        <f t="shared" si="0"/>
        <v/>
      </c>
      <c r="M6" s="13" t="str">
        <f>IF(A6="","",IFERROR(SUMIF(Transactions!D$4:D$1003,A6,Transactions!H$4:H$1003),0))</f>
        <v/>
      </c>
      <c r="N6" s="13" t="str">
        <f>IF(A6="","",IFERROR(SUMIF(Loans!C$4:C$1003,A6,Loans!K$4:K$1003),0))</f>
        <v/>
      </c>
      <c r="O6" s="13" t="str">
        <f>IF(A6="","",IFERROR(SUMIF(Int_Repayments!C$4:C$1003,A6,Int_Repayments!E$4:E$1003),0))</f>
        <v/>
      </c>
      <c r="P6" s="11"/>
    </row>
    <row r="7" spans="1:16" ht="15.75" customHeight="1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2" t="str">
        <f t="shared" si="0"/>
        <v/>
      </c>
      <c r="M7" s="13" t="str">
        <f>IF(A7="","",IFERROR(SUMIF(Transactions!D$4:D$1003,A7,Transactions!H$4:H$1003),0))</f>
        <v/>
      </c>
      <c r="N7" s="13" t="str">
        <f>IF(A7="","",IFERROR(SUMIF(Loans!C$4:C$1003,A7,Loans!K$4:K$1003),0))</f>
        <v/>
      </c>
      <c r="O7" s="13" t="str">
        <f>IF(A7="","",IFERROR(SUMIF(Int_Repayments!C$4:C$1003,A7,Int_Repayments!E$4:E$1003),0))</f>
        <v/>
      </c>
      <c r="P7" s="11"/>
    </row>
    <row r="8" spans="1:16" ht="15.75" customHeight="1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2" t="str">
        <f t="shared" si="0"/>
        <v/>
      </c>
      <c r="M8" s="13" t="str">
        <f>IF(A8="","",IFERROR(SUMIF(Transactions!D$4:D$1003,A8,Transactions!H$4:H$1003),0))</f>
        <v/>
      </c>
      <c r="N8" s="13" t="str">
        <f>IF(A8="","",IFERROR(SUMIF(Loans!C$4:C$1003,A8,Loans!K$4:K$1003),0))</f>
        <v/>
      </c>
      <c r="O8" s="13" t="str">
        <f>IF(A8="","",IFERROR(SUMIF(Int_Repayments!C$4:C$1003,A8,Int_Repayments!E$4:E$1003),0))</f>
        <v/>
      </c>
      <c r="P8" s="11"/>
    </row>
    <row r="9" spans="1:16" ht="15.75" customHeight="1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2" t="str">
        <f t="shared" si="0"/>
        <v/>
      </c>
      <c r="M9" s="13" t="str">
        <f>IF(A9="","",IFERROR(SUMIF(Transactions!D$4:D$1003,A9,Transactions!H$4:H$1003),0))</f>
        <v/>
      </c>
      <c r="N9" s="13" t="str">
        <f>IF(A9="","",IFERROR(SUMIF(Loans!C$4:C$1003,A9,Loans!K$4:K$1003),0))</f>
        <v/>
      </c>
      <c r="O9" s="13" t="str">
        <f>IF(A9="","",IFERROR(SUMIF(Int_Repayments!C$4:C$1003,A9,Int_Repayments!E$4:E$1003),0))</f>
        <v/>
      </c>
      <c r="P9" s="11"/>
    </row>
    <row r="10" spans="1:16" ht="15.75" customHeight="1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2" t="str">
        <f t="shared" si="0"/>
        <v/>
      </c>
      <c r="M10" s="13" t="str">
        <f>IF(A10="","",IFERROR(SUMIF(Transactions!D$4:D$1003,A10,Transactions!H$4:H$1003),0))</f>
        <v/>
      </c>
      <c r="N10" s="13" t="str">
        <f>IF(A10="","",IFERROR(SUMIF(Loans!C$4:C$1003,A10,Loans!K$4:K$1003),0))</f>
        <v/>
      </c>
      <c r="O10" s="13" t="str">
        <f>IF(A10="","",IFERROR(SUMIF(Int_Repayments!C$4:C$1003,A10,Int_Repayments!E$4:E$1003),0))</f>
        <v/>
      </c>
      <c r="P10" s="11"/>
    </row>
    <row r="11" spans="1:16" ht="15.75" customHeight="1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2" t="str">
        <f t="shared" si="0"/>
        <v/>
      </c>
      <c r="M11" s="13" t="str">
        <f>IF(A11="","",IFERROR(SUMIF(Transactions!D$4:D$1003,A11,Transactions!H$4:H$1003),0))</f>
        <v/>
      </c>
      <c r="N11" s="13" t="str">
        <f>IF(A11="","",IFERROR(SUMIF(Loans!C$4:C$1003,A11,Loans!K$4:K$1003),0))</f>
        <v/>
      </c>
      <c r="O11" s="13" t="str">
        <f>IF(A11="","",IFERROR(SUMIF(Int_Repayments!C$4:C$1003,A11,Int_Repayments!E$4:E$1003),0))</f>
        <v/>
      </c>
      <c r="P11" s="11"/>
    </row>
    <row r="12" spans="1:16" ht="15.75" customHeight="1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2" t="str">
        <f t="shared" si="0"/>
        <v/>
      </c>
      <c r="M12" s="13" t="str">
        <f>IF(A12="","",IFERROR(SUMIF(Transactions!D$4:D$1003,A12,Transactions!H$4:H$1003),0))</f>
        <v/>
      </c>
      <c r="N12" s="13" t="str">
        <f>IF(A12="","",IFERROR(SUMIF(Loans!C$4:C$1003,A12,Loans!K$4:K$1003),0))</f>
        <v/>
      </c>
      <c r="O12" s="13" t="str">
        <f>IF(A12="","",IFERROR(SUMIF(Int_Repayments!C$4:C$1003,A12,Int_Repayments!E$4:E$1003),0))</f>
        <v/>
      </c>
      <c r="P12" s="11"/>
    </row>
    <row r="13" spans="1:16" ht="15.75" customHeight="1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2" t="str">
        <f t="shared" si="0"/>
        <v/>
      </c>
      <c r="M13" s="13" t="str">
        <f>IF(A13="","",IFERROR(SUMIF(Transactions!D$4:D$1003,A13,Transactions!H$4:H$1003),0))</f>
        <v/>
      </c>
      <c r="N13" s="13" t="str">
        <f>IF(A13="","",IFERROR(SUMIF(Loans!C$4:C$1003,A13,Loans!K$4:K$1003),0))</f>
        <v/>
      </c>
      <c r="O13" s="13" t="str">
        <f>IF(A13="","",IFERROR(SUMIF(Int_Repayments!C$4:C$1003,A13,Int_Repayments!E$4:E$1003),0))</f>
        <v/>
      </c>
      <c r="P13" s="11"/>
    </row>
    <row r="14" spans="1:16" ht="15.75" customHeight="1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2" t="str">
        <f t="shared" si="0"/>
        <v/>
      </c>
      <c r="M14" s="13" t="str">
        <f>IF(A14="","",IFERROR(SUMIF(Transactions!D$4:D$1003,A14,Transactions!H$4:H$1003),0))</f>
        <v/>
      </c>
      <c r="N14" s="13" t="str">
        <f>IF(A14="","",IFERROR(SUMIF(Loans!C$4:C$1003,A14,Loans!K$4:K$1003),0))</f>
        <v/>
      </c>
      <c r="O14" s="13" t="str">
        <f>IF(A14="","",IFERROR(SUMIF(Int_Repayments!C$4:C$1003,A14,Int_Repayments!E$4:E$1003),0))</f>
        <v/>
      </c>
      <c r="P14" s="11"/>
    </row>
    <row r="15" spans="1:16" ht="15.75" customHeight="1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2" t="str">
        <f t="shared" si="0"/>
        <v/>
      </c>
      <c r="M15" s="13" t="str">
        <f>IF(A15="","",IFERROR(SUMIF(Transactions!D$4:D$1003,A15,Transactions!H$4:H$1003),0))</f>
        <v/>
      </c>
      <c r="N15" s="13" t="str">
        <f>IF(A15="","",IFERROR(SUMIF(Loans!C$4:C$1003,A15,Loans!K$4:K$1003),0))</f>
        <v/>
      </c>
      <c r="O15" s="13" t="str">
        <f>IF(A15="","",IFERROR(SUMIF(Int_Repayments!C$4:C$1003,A15,Int_Repayments!E$4:E$1003),0))</f>
        <v/>
      </c>
      <c r="P15" s="11"/>
    </row>
    <row r="16" spans="1:16" ht="15.75" customHeight="1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2" t="str">
        <f t="shared" si="0"/>
        <v/>
      </c>
      <c r="M16" s="13" t="str">
        <f>IF(A16="","",IFERROR(SUMIF(Transactions!D$4:D$1003,A16,Transactions!H$4:H$1003),0))</f>
        <v/>
      </c>
      <c r="N16" s="13" t="str">
        <f>IF(A16="","",IFERROR(SUMIF(Loans!C$4:C$1003,A16,Loans!K$4:K$1003),0))</f>
        <v/>
      </c>
      <c r="O16" s="13" t="str">
        <f>IF(A16="","",IFERROR(SUMIF(Int_Repayments!C$4:C$1003,A16,Int_Repayments!E$4:E$1003),0))</f>
        <v/>
      </c>
      <c r="P16" s="11"/>
    </row>
    <row r="17" spans="1:16" ht="15.75" customHeight="1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2" t="str">
        <f t="shared" si="0"/>
        <v/>
      </c>
      <c r="M17" s="13" t="str">
        <f>IF(A17="","",IFERROR(SUMIF(Transactions!D$4:D$1003,A17,Transactions!H$4:H$1003),0))</f>
        <v/>
      </c>
      <c r="N17" s="13" t="str">
        <f>IF(A17="","",IFERROR(SUMIF(Loans!C$4:C$1003,A17,Loans!K$4:K$1003),0))</f>
        <v/>
      </c>
      <c r="O17" s="13" t="str">
        <f>IF(A17="","",IFERROR(SUMIF(Int_Repayments!C$4:C$1003,A17,Int_Repayments!E$4:E$1003),0))</f>
        <v/>
      </c>
      <c r="P17" s="11"/>
    </row>
    <row r="18" spans="1:16" ht="15.75" customHeight="1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2" t="str">
        <f t="shared" si="0"/>
        <v/>
      </c>
      <c r="M18" s="13" t="str">
        <f>IF(A18="","",IFERROR(SUMIF(Transactions!D$4:D$1003,A18,Transactions!H$4:H$1003),0))</f>
        <v/>
      </c>
      <c r="N18" s="13" t="str">
        <f>IF(A18="","",IFERROR(SUMIF(Loans!C$4:C$1003,A18,Loans!K$4:K$1003),0))</f>
        <v/>
      </c>
      <c r="O18" s="13" t="str">
        <f>IF(A18="","",IFERROR(SUMIF(Int_Repayments!C$4:C$1003,A18,Int_Repayments!E$4:E$1003),0))</f>
        <v/>
      </c>
      <c r="P18" s="11"/>
    </row>
    <row r="19" spans="1:16" ht="15.7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2" t="str">
        <f t="shared" si="0"/>
        <v/>
      </c>
      <c r="M19" s="13" t="str">
        <f>IF(A19="","",IFERROR(SUMIF(Transactions!D$4:D$1003,A19,Transactions!H$4:H$1003),0))</f>
        <v/>
      </c>
      <c r="N19" s="13" t="str">
        <f>IF(A19="","",IFERROR(SUMIF(Loans!C$4:C$1003,A19,Loans!K$4:K$1003),0))</f>
        <v/>
      </c>
      <c r="O19" s="13" t="str">
        <f>IF(A19="","",IFERROR(SUMIF(Int_Repayments!C$4:C$1003,A19,Int_Repayments!E$4:E$1003),0))</f>
        <v/>
      </c>
      <c r="P19" s="11"/>
    </row>
    <row r="20" spans="1:16" ht="15.7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2" t="str">
        <f t="shared" si="0"/>
        <v/>
      </c>
      <c r="M20" s="13" t="str">
        <f>IF(A20="","",IFERROR(SUMIF(Transactions!D$4:D$1003,A20,Transactions!H$4:H$1003),0))</f>
        <v/>
      </c>
      <c r="N20" s="13" t="str">
        <f>IF(A20="","",IFERROR(SUMIF(Loans!C$4:C$1003,A20,Loans!K$4:K$1003),0))</f>
        <v/>
      </c>
      <c r="O20" s="13" t="str">
        <f>IF(A20="","",IFERROR(SUMIF(Int_Repayments!C$4:C$1003,A20,Int_Repayments!E$4:E$1003),0))</f>
        <v/>
      </c>
      <c r="P20" s="11"/>
    </row>
    <row r="21" spans="1:16" ht="15.75" customHeight="1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2" t="str">
        <f t="shared" si="0"/>
        <v/>
      </c>
      <c r="M21" s="13" t="str">
        <f>IF(A21="","",IFERROR(SUMIF(Transactions!D$4:D$1003,A21,Transactions!H$4:H$1003),0))</f>
        <v/>
      </c>
      <c r="N21" s="13" t="str">
        <f>IF(A21="","",IFERROR(SUMIF(Loans!C$4:C$1003,A21,Loans!K$4:K$1003),0))</f>
        <v/>
      </c>
      <c r="O21" s="13" t="str">
        <f>IF(A21="","",IFERROR(SUMIF(Int_Repayments!C$4:C$1003,A21,Int_Repayments!E$4:E$1003),0))</f>
        <v/>
      </c>
      <c r="P21" s="11"/>
    </row>
    <row r="22" spans="1:16" ht="15.75" customHeight="1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2" t="str">
        <f t="shared" si="0"/>
        <v/>
      </c>
      <c r="M22" s="13" t="str">
        <f>IF(A22="","",IFERROR(SUMIF(Transactions!D$4:D$1003,A22,Transactions!H$4:H$1003),0))</f>
        <v/>
      </c>
      <c r="N22" s="13" t="str">
        <f>IF(A22="","",IFERROR(SUMIF(Loans!C$4:C$1003,A22,Loans!K$4:K$1003),0))</f>
        <v/>
      </c>
      <c r="O22" s="13" t="str">
        <f>IF(A22="","",IFERROR(SUMIF(Int_Repayments!C$4:C$1003,A22,Int_Repayments!E$4:E$1003),0))</f>
        <v/>
      </c>
      <c r="P22" s="11"/>
    </row>
    <row r="23" spans="1:16" ht="15.75" customHeight="1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2" t="str">
        <f t="shared" si="0"/>
        <v/>
      </c>
      <c r="M23" s="13" t="str">
        <f>IF(A23="","",IFERROR(SUMIF(Transactions!D$4:D$1003,A23,Transactions!H$4:H$1003),0))</f>
        <v/>
      </c>
      <c r="N23" s="13" t="str">
        <f>IF(A23="","",IFERROR(SUMIF(Loans!C$4:C$1003,A23,Loans!K$4:K$1003),0))</f>
        <v/>
      </c>
      <c r="O23" s="13" t="str">
        <f>IF(A23="","",IFERROR(SUMIF(Int_Repayments!C$4:C$1003,A23,Int_Repayments!E$4:E$1003),0))</f>
        <v/>
      </c>
      <c r="P23" s="11"/>
    </row>
    <row r="24" spans="1:16" ht="15.75" customHeight="1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2" t="str">
        <f t="shared" si="0"/>
        <v/>
      </c>
      <c r="M24" s="13" t="str">
        <f>IF(A24="","",IFERROR(SUMIF(Transactions!D$4:D$1003,A24,Transactions!H$4:H$1003),0))</f>
        <v/>
      </c>
      <c r="N24" s="13" t="str">
        <f>IF(A24="","",IFERROR(SUMIF(Loans!C$4:C$1003,A24,Loans!K$4:K$1003),0))</f>
        <v/>
      </c>
      <c r="O24" s="13" t="str">
        <f>IF(A24="","",IFERROR(SUMIF(Int_Repayments!C$4:C$1003,A24,Int_Repayments!E$4:E$1003),0))</f>
        <v/>
      </c>
      <c r="P24" s="11"/>
    </row>
    <row r="25" spans="1:16" ht="15.75" customHeight="1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2" t="str">
        <f t="shared" si="0"/>
        <v/>
      </c>
      <c r="M25" s="13" t="str">
        <f>IF(A25="","",IFERROR(SUMIF(Transactions!D$4:D$1003,A25,Transactions!H$4:H$1003),0))</f>
        <v/>
      </c>
      <c r="N25" s="13" t="str">
        <f>IF(A25="","",IFERROR(SUMIF(Loans!C$4:C$1003,A25,Loans!K$4:K$1003),0))</f>
        <v/>
      </c>
      <c r="O25" s="13" t="str">
        <f>IF(A25="","",IFERROR(SUMIF(Int_Repayments!C$4:C$1003,A25,Int_Repayments!E$4:E$1003),0))</f>
        <v/>
      </c>
      <c r="P25" s="11"/>
    </row>
    <row r="26" spans="1:16" ht="15.75" customHeight="1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2" t="str">
        <f t="shared" si="0"/>
        <v/>
      </c>
      <c r="M26" s="13" t="str">
        <f>IF(A26="","",IFERROR(SUMIF(Transactions!D$4:D$1003,A26,Transactions!H$4:H$1003),0))</f>
        <v/>
      </c>
      <c r="N26" s="13" t="str">
        <f>IF(A26="","",IFERROR(SUMIF(Loans!C$4:C$1003,A26,Loans!K$4:K$1003),0))</f>
        <v/>
      </c>
      <c r="O26" s="13" t="str">
        <f>IF(A26="","",IFERROR(SUMIF(Int_Repayments!C$4:C$1003,A26,Int_Repayments!E$4:E$1003),0))</f>
        <v/>
      </c>
      <c r="P26" s="11"/>
    </row>
    <row r="27" spans="1:16" ht="15.75" customHeight="1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2" t="str">
        <f t="shared" si="0"/>
        <v/>
      </c>
      <c r="M27" s="13" t="str">
        <f>IF(A27="","",IFERROR(SUMIF(Transactions!D$4:D$1003,A27,Transactions!H$4:H$1003),0))</f>
        <v/>
      </c>
      <c r="N27" s="13" t="str">
        <f>IF(A27="","",IFERROR(SUMIF(Loans!C$4:C$1003,A27,Loans!K$4:K$1003),0))</f>
        <v/>
      </c>
      <c r="O27" s="13" t="str">
        <f>IF(A27="","",IFERROR(SUMIF(Int_Repayments!C$4:C$1003,A27,Int_Repayments!E$4:E$1003),0))</f>
        <v/>
      </c>
      <c r="P27" s="11"/>
    </row>
    <row r="28" spans="1:16" ht="15.75" customHeight="1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2" t="str">
        <f t="shared" si="0"/>
        <v/>
      </c>
      <c r="M28" s="13" t="str">
        <f>IF(A28="","",IFERROR(SUMIF(Transactions!D$4:D$1003,A28,Transactions!H$4:H$1003),0))</f>
        <v/>
      </c>
      <c r="N28" s="13" t="str">
        <f>IF(A28="","",IFERROR(SUMIF(Loans!C$4:C$1003,A28,Loans!K$4:K$1003),0))</f>
        <v/>
      </c>
      <c r="O28" s="13" t="str">
        <f>IF(A28="","",IFERROR(SUMIF(Int_Repayments!C$4:C$1003,A28,Int_Repayments!E$4:E$1003),0))</f>
        <v/>
      </c>
      <c r="P28" s="11"/>
    </row>
    <row r="29" spans="1:16" ht="15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2" t="str">
        <f t="shared" si="0"/>
        <v/>
      </c>
      <c r="M29" s="13" t="str">
        <f>IF(A29="","",IFERROR(SUMIF(Transactions!D$4:D$1003,A29,Transactions!H$4:H$1003),0))</f>
        <v/>
      </c>
      <c r="N29" s="13" t="str">
        <f>IF(A29="","",IFERROR(SUMIF(Loans!C$4:C$1003,A29,Loans!K$4:K$1003),0))</f>
        <v/>
      </c>
      <c r="O29" s="13" t="str">
        <f>IF(A29="","",IFERROR(SUMIF(Int_Repayments!C$4:C$1003,A29,Int_Repayments!E$4:E$1003),0))</f>
        <v/>
      </c>
      <c r="P29" s="11"/>
    </row>
    <row r="30" spans="1:16" ht="15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2" t="str">
        <f t="shared" si="0"/>
        <v/>
      </c>
      <c r="M30" s="13" t="str">
        <f>IF(A30="","",IFERROR(SUMIF(Transactions!D$4:D$1003,A30,Transactions!H$4:H$1003),0))</f>
        <v/>
      </c>
      <c r="N30" s="13" t="str">
        <f>IF(A30="","",IFERROR(SUMIF(Loans!C$4:C$1003,A30,Loans!K$4:K$1003),0))</f>
        <v/>
      </c>
      <c r="O30" s="13" t="str">
        <f>IF(A30="","",IFERROR(SUMIF(Int_Repayments!C$4:C$1003,A30,Int_Repayments!E$4:E$1003),0))</f>
        <v/>
      </c>
      <c r="P30" s="11"/>
    </row>
    <row r="31" spans="1:16" ht="15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2" t="str">
        <f t="shared" si="0"/>
        <v/>
      </c>
      <c r="M31" s="13" t="str">
        <f>IF(A31="","",IFERROR(SUMIF(Transactions!D$4:D$1003,A31,Transactions!H$4:H$1003),0))</f>
        <v/>
      </c>
      <c r="N31" s="13" t="str">
        <f>IF(A31="","",IFERROR(SUMIF(Loans!C$4:C$1003,A31,Loans!K$4:K$1003),0))</f>
        <v/>
      </c>
      <c r="O31" s="13" t="str">
        <f>IF(A31="","",IFERROR(SUMIF(Int_Repayments!C$4:C$1003,A31,Int_Repayments!E$4:E$1003),0))</f>
        <v/>
      </c>
      <c r="P31" s="11"/>
    </row>
    <row r="32" spans="1:16" ht="15.75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2" t="str">
        <f t="shared" si="0"/>
        <v/>
      </c>
      <c r="M32" s="13" t="str">
        <f>IF(A32="","",IFERROR(SUMIF(Transactions!D$4:D$1003,A32,Transactions!H$4:H$1003),0))</f>
        <v/>
      </c>
      <c r="N32" s="13" t="str">
        <f>IF(A32="","",IFERROR(SUMIF(Loans!C$4:C$1003,A32,Loans!K$4:K$1003),0))</f>
        <v/>
      </c>
      <c r="O32" s="13" t="str">
        <f>IF(A32="","",IFERROR(SUMIF(Int_Repayments!C$4:C$1003,A32,Int_Repayments!E$4:E$1003),0))</f>
        <v/>
      </c>
      <c r="P32" s="11"/>
    </row>
    <row r="33" spans="1:16" ht="15.75" customHeight="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2" t="str">
        <f t="shared" si="0"/>
        <v/>
      </c>
      <c r="M33" s="13" t="str">
        <f>IF(A33="","",IFERROR(SUMIF(Transactions!D$4:D$1003,A33,Transactions!H$4:H$1003),0))</f>
        <v/>
      </c>
      <c r="N33" s="13" t="str">
        <f>IF(A33="","",IFERROR(SUMIF(Loans!C$4:C$1003,A33,Loans!K$4:K$1003),0))</f>
        <v/>
      </c>
      <c r="O33" s="13" t="str">
        <f>IF(A33="","",IFERROR(SUMIF(Int_Repayments!C$4:C$1003,A33,Int_Repayments!E$4:E$1003),0))</f>
        <v/>
      </c>
      <c r="P33" s="11"/>
    </row>
    <row r="34" spans="1:16" ht="15.75" customHeight="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2" t="str">
        <f t="shared" si="0"/>
        <v/>
      </c>
      <c r="M34" s="13" t="str">
        <f>IF(A34="","",IFERROR(SUMIF(Transactions!D$4:D$1003,A34,Transactions!H$4:H$1003),0))</f>
        <v/>
      </c>
      <c r="N34" s="13" t="str">
        <f>IF(A34="","",IFERROR(SUMIF(Loans!C$4:C$1003,A34,Loans!K$4:K$1003),0))</f>
        <v/>
      </c>
      <c r="O34" s="13" t="str">
        <f>IF(A34="","",IFERROR(SUMIF(Int_Repayments!C$4:C$1003,A34,Int_Repayments!E$4:E$1003),0))</f>
        <v/>
      </c>
      <c r="P34" s="11"/>
    </row>
    <row r="35" spans="1:16" ht="15.75" customHeight="1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2" t="str">
        <f t="shared" si="0"/>
        <v/>
      </c>
      <c r="M35" s="13" t="str">
        <f>IF(A35="","",IFERROR(SUMIF(Transactions!D$4:D$1003,A35,Transactions!H$4:H$1003),0))</f>
        <v/>
      </c>
      <c r="N35" s="13" t="str">
        <f>IF(A35="","",IFERROR(SUMIF(Loans!C$4:C$1003,A35,Loans!K$4:K$1003),0))</f>
        <v/>
      </c>
      <c r="O35" s="13" t="str">
        <f>IF(A35="","",IFERROR(SUMIF(Int_Repayments!C$4:C$1003,A35,Int_Repayments!E$4:E$1003),0))</f>
        <v/>
      </c>
      <c r="P35" s="11"/>
    </row>
    <row r="36" spans="1:16" ht="15.75" customHeight="1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2" t="str">
        <f t="shared" ref="L36:L67" si="1">IF(A36="","",IF(AND(G36&lt;&gt;"",H36&lt;&gt;"",E36&lt;&gt;""),"✅ Verified","⚠ Pending"))</f>
        <v/>
      </c>
      <c r="M36" s="13" t="str">
        <f>IF(A36="","",IFERROR(SUMIF(Transactions!D$4:D$1003,A36,Transactions!H$4:H$1003),0))</f>
        <v/>
      </c>
      <c r="N36" s="13" t="str">
        <f>IF(A36="","",IFERROR(SUMIF(Loans!C$4:C$1003,A36,Loans!K$4:K$1003),0))</f>
        <v/>
      </c>
      <c r="O36" s="13" t="str">
        <f>IF(A36="","",IFERROR(SUMIF(Int_Repayments!C$4:C$1003,A36,Int_Repayments!E$4:E$1003),0))</f>
        <v/>
      </c>
      <c r="P36" s="11"/>
    </row>
    <row r="37" spans="1:16" ht="15.75" customHeight="1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2" t="str">
        <f t="shared" si="1"/>
        <v/>
      </c>
      <c r="M37" s="13" t="str">
        <f>IF(A37="","",IFERROR(SUMIF(Transactions!D$4:D$1003,A37,Transactions!H$4:H$1003),0))</f>
        <v/>
      </c>
      <c r="N37" s="13" t="str">
        <f>IF(A37="","",IFERROR(SUMIF(Loans!C$4:C$1003,A37,Loans!K$4:K$1003),0))</f>
        <v/>
      </c>
      <c r="O37" s="13" t="str">
        <f>IF(A37="","",IFERROR(SUMIF(Int_Repayments!C$4:C$1003,A37,Int_Repayments!E$4:E$1003),0))</f>
        <v/>
      </c>
      <c r="P37" s="11"/>
    </row>
    <row r="38" spans="1:16" ht="15.75" customHeight="1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2" t="str">
        <f t="shared" si="1"/>
        <v/>
      </c>
      <c r="M38" s="13" t="str">
        <f>IF(A38="","",IFERROR(SUMIF(Transactions!D$4:D$1003,A38,Transactions!H$4:H$1003),0))</f>
        <v/>
      </c>
      <c r="N38" s="13" t="str">
        <f>IF(A38="","",IFERROR(SUMIF(Loans!C$4:C$1003,A38,Loans!K$4:K$1003),0))</f>
        <v/>
      </c>
      <c r="O38" s="13" t="str">
        <f>IF(A38="","",IFERROR(SUMIF(Int_Repayments!C$4:C$1003,A38,Int_Repayments!E$4:E$1003),0))</f>
        <v/>
      </c>
      <c r="P38" s="11"/>
    </row>
    <row r="39" spans="1:16" ht="15.75" customHeight="1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2" t="str">
        <f t="shared" si="1"/>
        <v/>
      </c>
      <c r="M39" s="13" t="str">
        <f>IF(A39="","",IFERROR(SUMIF(Transactions!D$4:D$1003,A39,Transactions!H$4:H$1003),0))</f>
        <v/>
      </c>
      <c r="N39" s="13" t="str">
        <f>IF(A39="","",IFERROR(SUMIF(Loans!C$4:C$1003,A39,Loans!K$4:K$1003),0))</f>
        <v/>
      </c>
      <c r="O39" s="13" t="str">
        <f>IF(A39="","",IFERROR(SUMIF(Int_Repayments!C$4:C$1003,A39,Int_Repayments!E$4:E$1003),0))</f>
        <v/>
      </c>
      <c r="P39" s="11"/>
    </row>
    <row r="40" spans="1:16" ht="15.75" customHeight="1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2" t="str">
        <f t="shared" si="1"/>
        <v/>
      </c>
      <c r="M40" s="13" t="str">
        <f>IF(A40="","",IFERROR(SUMIF(Transactions!D$4:D$1003,A40,Transactions!H$4:H$1003),0))</f>
        <v/>
      </c>
      <c r="N40" s="13" t="str">
        <f>IF(A40="","",IFERROR(SUMIF(Loans!C$4:C$1003,A40,Loans!K$4:K$1003),0))</f>
        <v/>
      </c>
      <c r="O40" s="13" t="str">
        <f>IF(A40="","",IFERROR(SUMIF(Int_Repayments!C$4:C$1003,A40,Int_Repayments!E$4:E$1003),0))</f>
        <v/>
      </c>
      <c r="P40" s="11"/>
    </row>
    <row r="41" spans="1:16" ht="15.75" customHeight="1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2" t="str">
        <f t="shared" si="1"/>
        <v/>
      </c>
      <c r="M41" s="13" t="str">
        <f>IF(A41="","",IFERROR(SUMIF(Transactions!D$4:D$1003,A41,Transactions!H$4:H$1003),0))</f>
        <v/>
      </c>
      <c r="N41" s="13" t="str">
        <f>IF(A41="","",IFERROR(SUMIF(Loans!C$4:C$1003,A41,Loans!K$4:K$1003),0))</f>
        <v/>
      </c>
      <c r="O41" s="13" t="str">
        <f>IF(A41="","",IFERROR(SUMIF(Int_Repayments!C$4:C$1003,A41,Int_Repayments!E$4:E$1003),0))</f>
        <v/>
      </c>
      <c r="P41" s="11"/>
    </row>
    <row r="42" spans="1:16" ht="15.75" customHeight="1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2" t="str">
        <f t="shared" si="1"/>
        <v/>
      </c>
      <c r="M42" s="13" t="str">
        <f>IF(A42="","",IFERROR(SUMIF(Transactions!D$4:D$1003,A42,Transactions!H$4:H$1003),0))</f>
        <v/>
      </c>
      <c r="N42" s="13" t="str">
        <f>IF(A42="","",IFERROR(SUMIF(Loans!C$4:C$1003,A42,Loans!K$4:K$1003),0))</f>
        <v/>
      </c>
      <c r="O42" s="13" t="str">
        <f>IF(A42="","",IFERROR(SUMIF(Int_Repayments!C$4:C$1003,A42,Int_Repayments!E$4:E$1003),0))</f>
        <v/>
      </c>
      <c r="P42" s="11"/>
    </row>
    <row r="43" spans="1:16" ht="15.75" customHeight="1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2" t="str">
        <f t="shared" si="1"/>
        <v/>
      </c>
      <c r="M43" s="13" t="str">
        <f>IF(A43="","",IFERROR(SUMIF(Transactions!D$4:D$1003,A43,Transactions!H$4:H$1003),0))</f>
        <v/>
      </c>
      <c r="N43" s="13" t="str">
        <f>IF(A43="","",IFERROR(SUMIF(Loans!C$4:C$1003,A43,Loans!K$4:K$1003),0))</f>
        <v/>
      </c>
      <c r="O43" s="13" t="str">
        <f>IF(A43="","",IFERROR(SUMIF(Int_Repayments!C$4:C$1003,A43,Int_Repayments!E$4:E$1003),0))</f>
        <v/>
      </c>
      <c r="P43" s="11"/>
    </row>
    <row r="44" spans="1:16" ht="15.75" customHeight="1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2" t="str">
        <f t="shared" si="1"/>
        <v/>
      </c>
      <c r="M44" s="13" t="str">
        <f>IF(A44="","",IFERROR(SUMIF(Transactions!D$4:D$1003,A44,Transactions!H$4:H$1003),0))</f>
        <v/>
      </c>
      <c r="N44" s="13" t="str">
        <f>IF(A44="","",IFERROR(SUMIF(Loans!C$4:C$1003,A44,Loans!K$4:K$1003),0))</f>
        <v/>
      </c>
      <c r="O44" s="13" t="str">
        <f>IF(A44="","",IFERROR(SUMIF(Int_Repayments!C$4:C$1003,A44,Int_Repayments!E$4:E$1003),0))</f>
        <v/>
      </c>
      <c r="P44" s="11"/>
    </row>
    <row r="45" spans="1:16" ht="15.75" customHeight="1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2" t="str">
        <f t="shared" si="1"/>
        <v/>
      </c>
      <c r="M45" s="13" t="str">
        <f>IF(A45="","",IFERROR(SUMIF(Transactions!D$4:D$1003,A45,Transactions!H$4:H$1003),0))</f>
        <v/>
      </c>
      <c r="N45" s="13" t="str">
        <f>IF(A45="","",IFERROR(SUMIF(Loans!C$4:C$1003,A45,Loans!K$4:K$1003),0))</f>
        <v/>
      </c>
      <c r="O45" s="13" t="str">
        <f>IF(A45="","",IFERROR(SUMIF(Int_Repayments!C$4:C$1003,A45,Int_Repayments!E$4:E$1003),0))</f>
        <v/>
      </c>
      <c r="P45" s="11"/>
    </row>
    <row r="46" spans="1:16" ht="15.75" customHeigh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2" t="str">
        <f t="shared" si="1"/>
        <v/>
      </c>
      <c r="M46" s="13" t="str">
        <f>IF(A46="","",IFERROR(SUMIF(Transactions!D$4:D$1003,A46,Transactions!H$4:H$1003),0))</f>
        <v/>
      </c>
      <c r="N46" s="13" t="str">
        <f>IF(A46="","",IFERROR(SUMIF(Loans!C$4:C$1003,A46,Loans!K$4:K$1003),0))</f>
        <v/>
      </c>
      <c r="O46" s="13" t="str">
        <f>IF(A46="","",IFERROR(SUMIF(Int_Repayments!C$4:C$1003,A46,Int_Repayments!E$4:E$1003),0))</f>
        <v/>
      </c>
      <c r="P46" s="11"/>
    </row>
    <row r="47" spans="1:16" ht="15.75" customHeight="1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2" t="str">
        <f t="shared" si="1"/>
        <v/>
      </c>
      <c r="M47" s="13" t="str">
        <f>IF(A47="","",IFERROR(SUMIF(Transactions!D$4:D$1003,A47,Transactions!H$4:H$1003),0))</f>
        <v/>
      </c>
      <c r="N47" s="13" t="str">
        <f>IF(A47="","",IFERROR(SUMIF(Loans!C$4:C$1003,A47,Loans!K$4:K$1003),0))</f>
        <v/>
      </c>
      <c r="O47" s="13" t="str">
        <f>IF(A47="","",IFERROR(SUMIF(Int_Repayments!C$4:C$1003,A47,Int_Repayments!E$4:E$1003),0))</f>
        <v/>
      </c>
      <c r="P47" s="11"/>
    </row>
    <row r="48" spans="1:16" ht="15.75" customHeight="1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2" t="str">
        <f t="shared" si="1"/>
        <v/>
      </c>
      <c r="M48" s="13" t="str">
        <f>IF(A48="","",IFERROR(SUMIF(Transactions!D$4:D$1003,A48,Transactions!H$4:H$1003),0))</f>
        <v/>
      </c>
      <c r="N48" s="13" t="str">
        <f>IF(A48="","",IFERROR(SUMIF(Loans!C$4:C$1003,A48,Loans!K$4:K$1003),0))</f>
        <v/>
      </c>
      <c r="O48" s="13" t="str">
        <f>IF(A48="","",IFERROR(SUMIF(Int_Repayments!C$4:C$1003,A48,Int_Repayments!E$4:E$1003),0))</f>
        <v/>
      </c>
      <c r="P48" s="11"/>
    </row>
    <row r="49" spans="1:16" ht="15.75" customHeight="1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2" t="str">
        <f t="shared" si="1"/>
        <v/>
      </c>
      <c r="M49" s="13" t="str">
        <f>IF(A49="","",IFERROR(SUMIF(Transactions!D$4:D$1003,A49,Transactions!H$4:H$1003),0))</f>
        <v/>
      </c>
      <c r="N49" s="13" t="str">
        <f>IF(A49="","",IFERROR(SUMIF(Loans!C$4:C$1003,A49,Loans!K$4:K$1003),0))</f>
        <v/>
      </c>
      <c r="O49" s="13" t="str">
        <f>IF(A49="","",IFERROR(SUMIF(Int_Repayments!C$4:C$1003,A49,Int_Repayments!E$4:E$1003),0))</f>
        <v/>
      </c>
      <c r="P49" s="11"/>
    </row>
    <row r="50" spans="1:16" ht="15.75" customHeight="1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2" t="str">
        <f t="shared" si="1"/>
        <v/>
      </c>
      <c r="M50" s="13" t="str">
        <f>IF(A50="","",IFERROR(SUMIF(Transactions!D$4:D$1003,A50,Transactions!H$4:H$1003),0))</f>
        <v/>
      </c>
      <c r="N50" s="13" t="str">
        <f>IF(A50="","",IFERROR(SUMIF(Loans!C$4:C$1003,A50,Loans!K$4:K$1003),0))</f>
        <v/>
      </c>
      <c r="O50" s="13" t="str">
        <f>IF(A50="","",IFERROR(SUMIF(Int_Repayments!C$4:C$1003,A50,Int_Repayments!E$4:E$1003),0))</f>
        <v/>
      </c>
      <c r="P50" s="11"/>
    </row>
    <row r="51" spans="1:16" ht="15.75" customHeight="1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2" t="str">
        <f t="shared" si="1"/>
        <v/>
      </c>
      <c r="M51" s="13" t="str">
        <f>IF(A51="","",IFERROR(SUMIF(Transactions!D$4:D$1003,A51,Transactions!H$4:H$1003),0))</f>
        <v/>
      </c>
      <c r="N51" s="13" t="str">
        <f>IF(A51="","",IFERROR(SUMIF(Loans!C$4:C$1003,A51,Loans!K$4:K$1003),0))</f>
        <v/>
      </c>
      <c r="O51" s="13" t="str">
        <f>IF(A51="","",IFERROR(SUMIF(Int_Repayments!C$4:C$1003,A51,Int_Repayments!E$4:E$1003),0))</f>
        <v/>
      </c>
      <c r="P51" s="11"/>
    </row>
    <row r="52" spans="1:16" ht="15.75" customHeight="1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2" t="str">
        <f t="shared" si="1"/>
        <v/>
      </c>
      <c r="M52" s="13" t="str">
        <f>IF(A52="","",IFERROR(SUMIF(Transactions!D$4:D$1003,A52,Transactions!H$4:H$1003),0))</f>
        <v/>
      </c>
      <c r="N52" s="13" t="str">
        <f>IF(A52="","",IFERROR(SUMIF(Loans!C$4:C$1003,A52,Loans!K$4:K$1003),0))</f>
        <v/>
      </c>
      <c r="O52" s="13" t="str">
        <f>IF(A52="","",IFERROR(SUMIF(Int_Repayments!C$4:C$1003,A52,Int_Repayments!E$4:E$1003),0))</f>
        <v/>
      </c>
      <c r="P52" s="11"/>
    </row>
    <row r="53" spans="1:16" ht="15.75" customHeight="1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2" t="str">
        <f t="shared" si="1"/>
        <v/>
      </c>
      <c r="M53" s="13" t="str">
        <f>IF(A53="","",IFERROR(SUMIF(Transactions!D$4:D$1003,A53,Transactions!H$4:H$1003),0))</f>
        <v/>
      </c>
      <c r="N53" s="13" t="str">
        <f>IF(A53="","",IFERROR(SUMIF(Loans!C$4:C$1003,A53,Loans!K$4:K$1003),0))</f>
        <v/>
      </c>
      <c r="O53" s="13" t="str">
        <f>IF(A53="","",IFERROR(SUMIF(Int_Repayments!C$4:C$1003,A53,Int_Repayments!E$4:E$1003),0))</f>
        <v/>
      </c>
      <c r="P53" s="11"/>
    </row>
    <row r="54" spans="1:16" ht="15.75" customHeight="1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2" t="str">
        <f t="shared" si="1"/>
        <v/>
      </c>
      <c r="M54" s="13" t="str">
        <f>IF(A54="","",IFERROR(SUMIF(Transactions!D$4:D$1003,A54,Transactions!H$4:H$1003),0))</f>
        <v/>
      </c>
      <c r="N54" s="13" t="str">
        <f>IF(A54="","",IFERROR(SUMIF(Loans!C$4:C$1003,A54,Loans!K$4:K$1003),0))</f>
        <v/>
      </c>
      <c r="O54" s="13" t="str">
        <f>IF(A54="","",IFERROR(SUMIF(Int_Repayments!C$4:C$1003,A54,Int_Repayments!E$4:E$1003),0))</f>
        <v/>
      </c>
      <c r="P54" s="11"/>
    </row>
    <row r="55" spans="1:16" ht="15.75" customHeight="1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2" t="str">
        <f t="shared" si="1"/>
        <v/>
      </c>
      <c r="M55" s="13" t="str">
        <f>IF(A55="","",IFERROR(SUMIF(Transactions!D$4:D$1003,A55,Transactions!H$4:H$1003),0))</f>
        <v/>
      </c>
      <c r="N55" s="13" t="str">
        <f>IF(A55="","",IFERROR(SUMIF(Loans!C$4:C$1003,A55,Loans!K$4:K$1003),0))</f>
        <v/>
      </c>
      <c r="O55" s="13" t="str">
        <f>IF(A55="","",IFERROR(SUMIF(Int_Repayments!C$4:C$1003,A55,Int_Repayments!E$4:E$1003),0))</f>
        <v/>
      </c>
      <c r="P55" s="11"/>
    </row>
    <row r="56" spans="1:16" ht="15.75" customHeight="1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2" t="str">
        <f t="shared" si="1"/>
        <v/>
      </c>
      <c r="M56" s="13" t="str">
        <f>IF(A56="","",IFERROR(SUMIF(Transactions!D$4:D$1003,A56,Transactions!H$4:H$1003),0))</f>
        <v/>
      </c>
      <c r="N56" s="13" t="str">
        <f>IF(A56="","",IFERROR(SUMIF(Loans!C$4:C$1003,A56,Loans!K$4:K$1003),0))</f>
        <v/>
      </c>
      <c r="O56" s="13" t="str">
        <f>IF(A56="","",IFERROR(SUMIF(Int_Repayments!C$4:C$1003,A56,Int_Repayments!E$4:E$1003),0))</f>
        <v/>
      </c>
      <c r="P56" s="11"/>
    </row>
    <row r="57" spans="1:16" ht="15.75" customHeight="1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2" t="str">
        <f t="shared" si="1"/>
        <v/>
      </c>
      <c r="M57" s="13" t="str">
        <f>IF(A57="","",IFERROR(SUMIF(Transactions!D$4:D$1003,A57,Transactions!H$4:H$1003),0))</f>
        <v/>
      </c>
      <c r="N57" s="13" t="str">
        <f>IF(A57="","",IFERROR(SUMIF(Loans!C$4:C$1003,A57,Loans!K$4:K$1003),0))</f>
        <v/>
      </c>
      <c r="O57" s="13" t="str">
        <f>IF(A57="","",IFERROR(SUMIF(Int_Repayments!C$4:C$1003,A57,Int_Repayments!E$4:E$1003),0))</f>
        <v/>
      </c>
      <c r="P57" s="11"/>
    </row>
    <row r="58" spans="1:16" ht="15.75" customHeight="1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2" t="str">
        <f t="shared" si="1"/>
        <v/>
      </c>
      <c r="M58" s="13" t="str">
        <f>IF(A58="","",IFERROR(SUMIF(Transactions!D$4:D$1003,A58,Transactions!H$4:H$1003),0))</f>
        <v/>
      </c>
      <c r="N58" s="13" t="str">
        <f>IF(A58="","",IFERROR(SUMIF(Loans!C$4:C$1003,A58,Loans!K$4:K$1003),0))</f>
        <v/>
      </c>
      <c r="O58" s="13" t="str">
        <f>IF(A58="","",IFERROR(SUMIF(Int_Repayments!C$4:C$1003,A58,Int_Repayments!E$4:E$1003),0))</f>
        <v/>
      </c>
      <c r="P58" s="11"/>
    </row>
    <row r="59" spans="1:16" ht="15.75" customHeight="1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2" t="str">
        <f t="shared" si="1"/>
        <v/>
      </c>
      <c r="M59" s="13" t="str">
        <f>IF(A59="","",IFERROR(SUMIF(Transactions!D$4:D$1003,A59,Transactions!H$4:H$1003),0))</f>
        <v/>
      </c>
      <c r="N59" s="13" t="str">
        <f>IF(A59="","",IFERROR(SUMIF(Loans!C$4:C$1003,A59,Loans!K$4:K$1003),0))</f>
        <v/>
      </c>
      <c r="O59" s="13" t="str">
        <f>IF(A59="","",IFERROR(SUMIF(Int_Repayments!C$4:C$1003,A59,Int_Repayments!E$4:E$1003),0))</f>
        <v/>
      </c>
      <c r="P59" s="11"/>
    </row>
    <row r="60" spans="1:16" ht="15.75" customHeight="1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2" t="str">
        <f t="shared" si="1"/>
        <v/>
      </c>
      <c r="M60" s="13" t="str">
        <f>IF(A60="","",IFERROR(SUMIF(Transactions!D$4:D$1003,A60,Transactions!H$4:H$1003),0))</f>
        <v/>
      </c>
      <c r="N60" s="13" t="str">
        <f>IF(A60="","",IFERROR(SUMIF(Loans!C$4:C$1003,A60,Loans!K$4:K$1003),0))</f>
        <v/>
      </c>
      <c r="O60" s="13" t="str">
        <f>IF(A60="","",IFERROR(SUMIF(Int_Repayments!C$4:C$1003,A60,Int_Repayments!E$4:E$1003),0))</f>
        <v/>
      </c>
      <c r="P60" s="11"/>
    </row>
    <row r="61" spans="1:16" ht="15.75" customHeight="1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2" t="str">
        <f t="shared" si="1"/>
        <v/>
      </c>
      <c r="M61" s="13" t="str">
        <f>IF(A61="","",IFERROR(SUMIF(Transactions!D$4:D$1003,A61,Transactions!H$4:H$1003),0))</f>
        <v/>
      </c>
      <c r="N61" s="13" t="str">
        <f>IF(A61="","",IFERROR(SUMIF(Loans!C$4:C$1003,A61,Loans!K$4:K$1003),0))</f>
        <v/>
      </c>
      <c r="O61" s="13" t="str">
        <f>IF(A61="","",IFERROR(SUMIF(Int_Repayments!C$4:C$1003,A61,Int_Repayments!E$4:E$1003),0))</f>
        <v/>
      </c>
      <c r="P61" s="11"/>
    </row>
    <row r="62" spans="1:16" ht="15.75" customHeight="1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2" t="str">
        <f t="shared" si="1"/>
        <v/>
      </c>
      <c r="M62" s="13" t="str">
        <f>IF(A62="","",IFERROR(SUMIF(Transactions!D$4:D$1003,A62,Transactions!H$4:H$1003),0))</f>
        <v/>
      </c>
      <c r="N62" s="13" t="str">
        <f>IF(A62="","",IFERROR(SUMIF(Loans!C$4:C$1003,A62,Loans!K$4:K$1003),0))</f>
        <v/>
      </c>
      <c r="O62" s="13" t="str">
        <f>IF(A62="","",IFERROR(SUMIF(Int_Repayments!C$4:C$1003,A62,Int_Repayments!E$4:E$1003),0))</f>
        <v/>
      </c>
      <c r="P62" s="11"/>
    </row>
    <row r="63" spans="1:16" ht="15.75" customHeight="1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2" t="str">
        <f t="shared" si="1"/>
        <v/>
      </c>
      <c r="M63" s="13" t="str">
        <f>IF(A63="","",IFERROR(SUMIF(Transactions!D$4:D$1003,A63,Transactions!H$4:H$1003),0))</f>
        <v/>
      </c>
      <c r="N63" s="13" t="str">
        <f>IF(A63="","",IFERROR(SUMIF(Loans!C$4:C$1003,A63,Loans!K$4:K$1003),0))</f>
        <v/>
      </c>
      <c r="O63" s="13" t="str">
        <f>IF(A63="","",IFERROR(SUMIF(Int_Repayments!C$4:C$1003,A63,Int_Repayments!E$4:E$1003),0))</f>
        <v/>
      </c>
      <c r="P63" s="11"/>
    </row>
    <row r="64" spans="1:16" ht="15.75" customHeight="1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2" t="str">
        <f t="shared" si="1"/>
        <v/>
      </c>
      <c r="M64" s="13" t="str">
        <f>IF(A64="","",IFERROR(SUMIF(Transactions!D$4:D$1003,A64,Transactions!H$4:H$1003),0))</f>
        <v/>
      </c>
      <c r="N64" s="13" t="str">
        <f>IF(A64="","",IFERROR(SUMIF(Loans!C$4:C$1003,A64,Loans!K$4:K$1003),0))</f>
        <v/>
      </c>
      <c r="O64" s="13" t="str">
        <f>IF(A64="","",IFERROR(SUMIF(Int_Repayments!C$4:C$1003,A64,Int_Repayments!E$4:E$1003),0))</f>
        <v/>
      </c>
      <c r="P64" s="11"/>
    </row>
    <row r="65" spans="1:16" ht="15.75" customHeight="1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2" t="str">
        <f t="shared" si="1"/>
        <v/>
      </c>
      <c r="M65" s="13" t="str">
        <f>IF(A65="","",IFERROR(SUMIF(Transactions!D$4:D$1003,A65,Transactions!H$4:H$1003),0))</f>
        <v/>
      </c>
      <c r="N65" s="13" t="str">
        <f>IF(A65="","",IFERROR(SUMIF(Loans!C$4:C$1003,A65,Loans!K$4:K$1003),0))</f>
        <v/>
      </c>
      <c r="O65" s="13" t="str">
        <f>IF(A65="","",IFERROR(SUMIF(Int_Repayments!C$4:C$1003,A65,Int_Repayments!E$4:E$1003),0))</f>
        <v/>
      </c>
      <c r="P65" s="11"/>
    </row>
    <row r="66" spans="1:16" ht="15.75" customHeight="1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2" t="str">
        <f t="shared" si="1"/>
        <v/>
      </c>
      <c r="M66" s="13" t="str">
        <f>IF(A66="","",IFERROR(SUMIF(Transactions!D$4:D$1003,A66,Transactions!H$4:H$1003),0))</f>
        <v/>
      </c>
      <c r="N66" s="13" t="str">
        <f>IF(A66="","",IFERROR(SUMIF(Loans!C$4:C$1003,A66,Loans!K$4:K$1003),0))</f>
        <v/>
      </c>
      <c r="O66" s="13" t="str">
        <f>IF(A66="","",IFERROR(SUMIF(Int_Repayments!C$4:C$1003,A66,Int_Repayments!E$4:E$1003),0))</f>
        <v/>
      </c>
      <c r="P66" s="11"/>
    </row>
    <row r="67" spans="1:16" ht="15.75" customHeight="1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2" t="str">
        <f t="shared" si="1"/>
        <v/>
      </c>
      <c r="M67" s="13" t="str">
        <f>IF(A67="","",IFERROR(SUMIF(Transactions!D$4:D$1003,A67,Transactions!H$4:H$1003),0))</f>
        <v/>
      </c>
      <c r="N67" s="13" t="str">
        <f>IF(A67="","",IFERROR(SUMIF(Loans!C$4:C$1003,A67,Loans!K$4:K$1003),0))</f>
        <v/>
      </c>
      <c r="O67" s="13" t="str">
        <f>IF(A67="","",IFERROR(SUMIF(Int_Repayments!C$4:C$1003,A67,Int_Repayments!E$4:E$1003),0))</f>
        <v/>
      </c>
      <c r="P67" s="11"/>
    </row>
    <row r="68" spans="1:16" ht="15.75" customHeight="1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2" t="str">
        <f t="shared" ref="L68:L103" si="2">IF(A68="","",IF(AND(G68&lt;&gt;"",H68&lt;&gt;"",E68&lt;&gt;""),"✅ Verified","⚠ Pending"))</f>
        <v/>
      </c>
      <c r="M68" s="13" t="str">
        <f>IF(A68="","",IFERROR(SUMIF(Transactions!D$4:D$1003,A68,Transactions!H$4:H$1003),0))</f>
        <v/>
      </c>
      <c r="N68" s="13" t="str">
        <f>IF(A68="","",IFERROR(SUMIF(Loans!C$4:C$1003,A68,Loans!K$4:K$1003),0))</f>
        <v/>
      </c>
      <c r="O68" s="13" t="str">
        <f>IF(A68="","",IFERROR(SUMIF(Int_Repayments!C$4:C$1003,A68,Int_Repayments!E$4:E$1003),0))</f>
        <v/>
      </c>
      <c r="P68" s="11"/>
    </row>
    <row r="69" spans="1:16" ht="15.75" customHeight="1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2" t="str">
        <f t="shared" si="2"/>
        <v/>
      </c>
      <c r="M69" s="13" t="str">
        <f>IF(A69="","",IFERROR(SUMIF(Transactions!D$4:D$1003,A69,Transactions!H$4:H$1003),0))</f>
        <v/>
      </c>
      <c r="N69" s="13" t="str">
        <f>IF(A69="","",IFERROR(SUMIF(Loans!C$4:C$1003,A69,Loans!K$4:K$1003),0))</f>
        <v/>
      </c>
      <c r="O69" s="13" t="str">
        <f>IF(A69="","",IFERROR(SUMIF(Int_Repayments!C$4:C$1003,A69,Int_Repayments!E$4:E$1003),0))</f>
        <v/>
      </c>
      <c r="P69" s="11"/>
    </row>
    <row r="70" spans="1:16" ht="15.75" customHeight="1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2" t="str">
        <f t="shared" si="2"/>
        <v/>
      </c>
      <c r="M70" s="13" t="str">
        <f>IF(A70="","",IFERROR(SUMIF(Transactions!D$4:D$1003,A70,Transactions!H$4:H$1003),0))</f>
        <v/>
      </c>
      <c r="N70" s="13" t="str">
        <f>IF(A70="","",IFERROR(SUMIF(Loans!C$4:C$1003,A70,Loans!K$4:K$1003),0))</f>
        <v/>
      </c>
      <c r="O70" s="13" t="str">
        <f>IF(A70="","",IFERROR(SUMIF(Int_Repayments!C$4:C$1003,A70,Int_Repayments!E$4:E$1003),0))</f>
        <v/>
      </c>
      <c r="P70" s="11"/>
    </row>
    <row r="71" spans="1:16" ht="15.75" customHeight="1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2" t="str">
        <f t="shared" si="2"/>
        <v/>
      </c>
      <c r="M71" s="13" t="str">
        <f>IF(A71="","",IFERROR(SUMIF(Transactions!D$4:D$1003,A71,Transactions!H$4:H$1003),0))</f>
        <v/>
      </c>
      <c r="N71" s="13" t="str">
        <f>IF(A71="","",IFERROR(SUMIF(Loans!C$4:C$1003,A71,Loans!K$4:K$1003),0))</f>
        <v/>
      </c>
      <c r="O71" s="13" t="str">
        <f>IF(A71="","",IFERROR(SUMIF(Int_Repayments!C$4:C$1003,A71,Int_Repayments!E$4:E$1003),0))</f>
        <v/>
      </c>
      <c r="P71" s="11"/>
    </row>
    <row r="72" spans="1:16" ht="15.75" customHeight="1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2" t="str">
        <f t="shared" si="2"/>
        <v/>
      </c>
      <c r="M72" s="13" t="str">
        <f>IF(A72="","",IFERROR(SUMIF(Transactions!D$4:D$1003,A72,Transactions!H$4:H$1003),0))</f>
        <v/>
      </c>
      <c r="N72" s="13" t="str">
        <f>IF(A72="","",IFERROR(SUMIF(Loans!C$4:C$1003,A72,Loans!K$4:K$1003),0))</f>
        <v/>
      </c>
      <c r="O72" s="13" t="str">
        <f>IF(A72="","",IFERROR(SUMIF(Int_Repayments!C$4:C$1003,A72,Int_Repayments!E$4:E$1003),0))</f>
        <v/>
      </c>
      <c r="P72" s="11"/>
    </row>
    <row r="73" spans="1:16" ht="15.75" customHeight="1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2" t="str">
        <f t="shared" si="2"/>
        <v/>
      </c>
      <c r="M73" s="13" t="str">
        <f>IF(A73="","",IFERROR(SUMIF(Transactions!D$4:D$1003,A73,Transactions!H$4:H$1003),0))</f>
        <v/>
      </c>
      <c r="N73" s="13" t="str">
        <f>IF(A73="","",IFERROR(SUMIF(Loans!C$4:C$1003,A73,Loans!K$4:K$1003),0))</f>
        <v/>
      </c>
      <c r="O73" s="13" t="str">
        <f>IF(A73="","",IFERROR(SUMIF(Int_Repayments!C$4:C$1003,A73,Int_Repayments!E$4:E$1003),0))</f>
        <v/>
      </c>
      <c r="P73" s="11"/>
    </row>
    <row r="74" spans="1:16" ht="15.75" customHeight="1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2" t="str">
        <f t="shared" si="2"/>
        <v/>
      </c>
      <c r="M74" s="13" t="str">
        <f>IF(A74="","",IFERROR(SUMIF(Transactions!D$4:D$1003,A74,Transactions!H$4:H$1003),0))</f>
        <v/>
      </c>
      <c r="N74" s="13" t="str">
        <f>IF(A74="","",IFERROR(SUMIF(Loans!C$4:C$1003,A74,Loans!K$4:K$1003),0))</f>
        <v/>
      </c>
      <c r="O74" s="13" t="str">
        <f>IF(A74="","",IFERROR(SUMIF(Int_Repayments!C$4:C$1003,A74,Int_Repayments!E$4:E$1003),0))</f>
        <v/>
      </c>
      <c r="P74" s="11"/>
    </row>
    <row r="75" spans="1:16" ht="15.75" customHeight="1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2" t="str">
        <f t="shared" si="2"/>
        <v/>
      </c>
      <c r="M75" s="13" t="str">
        <f>IF(A75="","",IFERROR(SUMIF(Transactions!D$4:D$1003,A75,Transactions!H$4:H$1003),0))</f>
        <v/>
      </c>
      <c r="N75" s="13" t="str">
        <f>IF(A75="","",IFERROR(SUMIF(Loans!C$4:C$1003,A75,Loans!K$4:K$1003),0))</f>
        <v/>
      </c>
      <c r="O75" s="13" t="str">
        <f>IF(A75="","",IFERROR(SUMIF(Int_Repayments!C$4:C$1003,A75,Int_Repayments!E$4:E$1003),0))</f>
        <v/>
      </c>
      <c r="P75" s="11"/>
    </row>
    <row r="76" spans="1:16" ht="15.75" customHeight="1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2" t="str">
        <f t="shared" si="2"/>
        <v/>
      </c>
      <c r="M76" s="13" t="str">
        <f>IF(A76="","",IFERROR(SUMIF(Transactions!D$4:D$1003,A76,Transactions!H$4:H$1003),0))</f>
        <v/>
      </c>
      <c r="N76" s="13" t="str">
        <f>IF(A76="","",IFERROR(SUMIF(Loans!C$4:C$1003,A76,Loans!K$4:K$1003),0))</f>
        <v/>
      </c>
      <c r="O76" s="13" t="str">
        <f>IF(A76="","",IFERROR(SUMIF(Int_Repayments!C$4:C$1003,A76,Int_Repayments!E$4:E$1003),0))</f>
        <v/>
      </c>
      <c r="P76" s="11"/>
    </row>
    <row r="77" spans="1:16" ht="15.75" customHeight="1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2" t="str">
        <f t="shared" si="2"/>
        <v/>
      </c>
      <c r="M77" s="13" t="str">
        <f>IF(A77="","",IFERROR(SUMIF(Transactions!D$4:D$1003,A77,Transactions!H$4:H$1003),0))</f>
        <v/>
      </c>
      <c r="N77" s="13" t="str">
        <f>IF(A77="","",IFERROR(SUMIF(Loans!C$4:C$1003,A77,Loans!K$4:K$1003),0))</f>
        <v/>
      </c>
      <c r="O77" s="13" t="str">
        <f>IF(A77="","",IFERROR(SUMIF(Int_Repayments!C$4:C$1003,A77,Int_Repayments!E$4:E$1003),0))</f>
        <v/>
      </c>
      <c r="P77" s="11"/>
    </row>
    <row r="78" spans="1:16" ht="15.75" customHeight="1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2" t="str">
        <f t="shared" si="2"/>
        <v/>
      </c>
      <c r="M78" s="13" t="str">
        <f>IF(A78="","",IFERROR(SUMIF(Transactions!D$4:D$1003,A78,Transactions!H$4:H$1003),0))</f>
        <v/>
      </c>
      <c r="N78" s="13" t="str">
        <f>IF(A78="","",IFERROR(SUMIF(Loans!C$4:C$1003,A78,Loans!K$4:K$1003),0))</f>
        <v/>
      </c>
      <c r="O78" s="13" t="str">
        <f>IF(A78="","",IFERROR(SUMIF(Int_Repayments!C$4:C$1003,A78,Int_Repayments!E$4:E$1003),0))</f>
        <v/>
      </c>
      <c r="P78" s="11"/>
    </row>
    <row r="79" spans="1:16" ht="15.75" customHeight="1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2" t="str">
        <f t="shared" si="2"/>
        <v/>
      </c>
      <c r="M79" s="13" t="str">
        <f>IF(A79="","",IFERROR(SUMIF(Transactions!D$4:D$1003,A79,Transactions!H$4:H$1003),0))</f>
        <v/>
      </c>
      <c r="N79" s="13" t="str">
        <f>IF(A79="","",IFERROR(SUMIF(Loans!C$4:C$1003,A79,Loans!K$4:K$1003),0))</f>
        <v/>
      </c>
      <c r="O79" s="13" t="str">
        <f>IF(A79="","",IFERROR(SUMIF(Int_Repayments!C$4:C$1003,A79,Int_Repayments!E$4:E$1003),0))</f>
        <v/>
      </c>
      <c r="P79" s="11"/>
    </row>
    <row r="80" spans="1:16" ht="15.75" customHeight="1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2" t="str">
        <f t="shared" si="2"/>
        <v/>
      </c>
      <c r="M80" s="13" t="str">
        <f>IF(A80="","",IFERROR(SUMIF(Transactions!D$4:D$1003,A80,Transactions!H$4:H$1003),0))</f>
        <v/>
      </c>
      <c r="N80" s="13" t="str">
        <f>IF(A80="","",IFERROR(SUMIF(Loans!C$4:C$1003,A80,Loans!K$4:K$1003),0))</f>
        <v/>
      </c>
      <c r="O80" s="13" t="str">
        <f>IF(A80="","",IFERROR(SUMIF(Int_Repayments!C$4:C$1003,A80,Int_Repayments!E$4:E$1003),0))</f>
        <v/>
      </c>
      <c r="P80" s="11"/>
    </row>
    <row r="81" spans="1:16" ht="15.75" customHeight="1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2" t="str">
        <f t="shared" si="2"/>
        <v/>
      </c>
      <c r="M81" s="13" t="str">
        <f>IF(A81="","",IFERROR(SUMIF(Transactions!D$4:D$1003,A81,Transactions!H$4:H$1003),0))</f>
        <v/>
      </c>
      <c r="N81" s="13" t="str">
        <f>IF(A81="","",IFERROR(SUMIF(Loans!C$4:C$1003,A81,Loans!K$4:K$1003),0))</f>
        <v/>
      </c>
      <c r="O81" s="13" t="str">
        <f>IF(A81="","",IFERROR(SUMIF(Int_Repayments!C$4:C$1003,A81,Int_Repayments!E$4:E$1003),0))</f>
        <v/>
      </c>
      <c r="P81" s="11"/>
    </row>
    <row r="82" spans="1:16" ht="15.75" customHeight="1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2" t="str">
        <f t="shared" si="2"/>
        <v/>
      </c>
      <c r="M82" s="13" t="str">
        <f>IF(A82="","",IFERROR(SUMIF(Transactions!D$4:D$1003,A82,Transactions!H$4:H$1003),0))</f>
        <v/>
      </c>
      <c r="N82" s="13" t="str">
        <f>IF(A82="","",IFERROR(SUMIF(Loans!C$4:C$1003,A82,Loans!K$4:K$1003),0))</f>
        <v/>
      </c>
      <c r="O82" s="13" t="str">
        <f>IF(A82="","",IFERROR(SUMIF(Int_Repayments!C$4:C$1003,A82,Int_Repayments!E$4:E$1003),0))</f>
        <v/>
      </c>
      <c r="P82" s="11"/>
    </row>
    <row r="83" spans="1:16" ht="15.75" customHeight="1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2" t="str">
        <f t="shared" si="2"/>
        <v/>
      </c>
      <c r="M83" s="13" t="str">
        <f>IF(A83="","",IFERROR(SUMIF(Transactions!D$4:D$1003,A83,Transactions!H$4:H$1003),0))</f>
        <v/>
      </c>
      <c r="N83" s="13" t="str">
        <f>IF(A83="","",IFERROR(SUMIF(Loans!C$4:C$1003,A83,Loans!K$4:K$1003),0))</f>
        <v/>
      </c>
      <c r="O83" s="13" t="str">
        <f>IF(A83="","",IFERROR(SUMIF(Int_Repayments!C$4:C$1003,A83,Int_Repayments!E$4:E$1003),0))</f>
        <v/>
      </c>
      <c r="P83" s="11"/>
    </row>
    <row r="84" spans="1:16" ht="15.75" customHeight="1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2" t="str">
        <f t="shared" si="2"/>
        <v/>
      </c>
      <c r="M84" s="13" t="str">
        <f>IF(A84="","",IFERROR(SUMIF(Transactions!D$4:D$1003,A84,Transactions!H$4:H$1003),0))</f>
        <v/>
      </c>
      <c r="N84" s="13" t="str">
        <f>IF(A84="","",IFERROR(SUMIF(Loans!C$4:C$1003,A84,Loans!K$4:K$1003),0))</f>
        <v/>
      </c>
      <c r="O84" s="13" t="str">
        <f>IF(A84="","",IFERROR(SUMIF(Int_Repayments!C$4:C$1003,A84,Int_Repayments!E$4:E$1003),0))</f>
        <v/>
      </c>
      <c r="P84" s="11"/>
    </row>
    <row r="85" spans="1:16" ht="15.75" customHeight="1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2" t="str">
        <f t="shared" si="2"/>
        <v/>
      </c>
      <c r="M85" s="13" t="str">
        <f>IF(A85="","",IFERROR(SUMIF(Transactions!D$4:D$1003,A85,Transactions!H$4:H$1003),0))</f>
        <v/>
      </c>
      <c r="N85" s="13" t="str">
        <f>IF(A85="","",IFERROR(SUMIF(Loans!C$4:C$1003,A85,Loans!K$4:K$1003),0))</f>
        <v/>
      </c>
      <c r="O85" s="13" t="str">
        <f>IF(A85="","",IFERROR(SUMIF(Int_Repayments!C$4:C$1003,A85,Int_Repayments!E$4:E$1003),0))</f>
        <v/>
      </c>
      <c r="P85" s="11"/>
    </row>
    <row r="86" spans="1:16" ht="15.75" customHeight="1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2" t="str">
        <f t="shared" si="2"/>
        <v/>
      </c>
      <c r="M86" s="13" t="str">
        <f>IF(A86="","",IFERROR(SUMIF(Transactions!D$4:D$1003,A86,Transactions!H$4:H$1003),0))</f>
        <v/>
      </c>
      <c r="N86" s="13" t="str">
        <f>IF(A86="","",IFERROR(SUMIF(Loans!C$4:C$1003,A86,Loans!K$4:K$1003),0))</f>
        <v/>
      </c>
      <c r="O86" s="13" t="str">
        <f>IF(A86="","",IFERROR(SUMIF(Int_Repayments!C$4:C$1003,A86,Int_Repayments!E$4:E$1003),0))</f>
        <v/>
      </c>
      <c r="P86" s="11"/>
    </row>
    <row r="87" spans="1:16" ht="15.75" customHeight="1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2" t="str">
        <f t="shared" si="2"/>
        <v/>
      </c>
      <c r="M87" s="13" t="str">
        <f>IF(A87="","",IFERROR(SUMIF(Transactions!D$4:D$1003,A87,Transactions!H$4:H$1003),0))</f>
        <v/>
      </c>
      <c r="N87" s="13" t="str">
        <f>IF(A87="","",IFERROR(SUMIF(Loans!C$4:C$1003,A87,Loans!K$4:K$1003),0))</f>
        <v/>
      </c>
      <c r="O87" s="13" t="str">
        <f>IF(A87="","",IFERROR(SUMIF(Int_Repayments!C$4:C$1003,A87,Int_Repayments!E$4:E$1003),0))</f>
        <v/>
      </c>
      <c r="P87" s="11"/>
    </row>
    <row r="88" spans="1:16" ht="15.75" customHeight="1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2" t="str">
        <f t="shared" si="2"/>
        <v/>
      </c>
      <c r="M88" s="13" t="str">
        <f>IF(A88="","",IFERROR(SUMIF(Transactions!D$4:D$1003,A88,Transactions!H$4:H$1003),0))</f>
        <v/>
      </c>
      <c r="N88" s="13" t="str">
        <f>IF(A88="","",IFERROR(SUMIF(Loans!C$4:C$1003,A88,Loans!K$4:K$1003),0))</f>
        <v/>
      </c>
      <c r="O88" s="13" t="str">
        <f>IF(A88="","",IFERROR(SUMIF(Int_Repayments!C$4:C$1003,A88,Int_Repayments!E$4:E$1003),0))</f>
        <v/>
      </c>
      <c r="P88" s="11"/>
    </row>
    <row r="89" spans="1:16" ht="15.75" customHeight="1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2" t="str">
        <f t="shared" si="2"/>
        <v/>
      </c>
      <c r="M89" s="13" t="str">
        <f>IF(A89="","",IFERROR(SUMIF(Transactions!D$4:D$1003,A89,Transactions!H$4:H$1003),0))</f>
        <v/>
      </c>
      <c r="N89" s="13" t="str">
        <f>IF(A89="","",IFERROR(SUMIF(Loans!C$4:C$1003,A89,Loans!K$4:K$1003),0))</f>
        <v/>
      </c>
      <c r="O89" s="13" t="str">
        <f>IF(A89="","",IFERROR(SUMIF(Int_Repayments!C$4:C$1003,A89,Int_Repayments!E$4:E$1003),0))</f>
        <v/>
      </c>
      <c r="P89" s="11"/>
    </row>
    <row r="90" spans="1:16" ht="15.75" customHeight="1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2" t="str">
        <f t="shared" si="2"/>
        <v/>
      </c>
      <c r="M90" s="13" t="str">
        <f>IF(A90="","",IFERROR(SUMIF(Transactions!D$4:D$1003,A90,Transactions!H$4:H$1003),0))</f>
        <v/>
      </c>
      <c r="N90" s="13" t="str">
        <f>IF(A90="","",IFERROR(SUMIF(Loans!C$4:C$1003,A90,Loans!K$4:K$1003),0))</f>
        <v/>
      </c>
      <c r="O90" s="13" t="str">
        <f>IF(A90="","",IFERROR(SUMIF(Int_Repayments!C$4:C$1003,A90,Int_Repayments!E$4:E$1003),0))</f>
        <v/>
      </c>
      <c r="P90" s="11"/>
    </row>
    <row r="91" spans="1:16" ht="15.75" customHeight="1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2" t="str">
        <f t="shared" si="2"/>
        <v/>
      </c>
      <c r="M91" s="13" t="str">
        <f>IF(A91="","",IFERROR(SUMIF(Transactions!D$4:D$1003,A91,Transactions!H$4:H$1003),0))</f>
        <v/>
      </c>
      <c r="N91" s="13" t="str">
        <f>IF(A91="","",IFERROR(SUMIF(Loans!C$4:C$1003,A91,Loans!K$4:K$1003),0))</f>
        <v/>
      </c>
      <c r="O91" s="13" t="str">
        <f>IF(A91="","",IFERROR(SUMIF(Int_Repayments!C$4:C$1003,A91,Int_Repayments!E$4:E$1003),0))</f>
        <v/>
      </c>
      <c r="P91" s="11"/>
    </row>
    <row r="92" spans="1:16" ht="15.75" customHeight="1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2" t="str">
        <f t="shared" si="2"/>
        <v/>
      </c>
      <c r="M92" s="13" t="str">
        <f>IF(A92="","",IFERROR(SUMIF(Transactions!D$4:D$1003,A92,Transactions!H$4:H$1003),0))</f>
        <v/>
      </c>
      <c r="N92" s="13" t="str">
        <f>IF(A92="","",IFERROR(SUMIF(Loans!C$4:C$1003,A92,Loans!K$4:K$1003),0))</f>
        <v/>
      </c>
      <c r="O92" s="13" t="str">
        <f>IF(A92="","",IFERROR(SUMIF(Int_Repayments!C$4:C$1003,A92,Int_Repayments!E$4:E$1003),0))</f>
        <v/>
      </c>
      <c r="P92" s="11"/>
    </row>
    <row r="93" spans="1:16" ht="15.75" customHeight="1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2" t="str">
        <f t="shared" si="2"/>
        <v/>
      </c>
      <c r="M93" s="13" t="str">
        <f>IF(A93="","",IFERROR(SUMIF(Transactions!D$4:D$1003,A93,Transactions!H$4:H$1003),0))</f>
        <v/>
      </c>
      <c r="N93" s="13" t="str">
        <f>IF(A93="","",IFERROR(SUMIF(Loans!C$4:C$1003,A93,Loans!K$4:K$1003),0))</f>
        <v/>
      </c>
      <c r="O93" s="13" t="str">
        <f>IF(A93="","",IFERROR(SUMIF(Int_Repayments!C$4:C$1003,A93,Int_Repayments!E$4:E$1003),0))</f>
        <v/>
      </c>
      <c r="P93" s="11"/>
    </row>
    <row r="94" spans="1:16" ht="15.75" customHeight="1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2" t="str">
        <f t="shared" si="2"/>
        <v/>
      </c>
      <c r="M94" s="13" t="str">
        <f>IF(A94="","",IFERROR(SUMIF(Transactions!D$4:D$1003,A94,Transactions!H$4:H$1003),0))</f>
        <v/>
      </c>
      <c r="N94" s="13" t="str">
        <f>IF(A94="","",IFERROR(SUMIF(Loans!C$4:C$1003,A94,Loans!K$4:K$1003),0))</f>
        <v/>
      </c>
      <c r="O94" s="13" t="str">
        <f>IF(A94="","",IFERROR(SUMIF(Int_Repayments!C$4:C$1003,A94,Int_Repayments!E$4:E$1003),0))</f>
        <v/>
      </c>
      <c r="P94" s="11"/>
    </row>
    <row r="95" spans="1:16" ht="15.75" customHeight="1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2" t="str">
        <f t="shared" si="2"/>
        <v/>
      </c>
      <c r="M95" s="13" t="str">
        <f>IF(A95="","",IFERROR(SUMIF(Transactions!D$4:D$1003,A95,Transactions!H$4:H$1003),0))</f>
        <v/>
      </c>
      <c r="N95" s="13" t="str">
        <f>IF(A95="","",IFERROR(SUMIF(Loans!C$4:C$1003,A95,Loans!K$4:K$1003),0))</f>
        <v/>
      </c>
      <c r="O95" s="13" t="str">
        <f>IF(A95="","",IFERROR(SUMIF(Int_Repayments!C$4:C$1003,A95,Int_Repayments!E$4:E$1003),0))</f>
        <v/>
      </c>
      <c r="P95" s="11"/>
    </row>
    <row r="96" spans="1:16" ht="15.75" customHeight="1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2" t="str">
        <f t="shared" si="2"/>
        <v/>
      </c>
      <c r="M96" s="13" t="str">
        <f>IF(A96="","",IFERROR(SUMIF(Transactions!D$4:D$1003,A96,Transactions!H$4:H$1003),0))</f>
        <v/>
      </c>
      <c r="N96" s="13" t="str">
        <f>IF(A96="","",IFERROR(SUMIF(Loans!C$4:C$1003,A96,Loans!K$4:K$1003),0))</f>
        <v/>
      </c>
      <c r="O96" s="13" t="str">
        <f>IF(A96="","",IFERROR(SUMIF(Int_Repayments!C$4:C$1003,A96,Int_Repayments!E$4:E$1003),0))</f>
        <v/>
      </c>
      <c r="P96" s="11"/>
    </row>
    <row r="97" spans="1:16" ht="15.75" customHeight="1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2" t="str">
        <f t="shared" si="2"/>
        <v/>
      </c>
      <c r="M97" s="13" t="str">
        <f>IF(A97="","",IFERROR(SUMIF(Transactions!D$4:D$1003,A97,Transactions!H$4:H$1003),0))</f>
        <v/>
      </c>
      <c r="N97" s="13" t="str">
        <f>IF(A97="","",IFERROR(SUMIF(Loans!C$4:C$1003,A97,Loans!K$4:K$1003),0))</f>
        <v/>
      </c>
      <c r="O97" s="13" t="str">
        <f>IF(A97="","",IFERROR(SUMIF(Int_Repayments!C$4:C$1003,A97,Int_Repayments!E$4:E$1003),0))</f>
        <v/>
      </c>
      <c r="P97" s="11"/>
    </row>
    <row r="98" spans="1:16" ht="15.75" customHeight="1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2" t="str">
        <f t="shared" si="2"/>
        <v/>
      </c>
      <c r="M98" s="13" t="str">
        <f>IF(A98="","",IFERROR(SUMIF(Transactions!D$4:D$1003,A98,Transactions!H$4:H$1003),0))</f>
        <v/>
      </c>
      <c r="N98" s="13" t="str">
        <f>IF(A98="","",IFERROR(SUMIF(Loans!C$4:C$1003,A98,Loans!K$4:K$1003),0))</f>
        <v/>
      </c>
      <c r="O98" s="13" t="str">
        <f>IF(A98="","",IFERROR(SUMIF(Int_Repayments!C$4:C$1003,A98,Int_Repayments!E$4:E$1003),0))</f>
        <v/>
      </c>
      <c r="P98" s="11"/>
    </row>
    <row r="99" spans="1:16" ht="15.75" customHeight="1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2" t="str">
        <f t="shared" si="2"/>
        <v/>
      </c>
      <c r="M99" s="13" t="str">
        <f>IF(A99="","",IFERROR(SUMIF(Transactions!D$4:D$1003,A99,Transactions!H$4:H$1003),0))</f>
        <v/>
      </c>
      <c r="N99" s="13" t="str">
        <f>IF(A99="","",IFERROR(SUMIF(Loans!C$4:C$1003,A99,Loans!K$4:K$1003),0))</f>
        <v/>
      </c>
      <c r="O99" s="13" t="str">
        <f>IF(A99="","",IFERROR(SUMIF(Int_Repayments!C$4:C$1003,A99,Int_Repayments!E$4:E$1003),0))</f>
        <v/>
      </c>
      <c r="P99" s="11"/>
    </row>
    <row r="100" spans="1:16" ht="15.75" customHeight="1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2" t="str">
        <f t="shared" si="2"/>
        <v/>
      </c>
      <c r="M100" s="13" t="str">
        <f>IF(A100="","",IFERROR(SUMIF(Transactions!D$4:D$1003,A100,Transactions!H$4:H$1003),0))</f>
        <v/>
      </c>
      <c r="N100" s="13" t="str">
        <f>IF(A100="","",IFERROR(SUMIF(Loans!C$4:C$1003,A100,Loans!K$4:K$1003),0))</f>
        <v/>
      </c>
      <c r="O100" s="13" t="str">
        <f>IF(A100="","",IFERROR(SUMIF(Int_Repayments!C$4:C$1003,A100,Int_Repayments!E$4:E$1003),0))</f>
        <v/>
      </c>
      <c r="P100" s="11"/>
    </row>
    <row r="101" spans="1:16" ht="15.75" customHeight="1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2" t="str">
        <f t="shared" si="2"/>
        <v/>
      </c>
      <c r="M101" s="13" t="str">
        <f>IF(A101="","",IFERROR(SUMIF(Transactions!D$4:D$1003,A101,Transactions!H$4:H$1003),0))</f>
        <v/>
      </c>
      <c r="N101" s="13" t="str">
        <f>IF(A101="","",IFERROR(SUMIF(Loans!C$4:C$1003,A101,Loans!K$4:K$1003),0))</f>
        <v/>
      </c>
      <c r="O101" s="13" t="str">
        <f>IF(A101="","",IFERROR(SUMIF(Int_Repayments!C$4:C$1003,A101,Int_Repayments!E$4:E$1003),0))</f>
        <v/>
      </c>
      <c r="P101" s="11"/>
    </row>
    <row r="102" spans="1:16" ht="15.75" customHeight="1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2" t="str">
        <f t="shared" si="2"/>
        <v/>
      </c>
      <c r="M102" s="13" t="str">
        <f>IF(A102="","",IFERROR(SUMIF(Transactions!D$4:D$1003,A102,Transactions!H$4:H$1003),0))</f>
        <v/>
      </c>
      <c r="N102" s="13" t="str">
        <f>IF(A102="","",IFERROR(SUMIF(Loans!C$4:C$1003,A102,Loans!K$4:K$1003),0))</f>
        <v/>
      </c>
      <c r="O102" s="13" t="str">
        <f>IF(A102="","",IFERROR(SUMIF(Int_Repayments!C$4:C$1003,A102,Int_Repayments!E$4:E$1003),0))</f>
        <v/>
      </c>
      <c r="P102" s="11"/>
    </row>
    <row r="103" spans="1:16" ht="15.75" customHeight="1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2" t="str">
        <f t="shared" si="2"/>
        <v/>
      </c>
      <c r="M103" s="13" t="str">
        <f>IF(A103="","",IFERROR(SUMIF(Transactions!D$4:D$1003,A103,Transactions!H$4:H$1003),0))</f>
        <v/>
      </c>
      <c r="N103" s="13" t="str">
        <f>IF(A103="","",IFERROR(SUMIF(Loans!C$4:C$1003,A103,Loans!K$4:K$1003),0))</f>
        <v/>
      </c>
      <c r="O103" s="13" t="str">
        <f>IF(A103="","",IFERROR(SUMIF(Int_Repayments!C$4:C$1003,A103,Int_Repayments!E$4:E$1003),0))</f>
        <v/>
      </c>
      <c r="P103" s="11"/>
    </row>
  </sheetData>
  <mergeCells count="1">
    <mergeCell ref="A1:O1"/>
  </mergeCells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N1003"/>
  <sheetViews>
    <sheetView zoomScaleNormal="100" workbookViewId="0">
      <pane ySplit="3" topLeftCell="A4" activePane="bottomLeft" state="frozen"/>
      <selection pane="bottomLeft" sqref="A1:M1"/>
    </sheetView>
  </sheetViews>
  <sheetFormatPr defaultColWidth="8.7109375" defaultRowHeight="15" x14ac:dyDescent="0.25"/>
  <cols>
    <col min="1" max="1" width="16" customWidth="1"/>
    <col min="2" max="2" width="13" customWidth="1"/>
    <col min="3" max="3" width="22" customWidth="1"/>
    <col min="4" max="4" width="14" customWidth="1"/>
    <col min="5" max="5" width="18" customWidth="1"/>
    <col min="6" max="8" width="14" customWidth="1"/>
    <col min="9" max="9" width="16" customWidth="1"/>
    <col min="10" max="10" width="14" customWidth="1"/>
    <col min="11" max="11" width="12" customWidth="1"/>
    <col min="12" max="12" width="10" customWidth="1"/>
    <col min="13" max="13" width="14" customWidth="1"/>
    <col min="14" max="14" width="20" customWidth="1"/>
  </cols>
  <sheetData>
    <row r="1" spans="1:14" ht="31.5" customHeight="1" x14ac:dyDescent="0.25">
      <c r="A1" s="161" t="s">
        <v>253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</row>
    <row r="2" spans="1:14" ht="21.75" customHeight="1" x14ac:dyDescent="0.25">
      <c r="A2" s="3" t="s">
        <v>254</v>
      </c>
      <c r="B2" s="14"/>
      <c r="D2" s="3" t="s">
        <v>255</v>
      </c>
      <c r="E2" s="14"/>
      <c r="G2" s="3" t="s">
        <v>256</v>
      </c>
      <c r="H2" s="8"/>
      <c r="K2" s="3" t="s">
        <v>257</v>
      </c>
      <c r="L2" s="8"/>
    </row>
    <row r="3" spans="1:14" ht="24" customHeight="1" x14ac:dyDescent="0.25">
      <c r="A3" s="1" t="s">
        <v>258</v>
      </c>
      <c r="B3" s="1" t="s">
        <v>259</v>
      </c>
      <c r="C3" s="1" t="s">
        <v>260</v>
      </c>
      <c r="D3" s="1" t="s">
        <v>43</v>
      </c>
      <c r="E3" s="1" t="s">
        <v>261</v>
      </c>
      <c r="F3" s="1" t="s">
        <v>45</v>
      </c>
      <c r="G3" s="1" t="s">
        <v>262</v>
      </c>
      <c r="H3" s="1" t="s">
        <v>263</v>
      </c>
      <c r="I3" s="1" t="s">
        <v>264</v>
      </c>
      <c r="J3" s="1" t="s">
        <v>75</v>
      </c>
      <c r="K3" s="1" t="s">
        <v>265</v>
      </c>
      <c r="L3" s="1" t="s">
        <v>266</v>
      </c>
      <c r="M3" s="1" t="s">
        <v>50</v>
      </c>
      <c r="N3" s="1" t="s">
        <v>51</v>
      </c>
    </row>
    <row r="4" spans="1:14" ht="15.75" customHeight="1" x14ac:dyDescent="0.25">
      <c r="A4" s="11"/>
      <c r="B4" s="11"/>
      <c r="C4" s="11"/>
      <c r="D4" s="11"/>
      <c r="E4" s="11"/>
      <c r="F4" s="11"/>
      <c r="G4" s="15" t="str">
        <f t="shared" ref="G4:G67" si="0">IF(E4="","",IF(OR(E4="Withdrawal",E4="Loan Disbursement"),F4,0))</f>
        <v/>
      </c>
      <c r="H4" s="13" t="str">
        <f t="shared" ref="H4:H67" si="1">IF(E4="","",IF(OR(E4="Savings Deposit",E4="Loan Repayment"),F4,0))</f>
        <v/>
      </c>
      <c r="I4" s="16" t="str">
        <f>IF(A4="","",H4-G4)</f>
        <v/>
      </c>
      <c r="J4" s="11"/>
      <c r="K4" s="11"/>
      <c r="L4" s="11"/>
      <c r="M4" s="11"/>
      <c r="N4" s="11"/>
    </row>
    <row r="5" spans="1:14" ht="15.75" customHeight="1" x14ac:dyDescent="0.25">
      <c r="A5" s="11"/>
      <c r="B5" s="11"/>
      <c r="C5" s="11"/>
      <c r="D5" s="11"/>
      <c r="E5" s="11"/>
      <c r="F5" s="11"/>
      <c r="G5" s="15" t="str">
        <f t="shared" si="0"/>
        <v/>
      </c>
      <c r="H5" s="13" t="str">
        <f t="shared" si="1"/>
        <v/>
      </c>
      <c r="I5" s="16" t="str">
        <f t="shared" ref="I5:I68" si="2">IF(A5="","",I4+H5-G5)</f>
        <v/>
      </c>
      <c r="J5" s="11"/>
      <c r="K5" s="11"/>
      <c r="L5" s="11"/>
      <c r="M5" s="11"/>
      <c r="N5" s="11"/>
    </row>
    <row r="6" spans="1:14" ht="15.75" customHeight="1" x14ac:dyDescent="0.25">
      <c r="A6" s="11"/>
      <c r="B6" s="11"/>
      <c r="C6" s="11"/>
      <c r="D6" s="11"/>
      <c r="E6" s="11"/>
      <c r="F6" s="11"/>
      <c r="G6" s="15" t="str">
        <f t="shared" si="0"/>
        <v/>
      </c>
      <c r="H6" s="13" t="str">
        <f t="shared" si="1"/>
        <v/>
      </c>
      <c r="I6" s="16" t="str">
        <f t="shared" si="2"/>
        <v/>
      </c>
      <c r="J6" s="11"/>
      <c r="K6" s="11"/>
      <c r="L6" s="11"/>
      <c r="M6" s="11"/>
      <c r="N6" s="11"/>
    </row>
    <row r="7" spans="1:14" ht="15.75" customHeight="1" x14ac:dyDescent="0.25">
      <c r="A7" s="11"/>
      <c r="B7" s="11"/>
      <c r="C7" s="11"/>
      <c r="D7" s="11"/>
      <c r="E7" s="11"/>
      <c r="F7" s="11"/>
      <c r="G7" s="15" t="str">
        <f t="shared" si="0"/>
        <v/>
      </c>
      <c r="H7" s="13" t="str">
        <f t="shared" si="1"/>
        <v/>
      </c>
      <c r="I7" s="16" t="str">
        <f t="shared" si="2"/>
        <v/>
      </c>
      <c r="J7" s="11"/>
      <c r="K7" s="11"/>
      <c r="L7" s="11"/>
      <c r="M7" s="11"/>
      <c r="N7" s="11"/>
    </row>
    <row r="8" spans="1:14" ht="15.75" customHeight="1" x14ac:dyDescent="0.25">
      <c r="A8" s="11"/>
      <c r="B8" s="11"/>
      <c r="C8" s="11"/>
      <c r="D8" s="11"/>
      <c r="E8" s="11"/>
      <c r="F8" s="11"/>
      <c r="G8" s="15" t="str">
        <f t="shared" si="0"/>
        <v/>
      </c>
      <c r="H8" s="13" t="str">
        <f t="shared" si="1"/>
        <v/>
      </c>
      <c r="I8" s="16" t="str">
        <f t="shared" si="2"/>
        <v/>
      </c>
      <c r="J8" s="11"/>
      <c r="K8" s="11"/>
      <c r="L8" s="11"/>
      <c r="M8" s="11"/>
      <c r="N8" s="11"/>
    </row>
    <row r="9" spans="1:14" ht="15.75" customHeight="1" x14ac:dyDescent="0.25">
      <c r="A9" s="11"/>
      <c r="B9" s="11"/>
      <c r="C9" s="11"/>
      <c r="D9" s="11"/>
      <c r="E9" s="11"/>
      <c r="F9" s="11"/>
      <c r="G9" s="15" t="str">
        <f t="shared" si="0"/>
        <v/>
      </c>
      <c r="H9" s="13" t="str">
        <f t="shared" si="1"/>
        <v/>
      </c>
      <c r="I9" s="16" t="str">
        <f t="shared" si="2"/>
        <v/>
      </c>
      <c r="J9" s="11"/>
      <c r="K9" s="11"/>
      <c r="L9" s="11"/>
      <c r="M9" s="11"/>
      <c r="N9" s="11"/>
    </row>
    <row r="10" spans="1:14" ht="15.75" customHeight="1" x14ac:dyDescent="0.25">
      <c r="A10" s="11"/>
      <c r="B10" s="11"/>
      <c r="C10" s="11"/>
      <c r="D10" s="11"/>
      <c r="E10" s="11"/>
      <c r="F10" s="11"/>
      <c r="G10" s="15" t="str">
        <f t="shared" si="0"/>
        <v/>
      </c>
      <c r="H10" s="13" t="str">
        <f t="shared" si="1"/>
        <v/>
      </c>
      <c r="I10" s="16" t="str">
        <f t="shared" si="2"/>
        <v/>
      </c>
      <c r="J10" s="11"/>
      <c r="K10" s="11"/>
      <c r="L10" s="11"/>
      <c r="M10" s="11"/>
      <c r="N10" s="11"/>
    </row>
    <row r="11" spans="1:14" ht="15.75" customHeight="1" x14ac:dyDescent="0.25">
      <c r="A11" s="11"/>
      <c r="B11" s="11"/>
      <c r="C11" s="11"/>
      <c r="D11" s="11"/>
      <c r="E11" s="11"/>
      <c r="F11" s="11"/>
      <c r="G11" s="15" t="str">
        <f t="shared" si="0"/>
        <v/>
      </c>
      <c r="H11" s="13" t="str">
        <f t="shared" si="1"/>
        <v/>
      </c>
      <c r="I11" s="16" t="str">
        <f t="shared" si="2"/>
        <v/>
      </c>
      <c r="J11" s="11"/>
      <c r="K11" s="11"/>
      <c r="L11" s="11"/>
      <c r="M11" s="11"/>
      <c r="N11" s="11"/>
    </row>
    <row r="12" spans="1:14" ht="15.75" customHeight="1" x14ac:dyDescent="0.25">
      <c r="A12" s="11"/>
      <c r="B12" s="11"/>
      <c r="C12" s="11"/>
      <c r="D12" s="11"/>
      <c r="E12" s="11"/>
      <c r="F12" s="11"/>
      <c r="G12" s="15" t="str">
        <f t="shared" si="0"/>
        <v/>
      </c>
      <c r="H12" s="13" t="str">
        <f t="shared" si="1"/>
        <v/>
      </c>
      <c r="I12" s="16" t="str">
        <f t="shared" si="2"/>
        <v/>
      </c>
      <c r="J12" s="11"/>
      <c r="K12" s="11"/>
      <c r="L12" s="11"/>
      <c r="M12" s="11"/>
      <c r="N12" s="11"/>
    </row>
    <row r="13" spans="1:14" ht="15.75" customHeight="1" x14ac:dyDescent="0.25">
      <c r="A13" s="11"/>
      <c r="B13" s="11"/>
      <c r="C13" s="11"/>
      <c r="D13" s="11"/>
      <c r="E13" s="11"/>
      <c r="F13" s="11"/>
      <c r="G13" s="15" t="str">
        <f t="shared" si="0"/>
        <v/>
      </c>
      <c r="H13" s="13" t="str">
        <f t="shared" si="1"/>
        <v/>
      </c>
      <c r="I13" s="16" t="str">
        <f t="shared" si="2"/>
        <v/>
      </c>
      <c r="J13" s="11"/>
      <c r="K13" s="11"/>
      <c r="L13" s="11"/>
      <c r="M13" s="11"/>
      <c r="N13" s="11"/>
    </row>
    <row r="14" spans="1:14" ht="15.75" customHeight="1" x14ac:dyDescent="0.25">
      <c r="A14" s="11"/>
      <c r="B14" s="11"/>
      <c r="C14" s="11"/>
      <c r="D14" s="11"/>
      <c r="E14" s="11"/>
      <c r="F14" s="11"/>
      <c r="G14" s="15" t="str">
        <f t="shared" si="0"/>
        <v/>
      </c>
      <c r="H14" s="13" t="str">
        <f t="shared" si="1"/>
        <v/>
      </c>
      <c r="I14" s="16" t="str">
        <f t="shared" si="2"/>
        <v/>
      </c>
      <c r="J14" s="11"/>
      <c r="K14" s="11"/>
      <c r="L14" s="11"/>
      <c r="M14" s="11"/>
      <c r="N14" s="11"/>
    </row>
    <row r="15" spans="1:14" ht="15.75" customHeight="1" x14ac:dyDescent="0.25">
      <c r="A15" s="11"/>
      <c r="B15" s="11"/>
      <c r="C15" s="11"/>
      <c r="D15" s="11"/>
      <c r="E15" s="11"/>
      <c r="F15" s="11"/>
      <c r="G15" s="15" t="str">
        <f t="shared" si="0"/>
        <v/>
      </c>
      <c r="H15" s="13" t="str">
        <f t="shared" si="1"/>
        <v/>
      </c>
      <c r="I15" s="16" t="str">
        <f t="shared" si="2"/>
        <v/>
      </c>
      <c r="J15" s="11"/>
      <c r="K15" s="11"/>
      <c r="L15" s="11"/>
      <c r="M15" s="11"/>
      <c r="N15" s="11"/>
    </row>
    <row r="16" spans="1:14" ht="15.75" customHeight="1" x14ac:dyDescent="0.25">
      <c r="A16" s="11"/>
      <c r="B16" s="11"/>
      <c r="C16" s="11"/>
      <c r="D16" s="11"/>
      <c r="E16" s="11"/>
      <c r="F16" s="11"/>
      <c r="G16" s="15" t="str">
        <f t="shared" si="0"/>
        <v/>
      </c>
      <c r="H16" s="13" t="str">
        <f t="shared" si="1"/>
        <v/>
      </c>
      <c r="I16" s="16" t="str">
        <f t="shared" si="2"/>
        <v/>
      </c>
      <c r="J16" s="11"/>
      <c r="K16" s="11"/>
      <c r="L16" s="11"/>
      <c r="M16" s="11"/>
      <c r="N16" s="11"/>
    </row>
    <row r="17" spans="1:14" ht="15.75" customHeight="1" x14ac:dyDescent="0.25">
      <c r="A17" s="11"/>
      <c r="B17" s="11"/>
      <c r="C17" s="11"/>
      <c r="D17" s="11"/>
      <c r="E17" s="11"/>
      <c r="F17" s="11"/>
      <c r="G17" s="15" t="str">
        <f t="shared" si="0"/>
        <v/>
      </c>
      <c r="H17" s="13" t="str">
        <f t="shared" si="1"/>
        <v/>
      </c>
      <c r="I17" s="16" t="str">
        <f t="shared" si="2"/>
        <v/>
      </c>
      <c r="J17" s="11"/>
      <c r="K17" s="11"/>
      <c r="L17" s="11"/>
      <c r="M17" s="11"/>
      <c r="N17" s="11"/>
    </row>
    <row r="18" spans="1:14" ht="15.75" customHeight="1" x14ac:dyDescent="0.25">
      <c r="A18" s="11"/>
      <c r="B18" s="11"/>
      <c r="C18" s="11"/>
      <c r="D18" s="11"/>
      <c r="E18" s="11"/>
      <c r="F18" s="11"/>
      <c r="G18" s="15" t="str">
        <f t="shared" si="0"/>
        <v/>
      </c>
      <c r="H18" s="13" t="str">
        <f t="shared" si="1"/>
        <v/>
      </c>
      <c r="I18" s="16" t="str">
        <f t="shared" si="2"/>
        <v/>
      </c>
      <c r="J18" s="11"/>
      <c r="K18" s="11"/>
      <c r="L18" s="11"/>
      <c r="M18" s="11"/>
      <c r="N18" s="11"/>
    </row>
    <row r="19" spans="1:14" ht="15.75" customHeight="1" x14ac:dyDescent="0.25">
      <c r="A19" s="11"/>
      <c r="B19" s="11"/>
      <c r="C19" s="11"/>
      <c r="D19" s="11"/>
      <c r="E19" s="11"/>
      <c r="F19" s="11"/>
      <c r="G19" s="15" t="str">
        <f t="shared" si="0"/>
        <v/>
      </c>
      <c r="H19" s="13" t="str">
        <f t="shared" si="1"/>
        <v/>
      </c>
      <c r="I19" s="16" t="str">
        <f t="shared" si="2"/>
        <v/>
      </c>
      <c r="J19" s="11"/>
      <c r="K19" s="11"/>
      <c r="L19" s="11"/>
      <c r="M19" s="11"/>
      <c r="N19" s="11"/>
    </row>
    <row r="20" spans="1:14" ht="15.75" customHeight="1" x14ac:dyDescent="0.25">
      <c r="A20" s="11"/>
      <c r="B20" s="11"/>
      <c r="C20" s="11"/>
      <c r="D20" s="11"/>
      <c r="E20" s="11"/>
      <c r="F20" s="11"/>
      <c r="G20" s="15" t="str">
        <f t="shared" si="0"/>
        <v/>
      </c>
      <c r="H20" s="13" t="str">
        <f t="shared" si="1"/>
        <v/>
      </c>
      <c r="I20" s="16" t="str">
        <f t="shared" si="2"/>
        <v/>
      </c>
      <c r="J20" s="11"/>
      <c r="K20" s="11"/>
      <c r="L20" s="11"/>
      <c r="M20" s="11"/>
      <c r="N20" s="11"/>
    </row>
    <row r="21" spans="1:14" ht="15.75" customHeight="1" x14ac:dyDescent="0.25">
      <c r="A21" s="11"/>
      <c r="B21" s="11"/>
      <c r="C21" s="11"/>
      <c r="D21" s="11"/>
      <c r="E21" s="11"/>
      <c r="F21" s="11"/>
      <c r="G21" s="15" t="str">
        <f t="shared" si="0"/>
        <v/>
      </c>
      <c r="H21" s="13" t="str">
        <f t="shared" si="1"/>
        <v/>
      </c>
      <c r="I21" s="16" t="str">
        <f t="shared" si="2"/>
        <v/>
      </c>
      <c r="J21" s="11"/>
      <c r="K21" s="11"/>
      <c r="L21" s="11"/>
      <c r="M21" s="11"/>
      <c r="N21" s="11"/>
    </row>
    <row r="22" spans="1:14" ht="15.75" customHeight="1" x14ac:dyDescent="0.25">
      <c r="A22" s="11"/>
      <c r="B22" s="11"/>
      <c r="C22" s="11"/>
      <c r="D22" s="11"/>
      <c r="E22" s="11"/>
      <c r="F22" s="11"/>
      <c r="G22" s="15" t="str">
        <f t="shared" si="0"/>
        <v/>
      </c>
      <c r="H22" s="13" t="str">
        <f t="shared" si="1"/>
        <v/>
      </c>
      <c r="I22" s="16" t="str">
        <f t="shared" si="2"/>
        <v/>
      </c>
      <c r="J22" s="11"/>
      <c r="K22" s="11"/>
      <c r="L22" s="11"/>
      <c r="M22" s="11"/>
      <c r="N22" s="11"/>
    </row>
    <row r="23" spans="1:14" ht="15.75" customHeight="1" x14ac:dyDescent="0.25">
      <c r="A23" s="11"/>
      <c r="B23" s="11"/>
      <c r="C23" s="11"/>
      <c r="D23" s="11"/>
      <c r="E23" s="11"/>
      <c r="F23" s="11"/>
      <c r="G23" s="15" t="str">
        <f t="shared" si="0"/>
        <v/>
      </c>
      <c r="H23" s="13" t="str">
        <f t="shared" si="1"/>
        <v/>
      </c>
      <c r="I23" s="16" t="str">
        <f t="shared" si="2"/>
        <v/>
      </c>
      <c r="J23" s="11"/>
      <c r="K23" s="11"/>
      <c r="L23" s="11"/>
      <c r="M23" s="11"/>
      <c r="N23" s="11"/>
    </row>
    <row r="24" spans="1:14" ht="15.75" customHeight="1" x14ac:dyDescent="0.25">
      <c r="A24" s="11"/>
      <c r="B24" s="11"/>
      <c r="C24" s="11"/>
      <c r="D24" s="11"/>
      <c r="E24" s="11"/>
      <c r="F24" s="11"/>
      <c r="G24" s="15" t="str">
        <f t="shared" si="0"/>
        <v/>
      </c>
      <c r="H24" s="13" t="str">
        <f t="shared" si="1"/>
        <v/>
      </c>
      <c r="I24" s="16" t="str">
        <f t="shared" si="2"/>
        <v/>
      </c>
      <c r="J24" s="11"/>
      <c r="K24" s="11"/>
      <c r="L24" s="11"/>
      <c r="M24" s="11"/>
      <c r="N24" s="11"/>
    </row>
    <row r="25" spans="1:14" ht="15.75" customHeight="1" x14ac:dyDescent="0.25">
      <c r="A25" s="11"/>
      <c r="B25" s="11"/>
      <c r="C25" s="11"/>
      <c r="D25" s="11"/>
      <c r="E25" s="11"/>
      <c r="F25" s="11"/>
      <c r="G25" s="15" t="str">
        <f t="shared" si="0"/>
        <v/>
      </c>
      <c r="H25" s="13" t="str">
        <f t="shared" si="1"/>
        <v/>
      </c>
      <c r="I25" s="16" t="str">
        <f t="shared" si="2"/>
        <v/>
      </c>
      <c r="J25" s="11"/>
      <c r="K25" s="11"/>
      <c r="L25" s="11"/>
      <c r="M25" s="11"/>
      <c r="N25" s="11"/>
    </row>
    <row r="26" spans="1:14" ht="15.75" customHeight="1" x14ac:dyDescent="0.25">
      <c r="A26" s="11"/>
      <c r="B26" s="11"/>
      <c r="C26" s="11"/>
      <c r="D26" s="11"/>
      <c r="E26" s="11"/>
      <c r="F26" s="11"/>
      <c r="G26" s="15" t="str">
        <f t="shared" si="0"/>
        <v/>
      </c>
      <c r="H26" s="13" t="str">
        <f t="shared" si="1"/>
        <v/>
      </c>
      <c r="I26" s="16" t="str">
        <f t="shared" si="2"/>
        <v/>
      </c>
      <c r="J26" s="11"/>
      <c r="K26" s="11"/>
      <c r="L26" s="11"/>
      <c r="M26" s="11"/>
      <c r="N26" s="11"/>
    </row>
    <row r="27" spans="1:14" ht="15.75" customHeight="1" x14ac:dyDescent="0.25">
      <c r="A27" s="11"/>
      <c r="B27" s="11"/>
      <c r="C27" s="11"/>
      <c r="D27" s="11"/>
      <c r="E27" s="11"/>
      <c r="F27" s="11"/>
      <c r="G27" s="15" t="str">
        <f t="shared" si="0"/>
        <v/>
      </c>
      <c r="H27" s="13" t="str">
        <f t="shared" si="1"/>
        <v/>
      </c>
      <c r="I27" s="16" t="str">
        <f t="shared" si="2"/>
        <v/>
      </c>
      <c r="J27" s="11"/>
      <c r="K27" s="11"/>
      <c r="L27" s="11"/>
      <c r="M27" s="11"/>
      <c r="N27" s="11"/>
    </row>
    <row r="28" spans="1:14" ht="15.75" customHeight="1" x14ac:dyDescent="0.25">
      <c r="A28" s="11"/>
      <c r="B28" s="11"/>
      <c r="C28" s="11"/>
      <c r="D28" s="11"/>
      <c r="E28" s="11"/>
      <c r="F28" s="11"/>
      <c r="G28" s="15" t="str">
        <f t="shared" si="0"/>
        <v/>
      </c>
      <c r="H28" s="13" t="str">
        <f t="shared" si="1"/>
        <v/>
      </c>
      <c r="I28" s="16" t="str">
        <f t="shared" si="2"/>
        <v/>
      </c>
      <c r="J28" s="11"/>
      <c r="K28" s="11"/>
      <c r="L28" s="11"/>
      <c r="M28" s="11"/>
      <c r="N28" s="11"/>
    </row>
    <row r="29" spans="1:14" ht="15.75" customHeight="1" x14ac:dyDescent="0.25">
      <c r="A29" s="11"/>
      <c r="B29" s="11"/>
      <c r="C29" s="11"/>
      <c r="D29" s="11"/>
      <c r="E29" s="11"/>
      <c r="F29" s="11"/>
      <c r="G29" s="15" t="str">
        <f t="shared" si="0"/>
        <v/>
      </c>
      <c r="H29" s="13" t="str">
        <f t="shared" si="1"/>
        <v/>
      </c>
      <c r="I29" s="16" t="str">
        <f t="shared" si="2"/>
        <v/>
      </c>
      <c r="J29" s="11"/>
      <c r="K29" s="11"/>
      <c r="L29" s="11"/>
      <c r="M29" s="11"/>
      <c r="N29" s="11"/>
    </row>
    <row r="30" spans="1:14" ht="15.75" customHeight="1" x14ac:dyDescent="0.25">
      <c r="A30" s="11"/>
      <c r="B30" s="11"/>
      <c r="C30" s="11"/>
      <c r="D30" s="11"/>
      <c r="E30" s="11"/>
      <c r="F30" s="11"/>
      <c r="G30" s="15" t="str">
        <f t="shared" si="0"/>
        <v/>
      </c>
      <c r="H30" s="13" t="str">
        <f t="shared" si="1"/>
        <v/>
      </c>
      <c r="I30" s="16" t="str">
        <f t="shared" si="2"/>
        <v/>
      </c>
      <c r="J30" s="11"/>
      <c r="K30" s="11"/>
      <c r="L30" s="11"/>
      <c r="M30" s="11"/>
      <c r="N30" s="11"/>
    </row>
    <row r="31" spans="1:14" ht="15.75" customHeight="1" x14ac:dyDescent="0.25">
      <c r="A31" s="11"/>
      <c r="B31" s="11"/>
      <c r="C31" s="11"/>
      <c r="D31" s="11"/>
      <c r="E31" s="11"/>
      <c r="F31" s="11"/>
      <c r="G31" s="15" t="str">
        <f t="shared" si="0"/>
        <v/>
      </c>
      <c r="H31" s="13" t="str">
        <f t="shared" si="1"/>
        <v/>
      </c>
      <c r="I31" s="16" t="str">
        <f t="shared" si="2"/>
        <v/>
      </c>
      <c r="J31" s="11"/>
      <c r="K31" s="11"/>
      <c r="L31" s="11"/>
      <c r="M31" s="11"/>
      <c r="N31" s="11"/>
    </row>
    <row r="32" spans="1:14" ht="15.75" customHeight="1" x14ac:dyDescent="0.25">
      <c r="A32" s="11"/>
      <c r="B32" s="11"/>
      <c r="C32" s="11"/>
      <c r="D32" s="11"/>
      <c r="E32" s="11"/>
      <c r="F32" s="11"/>
      <c r="G32" s="15" t="str">
        <f t="shared" si="0"/>
        <v/>
      </c>
      <c r="H32" s="13" t="str">
        <f t="shared" si="1"/>
        <v/>
      </c>
      <c r="I32" s="16" t="str">
        <f t="shared" si="2"/>
        <v/>
      </c>
      <c r="J32" s="11"/>
      <c r="K32" s="11"/>
      <c r="L32" s="11"/>
      <c r="M32" s="11"/>
      <c r="N32" s="11"/>
    </row>
    <row r="33" spans="1:14" ht="15.75" customHeight="1" x14ac:dyDescent="0.25">
      <c r="A33" s="11"/>
      <c r="B33" s="11"/>
      <c r="C33" s="11"/>
      <c r="D33" s="11"/>
      <c r="E33" s="11"/>
      <c r="F33" s="11"/>
      <c r="G33" s="15" t="str">
        <f t="shared" si="0"/>
        <v/>
      </c>
      <c r="H33" s="13" t="str">
        <f t="shared" si="1"/>
        <v/>
      </c>
      <c r="I33" s="16" t="str">
        <f t="shared" si="2"/>
        <v/>
      </c>
      <c r="J33" s="11"/>
      <c r="K33" s="11"/>
      <c r="L33" s="11"/>
      <c r="M33" s="11"/>
      <c r="N33" s="11"/>
    </row>
    <row r="34" spans="1:14" ht="15.75" customHeight="1" x14ac:dyDescent="0.25">
      <c r="A34" s="11"/>
      <c r="B34" s="11"/>
      <c r="C34" s="11"/>
      <c r="D34" s="11"/>
      <c r="E34" s="11"/>
      <c r="F34" s="11"/>
      <c r="G34" s="15" t="str">
        <f t="shared" si="0"/>
        <v/>
      </c>
      <c r="H34" s="13" t="str">
        <f t="shared" si="1"/>
        <v/>
      </c>
      <c r="I34" s="16" t="str">
        <f t="shared" si="2"/>
        <v/>
      </c>
      <c r="J34" s="11"/>
      <c r="K34" s="11"/>
      <c r="L34" s="11"/>
      <c r="M34" s="11"/>
      <c r="N34" s="11"/>
    </row>
    <row r="35" spans="1:14" ht="15.75" customHeight="1" x14ac:dyDescent="0.25">
      <c r="A35" s="11"/>
      <c r="B35" s="11"/>
      <c r="C35" s="11"/>
      <c r="D35" s="11"/>
      <c r="E35" s="11"/>
      <c r="F35" s="11"/>
      <c r="G35" s="15" t="str">
        <f t="shared" si="0"/>
        <v/>
      </c>
      <c r="H35" s="13" t="str">
        <f t="shared" si="1"/>
        <v/>
      </c>
      <c r="I35" s="16" t="str">
        <f t="shared" si="2"/>
        <v/>
      </c>
      <c r="J35" s="11"/>
      <c r="K35" s="11"/>
      <c r="L35" s="11"/>
      <c r="M35" s="11"/>
      <c r="N35" s="11"/>
    </row>
    <row r="36" spans="1:14" ht="15.75" customHeight="1" x14ac:dyDescent="0.25">
      <c r="A36" s="11"/>
      <c r="B36" s="11"/>
      <c r="C36" s="11"/>
      <c r="D36" s="11"/>
      <c r="E36" s="11"/>
      <c r="F36" s="11"/>
      <c r="G36" s="15" t="str">
        <f t="shared" si="0"/>
        <v/>
      </c>
      <c r="H36" s="13" t="str">
        <f t="shared" si="1"/>
        <v/>
      </c>
      <c r="I36" s="16" t="str">
        <f t="shared" si="2"/>
        <v/>
      </c>
      <c r="J36" s="11"/>
      <c r="K36" s="11"/>
      <c r="L36" s="11"/>
      <c r="M36" s="11"/>
      <c r="N36" s="11"/>
    </row>
    <row r="37" spans="1:14" ht="15.75" customHeight="1" x14ac:dyDescent="0.25">
      <c r="A37" s="11"/>
      <c r="B37" s="11"/>
      <c r="C37" s="11"/>
      <c r="D37" s="11"/>
      <c r="E37" s="11"/>
      <c r="F37" s="11"/>
      <c r="G37" s="15" t="str">
        <f t="shared" si="0"/>
        <v/>
      </c>
      <c r="H37" s="13" t="str">
        <f t="shared" si="1"/>
        <v/>
      </c>
      <c r="I37" s="16" t="str">
        <f t="shared" si="2"/>
        <v/>
      </c>
      <c r="J37" s="11"/>
      <c r="K37" s="11"/>
      <c r="L37" s="11"/>
      <c r="M37" s="11"/>
      <c r="N37" s="11"/>
    </row>
    <row r="38" spans="1:14" ht="15.75" customHeight="1" x14ac:dyDescent="0.25">
      <c r="A38" s="11"/>
      <c r="B38" s="11"/>
      <c r="C38" s="11"/>
      <c r="D38" s="11"/>
      <c r="E38" s="11"/>
      <c r="F38" s="11"/>
      <c r="G38" s="15" t="str">
        <f t="shared" si="0"/>
        <v/>
      </c>
      <c r="H38" s="13" t="str">
        <f t="shared" si="1"/>
        <v/>
      </c>
      <c r="I38" s="16" t="str">
        <f t="shared" si="2"/>
        <v/>
      </c>
      <c r="J38" s="11"/>
      <c r="K38" s="11"/>
      <c r="L38" s="11"/>
      <c r="M38" s="11"/>
      <c r="N38" s="11"/>
    </row>
    <row r="39" spans="1:14" ht="15.75" customHeight="1" x14ac:dyDescent="0.25">
      <c r="A39" s="11"/>
      <c r="B39" s="11"/>
      <c r="C39" s="11"/>
      <c r="D39" s="11"/>
      <c r="E39" s="11"/>
      <c r="F39" s="11"/>
      <c r="G39" s="15" t="str">
        <f t="shared" si="0"/>
        <v/>
      </c>
      <c r="H39" s="13" t="str">
        <f t="shared" si="1"/>
        <v/>
      </c>
      <c r="I39" s="16" t="str">
        <f t="shared" si="2"/>
        <v/>
      </c>
      <c r="J39" s="11"/>
      <c r="K39" s="11"/>
      <c r="L39" s="11"/>
      <c r="M39" s="11"/>
      <c r="N39" s="11"/>
    </row>
    <row r="40" spans="1:14" ht="15.75" customHeight="1" x14ac:dyDescent="0.25">
      <c r="A40" s="11"/>
      <c r="B40" s="11"/>
      <c r="C40" s="11"/>
      <c r="D40" s="11"/>
      <c r="E40" s="11"/>
      <c r="F40" s="11"/>
      <c r="G40" s="15" t="str">
        <f t="shared" si="0"/>
        <v/>
      </c>
      <c r="H40" s="13" t="str">
        <f t="shared" si="1"/>
        <v/>
      </c>
      <c r="I40" s="16" t="str">
        <f t="shared" si="2"/>
        <v/>
      </c>
      <c r="J40" s="11"/>
      <c r="K40" s="11"/>
      <c r="L40" s="11"/>
      <c r="M40" s="11"/>
      <c r="N40" s="11"/>
    </row>
    <row r="41" spans="1:14" ht="15.75" customHeight="1" x14ac:dyDescent="0.25">
      <c r="A41" s="11"/>
      <c r="B41" s="11"/>
      <c r="C41" s="11"/>
      <c r="D41" s="11"/>
      <c r="E41" s="11"/>
      <c r="F41" s="11"/>
      <c r="G41" s="15" t="str">
        <f t="shared" si="0"/>
        <v/>
      </c>
      <c r="H41" s="13" t="str">
        <f t="shared" si="1"/>
        <v/>
      </c>
      <c r="I41" s="16" t="str">
        <f t="shared" si="2"/>
        <v/>
      </c>
      <c r="J41" s="11"/>
      <c r="K41" s="11"/>
      <c r="L41" s="11"/>
      <c r="M41" s="11"/>
      <c r="N41" s="11"/>
    </row>
    <row r="42" spans="1:14" ht="15.75" customHeight="1" x14ac:dyDescent="0.25">
      <c r="A42" s="11"/>
      <c r="B42" s="11"/>
      <c r="C42" s="11"/>
      <c r="D42" s="11"/>
      <c r="E42" s="11"/>
      <c r="F42" s="11"/>
      <c r="G42" s="15" t="str">
        <f t="shared" si="0"/>
        <v/>
      </c>
      <c r="H42" s="13" t="str">
        <f t="shared" si="1"/>
        <v/>
      </c>
      <c r="I42" s="16" t="str">
        <f t="shared" si="2"/>
        <v/>
      </c>
      <c r="J42" s="11"/>
      <c r="K42" s="11"/>
      <c r="L42" s="11"/>
      <c r="M42" s="11"/>
      <c r="N42" s="11"/>
    </row>
    <row r="43" spans="1:14" ht="15.75" customHeight="1" x14ac:dyDescent="0.25">
      <c r="A43" s="11"/>
      <c r="B43" s="11"/>
      <c r="C43" s="11"/>
      <c r="D43" s="11"/>
      <c r="E43" s="11"/>
      <c r="F43" s="11"/>
      <c r="G43" s="15" t="str">
        <f t="shared" si="0"/>
        <v/>
      </c>
      <c r="H43" s="13" t="str">
        <f t="shared" si="1"/>
        <v/>
      </c>
      <c r="I43" s="16" t="str">
        <f t="shared" si="2"/>
        <v/>
      </c>
      <c r="J43" s="11"/>
      <c r="K43" s="11"/>
      <c r="L43" s="11"/>
      <c r="M43" s="11"/>
      <c r="N43" s="11"/>
    </row>
    <row r="44" spans="1:14" ht="15.75" customHeight="1" x14ac:dyDescent="0.25">
      <c r="A44" s="11"/>
      <c r="B44" s="11"/>
      <c r="C44" s="11"/>
      <c r="D44" s="11"/>
      <c r="E44" s="11"/>
      <c r="F44" s="11"/>
      <c r="G44" s="15" t="str">
        <f t="shared" si="0"/>
        <v/>
      </c>
      <c r="H44" s="13" t="str">
        <f t="shared" si="1"/>
        <v/>
      </c>
      <c r="I44" s="16" t="str">
        <f t="shared" si="2"/>
        <v/>
      </c>
      <c r="J44" s="11"/>
      <c r="K44" s="11"/>
      <c r="L44" s="11"/>
      <c r="M44" s="11"/>
      <c r="N44" s="11"/>
    </row>
    <row r="45" spans="1:14" ht="15.75" customHeight="1" x14ac:dyDescent="0.25">
      <c r="A45" s="11"/>
      <c r="B45" s="11"/>
      <c r="C45" s="11"/>
      <c r="D45" s="11"/>
      <c r="E45" s="11"/>
      <c r="F45" s="11"/>
      <c r="G45" s="15" t="str">
        <f t="shared" si="0"/>
        <v/>
      </c>
      <c r="H45" s="13" t="str">
        <f t="shared" si="1"/>
        <v/>
      </c>
      <c r="I45" s="16" t="str">
        <f t="shared" si="2"/>
        <v/>
      </c>
      <c r="J45" s="11"/>
      <c r="K45" s="11"/>
      <c r="L45" s="11"/>
      <c r="M45" s="11"/>
      <c r="N45" s="11"/>
    </row>
    <row r="46" spans="1:14" ht="15.75" customHeight="1" x14ac:dyDescent="0.25">
      <c r="A46" s="11"/>
      <c r="B46" s="11"/>
      <c r="C46" s="11"/>
      <c r="D46" s="11"/>
      <c r="E46" s="11"/>
      <c r="F46" s="11"/>
      <c r="G46" s="15" t="str">
        <f t="shared" si="0"/>
        <v/>
      </c>
      <c r="H46" s="13" t="str">
        <f t="shared" si="1"/>
        <v/>
      </c>
      <c r="I46" s="16" t="str">
        <f t="shared" si="2"/>
        <v/>
      </c>
      <c r="J46" s="11"/>
      <c r="K46" s="11"/>
      <c r="L46" s="11"/>
      <c r="M46" s="11"/>
      <c r="N46" s="11"/>
    </row>
    <row r="47" spans="1:14" ht="15.75" customHeight="1" x14ac:dyDescent="0.25">
      <c r="A47" s="11"/>
      <c r="B47" s="11"/>
      <c r="C47" s="11"/>
      <c r="D47" s="11"/>
      <c r="E47" s="11"/>
      <c r="F47" s="11"/>
      <c r="G47" s="15" t="str">
        <f t="shared" si="0"/>
        <v/>
      </c>
      <c r="H47" s="13" t="str">
        <f t="shared" si="1"/>
        <v/>
      </c>
      <c r="I47" s="16" t="str">
        <f t="shared" si="2"/>
        <v/>
      </c>
      <c r="J47" s="11"/>
      <c r="K47" s="11"/>
      <c r="L47" s="11"/>
      <c r="M47" s="11"/>
      <c r="N47" s="11"/>
    </row>
    <row r="48" spans="1:14" ht="15.75" customHeight="1" x14ac:dyDescent="0.25">
      <c r="A48" s="11"/>
      <c r="B48" s="11"/>
      <c r="C48" s="11"/>
      <c r="D48" s="11"/>
      <c r="E48" s="11"/>
      <c r="F48" s="11"/>
      <c r="G48" s="15" t="str">
        <f t="shared" si="0"/>
        <v/>
      </c>
      <c r="H48" s="13" t="str">
        <f t="shared" si="1"/>
        <v/>
      </c>
      <c r="I48" s="16" t="str">
        <f t="shared" si="2"/>
        <v/>
      </c>
      <c r="J48" s="11"/>
      <c r="K48" s="11"/>
      <c r="L48" s="11"/>
      <c r="M48" s="11"/>
      <c r="N48" s="11"/>
    </row>
    <row r="49" spans="1:14" ht="15.75" customHeight="1" x14ac:dyDescent="0.25">
      <c r="A49" s="11"/>
      <c r="B49" s="11"/>
      <c r="C49" s="11"/>
      <c r="D49" s="11"/>
      <c r="E49" s="11"/>
      <c r="F49" s="11"/>
      <c r="G49" s="15" t="str">
        <f t="shared" si="0"/>
        <v/>
      </c>
      <c r="H49" s="13" t="str">
        <f t="shared" si="1"/>
        <v/>
      </c>
      <c r="I49" s="16" t="str">
        <f t="shared" si="2"/>
        <v/>
      </c>
      <c r="J49" s="11"/>
      <c r="K49" s="11"/>
      <c r="L49" s="11"/>
      <c r="M49" s="11"/>
      <c r="N49" s="11"/>
    </row>
    <row r="50" spans="1:14" ht="15.75" customHeight="1" x14ac:dyDescent="0.25">
      <c r="A50" s="11"/>
      <c r="B50" s="11"/>
      <c r="C50" s="11"/>
      <c r="D50" s="11"/>
      <c r="E50" s="11"/>
      <c r="F50" s="11"/>
      <c r="G50" s="15" t="str">
        <f t="shared" si="0"/>
        <v/>
      </c>
      <c r="H50" s="13" t="str">
        <f t="shared" si="1"/>
        <v/>
      </c>
      <c r="I50" s="16" t="str">
        <f t="shared" si="2"/>
        <v/>
      </c>
      <c r="J50" s="11"/>
      <c r="K50" s="11"/>
      <c r="L50" s="11"/>
      <c r="M50" s="11"/>
      <c r="N50" s="11"/>
    </row>
    <row r="51" spans="1:14" ht="15.75" customHeight="1" x14ac:dyDescent="0.25">
      <c r="A51" s="11"/>
      <c r="B51" s="11"/>
      <c r="C51" s="11"/>
      <c r="D51" s="11"/>
      <c r="E51" s="11"/>
      <c r="F51" s="11"/>
      <c r="G51" s="15" t="str">
        <f t="shared" si="0"/>
        <v/>
      </c>
      <c r="H51" s="13" t="str">
        <f t="shared" si="1"/>
        <v/>
      </c>
      <c r="I51" s="16" t="str">
        <f t="shared" si="2"/>
        <v/>
      </c>
      <c r="J51" s="11"/>
      <c r="K51" s="11"/>
      <c r="L51" s="11"/>
      <c r="M51" s="11"/>
      <c r="N51" s="11"/>
    </row>
    <row r="52" spans="1:14" ht="15.75" customHeight="1" x14ac:dyDescent="0.25">
      <c r="A52" s="11"/>
      <c r="B52" s="11"/>
      <c r="C52" s="11"/>
      <c r="D52" s="11"/>
      <c r="E52" s="11"/>
      <c r="F52" s="11"/>
      <c r="G52" s="15" t="str">
        <f t="shared" si="0"/>
        <v/>
      </c>
      <c r="H52" s="13" t="str">
        <f t="shared" si="1"/>
        <v/>
      </c>
      <c r="I52" s="16" t="str">
        <f t="shared" si="2"/>
        <v/>
      </c>
      <c r="J52" s="11"/>
      <c r="K52" s="11"/>
      <c r="L52" s="11"/>
      <c r="M52" s="11"/>
      <c r="N52" s="11"/>
    </row>
    <row r="53" spans="1:14" ht="15.75" customHeight="1" x14ac:dyDescent="0.25">
      <c r="A53" s="11"/>
      <c r="B53" s="11"/>
      <c r="C53" s="11"/>
      <c r="D53" s="11"/>
      <c r="E53" s="11"/>
      <c r="F53" s="11"/>
      <c r="G53" s="15" t="str">
        <f t="shared" si="0"/>
        <v/>
      </c>
      <c r="H53" s="13" t="str">
        <f t="shared" si="1"/>
        <v/>
      </c>
      <c r="I53" s="16" t="str">
        <f t="shared" si="2"/>
        <v/>
      </c>
      <c r="J53" s="11"/>
      <c r="K53" s="11"/>
      <c r="L53" s="11"/>
      <c r="M53" s="11"/>
      <c r="N53" s="11"/>
    </row>
    <row r="54" spans="1:14" ht="15.75" customHeight="1" x14ac:dyDescent="0.25">
      <c r="A54" s="11"/>
      <c r="B54" s="11"/>
      <c r="C54" s="11"/>
      <c r="D54" s="11"/>
      <c r="E54" s="11"/>
      <c r="F54" s="11"/>
      <c r="G54" s="15" t="str">
        <f t="shared" si="0"/>
        <v/>
      </c>
      <c r="H54" s="13" t="str">
        <f t="shared" si="1"/>
        <v/>
      </c>
      <c r="I54" s="16" t="str">
        <f t="shared" si="2"/>
        <v/>
      </c>
      <c r="J54" s="11"/>
      <c r="K54" s="11"/>
      <c r="L54" s="11"/>
      <c r="M54" s="11"/>
      <c r="N54" s="11"/>
    </row>
    <row r="55" spans="1:14" ht="15.75" customHeight="1" x14ac:dyDescent="0.25">
      <c r="A55" s="11"/>
      <c r="B55" s="11"/>
      <c r="C55" s="11"/>
      <c r="D55" s="11"/>
      <c r="E55" s="11"/>
      <c r="F55" s="11"/>
      <c r="G55" s="15" t="str">
        <f t="shared" si="0"/>
        <v/>
      </c>
      <c r="H55" s="13" t="str">
        <f t="shared" si="1"/>
        <v/>
      </c>
      <c r="I55" s="16" t="str">
        <f t="shared" si="2"/>
        <v/>
      </c>
      <c r="J55" s="11"/>
      <c r="K55" s="11"/>
      <c r="L55" s="11"/>
      <c r="M55" s="11"/>
      <c r="N55" s="11"/>
    </row>
    <row r="56" spans="1:14" ht="15.75" customHeight="1" x14ac:dyDescent="0.25">
      <c r="A56" s="11"/>
      <c r="B56" s="11"/>
      <c r="C56" s="11"/>
      <c r="D56" s="11"/>
      <c r="E56" s="11"/>
      <c r="F56" s="11"/>
      <c r="G56" s="15" t="str">
        <f t="shared" si="0"/>
        <v/>
      </c>
      <c r="H56" s="13" t="str">
        <f t="shared" si="1"/>
        <v/>
      </c>
      <c r="I56" s="16" t="str">
        <f t="shared" si="2"/>
        <v/>
      </c>
      <c r="J56" s="11"/>
      <c r="K56" s="11"/>
      <c r="L56" s="11"/>
      <c r="M56" s="11"/>
      <c r="N56" s="11"/>
    </row>
    <row r="57" spans="1:14" ht="15.75" customHeight="1" x14ac:dyDescent="0.25">
      <c r="A57" s="11"/>
      <c r="B57" s="11"/>
      <c r="C57" s="11"/>
      <c r="D57" s="11"/>
      <c r="E57" s="11"/>
      <c r="F57" s="11"/>
      <c r="G57" s="15" t="str">
        <f t="shared" si="0"/>
        <v/>
      </c>
      <c r="H57" s="13" t="str">
        <f t="shared" si="1"/>
        <v/>
      </c>
      <c r="I57" s="16" t="str">
        <f t="shared" si="2"/>
        <v/>
      </c>
      <c r="J57" s="11"/>
      <c r="K57" s="11"/>
      <c r="L57" s="11"/>
      <c r="M57" s="11"/>
      <c r="N57" s="11"/>
    </row>
    <row r="58" spans="1:14" ht="15.75" customHeight="1" x14ac:dyDescent="0.25">
      <c r="A58" s="11"/>
      <c r="B58" s="11"/>
      <c r="C58" s="11"/>
      <c r="D58" s="11"/>
      <c r="E58" s="11"/>
      <c r="F58" s="11"/>
      <c r="G58" s="15" t="str">
        <f t="shared" si="0"/>
        <v/>
      </c>
      <c r="H58" s="13" t="str">
        <f t="shared" si="1"/>
        <v/>
      </c>
      <c r="I58" s="16" t="str">
        <f t="shared" si="2"/>
        <v/>
      </c>
      <c r="J58" s="11"/>
      <c r="K58" s="11"/>
      <c r="L58" s="11"/>
      <c r="M58" s="11"/>
      <c r="N58" s="11"/>
    </row>
    <row r="59" spans="1:14" ht="15.75" customHeight="1" x14ac:dyDescent="0.25">
      <c r="A59" s="11"/>
      <c r="B59" s="11"/>
      <c r="C59" s="11"/>
      <c r="D59" s="11"/>
      <c r="E59" s="11"/>
      <c r="F59" s="11"/>
      <c r="G59" s="15" t="str">
        <f t="shared" si="0"/>
        <v/>
      </c>
      <c r="H59" s="13" t="str">
        <f t="shared" si="1"/>
        <v/>
      </c>
      <c r="I59" s="16" t="str">
        <f t="shared" si="2"/>
        <v/>
      </c>
      <c r="J59" s="11"/>
      <c r="K59" s="11"/>
      <c r="L59" s="11"/>
      <c r="M59" s="11"/>
      <c r="N59" s="11"/>
    </row>
    <row r="60" spans="1:14" ht="15.75" customHeight="1" x14ac:dyDescent="0.25">
      <c r="A60" s="11"/>
      <c r="B60" s="11"/>
      <c r="C60" s="11"/>
      <c r="D60" s="11"/>
      <c r="E60" s="11"/>
      <c r="F60" s="11"/>
      <c r="G60" s="15" t="str">
        <f t="shared" si="0"/>
        <v/>
      </c>
      <c r="H60" s="13" t="str">
        <f t="shared" si="1"/>
        <v/>
      </c>
      <c r="I60" s="16" t="str">
        <f t="shared" si="2"/>
        <v/>
      </c>
      <c r="J60" s="11"/>
      <c r="K60" s="11"/>
      <c r="L60" s="11"/>
      <c r="M60" s="11"/>
      <c r="N60" s="11"/>
    </row>
    <row r="61" spans="1:14" ht="15.75" customHeight="1" x14ac:dyDescent="0.25">
      <c r="A61" s="11"/>
      <c r="B61" s="11"/>
      <c r="C61" s="11"/>
      <c r="D61" s="11"/>
      <c r="E61" s="11"/>
      <c r="F61" s="11"/>
      <c r="G61" s="15" t="str">
        <f t="shared" si="0"/>
        <v/>
      </c>
      <c r="H61" s="13" t="str">
        <f t="shared" si="1"/>
        <v/>
      </c>
      <c r="I61" s="16" t="str">
        <f t="shared" si="2"/>
        <v/>
      </c>
      <c r="J61" s="11"/>
      <c r="K61" s="11"/>
      <c r="L61" s="11"/>
      <c r="M61" s="11"/>
      <c r="N61" s="11"/>
    </row>
    <row r="62" spans="1:14" ht="15.75" customHeight="1" x14ac:dyDescent="0.25">
      <c r="A62" s="11"/>
      <c r="B62" s="11"/>
      <c r="C62" s="11"/>
      <c r="D62" s="11"/>
      <c r="E62" s="11"/>
      <c r="F62" s="11"/>
      <c r="G62" s="15" t="str">
        <f t="shared" si="0"/>
        <v/>
      </c>
      <c r="H62" s="13" t="str">
        <f t="shared" si="1"/>
        <v/>
      </c>
      <c r="I62" s="16" t="str">
        <f t="shared" si="2"/>
        <v/>
      </c>
      <c r="J62" s="11"/>
      <c r="K62" s="11"/>
      <c r="L62" s="11"/>
      <c r="M62" s="11"/>
      <c r="N62" s="11"/>
    </row>
    <row r="63" spans="1:14" ht="15.75" customHeight="1" x14ac:dyDescent="0.25">
      <c r="A63" s="11"/>
      <c r="B63" s="11"/>
      <c r="C63" s="11"/>
      <c r="D63" s="11"/>
      <c r="E63" s="11"/>
      <c r="F63" s="11"/>
      <c r="G63" s="15" t="str">
        <f t="shared" si="0"/>
        <v/>
      </c>
      <c r="H63" s="13" t="str">
        <f t="shared" si="1"/>
        <v/>
      </c>
      <c r="I63" s="16" t="str">
        <f t="shared" si="2"/>
        <v/>
      </c>
      <c r="J63" s="11"/>
      <c r="K63" s="11"/>
      <c r="L63" s="11"/>
      <c r="M63" s="11"/>
      <c r="N63" s="11"/>
    </row>
    <row r="64" spans="1:14" ht="15.75" customHeight="1" x14ac:dyDescent="0.25">
      <c r="A64" s="11"/>
      <c r="B64" s="11"/>
      <c r="C64" s="11"/>
      <c r="D64" s="11"/>
      <c r="E64" s="11"/>
      <c r="F64" s="11"/>
      <c r="G64" s="15" t="str">
        <f t="shared" si="0"/>
        <v/>
      </c>
      <c r="H64" s="13" t="str">
        <f t="shared" si="1"/>
        <v/>
      </c>
      <c r="I64" s="16" t="str">
        <f t="shared" si="2"/>
        <v/>
      </c>
      <c r="J64" s="11"/>
      <c r="K64" s="11"/>
      <c r="L64" s="11"/>
      <c r="M64" s="11"/>
      <c r="N64" s="11"/>
    </row>
    <row r="65" spans="1:14" ht="15.75" customHeight="1" x14ac:dyDescent="0.25">
      <c r="A65" s="11"/>
      <c r="B65" s="11"/>
      <c r="C65" s="11"/>
      <c r="D65" s="11"/>
      <c r="E65" s="11"/>
      <c r="F65" s="11"/>
      <c r="G65" s="15" t="str">
        <f t="shared" si="0"/>
        <v/>
      </c>
      <c r="H65" s="13" t="str">
        <f t="shared" si="1"/>
        <v/>
      </c>
      <c r="I65" s="16" t="str">
        <f t="shared" si="2"/>
        <v/>
      </c>
      <c r="J65" s="11"/>
      <c r="K65" s="11"/>
      <c r="L65" s="11"/>
      <c r="M65" s="11"/>
      <c r="N65" s="11"/>
    </row>
    <row r="66" spans="1:14" ht="15.75" customHeight="1" x14ac:dyDescent="0.25">
      <c r="A66" s="11"/>
      <c r="B66" s="11"/>
      <c r="C66" s="11"/>
      <c r="D66" s="11"/>
      <c r="E66" s="11"/>
      <c r="F66" s="11"/>
      <c r="G66" s="15" t="str">
        <f t="shared" si="0"/>
        <v/>
      </c>
      <c r="H66" s="13" t="str">
        <f t="shared" si="1"/>
        <v/>
      </c>
      <c r="I66" s="16" t="str">
        <f t="shared" si="2"/>
        <v/>
      </c>
      <c r="J66" s="11"/>
      <c r="K66" s="11"/>
      <c r="L66" s="11"/>
      <c r="M66" s="11"/>
      <c r="N66" s="11"/>
    </row>
    <row r="67" spans="1:14" ht="15.75" customHeight="1" x14ac:dyDescent="0.25">
      <c r="A67" s="11"/>
      <c r="B67" s="11"/>
      <c r="C67" s="11"/>
      <c r="D67" s="11"/>
      <c r="E67" s="11"/>
      <c r="F67" s="11"/>
      <c r="G67" s="15" t="str">
        <f t="shared" si="0"/>
        <v/>
      </c>
      <c r="H67" s="13" t="str">
        <f t="shared" si="1"/>
        <v/>
      </c>
      <c r="I67" s="16" t="str">
        <f t="shared" si="2"/>
        <v/>
      </c>
      <c r="J67" s="11"/>
      <c r="K67" s="11"/>
      <c r="L67" s="11"/>
      <c r="M67" s="11"/>
      <c r="N67" s="11"/>
    </row>
    <row r="68" spans="1:14" ht="15.75" customHeight="1" x14ac:dyDescent="0.25">
      <c r="A68" s="11"/>
      <c r="B68" s="11"/>
      <c r="C68" s="11"/>
      <c r="D68" s="11"/>
      <c r="E68" s="11"/>
      <c r="F68" s="11"/>
      <c r="G68" s="15" t="str">
        <f t="shared" ref="G68:G131" si="3">IF(E68="","",IF(OR(E68="Withdrawal",E68="Loan Disbursement"),F68,0))</f>
        <v/>
      </c>
      <c r="H68" s="13" t="str">
        <f t="shared" ref="H68:H131" si="4">IF(E68="","",IF(OR(E68="Savings Deposit",E68="Loan Repayment"),F68,0))</f>
        <v/>
      </c>
      <c r="I68" s="16" t="str">
        <f t="shared" si="2"/>
        <v/>
      </c>
      <c r="J68" s="11"/>
      <c r="K68" s="11"/>
      <c r="L68" s="11"/>
      <c r="M68" s="11"/>
      <c r="N68" s="11"/>
    </row>
    <row r="69" spans="1:14" ht="15.75" customHeight="1" x14ac:dyDescent="0.25">
      <c r="A69" s="11"/>
      <c r="B69" s="11"/>
      <c r="C69" s="11"/>
      <c r="D69" s="11"/>
      <c r="E69" s="11"/>
      <c r="F69" s="11"/>
      <c r="G69" s="15" t="str">
        <f t="shared" si="3"/>
        <v/>
      </c>
      <c r="H69" s="13" t="str">
        <f t="shared" si="4"/>
        <v/>
      </c>
      <c r="I69" s="16" t="str">
        <f t="shared" ref="I69:I132" si="5">IF(A69="","",I68+H69-G69)</f>
        <v/>
      </c>
      <c r="J69" s="11"/>
      <c r="K69" s="11"/>
      <c r="L69" s="11"/>
      <c r="M69" s="11"/>
      <c r="N69" s="11"/>
    </row>
    <row r="70" spans="1:14" ht="15.75" customHeight="1" x14ac:dyDescent="0.25">
      <c r="A70" s="11"/>
      <c r="B70" s="11"/>
      <c r="C70" s="11"/>
      <c r="D70" s="11"/>
      <c r="E70" s="11"/>
      <c r="F70" s="11"/>
      <c r="G70" s="15" t="str">
        <f t="shared" si="3"/>
        <v/>
      </c>
      <c r="H70" s="13" t="str">
        <f t="shared" si="4"/>
        <v/>
      </c>
      <c r="I70" s="16" t="str">
        <f t="shared" si="5"/>
        <v/>
      </c>
      <c r="J70" s="11"/>
      <c r="K70" s="11"/>
      <c r="L70" s="11"/>
      <c r="M70" s="11"/>
      <c r="N70" s="11"/>
    </row>
    <row r="71" spans="1:14" ht="15.75" customHeight="1" x14ac:dyDescent="0.25">
      <c r="A71" s="11"/>
      <c r="B71" s="11"/>
      <c r="C71" s="11"/>
      <c r="D71" s="11"/>
      <c r="E71" s="11"/>
      <c r="F71" s="11"/>
      <c r="G71" s="15" t="str">
        <f t="shared" si="3"/>
        <v/>
      </c>
      <c r="H71" s="13" t="str">
        <f t="shared" si="4"/>
        <v/>
      </c>
      <c r="I71" s="16" t="str">
        <f t="shared" si="5"/>
        <v/>
      </c>
      <c r="J71" s="11"/>
      <c r="K71" s="11"/>
      <c r="L71" s="11"/>
      <c r="M71" s="11"/>
      <c r="N71" s="11"/>
    </row>
    <row r="72" spans="1:14" ht="15.75" customHeight="1" x14ac:dyDescent="0.25">
      <c r="A72" s="11"/>
      <c r="B72" s="11"/>
      <c r="C72" s="11"/>
      <c r="D72" s="11"/>
      <c r="E72" s="11"/>
      <c r="F72" s="11"/>
      <c r="G72" s="15" t="str">
        <f t="shared" si="3"/>
        <v/>
      </c>
      <c r="H72" s="13" t="str">
        <f t="shared" si="4"/>
        <v/>
      </c>
      <c r="I72" s="16" t="str">
        <f t="shared" si="5"/>
        <v/>
      </c>
      <c r="J72" s="11"/>
      <c r="K72" s="11"/>
      <c r="L72" s="11"/>
      <c r="M72" s="11"/>
      <c r="N72" s="11"/>
    </row>
    <row r="73" spans="1:14" ht="15.75" customHeight="1" x14ac:dyDescent="0.25">
      <c r="A73" s="11"/>
      <c r="B73" s="11"/>
      <c r="C73" s="11"/>
      <c r="D73" s="11"/>
      <c r="E73" s="11"/>
      <c r="F73" s="11"/>
      <c r="G73" s="15" t="str">
        <f t="shared" si="3"/>
        <v/>
      </c>
      <c r="H73" s="13" t="str">
        <f t="shared" si="4"/>
        <v/>
      </c>
      <c r="I73" s="16" t="str">
        <f t="shared" si="5"/>
        <v/>
      </c>
      <c r="J73" s="11"/>
      <c r="K73" s="11"/>
      <c r="L73" s="11"/>
      <c r="M73" s="11"/>
      <c r="N73" s="11"/>
    </row>
    <row r="74" spans="1:14" ht="15.75" customHeight="1" x14ac:dyDescent="0.25">
      <c r="A74" s="11"/>
      <c r="B74" s="11"/>
      <c r="C74" s="11"/>
      <c r="D74" s="11"/>
      <c r="E74" s="11"/>
      <c r="F74" s="11"/>
      <c r="G74" s="15" t="str">
        <f t="shared" si="3"/>
        <v/>
      </c>
      <c r="H74" s="13" t="str">
        <f t="shared" si="4"/>
        <v/>
      </c>
      <c r="I74" s="16" t="str">
        <f t="shared" si="5"/>
        <v/>
      </c>
      <c r="J74" s="11"/>
      <c r="K74" s="11"/>
      <c r="L74" s="11"/>
      <c r="M74" s="11"/>
      <c r="N74" s="11"/>
    </row>
    <row r="75" spans="1:14" ht="15.75" customHeight="1" x14ac:dyDescent="0.25">
      <c r="A75" s="11"/>
      <c r="B75" s="11"/>
      <c r="C75" s="11"/>
      <c r="D75" s="11"/>
      <c r="E75" s="11"/>
      <c r="F75" s="11"/>
      <c r="G75" s="15" t="str">
        <f t="shared" si="3"/>
        <v/>
      </c>
      <c r="H75" s="13" t="str">
        <f t="shared" si="4"/>
        <v/>
      </c>
      <c r="I75" s="16" t="str">
        <f t="shared" si="5"/>
        <v/>
      </c>
      <c r="J75" s="11"/>
      <c r="K75" s="11"/>
      <c r="L75" s="11"/>
      <c r="M75" s="11"/>
      <c r="N75" s="11"/>
    </row>
    <row r="76" spans="1:14" ht="15.75" customHeight="1" x14ac:dyDescent="0.25">
      <c r="A76" s="11"/>
      <c r="B76" s="11"/>
      <c r="C76" s="11"/>
      <c r="D76" s="11"/>
      <c r="E76" s="11"/>
      <c r="F76" s="11"/>
      <c r="G76" s="15" t="str">
        <f t="shared" si="3"/>
        <v/>
      </c>
      <c r="H76" s="13" t="str">
        <f t="shared" si="4"/>
        <v/>
      </c>
      <c r="I76" s="16" t="str">
        <f t="shared" si="5"/>
        <v/>
      </c>
      <c r="J76" s="11"/>
      <c r="K76" s="11"/>
      <c r="L76" s="11"/>
      <c r="M76" s="11"/>
      <c r="N76" s="11"/>
    </row>
    <row r="77" spans="1:14" ht="15.75" customHeight="1" x14ac:dyDescent="0.25">
      <c r="A77" s="11"/>
      <c r="B77" s="11"/>
      <c r="C77" s="11"/>
      <c r="D77" s="11"/>
      <c r="E77" s="11"/>
      <c r="F77" s="11"/>
      <c r="G77" s="15" t="str">
        <f t="shared" si="3"/>
        <v/>
      </c>
      <c r="H77" s="13" t="str">
        <f t="shared" si="4"/>
        <v/>
      </c>
      <c r="I77" s="16" t="str">
        <f t="shared" si="5"/>
        <v/>
      </c>
      <c r="J77" s="11"/>
      <c r="K77" s="11"/>
      <c r="L77" s="11"/>
      <c r="M77" s="11"/>
      <c r="N77" s="11"/>
    </row>
    <row r="78" spans="1:14" ht="15.75" customHeight="1" x14ac:dyDescent="0.25">
      <c r="A78" s="11"/>
      <c r="B78" s="11"/>
      <c r="C78" s="11"/>
      <c r="D78" s="11"/>
      <c r="E78" s="11"/>
      <c r="F78" s="11"/>
      <c r="G78" s="15" t="str">
        <f t="shared" si="3"/>
        <v/>
      </c>
      <c r="H78" s="13" t="str">
        <f t="shared" si="4"/>
        <v/>
      </c>
      <c r="I78" s="16" t="str">
        <f t="shared" si="5"/>
        <v/>
      </c>
      <c r="J78" s="11"/>
      <c r="K78" s="11"/>
      <c r="L78" s="11"/>
      <c r="M78" s="11"/>
      <c r="N78" s="11"/>
    </row>
    <row r="79" spans="1:14" ht="15.75" customHeight="1" x14ac:dyDescent="0.25">
      <c r="A79" s="11"/>
      <c r="B79" s="11"/>
      <c r="C79" s="11"/>
      <c r="D79" s="11"/>
      <c r="E79" s="11"/>
      <c r="F79" s="11"/>
      <c r="G79" s="15" t="str">
        <f t="shared" si="3"/>
        <v/>
      </c>
      <c r="H79" s="13" t="str">
        <f t="shared" si="4"/>
        <v/>
      </c>
      <c r="I79" s="16" t="str">
        <f t="shared" si="5"/>
        <v/>
      </c>
      <c r="J79" s="11"/>
      <c r="K79" s="11"/>
      <c r="L79" s="11"/>
      <c r="M79" s="11"/>
      <c r="N79" s="11"/>
    </row>
    <row r="80" spans="1:14" ht="15.75" customHeight="1" x14ac:dyDescent="0.25">
      <c r="A80" s="11"/>
      <c r="B80" s="11"/>
      <c r="C80" s="11"/>
      <c r="D80" s="11"/>
      <c r="E80" s="11"/>
      <c r="F80" s="11"/>
      <c r="G80" s="15" t="str">
        <f t="shared" si="3"/>
        <v/>
      </c>
      <c r="H80" s="13" t="str">
        <f t="shared" si="4"/>
        <v/>
      </c>
      <c r="I80" s="16" t="str">
        <f t="shared" si="5"/>
        <v/>
      </c>
      <c r="J80" s="11"/>
      <c r="K80" s="11"/>
      <c r="L80" s="11"/>
      <c r="M80" s="11"/>
      <c r="N80" s="11"/>
    </row>
    <row r="81" spans="1:14" ht="15.75" customHeight="1" x14ac:dyDescent="0.25">
      <c r="A81" s="11"/>
      <c r="B81" s="11"/>
      <c r="C81" s="11"/>
      <c r="D81" s="11"/>
      <c r="E81" s="11"/>
      <c r="F81" s="11"/>
      <c r="G81" s="15" t="str">
        <f t="shared" si="3"/>
        <v/>
      </c>
      <c r="H81" s="13" t="str">
        <f t="shared" si="4"/>
        <v/>
      </c>
      <c r="I81" s="16" t="str">
        <f t="shared" si="5"/>
        <v/>
      </c>
      <c r="J81" s="11"/>
      <c r="K81" s="11"/>
      <c r="L81" s="11"/>
      <c r="M81" s="11"/>
      <c r="N81" s="11"/>
    </row>
    <row r="82" spans="1:14" ht="15.75" customHeight="1" x14ac:dyDescent="0.25">
      <c r="A82" s="11"/>
      <c r="B82" s="11"/>
      <c r="C82" s="11"/>
      <c r="D82" s="11"/>
      <c r="E82" s="11"/>
      <c r="F82" s="11"/>
      <c r="G82" s="15" t="str">
        <f t="shared" si="3"/>
        <v/>
      </c>
      <c r="H82" s="13" t="str">
        <f t="shared" si="4"/>
        <v/>
      </c>
      <c r="I82" s="16" t="str">
        <f t="shared" si="5"/>
        <v/>
      </c>
      <c r="J82" s="11"/>
      <c r="K82" s="11"/>
      <c r="L82" s="11"/>
      <c r="M82" s="11"/>
      <c r="N82" s="11"/>
    </row>
    <row r="83" spans="1:14" ht="15.75" customHeight="1" x14ac:dyDescent="0.25">
      <c r="A83" s="11"/>
      <c r="B83" s="11"/>
      <c r="C83" s="11"/>
      <c r="D83" s="11"/>
      <c r="E83" s="11"/>
      <c r="F83" s="11"/>
      <c r="G83" s="15" t="str">
        <f t="shared" si="3"/>
        <v/>
      </c>
      <c r="H83" s="13" t="str">
        <f t="shared" si="4"/>
        <v/>
      </c>
      <c r="I83" s="16" t="str">
        <f t="shared" si="5"/>
        <v/>
      </c>
      <c r="J83" s="11"/>
      <c r="K83" s="11"/>
      <c r="L83" s="11"/>
      <c r="M83" s="11"/>
      <c r="N83" s="11"/>
    </row>
    <row r="84" spans="1:14" ht="15.75" customHeight="1" x14ac:dyDescent="0.25">
      <c r="A84" s="11"/>
      <c r="B84" s="11"/>
      <c r="C84" s="11"/>
      <c r="D84" s="11"/>
      <c r="E84" s="11"/>
      <c r="F84" s="11"/>
      <c r="G84" s="15" t="str">
        <f t="shared" si="3"/>
        <v/>
      </c>
      <c r="H84" s="13" t="str">
        <f t="shared" si="4"/>
        <v/>
      </c>
      <c r="I84" s="16" t="str">
        <f t="shared" si="5"/>
        <v/>
      </c>
      <c r="J84" s="11"/>
      <c r="K84" s="11"/>
      <c r="L84" s="11"/>
      <c r="M84" s="11"/>
      <c r="N84" s="11"/>
    </row>
    <row r="85" spans="1:14" ht="15.75" customHeight="1" x14ac:dyDescent="0.25">
      <c r="A85" s="11"/>
      <c r="B85" s="11"/>
      <c r="C85" s="11"/>
      <c r="D85" s="11"/>
      <c r="E85" s="11"/>
      <c r="F85" s="11"/>
      <c r="G85" s="15" t="str">
        <f t="shared" si="3"/>
        <v/>
      </c>
      <c r="H85" s="13" t="str">
        <f t="shared" si="4"/>
        <v/>
      </c>
      <c r="I85" s="16" t="str">
        <f t="shared" si="5"/>
        <v/>
      </c>
      <c r="J85" s="11"/>
      <c r="K85" s="11"/>
      <c r="L85" s="11"/>
      <c r="M85" s="11"/>
      <c r="N85" s="11"/>
    </row>
    <row r="86" spans="1:14" ht="15.75" customHeight="1" x14ac:dyDescent="0.25">
      <c r="A86" s="11"/>
      <c r="B86" s="11"/>
      <c r="C86" s="11"/>
      <c r="D86" s="11"/>
      <c r="E86" s="11"/>
      <c r="F86" s="11"/>
      <c r="G86" s="15" t="str">
        <f t="shared" si="3"/>
        <v/>
      </c>
      <c r="H86" s="13" t="str">
        <f t="shared" si="4"/>
        <v/>
      </c>
      <c r="I86" s="16" t="str">
        <f t="shared" si="5"/>
        <v/>
      </c>
      <c r="J86" s="11"/>
      <c r="K86" s="11"/>
      <c r="L86" s="11"/>
      <c r="M86" s="11"/>
      <c r="N86" s="11"/>
    </row>
    <row r="87" spans="1:14" ht="15.75" customHeight="1" x14ac:dyDescent="0.25">
      <c r="A87" s="11"/>
      <c r="B87" s="11"/>
      <c r="C87" s="11"/>
      <c r="D87" s="11"/>
      <c r="E87" s="11"/>
      <c r="F87" s="11"/>
      <c r="G87" s="15" t="str">
        <f t="shared" si="3"/>
        <v/>
      </c>
      <c r="H87" s="13" t="str">
        <f t="shared" si="4"/>
        <v/>
      </c>
      <c r="I87" s="16" t="str">
        <f t="shared" si="5"/>
        <v/>
      </c>
      <c r="J87" s="11"/>
      <c r="K87" s="11"/>
      <c r="L87" s="11"/>
      <c r="M87" s="11"/>
      <c r="N87" s="11"/>
    </row>
    <row r="88" spans="1:14" ht="15.75" customHeight="1" x14ac:dyDescent="0.25">
      <c r="A88" s="11"/>
      <c r="B88" s="11"/>
      <c r="C88" s="11"/>
      <c r="D88" s="11"/>
      <c r="E88" s="11"/>
      <c r="F88" s="11"/>
      <c r="G88" s="15" t="str">
        <f t="shared" si="3"/>
        <v/>
      </c>
      <c r="H88" s="13" t="str">
        <f t="shared" si="4"/>
        <v/>
      </c>
      <c r="I88" s="16" t="str">
        <f t="shared" si="5"/>
        <v/>
      </c>
      <c r="J88" s="11"/>
      <c r="K88" s="11"/>
      <c r="L88" s="11"/>
      <c r="M88" s="11"/>
      <c r="N88" s="11"/>
    </row>
    <row r="89" spans="1:14" ht="15.75" customHeight="1" x14ac:dyDescent="0.25">
      <c r="A89" s="11"/>
      <c r="B89" s="11"/>
      <c r="C89" s="11"/>
      <c r="D89" s="11"/>
      <c r="E89" s="11"/>
      <c r="F89" s="11"/>
      <c r="G89" s="15" t="str">
        <f t="shared" si="3"/>
        <v/>
      </c>
      <c r="H89" s="13" t="str">
        <f t="shared" si="4"/>
        <v/>
      </c>
      <c r="I89" s="16" t="str">
        <f t="shared" si="5"/>
        <v/>
      </c>
      <c r="J89" s="11"/>
      <c r="K89" s="11"/>
      <c r="L89" s="11"/>
      <c r="M89" s="11"/>
      <c r="N89" s="11"/>
    </row>
    <row r="90" spans="1:14" ht="15.75" customHeight="1" x14ac:dyDescent="0.25">
      <c r="A90" s="11"/>
      <c r="B90" s="11"/>
      <c r="C90" s="11"/>
      <c r="D90" s="11"/>
      <c r="E90" s="11"/>
      <c r="F90" s="11"/>
      <c r="G90" s="15" t="str">
        <f t="shared" si="3"/>
        <v/>
      </c>
      <c r="H90" s="13" t="str">
        <f t="shared" si="4"/>
        <v/>
      </c>
      <c r="I90" s="16" t="str">
        <f t="shared" si="5"/>
        <v/>
      </c>
      <c r="J90" s="11"/>
      <c r="K90" s="11"/>
      <c r="L90" s="11"/>
      <c r="M90" s="11"/>
      <c r="N90" s="11"/>
    </row>
    <row r="91" spans="1:14" ht="15.75" customHeight="1" x14ac:dyDescent="0.25">
      <c r="A91" s="11"/>
      <c r="B91" s="11"/>
      <c r="C91" s="11"/>
      <c r="D91" s="11"/>
      <c r="E91" s="11"/>
      <c r="F91" s="11"/>
      <c r="G91" s="15" t="str">
        <f t="shared" si="3"/>
        <v/>
      </c>
      <c r="H91" s="13" t="str">
        <f t="shared" si="4"/>
        <v/>
      </c>
      <c r="I91" s="16" t="str">
        <f t="shared" si="5"/>
        <v/>
      </c>
      <c r="J91" s="11"/>
      <c r="K91" s="11"/>
      <c r="L91" s="11"/>
      <c r="M91" s="11"/>
      <c r="N91" s="11"/>
    </row>
    <row r="92" spans="1:14" ht="15.75" customHeight="1" x14ac:dyDescent="0.25">
      <c r="A92" s="11"/>
      <c r="B92" s="11"/>
      <c r="C92" s="11"/>
      <c r="D92" s="11"/>
      <c r="E92" s="11"/>
      <c r="F92" s="11"/>
      <c r="G92" s="15" t="str">
        <f t="shared" si="3"/>
        <v/>
      </c>
      <c r="H92" s="13" t="str">
        <f t="shared" si="4"/>
        <v/>
      </c>
      <c r="I92" s="16" t="str">
        <f t="shared" si="5"/>
        <v/>
      </c>
      <c r="J92" s="11"/>
      <c r="K92" s="11"/>
      <c r="L92" s="11"/>
      <c r="M92" s="11"/>
      <c r="N92" s="11"/>
    </row>
    <row r="93" spans="1:14" ht="15.75" customHeight="1" x14ac:dyDescent="0.25">
      <c r="A93" s="11"/>
      <c r="B93" s="11"/>
      <c r="C93" s="11"/>
      <c r="D93" s="11"/>
      <c r="E93" s="11"/>
      <c r="F93" s="11"/>
      <c r="G93" s="15" t="str">
        <f t="shared" si="3"/>
        <v/>
      </c>
      <c r="H93" s="13" t="str">
        <f t="shared" si="4"/>
        <v/>
      </c>
      <c r="I93" s="16" t="str">
        <f t="shared" si="5"/>
        <v/>
      </c>
      <c r="J93" s="11"/>
      <c r="K93" s="11"/>
      <c r="L93" s="11"/>
      <c r="M93" s="11"/>
      <c r="N93" s="11"/>
    </row>
    <row r="94" spans="1:14" ht="15.75" customHeight="1" x14ac:dyDescent="0.25">
      <c r="A94" s="11"/>
      <c r="B94" s="11"/>
      <c r="C94" s="11"/>
      <c r="D94" s="11"/>
      <c r="E94" s="11"/>
      <c r="F94" s="11"/>
      <c r="G94" s="15" t="str">
        <f t="shared" si="3"/>
        <v/>
      </c>
      <c r="H94" s="13" t="str">
        <f t="shared" si="4"/>
        <v/>
      </c>
      <c r="I94" s="16" t="str">
        <f t="shared" si="5"/>
        <v/>
      </c>
      <c r="J94" s="11"/>
      <c r="K94" s="11"/>
      <c r="L94" s="11"/>
      <c r="M94" s="11"/>
      <c r="N94" s="11"/>
    </row>
    <row r="95" spans="1:14" ht="15.75" customHeight="1" x14ac:dyDescent="0.25">
      <c r="A95" s="11"/>
      <c r="B95" s="11"/>
      <c r="C95" s="11"/>
      <c r="D95" s="11"/>
      <c r="E95" s="11"/>
      <c r="F95" s="11"/>
      <c r="G95" s="15" t="str">
        <f t="shared" si="3"/>
        <v/>
      </c>
      <c r="H95" s="13" t="str">
        <f t="shared" si="4"/>
        <v/>
      </c>
      <c r="I95" s="16" t="str">
        <f t="shared" si="5"/>
        <v/>
      </c>
      <c r="J95" s="11"/>
      <c r="K95" s="11"/>
      <c r="L95" s="11"/>
      <c r="M95" s="11"/>
      <c r="N95" s="11"/>
    </row>
    <row r="96" spans="1:14" ht="15.75" customHeight="1" x14ac:dyDescent="0.25">
      <c r="A96" s="11"/>
      <c r="B96" s="11"/>
      <c r="C96" s="11"/>
      <c r="D96" s="11"/>
      <c r="E96" s="11"/>
      <c r="F96" s="11"/>
      <c r="G96" s="15" t="str">
        <f t="shared" si="3"/>
        <v/>
      </c>
      <c r="H96" s="13" t="str">
        <f t="shared" si="4"/>
        <v/>
      </c>
      <c r="I96" s="16" t="str">
        <f t="shared" si="5"/>
        <v/>
      </c>
      <c r="J96" s="11"/>
      <c r="K96" s="11"/>
      <c r="L96" s="11"/>
      <c r="M96" s="11"/>
      <c r="N96" s="11"/>
    </row>
    <row r="97" spans="1:14" ht="15.75" customHeight="1" x14ac:dyDescent="0.25">
      <c r="A97" s="11"/>
      <c r="B97" s="11"/>
      <c r="C97" s="11"/>
      <c r="D97" s="11"/>
      <c r="E97" s="11"/>
      <c r="F97" s="11"/>
      <c r="G97" s="15" t="str">
        <f t="shared" si="3"/>
        <v/>
      </c>
      <c r="H97" s="13" t="str">
        <f t="shared" si="4"/>
        <v/>
      </c>
      <c r="I97" s="16" t="str">
        <f t="shared" si="5"/>
        <v/>
      </c>
      <c r="J97" s="11"/>
      <c r="K97" s="11"/>
      <c r="L97" s="11"/>
      <c r="M97" s="11"/>
      <c r="N97" s="11"/>
    </row>
    <row r="98" spans="1:14" ht="15.75" customHeight="1" x14ac:dyDescent="0.25">
      <c r="A98" s="11"/>
      <c r="B98" s="11"/>
      <c r="C98" s="11"/>
      <c r="D98" s="11"/>
      <c r="E98" s="11"/>
      <c r="F98" s="11"/>
      <c r="G98" s="15" t="str">
        <f t="shared" si="3"/>
        <v/>
      </c>
      <c r="H98" s="13" t="str">
        <f t="shared" si="4"/>
        <v/>
      </c>
      <c r="I98" s="16" t="str">
        <f t="shared" si="5"/>
        <v/>
      </c>
      <c r="J98" s="11"/>
      <c r="K98" s="11"/>
      <c r="L98" s="11"/>
      <c r="M98" s="11"/>
      <c r="N98" s="11"/>
    </row>
    <row r="99" spans="1:14" ht="15.75" customHeight="1" x14ac:dyDescent="0.25">
      <c r="A99" s="11"/>
      <c r="B99" s="11"/>
      <c r="C99" s="11"/>
      <c r="D99" s="11"/>
      <c r="E99" s="11"/>
      <c r="F99" s="11"/>
      <c r="G99" s="15" t="str">
        <f t="shared" si="3"/>
        <v/>
      </c>
      <c r="H99" s="13" t="str">
        <f t="shared" si="4"/>
        <v/>
      </c>
      <c r="I99" s="16" t="str">
        <f t="shared" si="5"/>
        <v/>
      </c>
      <c r="J99" s="11"/>
      <c r="K99" s="11"/>
      <c r="L99" s="11"/>
      <c r="M99" s="11"/>
      <c r="N99" s="11"/>
    </row>
    <row r="100" spans="1:14" ht="15.75" customHeight="1" x14ac:dyDescent="0.25">
      <c r="A100" s="11"/>
      <c r="B100" s="11"/>
      <c r="C100" s="11"/>
      <c r="D100" s="11"/>
      <c r="E100" s="11"/>
      <c r="F100" s="11"/>
      <c r="G100" s="15" t="str">
        <f t="shared" si="3"/>
        <v/>
      </c>
      <c r="H100" s="13" t="str">
        <f t="shared" si="4"/>
        <v/>
      </c>
      <c r="I100" s="16" t="str">
        <f t="shared" si="5"/>
        <v/>
      </c>
      <c r="J100" s="11"/>
      <c r="K100" s="11"/>
      <c r="L100" s="11"/>
      <c r="M100" s="11"/>
      <c r="N100" s="11"/>
    </row>
    <row r="101" spans="1:14" ht="15.75" customHeight="1" x14ac:dyDescent="0.25">
      <c r="A101" s="11"/>
      <c r="B101" s="11"/>
      <c r="C101" s="11"/>
      <c r="D101" s="11"/>
      <c r="E101" s="11"/>
      <c r="F101" s="11"/>
      <c r="G101" s="15" t="str">
        <f t="shared" si="3"/>
        <v/>
      </c>
      <c r="H101" s="13" t="str">
        <f t="shared" si="4"/>
        <v/>
      </c>
      <c r="I101" s="16" t="str">
        <f t="shared" si="5"/>
        <v/>
      </c>
      <c r="J101" s="11"/>
      <c r="K101" s="11"/>
      <c r="L101" s="11"/>
      <c r="M101" s="11"/>
      <c r="N101" s="11"/>
    </row>
    <row r="102" spans="1:14" ht="15.75" customHeight="1" x14ac:dyDescent="0.25">
      <c r="A102" s="11"/>
      <c r="B102" s="11"/>
      <c r="C102" s="11"/>
      <c r="D102" s="11"/>
      <c r="E102" s="11"/>
      <c r="F102" s="11"/>
      <c r="G102" s="15" t="str">
        <f t="shared" si="3"/>
        <v/>
      </c>
      <c r="H102" s="13" t="str">
        <f t="shared" si="4"/>
        <v/>
      </c>
      <c r="I102" s="16" t="str">
        <f t="shared" si="5"/>
        <v/>
      </c>
      <c r="J102" s="11"/>
      <c r="K102" s="11"/>
      <c r="L102" s="11"/>
      <c r="M102" s="11"/>
      <c r="N102" s="11"/>
    </row>
    <row r="103" spans="1:14" ht="15.75" customHeight="1" x14ac:dyDescent="0.25">
      <c r="A103" s="11"/>
      <c r="B103" s="11"/>
      <c r="C103" s="11"/>
      <c r="D103" s="11"/>
      <c r="E103" s="11"/>
      <c r="F103" s="11"/>
      <c r="G103" s="15" t="str">
        <f t="shared" si="3"/>
        <v/>
      </c>
      <c r="H103" s="13" t="str">
        <f t="shared" si="4"/>
        <v/>
      </c>
      <c r="I103" s="16" t="str">
        <f t="shared" si="5"/>
        <v/>
      </c>
      <c r="J103" s="11"/>
      <c r="K103" s="11"/>
      <c r="L103" s="11"/>
      <c r="M103" s="11"/>
      <c r="N103" s="11"/>
    </row>
    <row r="104" spans="1:14" ht="15.75" customHeight="1" x14ac:dyDescent="0.25">
      <c r="A104" s="11"/>
      <c r="B104" s="11"/>
      <c r="C104" s="11"/>
      <c r="D104" s="11"/>
      <c r="E104" s="11"/>
      <c r="F104" s="11"/>
      <c r="G104" s="15" t="str">
        <f t="shared" si="3"/>
        <v/>
      </c>
      <c r="H104" s="13" t="str">
        <f t="shared" si="4"/>
        <v/>
      </c>
      <c r="I104" s="16" t="str">
        <f t="shared" si="5"/>
        <v/>
      </c>
      <c r="J104" s="11"/>
      <c r="K104" s="11"/>
      <c r="L104" s="11"/>
      <c r="M104" s="11"/>
      <c r="N104" s="11"/>
    </row>
    <row r="105" spans="1:14" ht="15.75" customHeight="1" x14ac:dyDescent="0.25">
      <c r="A105" s="11"/>
      <c r="B105" s="11"/>
      <c r="C105" s="11"/>
      <c r="D105" s="11"/>
      <c r="E105" s="11"/>
      <c r="F105" s="11"/>
      <c r="G105" s="15" t="str">
        <f t="shared" si="3"/>
        <v/>
      </c>
      <c r="H105" s="13" t="str">
        <f t="shared" si="4"/>
        <v/>
      </c>
      <c r="I105" s="16" t="str">
        <f t="shared" si="5"/>
        <v/>
      </c>
      <c r="J105" s="11"/>
      <c r="K105" s="11"/>
      <c r="L105" s="11"/>
      <c r="M105" s="11"/>
      <c r="N105" s="11"/>
    </row>
    <row r="106" spans="1:14" ht="15.75" customHeight="1" x14ac:dyDescent="0.25">
      <c r="A106" s="11"/>
      <c r="B106" s="11"/>
      <c r="C106" s="11"/>
      <c r="D106" s="11"/>
      <c r="E106" s="11"/>
      <c r="F106" s="11"/>
      <c r="G106" s="15" t="str">
        <f t="shared" si="3"/>
        <v/>
      </c>
      <c r="H106" s="13" t="str">
        <f t="shared" si="4"/>
        <v/>
      </c>
      <c r="I106" s="16" t="str">
        <f t="shared" si="5"/>
        <v/>
      </c>
      <c r="J106" s="11"/>
      <c r="K106" s="11"/>
      <c r="L106" s="11"/>
      <c r="M106" s="11"/>
      <c r="N106" s="11"/>
    </row>
    <row r="107" spans="1:14" ht="15.75" customHeight="1" x14ac:dyDescent="0.25">
      <c r="A107" s="11"/>
      <c r="B107" s="11"/>
      <c r="C107" s="11"/>
      <c r="D107" s="11"/>
      <c r="E107" s="11"/>
      <c r="F107" s="11"/>
      <c r="G107" s="15" t="str">
        <f t="shared" si="3"/>
        <v/>
      </c>
      <c r="H107" s="13" t="str">
        <f t="shared" si="4"/>
        <v/>
      </c>
      <c r="I107" s="16" t="str">
        <f t="shared" si="5"/>
        <v/>
      </c>
      <c r="J107" s="11"/>
      <c r="K107" s="11"/>
      <c r="L107" s="11"/>
      <c r="M107" s="11"/>
      <c r="N107" s="11"/>
    </row>
    <row r="108" spans="1:14" ht="15.75" customHeight="1" x14ac:dyDescent="0.25">
      <c r="A108" s="11"/>
      <c r="B108" s="11"/>
      <c r="C108" s="11"/>
      <c r="D108" s="11"/>
      <c r="E108" s="11"/>
      <c r="F108" s="11"/>
      <c r="G108" s="15" t="str">
        <f t="shared" si="3"/>
        <v/>
      </c>
      <c r="H108" s="13" t="str">
        <f t="shared" si="4"/>
        <v/>
      </c>
      <c r="I108" s="16" t="str">
        <f t="shared" si="5"/>
        <v/>
      </c>
      <c r="J108" s="11"/>
      <c r="K108" s="11"/>
      <c r="L108" s="11"/>
      <c r="M108" s="11"/>
      <c r="N108" s="11"/>
    </row>
    <row r="109" spans="1:14" ht="15.75" customHeight="1" x14ac:dyDescent="0.25">
      <c r="A109" s="11"/>
      <c r="B109" s="11"/>
      <c r="C109" s="11"/>
      <c r="D109" s="11"/>
      <c r="E109" s="11"/>
      <c r="F109" s="11"/>
      <c r="G109" s="15" t="str">
        <f t="shared" si="3"/>
        <v/>
      </c>
      <c r="H109" s="13" t="str">
        <f t="shared" si="4"/>
        <v/>
      </c>
      <c r="I109" s="16" t="str">
        <f t="shared" si="5"/>
        <v/>
      </c>
      <c r="J109" s="11"/>
      <c r="K109" s="11"/>
      <c r="L109" s="11"/>
      <c r="M109" s="11"/>
      <c r="N109" s="11"/>
    </row>
    <row r="110" spans="1:14" ht="15.75" customHeight="1" x14ac:dyDescent="0.25">
      <c r="A110" s="11"/>
      <c r="B110" s="11"/>
      <c r="C110" s="11"/>
      <c r="D110" s="11"/>
      <c r="E110" s="11"/>
      <c r="F110" s="11"/>
      <c r="G110" s="15" t="str">
        <f t="shared" si="3"/>
        <v/>
      </c>
      <c r="H110" s="13" t="str">
        <f t="shared" si="4"/>
        <v/>
      </c>
      <c r="I110" s="16" t="str">
        <f t="shared" si="5"/>
        <v/>
      </c>
      <c r="J110" s="11"/>
      <c r="K110" s="11"/>
      <c r="L110" s="11"/>
      <c r="M110" s="11"/>
      <c r="N110" s="11"/>
    </row>
    <row r="111" spans="1:14" ht="15.75" customHeight="1" x14ac:dyDescent="0.25">
      <c r="A111" s="11"/>
      <c r="B111" s="11"/>
      <c r="C111" s="11"/>
      <c r="D111" s="11"/>
      <c r="E111" s="11"/>
      <c r="F111" s="11"/>
      <c r="G111" s="15" t="str">
        <f t="shared" si="3"/>
        <v/>
      </c>
      <c r="H111" s="13" t="str">
        <f t="shared" si="4"/>
        <v/>
      </c>
      <c r="I111" s="16" t="str">
        <f t="shared" si="5"/>
        <v/>
      </c>
      <c r="J111" s="11"/>
      <c r="K111" s="11"/>
      <c r="L111" s="11"/>
      <c r="M111" s="11"/>
      <c r="N111" s="11"/>
    </row>
    <row r="112" spans="1:14" ht="15.75" customHeight="1" x14ac:dyDescent="0.25">
      <c r="A112" s="11"/>
      <c r="B112" s="11"/>
      <c r="C112" s="11"/>
      <c r="D112" s="11"/>
      <c r="E112" s="11"/>
      <c r="F112" s="11"/>
      <c r="G112" s="15" t="str">
        <f t="shared" si="3"/>
        <v/>
      </c>
      <c r="H112" s="13" t="str">
        <f t="shared" si="4"/>
        <v/>
      </c>
      <c r="I112" s="16" t="str">
        <f t="shared" si="5"/>
        <v/>
      </c>
      <c r="J112" s="11"/>
      <c r="K112" s="11"/>
      <c r="L112" s="11"/>
      <c r="M112" s="11"/>
      <c r="N112" s="11"/>
    </row>
    <row r="113" spans="1:14" ht="15.75" customHeight="1" x14ac:dyDescent="0.25">
      <c r="A113" s="11"/>
      <c r="B113" s="11"/>
      <c r="C113" s="11"/>
      <c r="D113" s="11"/>
      <c r="E113" s="11"/>
      <c r="F113" s="11"/>
      <c r="G113" s="15" t="str">
        <f t="shared" si="3"/>
        <v/>
      </c>
      <c r="H113" s="13" t="str">
        <f t="shared" si="4"/>
        <v/>
      </c>
      <c r="I113" s="16" t="str">
        <f t="shared" si="5"/>
        <v/>
      </c>
      <c r="J113" s="11"/>
      <c r="K113" s="11"/>
      <c r="L113" s="11"/>
      <c r="M113" s="11"/>
      <c r="N113" s="11"/>
    </row>
    <row r="114" spans="1:14" ht="15.75" customHeight="1" x14ac:dyDescent="0.25">
      <c r="A114" s="11"/>
      <c r="B114" s="11"/>
      <c r="C114" s="11"/>
      <c r="D114" s="11"/>
      <c r="E114" s="11"/>
      <c r="F114" s="11"/>
      <c r="G114" s="15" t="str">
        <f t="shared" si="3"/>
        <v/>
      </c>
      <c r="H114" s="13" t="str">
        <f t="shared" si="4"/>
        <v/>
      </c>
      <c r="I114" s="16" t="str">
        <f t="shared" si="5"/>
        <v/>
      </c>
      <c r="J114" s="11"/>
      <c r="K114" s="11"/>
      <c r="L114" s="11"/>
      <c r="M114" s="11"/>
      <c r="N114" s="11"/>
    </row>
    <row r="115" spans="1:14" ht="15.75" customHeight="1" x14ac:dyDescent="0.25">
      <c r="A115" s="11"/>
      <c r="B115" s="11"/>
      <c r="C115" s="11"/>
      <c r="D115" s="11"/>
      <c r="E115" s="11"/>
      <c r="F115" s="11"/>
      <c r="G115" s="15" t="str">
        <f t="shared" si="3"/>
        <v/>
      </c>
      <c r="H115" s="13" t="str">
        <f t="shared" si="4"/>
        <v/>
      </c>
      <c r="I115" s="16" t="str">
        <f t="shared" si="5"/>
        <v/>
      </c>
      <c r="J115" s="11"/>
      <c r="K115" s="11"/>
      <c r="L115" s="11"/>
      <c r="M115" s="11"/>
      <c r="N115" s="11"/>
    </row>
    <row r="116" spans="1:14" ht="15.75" customHeight="1" x14ac:dyDescent="0.25">
      <c r="A116" s="11"/>
      <c r="B116" s="11"/>
      <c r="C116" s="11"/>
      <c r="D116" s="11"/>
      <c r="E116" s="11"/>
      <c r="F116" s="11"/>
      <c r="G116" s="15" t="str">
        <f t="shared" si="3"/>
        <v/>
      </c>
      <c r="H116" s="13" t="str">
        <f t="shared" si="4"/>
        <v/>
      </c>
      <c r="I116" s="16" t="str">
        <f t="shared" si="5"/>
        <v/>
      </c>
      <c r="J116" s="11"/>
      <c r="K116" s="11"/>
      <c r="L116" s="11"/>
      <c r="M116" s="11"/>
      <c r="N116" s="11"/>
    </row>
    <row r="117" spans="1:14" ht="15.75" customHeight="1" x14ac:dyDescent="0.25">
      <c r="A117" s="11"/>
      <c r="B117" s="11"/>
      <c r="C117" s="11"/>
      <c r="D117" s="11"/>
      <c r="E117" s="11"/>
      <c r="F117" s="11"/>
      <c r="G117" s="15" t="str">
        <f t="shared" si="3"/>
        <v/>
      </c>
      <c r="H117" s="13" t="str">
        <f t="shared" si="4"/>
        <v/>
      </c>
      <c r="I117" s="16" t="str">
        <f t="shared" si="5"/>
        <v/>
      </c>
      <c r="J117" s="11"/>
      <c r="K117" s="11"/>
      <c r="L117" s="11"/>
      <c r="M117" s="11"/>
      <c r="N117" s="11"/>
    </row>
    <row r="118" spans="1:14" ht="15.75" customHeight="1" x14ac:dyDescent="0.25">
      <c r="A118" s="11"/>
      <c r="B118" s="11"/>
      <c r="C118" s="11"/>
      <c r="D118" s="11"/>
      <c r="E118" s="11"/>
      <c r="F118" s="11"/>
      <c r="G118" s="15" t="str">
        <f t="shared" si="3"/>
        <v/>
      </c>
      <c r="H118" s="13" t="str">
        <f t="shared" si="4"/>
        <v/>
      </c>
      <c r="I118" s="16" t="str">
        <f t="shared" si="5"/>
        <v/>
      </c>
      <c r="J118" s="11"/>
      <c r="K118" s="11"/>
      <c r="L118" s="11"/>
      <c r="M118" s="11"/>
      <c r="N118" s="11"/>
    </row>
    <row r="119" spans="1:14" ht="15.75" customHeight="1" x14ac:dyDescent="0.25">
      <c r="A119" s="11"/>
      <c r="B119" s="11"/>
      <c r="C119" s="11"/>
      <c r="D119" s="11"/>
      <c r="E119" s="11"/>
      <c r="F119" s="11"/>
      <c r="G119" s="15" t="str">
        <f t="shared" si="3"/>
        <v/>
      </c>
      <c r="H119" s="13" t="str">
        <f t="shared" si="4"/>
        <v/>
      </c>
      <c r="I119" s="16" t="str">
        <f t="shared" si="5"/>
        <v/>
      </c>
      <c r="J119" s="11"/>
      <c r="K119" s="11"/>
      <c r="L119" s="11"/>
      <c r="M119" s="11"/>
      <c r="N119" s="11"/>
    </row>
    <row r="120" spans="1:14" ht="15.75" customHeight="1" x14ac:dyDescent="0.25">
      <c r="A120" s="11"/>
      <c r="B120" s="11"/>
      <c r="C120" s="11"/>
      <c r="D120" s="11"/>
      <c r="E120" s="11"/>
      <c r="F120" s="11"/>
      <c r="G120" s="15" t="str">
        <f t="shared" si="3"/>
        <v/>
      </c>
      <c r="H120" s="13" t="str">
        <f t="shared" si="4"/>
        <v/>
      </c>
      <c r="I120" s="16" t="str">
        <f t="shared" si="5"/>
        <v/>
      </c>
      <c r="J120" s="11"/>
      <c r="K120" s="11"/>
      <c r="L120" s="11"/>
      <c r="M120" s="11"/>
      <c r="N120" s="11"/>
    </row>
    <row r="121" spans="1:14" ht="15.75" customHeight="1" x14ac:dyDescent="0.25">
      <c r="A121" s="11"/>
      <c r="B121" s="11"/>
      <c r="C121" s="11"/>
      <c r="D121" s="11"/>
      <c r="E121" s="11"/>
      <c r="F121" s="11"/>
      <c r="G121" s="15" t="str">
        <f t="shared" si="3"/>
        <v/>
      </c>
      <c r="H121" s="13" t="str">
        <f t="shared" si="4"/>
        <v/>
      </c>
      <c r="I121" s="16" t="str">
        <f t="shared" si="5"/>
        <v/>
      </c>
      <c r="J121" s="11"/>
      <c r="K121" s="11"/>
      <c r="L121" s="11"/>
      <c r="M121" s="11"/>
      <c r="N121" s="11"/>
    </row>
    <row r="122" spans="1:14" ht="15.75" customHeight="1" x14ac:dyDescent="0.25">
      <c r="A122" s="11"/>
      <c r="B122" s="11"/>
      <c r="C122" s="11"/>
      <c r="D122" s="11"/>
      <c r="E122" s="11"/>
      <c r="F122" s="11"/>
      <c r="G122" s="15" t="str">
        <f t="shared" si="3"/>
        <v/>
      </c>
      <c r="H122" s="13" t="str">
        <f t="shared" si="4"/>
        <v/>
      </c>
      <c r="I122" s="16" t="str">
        <f t="shared" si="5"/>
        <v/>
      </c>
      <c r="J122" s="11"/>
      <c r="K122" s="11"/>
      <c r="L122" s="11"/>
      <c r="M122" s="11"/>
      <c r="N122" s="11"/>
    </row>
    <row r="123" spans="1:14" ht="15.75" customHeight="1" x14ac:dyDescent="0.25">
      <c r="A123" s="11"/>
      <c r="B123" s="11"/>
      <c r="C123" s="11"/>
      <c r="D123" s="11"/>
      <c r="E123" s="11"/>
      <c r="F123" s="11"/>
      <c r="G123" s="15" t="str">
        <f t="shared" si="3"/>
        <v/>
      </c>
      <c r="H123" s="13" t="str">
        <f t="shared" si="4"/>
        <v/>
      </c>
      <c r="I123" s="16" t="str">
        <f t="shared" si="5"/>
        <v/>
      </c>
      <c r="J123" s="11"/>
      <c r="K123" s="11"/>
      <c r="L123" s="11"/>
      <c r="M123" s="11"/>
      <c r="N123" s="11"/>
    </row>
    <row r="124" spans="1:14" ht="15.75" customHeight="1" x14ac:dyDescent="0.25">
      <c r="A124" s="11"/>
      <c r="B124" s="11"/>
      <c r="C124" s="11"/>
      <c r="D124" s="11"/>
      <c r="E124" s="11"/>
      <c r="F124" s="11"/>
      <c r="G124" s="15" t="str">
        <f t="shared" si="3"/>
        <v/>
      </c>
      <c r="H124" s="13" t="str">
        <f t="shared" si="4"/>
        <v/>
      </c>
      <c r="I124" s="16" t="str">
        <f t="shared" si="5"/>
        <v/>
      </c>
      <c r="J124" s="11"/>
      <c r="K124" s="11"/>
      <c r="L124" s="11"/>
      <c r="M124" s="11"/>
      <c r="N124" s="11"/>
    </row>
    <row r="125" spans="1:14" ht="15.75" customHeight="1" x14ac:dyDescent="0.25">
      <c r="A125" s="11"/>
      <c r="B125" s="11"/>
      <c r="C125" s="11"/>
      <c r="D125" s="11"/>
      <c r="E125" s="11"/>
      <c r="F125" s="11"/>
      <c r="G125" s="15" t="str">
        <f t="shared" si="3"/>
        <v/>
      </c>
      <c r="H125" s="13" t="str">
        <f t="shared" si="4"/>
        <v/>
      </c>
      <c r="I125" s="16" t="str">
        <f t="shared" si="5"/>
        <v/>
      </c>
      <c r="J125" s="11"/>
      <c r="K125" s="11"/>
      <c r="L125" s="11"/>
      <c r="M125" s="11"/>
      <c r="N125" s="11"/>
    </row>
    <row r="126" spans="1:14" ht="15.75" customHeight="1" x14ac:dyDescent="0.25">
      <c r="A126" s="11"/>
      <c r="B126" s="11"/>
      <c r="C126" s="11"/>
      <c r="D126" s="11"/>
      <c r="E126" s="11"/>
      <c r="F126" s="11"/>
      <c r="G126" s="15" t="str">
        <f t="shared" si="3"/>
        <v/>
      </c>
      <c r="H126" s="13" t="str">
        <f t="shared" si="4"/>
        <v/>
      </c>
      <c r="I126" s="16" t="str">
        <f t="shared" si="5"/>
        <v/>
      </c>
      <c r="J126" s="11"/>
      <c r="K126" s="11"/>
      <c r="L126" s="11"/>
      <c r="M126" s="11"/>
      <c r="N126" s="11"/>
    </row>
    <row r="127" spans="1:14" ht="15.75" customHeight="1" x14ac:dyDescent="0.25">
      <c r="A127" s="11"/>
      <c r="B127" s="11"/>
      <c r="C127" s="11"/>
      <c r="D127" s="11"/>
      <c r="E127" s="11"/>
      <c r="F127" s="11"/>
      <c r="G127" s="15" t="str">
        <f t="shared" si="3"/>
        <v/>
      </c>
      <c r="H127" s="13" t="str">
        <f t="shared" si="4"/>
        <v/>
      </c>
      <c r="I127" s="16" t="str">
        <f t="shared" si="5"/>
        <v/>
      </c>
      <c r="J127" s="11"/>
      <c r="K127" s="11"/>
      <c r="L127" s="11"/>
      <c r="M127" s="11"/>
      <c r="N127" s="11"/>
    </row>
    <row r="128" spans="1:14" ht="15.75" customHeight="1" x14ac:dyDescent="0.25">
      <c r="A128" s="11"/>
      <c r="B128" s="11"/>
      <c r="C128" s="11"/>
      <c r="D128" s="11"/>
      <c r="E128" s="11"/>
      <c r="F128" s="11"/>
      <c r="G128" s="15" t="str">
        <f t="shared" si="3"/>
        <v/>
      </c>
      <c r="H128" s="13" t="str">
        <f t="shared" si="4"/>
        <v/>
      </c>
      <c r="I128" s="16" t="str">
        <f t="shared" si="5"/>
        <v/>
      </c>
      <c r="J128" s="11"/>
      <c r="K128" s="11"/>
      <c r="L128" s="11"/>
      <c r="M128" s="11"/>
      <c r="N128" s="11"/>
    </row>
    <row r="129" spans="1:14" ht="15.75" customHeight="1" x14ac:dyDescent="0.25">
      <c r="A129" s="11"/>
      <c r="B129" s="11"/>
      <c r="C129" s="11"/>
      <c r="D129" s="11"/>
      <c r="E129" s="11"/>
      <c r="F129" s="11"/>
      <c r="G129" s="15" t="str">
        <f t="shared" si="3"/>
        <v/>
      </c>
      <c r="H129" s="13" t="str">
        <f t="shared" si="4"/>
        <v/>
      </c>
      <c r="I129" s="16" t="str">
        <f t="shared" si="5"/>
        <v/>
      </c>
      <c r="J129" s="11"/>
      <c r="K129" s="11"/>
      <c r="L129" s="11"/>
      <c r="M129" s="11"/>
      <c r="N129" s="11"/>
    </row>
    <row r="130" spans="1:14" ht="15.75" customHeight="1" x14ac:dyDescent="0.25">
      <c r="A130" s="11"/>
      <c r="B130" s="11"/>
      <c r="C130" s="11"/>
      <c r="D130" s="11"/>
      <c r="E130" s="11"/>
      <c r="F130" s="11"/>
      <c r="G130" s="15" t="str">
        <f t="shared" si="3"/>
        <v/>
      </c>
      <c r="H130" s="13" t="str">
        <f t="shared" si="4"/>
        <v/>
      </c>
      <c r="I130" s="16" t="str">
        <f t="shared" si="5"/>
        <v/>
      </c>
      <c r="J130" s="11"/>
      <c r="K130" s="11"/>
      <c r="L130" s="11"/>
      <c r="M130" s="11"/>
      <c r="N130" s="11"/>
    </row>
    <row r="131" spans="1:14" ht="15.75" customHeight="1" x14ac:dyDescent="0.25">
      <c r="A131" s="11"/>
      <c r="B131" s="11"/>
      <c r="C131" s="11"/>
      <c r="D131" s="11"/>
      <c r="E131" s="11"/>
      <c r="F131" s="11"/>
      <c r="G131" s="15" t="str">
        <f t="shared" si="3"/>
        <v/>
      </c>
      <c r="H131" s="13" t="str">
        <f t="shared" si="4"/>
        <v/>
      </c>
      <c r="I131" s="16" t="str">
        <f t="shared" si="5"/>
        <v/>
      </c>
      <c r="J131" s="11"/>
      <c r="K131" s="11"/>
      <c r="L131" s="11"/>
      <c r="M131" s="11"/>
      <c r="N131" s="11"/>
    </row>
    <row r="132" spans="1:14" ht="15.75" customHeight="1" x14ac:dyDescent="0.25">
      <c r="A132" s="11"/>
      <c r="B132" s="11"/>
      <c r="C132" s="11"/>
      <c r="D132" s="11"/>
      <c r="E132" s="11"/>
      <c r="F132" s="11"/>
      <c r="G132" s="15" t="str">
        <f t="shared" ref="G132:G195" si="6">IF(E132="","",IF(OR(E132="Withdrawal",E132="Loan Disbursement"),F132,0))</f>
        <v/>
      </c>
      <c r="H132" s="13" t="str">
        <f t="shared" ref="H132:H195" si="7">IF(E132="","",IF(OR(E132="Savings Deposit",E132="Loan Repayment"),F132,0))</f>
        <v/>
      </c>
      <c r="I132" s="16" t="str">
        <f t="shared" si="5"/>
        <v/>
      </c>
      <c r="J132" s="11"/>
      <c r="K132" s="11"/>
      <c r="L132" s="11"/>
      <c r="M132" s="11"/>
      <c r="N132" s="11"/>
    </row>
    <row r="133" spans="1:14" ht="15.75" customHeight="1" x14ac:dyDescent="0.25">
      <c r="A133" s="11"/>
      <c r="B133" s="11"/>
      <c r="C133" s="11"/>
      <c r="D133" s="11"/>
      <c r="E133" s="11"/>
      <c r="F133" s="11"/>
      <c r="G133" s="15" t="str">
        <f t="shared" si="6"/>
        <v/>
      </c>
      <c r="H133" s="13" t="str">
        <f t="shared" si="7"/>
        <v/>
      </c>
      <c r="I133" s="16" t="str">
        <f t="shared" ref="I133:I196" si="8">IF(A133="","",I132+H133-G133)</f>
        <v/>
      </c>
      <c r="J133" s="11"/>
      <c r="K133" s="11"/>
      <c r="L133" s="11"/>
      <c r="M133" s="11"/>
      <c r="N133" s="11"/>
    </row>
    <row r="134" spans="1:14" ht="15.75" customHeight="1" x14ac:dyDescent="0.25">
      <c r="A134" s="11"/>
      <c r="B134" s="11"/>
      <c r="C134" s="11"/>
      <c r="D134" s="11"/>
      <c r="E134" s="11"/>
      <c r="F134" s="11"/>
      <c r="G134" s="15" t="str">
        <f t="shared" si="6"/>
        <v/>
      </c>
      <c r="H134" s="13" t="str">
        <f t="shared" si="7"/>
        <v/>
      </c>
      <c r="I134" s="16" t="str">
        <f t="shared" si="8"/>
        <v/>
      </c>
      <c r="J134" s="11"/>
      <c r="K134" s="11"/>
      <c r="L134" s="11"/>
      <c r="M134" s="11"/>
      <c r="N134" s="11"/>
    </row>
    <row r="135" spans="1:14" ht="15.75" customHeight="1" x14ac:dyDescent="0.25">
      <c r="A135" s="11"/>
      <c r="B135" s="11"/>
      <c r="C135" s="11"/>
      <c r="D135" s="11"/>
      <c r="E135" s="11"/>
      <c r="F135" s="11"/>
      <c r="G135" s="15" t="str">
        <f t="shared" si="6"/>
        <v/>
      </c>
      <c r="H135" s="13" t="str">
        <f t="shared" si="7"/>
        <v/>
      </c>
      <c r="I135" s="16" t="str">
        <f t="shared" si="8"/>
        <v/>
      </c>
      <c r="J135" s="11"/>
      <c r="K135" s="11"/>
      <c r="L135" s="11"/>
      <c r="M135" s="11"/>
      <c r="N135" s="11"/>
    </row>
    <row r="136" spans="1:14" ht="15.75" customHeight="1" x14ac:dyDescent="0.25">
      <c r="A136" s="11"/>
      <c r="B136" s="11"/>
      <c r="C136" s="11"/>
      <c r="D136" s="11"/>
      <c r="E136" s="11"/>
      <c r="F136" s="11"/>
      <c r="G136" s="15" t="str">
        <f t="shared" si="6"/>
        <v/>
      </c>
      <c r="H136" s="13" t="str">
        <f t="shared" si="7"/>
        <v/>
      </c>
      <c r="I136" s="16" t="str">
        <f t="shared" si="8"/>
        <v/>
      </c>
      <c r="J136" s="11"/>
      <c r="K136" s="11"/>
      <c r="L136" s="11"/>
      <c r="M136" s="11"/>
      <c r="N136" s="11"/>
    </row>
    <row r="137" spans="1:14" ht="15.75" customHeight="1" x14ac:dyDescent="0.25">
      <c r="A137" s="11"/>
      <c r="B137" s="11"/>
      <c r="C137" s="11"/>
      <c r="D137" s="11"/>
      <c r="E137" s="11"/>
      <c r="F137" s="11"/>
      <c r="G137" s="15" t="str">
        <f t="shared" si="6"/>
        <v/>
      </c>
      <c r="H137" s="13" t="str">
        <f t="shared" si="7"/>
        <v/>
      </c>
      <c r="I137" s="16" t="str">
        <f t="shared" si="8"/>
        <v/>
      </c>
      <c r="J137" s="11"/>
      <c r="K137" s="11"/>
      <c r="L137" s="11"/>
      <c r="M137" s="11"/>
      <c r="N137" s="11"/>
    </row>
    <row r="138" spans="1:14" ht="15.75" customHeight="1" x14ac:dyDescent="0.25">
      <c r="A138" s="11"/>
      <c r="B138" s="11"/>
      <c r="C138" s="11"/>
      <c r="D138" s="11"/>
      <c r="E138" s="11"/>
      <c r="F138" s="11"/>
      <c r="G138" s="15" t="str">
        <f t="shared" si="6"/>
        <v/>
      </c>
      <c r="H138" s="13" t="str">
        <f t="shared" si="7"/>
        <v/>
      </c>
      <c r="I138" s="16" t="str">
        <f t="shared" si="8"/>
        <v/>
      </c>
      <c r="J138" s="11"/>
      <c r="K138" s="11"/>
      <c r="L138" s="11"/>
      <c r="M138" s="11"/>
      <c r="N138" s="11"/>
    </row>
    <row r="139" spans="1:14" ht="15.75" customHeight="1" x14ac:dyDescent="0.25">
      <c r="A139" s="11"/>
      <c r="B139" s="11"/>
      <c r="C139" s="11"/>
      <c r="D139" s="11"/>
      <c r="E139" s="11"/>
      <c r="F139" s="11"/>
      <c r="G139" s="15" t="str">
        <f t="shared" si="6"/>
        <v/>
      </c>
      <c r="H139" s="13" t="str">
        <f t="shared" si="7"/>
        <v/>
      </c>
      <c r="I139" s="16" t="str">
        <f t="shared" si="8"/>
        <v/>
      </c>
      <c r="J139" s="11"/>
      <c r="K139" s="11"/>
      <c r="L139" s="11"/>
      <c r="M139" s="11"/>
      <c r="N139" s="11"/>
    </row>
    <row r="140" spans="1:14" ht="15.75" customHeight="1" x14ac:dyDescent="0.25">
      <c r="A140" s="11"/>
      <c r="B140" s="11"/>
      <c r="C140" s="11"/>
      <c r="D140" s="11"/>
      <c r="E140" s="11"/>
      <c r="F140" s="11"/>
      <c r="G140" s="15" t="str">
        <f t="shared" si="6"/>
        <v/>
      </c>
      <c r="H140" s="13" t="str">
        <f t="shared" si="7"/>
        <v/>
      </c>
      <c r="I140" s="16" t="str">
        <f t="shared" si="8"/>
        <v/>
      </c>
      <c r="J140" s="11"/>
      <c r="K140" s="11"/>
      <c r="L140" s="11"/>
      <c r="M140" s="11"/>
      <c r="N140" s="11"/>
    </row>
    <row r="141" spans="1:14" ht="15.75" customHeight="1" x14ac:dyDescent="0.25">
      <c r="A141" s="11"/>
      <c r="B141" s="11"/>
      <c r="C141" s="11"/>
      <c r="D141" s="11"/>
      <c r="E141" s="11"/>
      <c r="F141" s="11"/>
      <c r="G141" s="15" t="str">
        <f t="shared" si="6"/>
        <v/>
      </c>
      <c r="H141" s="13" t="str">
        <f t="shared" si="7"/>
        <v/>
      </c>
      <c r="I141" s="16" t="str">
        <f t="shared" si="8"/>
        <v/>
      </c>
      <c r="J141" s="11"/>
      <c r="K141" s="11"/>
      <c r="L141" s="11"/>
      <c r="M141" s="11"/>
      <c r="N141" s="11"/>
    </row>
    <row r="142" spans="1:14" ht="15.75" customHeight="1" x14ac:dyDescent="0.25">
      <c r="A142" s="11"/>
      <c r="B142" s="11"/>
      <c r="C142" s="11"/>
      <c r="D142" s="11"/>
      <c r="E142" s="11"/>
      <c r="F142" s="11"/>
      <c r="G142" s="15" t="str">
        <f t="shared" si="6"/>
        <v/>
      </c>
      <c r="H142" s="13" t="str">
        <f t="shared" si="7"/>
        <v/>
      </c>
      <c r="I142" s="16" t="str">
        <f t="shared" si="8"/>
        <v/>
      </c>
      <c r="J142" s="11"/>
      <c r="K142" s="11"/>
      <c r="L142" s="11"/>
      <c r="M142" s="11"/>
      <c r="N142" s="11"/>
    </row>
    <row r="143" spans="1:14" ht="15.75" customHeight="1" x14ac:dyDescent="0.25">
      <c r="A143" s="11"/>
      <c r="B143" s="11"/>
      <c r="C143" s="11"/>
      <c r="D143" s="11"/>
      <c r="E143" s="11"/>
      <c r="F143" s="11"/>
      <c r="G143" s="15" t="str">
        <f t="shared" si="6"/>
        <v/>
      </c>
      <c r="H143" s="13" t="str">
        <f t="shared" si="7"/>
        <v/>
      </c>
      <c r="I143" s="16" t="str">
        <f t="shared" si="8"/>
        <v/>
      </c>
      <c r="J143" s="11"/>
      <c r="K143" s="11"/>
      <c r="L143" s="11"/>
      <c r="M143" s="11"/>
      <c r="N143" s="11"/>
    </row>
    <row r="144" spans="1:14" ht="15.75" customHeight="1" x14ac:dyDescent="0.25">
      <c r="A144" s="11"/>
      <c r="B144" s="11"/>
      <c r="C144" s="11"/>
      <c r="D144" s="11"/>
      <c r="E144" s="11"/>
      <c r="F144" s="11"/>
      <c r="G144" s="15" t="str">
        <f t="shared" si="6"/>
        <v/>
      </c>
      <c r="H144" s="13" t="str">
        <f t="shared" si="7"/>
        <v/>
      </c>
      <c r="I144" s="16" t="str">
        <f t="shared" si="8"/>
        <v/>
      </c>
      <c r="J144" s="11"/>
      <c r="K144" s="11"/>
      <c r="L144" s="11"/>
      <c r="M144" s="11"/>
      <c r="N144" s="11"/>
    </row>
    <row r="145" spans="1:14" ht="15.75" customHeight="1" x14ac:dyDescent="0.25">
      <c r="A145" s="11"/>
      <c r="B145" s="11"/>
      <c r="C145" s="11"/>
      <c r="D145" s="11"/>
      <c r="E145" s="11"/>
      <c r="F145" s="11"/>
      <c r="G145" s="15" t="str">
        <f t="shared" si="6"/>
        <v/>
      </c>
      <c r="H145" s="13" t="str">
        <f t="shared" si="7"/>
        <v/>
      </c>
      <c r="I145" s="16" t="str">
        <f t="shared" si="8"/>
        <v/>
      </c>
      <c r="J145" s="11"/>
      <c r="K145" s="11"/>
      <c r="L145" s="11"/>
      <c r="M145" s="11"/>
      <c r="N145" s="11"/>
    </row>
    <row r="146" spans="1:14" ht="15.75" customHeight="1" x14ac:dyDescent="0.25">
      <c r="A146" s="11"/>
      <c r="B146" s="11"/>
      <c r="C146" s="11"/>
      <c r="D146" s="11"/>
      <c r="E146" s="11"/>
      <c r="F146" s="11"/>
      <c r="G146" s="15" t="str">
        <f t="shared" si="6"/>
        <v/>
      </c>
      <c r="H146" s="13" t="str">
        <f t="shared" si="7"/>
        <v/>
      </c>
      <c r="I146" s="16" t="str">
        <f t="shared" si="8"/>
        <v/>
      </c>
      <c r="J146" s="11"/>
      <c r="K146" s="11"/>
      <c r="L146" s="11"/>
      <c r="M146" s="11"/>
      <c r="N146" s="11"/>
    </row>
    <row r="147" spans="1:14" ht="15.75" customHeight="1" x14ac:dyDescent="0.25">
      <c r="A147" s="11"/>
      <c r="B147" s="11"/>
      <c r="C147" s="11"/>
      <c r="D147" s="11"/>
      <c r="E147" s="11"/>
      <c r="F147" s="11"/>
      <c r="G147" s="15" t="str">
        <f t="shared" si="6"/>
        <v/>
      </c>
      <c r="H147" s="13" t="str">
        <f t="shared" si="7"/>
        <v/>
      </c>
      <c r="I147" s="16" t="str">
        <f t="shared" si="8"/>
        <v/>
      </c>
      <c r="J147" s="11"/>
      <c r="K147" s="11"/>
      <c r="L147" s="11"/>
      <c r="M147" s="11"/>
      <c r="N147" s="11"/>
    </row>
    <row r="148" spans="1:14" ht="15.75" customHeight="1" x14ac:dyDescent="0.25">
      <c r="A148" s="11"/>
      <c r="B148" s="11"/>
      <c r="C148" s="11"/>
      <c r="D148" s="11"/>
      <c r="E148" s="11"/>
      <c r="F148" s="11"/>
      <c r="G148" s="15" t="str">
        <f t="shared" si="6"/>
        <v/>
      </c>
      <c r="H148" s="13" t="str">
        <f t="shared" si="7"/>
        <v/>
      </c>
      <c r="I148" s="16" t="str">
        <f t="shared" si="8"/>
        <v/>
      </c>
      <c r="J148" s="11"/>
      <c r="K148" s="11"/>
      <c r="L148" s="11"/>
      <c r="M148" s="11"/>
      <c r="N148" s="11"/>
    </row>
    <row r="149" spans="1:14" ht="15.75" customHeight="1" x14ac:dyDescent="0.25">
      <c r="A149" s="11"/>
      <c r="B149" s="11"/>
      <c r="C149" s="11"/>
      <c r="D149" s="11"/>
      <c r="E149" s="11"/>
      <c r="F149" s="11"/>
      <c r="G149" s="15" t="str">
        <f t="shared" si="6"/>
        <v/>
      </c>
      <c r="H149" s="13" t="str">
        <f t="shared" si="7"/>
        <v/>
      </c>
      <c r="I149" s="16" t="str">
        <f t="shared" si="8"/>
        <v/>
      </c>
      <c r="J149" s="11"/>
      <c r="K149" s="11"/>
      <c r="L149" s="11"/>
      <c r="M149" s="11"/>
      <c r="N149" s="11"/>
    </row>
    <row r="150" spans="1:14" ht="15.75" customHeight="1" x14ac:dyDescent="0.25">
      <c r="A150" s="11"/>
      <c r="B150" s="11"/>
      <c r="C150" s="11"/>
      <c r="D150" s="11"/>
      <c r="E150" s="11"/>
      <c r="F150" s="11"/>
      <c r="G150" s="15" t="str">
        <f t="shared" si="6"/>
        <v/>
      </c>
      <c r="H150" s="13" t="str">
        <f t="shared" si="7"/>
        <v/>
      </c>
      <c r="I150" s="16" t="str">
        <f t="shared" si="8"/>
        <v/>
      </c>
      <c r="J150" s="11"/>
      <c r="K150" s="11"/>
      <c r="L150" s="11"/>
      <c r="M150" s="11"/>
      <c r="N150" s="11"/>
    </row>
    <row r="151" spans="1:14" ht="15.75" customHeight="1" x14ac:dyDescent="0.25">
      <c r="A151" s="11"/>
      <c r="B151" s="11"/>
      <c r="C151" s="11"/>
      <c r="D151" s="11"/>
      <c r="E151" s="11"/>
      <c r="F151" s="11"/>
      <c r="G151" s="15" t="str">
        <f t="shared" si="6"/>
        <v/>
      </c>
      <c r="H151" s="13" t="str">
        <f t="shared" si="7"/>
        <v/>
      </c>
      <c r="I151" s="16" t="str">
        <f t="shared" si="8"/>
        <v/>
      </c>
      <c r="J151" s="11"/>
      <c r="K151" s="11"/>
      <c r="L151" s="11"/>
      <c r="M151" s="11"/>
      <c r="N151" s="11"/>
    </row>
    <row r="152" spans="1:14" ht="15.75" customHeight="1" x14ac:dyDescent="0.25">
      <c r="A152" s="11"/>
      <c r="B152" s="11"/>
      <c r="C152" s="11"/>
      <c r="D152" s="11"/>
      <c r="E152" s="11"/>
      <c r="F152" s="11"/>
      <c r="G152" s="15" t="str">
        <f t="shared" si="6"/>
        <v/>
      </c>
      <c r="H152" s="13" t="str">
        <f t="shared" si="7"/>
        <v/>
      </c>
      <c r="I152" s="16" t="str">
        <f t="shared" si="8"/>
        <v/>
      </c>
      <c r="J152" s="11"/>
      <c r="K152" s="11"/>
      <c r="L152" s="11"/>
      <c r="M152" s="11"/>
      <c r="N152" s="11"/>
    </row>
    <row r="153" spans="1:14" ht="15.75" customHeight="1" x14ac:dyDescent="0.25">
      <c r="A153" s="11"/>
      <c r="B153" s="11"/>
      <c r="C153" s="11"/>
      <c r="D153" s="11"/>
      <c r="E153" s="11"/>
      <c r="F153" s="11"/>
      <c r="G153" s="15" t="str">
        <f t="shared" si="6"/>
        <v/>
      </c>
      <c r="H153" s="13" t="str">
        <f t="shared" si="7"/>
        <v/>
      </c>
      <c r="I153" s="16" t="str">
        <f t="shared" si="8"/>
        <v/>
      </c>
      <c r="J153" s="11"/>
      <c r="K153" s="11"/>
      <c r="L153" s="11"/>
      <c r="M153" s="11"/>
      <c r="N153" s="11"/>
    </row>
    <row r="154" spans="1:14" ht="15.75" customHeight="1" x14ac:dyDescent="0.25">
      <c r="A154" s="11"/>
      <c r="B154" s="11"/>
      <c r="C154" s="11"/>
      <c r="D154" s="11"/>
      <c r="E154" s="11"/>
      <c r="F154" s="11"/>
      <c r="G154" s="15" t="str">
        <f t="shared" si="6"/>
        <v/>
      </c>
      <c r="H154" s="13" t="str">
        <f t="shared" si="7"/>
        <v/>
      </c>
      <c r="I154" s="16" t="str">
        <f t="shared" si="8"/>
        <v/>
      </c>
      <c r="J154" s="11"/>
      <c r="K154" s="11"/>
      <c r="L154" s="11"/>
      <c r="M154" s="11"/>
      <c r="N154" s="11"/>
    </row>
    <row r="155" spans="1:14" ht="15.75" customHeight="1" x14ac:dyDescent="0.25">
      <c r="A155" s="11"/>
      <c r="B155" s="11"/>
      <c r="C155" s="11"/>
      <c r="D155" s="11"/>
      <c r="E155" s="11"/>
      <c r="F155" s="11"/>
      <c r="G155" s="15" t="str">
        <f t="shared" si="6"/>
        <v/>
      </c>
      <c r="H155" s="13" t="str">
        <f t="shared" si="7"/>
        <v/>
      </c>
      <c r="I155" s="16" t="str">
        <f t="shared" si="8"/>
        <v/>
      </c>
      <c r="J155" s="11"/>
      <c r="K155" s="11"/>
      <c r="L155" s="11"/>
      <c r="M155" s="11"/>
      <c r="N155" s="11"/>
    </row>
    <row r="156" spans="1:14" ht="15.75" customHeight="1" x14ac:dyDescent="0.25">
      <c r="A156" s="11"/>
      <c r="B156" s="11"/>
      <c r="C156" s="11"/>
      <c r="D156" s="11"/>
      <c r="E156" s="11"/>
      <c r="F156" s="11"/>
      <c r="G156" s="15" t="str">
        <f t="shared" si="6"/>
        <v/>
      </c>
      <c r="H156" s="13" t="str">
        <f t="shared" si="7"/>
        <v/>
      </c>
      <c r="I156" s="16" t="str">
        <f t="shared" si="8"/>
        <v/>
      </c>
      <c r="J156" s="11"/>
      <c r="K156" s="11"/>
      <c r="L156" s="11"/>
      <c r="M156" s="11"/>
      <c r="N156" s="11"/>
    </row>
    <row r="157" spans="1:14" ht="15.75" customHeight="1" x14ac:dyDescent="0.25">
      <c r="A157" s="11"/>
      <c r="B157" s="11"/>
      <c r="C157" s="11"/>
      <c r="D157" s="11"/>
      <c r="E157" s="11"/>
      <c r="F157" s="11"/>
      <c r="G157" s="15" t="str">
        <f t="shared" si="6"/>
        <v/>
      </c>
      <c r="H157" s="13" t="str">
        <f t="shared" si="7"/>
        <v/>
      </c>
      <c r="I157" s="16" t="str">
        <f t="shared" si="8"/>
        <v/>
      </c>
      <c r="J157" s="11"/>
      <c r="K157" s="11"/>
      <c r="L157" s="11"/>
      <c r="M157" s="11"/>
      <c r="N157" s="11"/>
    </row>
    <row r="158" spans="1:14" ht="15.75" customHeight="1" x14ac:dyDescent="0.25">
      <c r="A158" s="11"/>
      <c r="B158" s="11"/>
      <c r="C158" s="11"/>
      <c r="D158" s="11"/>
      <c r="E158" s="11"/>
      <c r="F158" s="11"/>
      <c r="G158" s="15" t="str">
        <f t="shared" si="6"/>
        <v/>
      </c>
      <c r="H158" s="13" t="str">
        <f t="shared" si="7"/>
        <v/>
      </c>
      <c r="I158" s="16" t="str">
        <f t="shared" si="8"/>
        <v/>
      </c>
      <c r="J158" s="11"/>
      <c r="K158" s="11"/>
      <c r="L158" s="11"/>
      <c r="M158" s="11"/>
      <c r="N158" s="11"/>
    </row>
    <row r="159" spans="1:14" ht="15.75" customHeight="1" x14ac:dyDescent="0.25">
      <c r="A159" s="11"/>
      <c r="B159" s="11"/>
      <c r="C159" s="11"/>
      <c r="D159" s="11"/>
      <c r="E159" s="11"/>
      <c r="F159" s="11"/>
      <c r="G159" s="15" t="str">
        <f t="shared" si="6"/>
        <v/>
      </c>
      <c r="H159" s="13" t="str">
        <f t="shared" si="7"/>
        <v/>
      </c>
      <c r="I159" s="16" t="str">
        <f t="shared" si="8"/>
        <v/>
      </c>
      <c r="J159" s="11"/>
      <c r="K159" s="11"/>
      <c r="L159" s="11"/>
      <c r="M159" s="11"/>
      <c r="N159" s="11"/>
    </row>
    <row r="160" spans="1:14" ht="15.75" customHeight="1" x14ac:dyDescent="0.25">
      <c r="A160" s="11"/>
      <c r="B160" s="11"/>
      <c r="C160" s="11"/>
      <c r="D160" s="11"/>
      <c r="E160" s="11"/>
      <c r="F160" s="11"/>
      <c r="G160" s="15" t="str">
        <f t="shared" si="6"/>
        <v/>
      </c>
      <c r="H160" s="13" t="str">
        <f t="shared" si="7"/>
        <v/>
      </c>
      <c r="I160" s="16" t="str">
        <f t="shared" si="8"/>
        <v/>
      </c>
      <c r="J160" s="11"/>
      <c r="K160" s="11"/>
      <c r="L160" s="11"/>
      <c r="M160" s="11"/>
      <c r="N160" s="11"/>
    </row>
    <row r="161" spans="1:14" ht="15.75" customHeight="1" x14ac:dyDescent="0.25">
      <c r="A161" s="11"/>
      <c r="B161" s="11"/>
      <c r="C161" s="11"/>
      <c r="D161" s="11"/>
      <c r="E161" s="11"/>
      <c r="F161" s="11"/>
      <c r="G161" s="15" t="str">
        <f t="shared" si="6"/>
        <v/>
      </c>
      <c r="H161" s="13" t="str">
        <f t="shared" si="7"/>
        <v/>
      </c>
      <c r="I161" s="16" t="str">
        <f t="shared" si="8"/>
        <v/>
      </c>
      <c r="J161" s="11"/>
      <c r="K161" s="11"/>
      <c r="L161" s="11"/>
      <c r="M161" s="11"/>
      <c r="N161" s="11"/>
    </row>
    <row r="162" spans="1:14" ht="15.75" customHeight="1" x14ac:dyDescent="0.25">
      <c r="A162" s="11"/>
      <c r="B162" s="11"/>
      <c r="C162" s="11"/>
      <c r="D162" s="11"/>
      <c r="E162" s="11"/>
      <c r="F162" s="11"/>
      <c r="G162" s="15" t="str">
        <f t="shared" si="6"/>
        <v/>
      </c>
      <c r="H162" s="13" t="str">
        <f t="shared" si="7"/>
        <v/>
      </c>
      <c r="I162" s="16" t="str">
        <f t="shared" si="8"/>
        <v/>
      </c>
      <c r="J162" s="11"/>
      <c r="K162" s="11"/>
      <c r="L162" s="11"/>
      <c r="M162" s="11"/>
      <c r="N162" s="11"/>
    </row>
    <row r="163" spans="1:14" ht="15.75" customHeight="1" x14ac:dyDescent="0.25">
      <c r="A163" s="11"/>
      <c r="B163" s="11"/>
      <c r="C163" s="11"/>
      <c r="D163" s="11"/>
      <c r="E163" s="11"/>
      <c r="F163" s="11"/>
      <c r="G163" s="15" t="str">
        <f t="shared" si="6"/>
        <v/>
      </c>
      <c r="H163" s="13" t="str">
        <f t="shared" si="7"/>
        <v/>
      </c>
      <c r="I163" s="16" t="str">
        <f t="shared" si="8"/>
        <v/>
      </c>
      <c r="J163" s="11"/>
      <c r="K163" s="11"/>
      <c r="L163" s="11"/>
      <c r="M163" s="11"/>
      <c r="N163" s="11"/>
    </row>
    <row r="164" spans="1:14" ht="15.75" customHeight="1" x14ac:dyDescent="0.25">
      <c r="A164" s="11"/>
      <c r="B164" s="11"/>
      <c r="C164" s="11"/>
      <c r="D164" s="11"/>
      <c r="E164" s="11"/>
      <c r="F164" s="11"/>
      <c r="G164" s="15" t="str">
        <f t="shared" si="6"/>
        <v/>
      </c>
      <c r="H164" s="13" t="str">
        <f t="shared" si="7"/>
        <v/>
      </c>
      <c r="I164" s="16" t="str">
        <f t="shared" si="8"/>
        <v/>
      </c>
      <c r="J164" s="11"/>
      <c r="K164" s="11"/>
      <c r="L164" s="11"/>
      <c r="M164" s="11"/>
      <c r="N164" s="11"/>
    </row>
    <row r="165" spans="1:14" ht="15.75" customHeight="1" x14ac:dyDescent="0.25">
      <c r="A165" s="11"/>
      <c r="B165" s="11"/>
      <c r="C165" s="11"/>
      <c r="D165" s="11"/>
      <c r="E165" s="11"/>
      <c r="F165" s="11"/>
      <c r="G165" s="15" t="str">
        <f t="shared" si="6"/>
        <v/>
      </c>
      <c r="H165" s="13" t="str">
        <f t="shared" si="7"/>
        <v/>
      </c>
      <c r="I165" s="16" t="str">
        <f t="shared" si="8"/>
        <v/>
      </c>
      <c r="J165" s="11"/>
      <c r="K165" s="11"/>
      <c r="L165" s="11"/>
      <c r="M165" s="11"/>
      <c r="N165" s="11"/>
    </row>
    <row r="166" spans="1:14" ht="15.75" customHeight="1" x14ac:dyDescent="0.25">
      <c r="A166" s="11"/>
      <c r="B166" s="11"/>
      <c r="C166" s="11"/>
      <c r="D166" s="11"/>
      <c r="E166" s="11"/>
      <c r="F166" s="11"/>
      <c r="G166" s="15" t="str">
        <f t="shared" si="6"/>
        <v/>
      </c>
      <c r="H166" s="13" t="str">
        <f t="shared" si="7"/>
        <v/>
      </c>
      <c r="I166" s="16" t="str">
        <f t="shared" si="8"/>
        <v/>
      </c>
      <c r="J166" s="11"/>
      <c r="K166" s="11"/>
      <c r="L166" s="11"/>
      <c r="M166" s="11"/>
      <c r="N166" s="11"/>
    </row>
    <row r="167" spans="1:14" ht="15.75" customHeight="1" x14ac:dyDescent="0.25">
      <c r="A167" s="11"/>
      <c r="B167" s="11"/>
      <c r="C167" s="11"/>
      <c r="D167" s="11"/>
      <c r="E167" s="11"/>
      <c r="F167" s="11"/>
      <c r="G167" s="15" t="str">
        <f t="shared" si="6"/>
        <v/>
      </c>
      <c r="H167" s="13" t="str">
        <f t="shared" si="7"/>
        <v/>
      </c>
      <c r="I167" s="16" t="str">
        <f t="shared" si="8"/>
        <v/>
      </c>
      <c r="J167" s="11"/>
      <c r="K167" s="11"/>
      <c r="L167" s="11"/>
      <c r="M167" s="11"/>
      <c r="N167" s="11"/>
    </row>
    <row r="168" spans="1:14" ht="15.75" customHeight="1" x14ac:dyDescent="0.25">
      <c r="A168" s="11"/>
      <c r="B168" s="11"/>
      <c r="C168" s="11"/>
      <c r="D168" s="11"/>
      <c r="E168" s="11"/>
      <c r="F168" s="11"/>
      <c r="G168" s="15" t="str">
        <f t="shared" si="6"/>
        <v/>
      </c>
      <c r="H168" s="13" t="str">
        <f t="shared" si="7"/>
        <v/>
      </c>
      <c r="I168" s="16" t="str">
        <f t="shared" si="8"/>
        <v/>
      </c>
      <c r="J168" s="11"/>
      <c r="K168" s="11"/>
      <c r="L168" s="11"/>
      <c r="M168" s="11"/>
      <c r="N168" s="11"/>
    </row>
    <row r="169" spans="1:14" ht="15.75" customHeight="1" x14ac:dyDescent="0.25">
      <c r="A169" s="11"/>
      <c r="B169" s="11"/>
      <c r="C169" s="11"/>
      <c r="D169" s="11"/>
      <c r="E169" s="11"/>
      <c r="F169" s="11"/>
      <c r="G169" s="15" t="str">
        <f t="shared" si="6"/>
        <v/>
      </c>
      <c r="H169" s="13" t="str">
        <f t="shared" si="7"/>
        <v/>
      </c>
      <c r="I169" s="16" t="str">
        <f t="shared" si="8"/>
        <v/>
      </c>
      <c r="J169" s="11"/>
      <c r="K169" s="11"/>
      <c r="L169" s="11"/>
      <c r="M169" s="11"/>
      <c r="N169" s="11"/>
    </row>
    <row r="170" spans="1:14" ht="15.75" customHeight="1" x14ac:dyDescent="0.25">
      <c r="A170" s="11"/>
      <c r="B170" s="11"/>
      <c r="C170" s="11"/>
      <c r="D170" s="11"/>
      <c r="E170" s="11"/>
      <c r="F170" s="11"/>
      <c r="G170" s="15" t="str">
        <f t="shared" si="6"/>
        <v/>
      </c>
      <c r="H170" s="13" t="str">
        <f t="shared" si="7"/>
        <v/>
      </c>
      <c r="I170" s="16" t="str">
        <f t="shared" si="8"/>
        <v/>
      </c>
      <c r="J170" s="11"/>
      <c r="K170" s="11"/>
      <c r="L170" s="11"/>
      <c r="M170" s="11"/>
      <c r="N170" s="11"/>
    </row>
    <row r="171" spans="1:14" ht="15.75" customHeight="1" x14ac:dyDescent="0.25">
      <c r="A171" s="11"/>
      <c r="B171" s="11"/>
      <c r="C171" s="11"/>
      <c r="D171" s="11"/>
      <c r="E171" s="11"/>
      <c r="F171" s="11"/>
      <c r="G171" s="15" t="str">
        <f t="shared" si="6"/>
        <v/>
      </c>
      <c r="H171" s="13" t="str">
        <f t="shared" si="7"/>
        <v/>
      </c>
      <c r="I171" s="16" t="str">
        <f t="shared" si="8"/>
        <v/>
      </c>
      <c r="J171" s="11"/>
      <c r="K171" s="11"/>
      <c r="L171" s="11"/>
      <c r="M171" s="11"/>
      <c r="N171" s="11"/>
    </row>
    <row r="172" spans="1:14" ht="15.75" customHeight="1" x14ac:dyDescent="0.25">
      <c r="A172" s="11"/>
      <c r="B172" s="11"/>
      <c r="C172" s="11"/>
      <c r="D172" s="11"/>
      <c r="E172" s="11"/>
      <c r="F172" s="11"/>
      <c r="G172" s="15" t="str">
        <f t="shared" si="6"/>
        <v/>
      </c>
      <c r="H172" s="13" t="str">
        <f t="shared" si="7"/>
        <v/>
      </c>
      <c r="I172" s="16" t="str">
        <f t="shared" si="8"/>
        <v/>
      </c>
      <c r="J172" s="11"/>
      <c r="K172" s="11"/>
      <c r="L172" s="11"/>
      <c r="M172" s="11"/>
      <c r="N172" s="11"/>
    </row>
    <row r="173" spans="1:14" ht="15.75" customHeight="1" x14ac:dyDescent="0.25">
      <c r="A173" s="11"/>
      <c r="B173" s="11"/>
      <c r="C173" s="11"/>
      <c r="D173" s="11"/>
      <c r="E173" s="11"/>
      <c r="F173" s="11"/>
      <c r="G173" s="15" t="str">
        <f t="shared" si="6"/>
        <v/>
      </c>
      <c r="H173" s="13" t="str">
        <f t="shared" si="7"/>
        <v/>
      </c>
      <c r="I173" s="16" t="str">
        <f t="shared" si="8"/>
        <v/>
      </c>
      <c r="J173" s="11"/>
      <c r="K173" s="11"/>
      <c r="L173" s="11"/>
      <c r="M173" s="11"/>
      <c r="N173" s="11"/>
    </row>
    <row r="174" spans="1:14" ht="15.75" customHeight="1" x14ac:dyDescent="0.25">
      <c r="A174" s="11"/>
      <c r="B174" s="11"/>
      <c r="C174" s="11"/>
      <c r="D174" s="11"/>
      <c r="E174" s="11"/>
      <c r="F174" s="11"/>
      <c r="G174" s="15" t="str">
        <f t="shared" si="6"/>
        <v/>
      </c>
      <c r="H174" s="13" t="str">
        <f t="shared" si="7"/>
        <v/>
      </c>
      <c r="I174" s="16" t="str">
        <f t="shared" si="8"/>
        <v/>
      </c>
      <c r="J174" s="11"/>
      <c r="K174" s="11"/>
      <c r="L174" s="11"/>
      <c r="M174" s="11"/>
      <c r="N174" s="11"/>
    </row>
    <row r="175" spans="1:14" ht="15.75" customHeight="1" x14ac:dyDescent="0.25">
      <c r="A175" s="11"/>
      <c r="B175" s="11"/>
      <c r="C175" s="11"/>
      <c r="D175" s="11"/>
      <c r="E175" s="11"/>
      <c r="F175" s="11"/>
      <c r="G175" s="15" t="str">
        <f t="shared" si="6"/>
        <v/>
      </c>
      <c r="H175" s="13" t="str">
        <f t="shared" si="7"/>
        <v/>
      </c>
      <c r="I175" s="16" t="str">
        <f t="shared" si="8"/>
        <v/>
      </c>
      <c r="J175" s="11"/>
      <c r="K175" s="11"/>
      <c r="L175" s="11"/>
      <c r="M175" s="11"/>
      <c r="N175" s="11"/>
    </row>
    <row r="176" spans="1:14" ht="15.75" customHeight="1" x14ac:dyDescent="0.25">
      <c r="A176" s="11"/>
      <c r="B176" s="11"/>
      <c r="C176" s="11"/>
      <c r="D176" s="11"/>
      <c r="E176" s="11"/>
      <c r="F176" s="11"/>
      <c r="G176" s="15" t="str">
        <f t="shared" si="6"/>
        <v/>
      </c>
      <c r="H176" s="13" t="str">
        <f t="shared" si="7"/>
        <v/>
      </c>
      <c r="I176" s="16" t="str">
        <f t="shared" si="8"/>
        <v/>
      </c>
      <c r="J176" s="11"/>
      <c r="K176" s="11"/>
      <c r="L176" s="11"/>
      <c r="M176" s="11"/>
      <c r="N176" s="11"/>
    </row>
    <row r="177" spans="1:14" ht="15.75" customHeight="1" x14ac:dyDescent="0.25">
      <c r="A177" s="11"/>
      <c r="B177" s="11"/>
      <c r="C177" s="11"/>
      <c r="D177" s="11"/>
      <c r="E177" s="11"/>
      <c r="F177" s="11"/>
      <c r="G177" s="15" t="str">
        <f t="shared" si="6"/>
        <v/>
      </c>
      <c r="H177" s="13" t="str">
        <f t="shared" si="7"/>
        <v/>
      </c>
      <c r="I177" s="16" t="str">
        <f t="shared" si="8"/>
        <v/>
      </c>
      <c r="J177" s="11"/>
      <c r="K177" s="11"/>
      <c r="L177" s="11"/>
      <c r="M177" s="11"/>
      <c r="N177" s="11"/>
    </row>
    <row r="178" spans="1:14" ht="15.75" customHeight="1" x14ac:dyDescent="0.25">
      <c r="A178" s="11"/>
      <c r="B178" s="11"/>
      <c r="C178" s="11"/>
      <c r="D178" s="11"/>
      <c r="E178" s="11"/>
      <c r="F178" s="11"/>
      <c r="G178" s="15" t="str">
        <f t="shared" si="6"/>
        <v/>
      </c>
      <c r="H178" s="13" t="str">
        <f t="shared" si="7"/>
        <v/>
      </c>
      <c r="I178" s="16" t="str">
        <f t="shared" si="8"/>
        <v/>
      </c>
      <c r="J178" s="11"/>
      <c r="K178" s="11"/>
      <c r="L178" s="11"/>
      <c r="M178" s="11"/>
      <c r="N178" s="11"/>
    </row>
    <row r="179" spans="1:14" ht="15.75" customHeight="1" x14ac:dyDescent="0.25">
      <c r="A179" s="11"/>
      <c r="B179" s="11"/>
      <c r="C179" s="11"/>
      <c r="D179" s="11"/>
      <c r="E179" s="11"/>
      <c r="F179" s="11"/>
      <c r="G179" s="15" t="str">
        <f t="shared" si="6"/>
        <v/>
      </c>
      <c r="H179" s="13" t="str">
        <f t="shared" si="7"/>
        <v/>
      </c>
      <c r="I179" s="16" t="str">
        <f t="shared" si="8"/>
        <v/>
      </c>
      <c r="J179" s="11"/>
      <c r="K179" s="11"/>
      <c r="L179" s="11"/>
      <c r="M179" s="11"/>
      <c r="N179" s="11"/>
    </row>
    <row r="180" spans="1:14" ht="15.75" customHeight="1" x14ac:dyDescent="0.25">
      <c r="A180" s="11"/>
      <c r="B180" s="11"/>
      <c r="C180" s="11"/>
      <c r="D180" s="11"/>
      <c r="E180" s="11"/>
      <c r="F180" s="11"/>
      <c r="G180" s="15" t="str">
        <f t="shared" si="6"/>
        <v/>
      </c>
      <c r="H180" s="13" t="str">
        <f t="shared" si="7"/>
        <v/>
      </c>
      <c r="I180" s="16" t="str">
        <f t="shared" si="8"/>
        <v/>
      </c>
      <c r="J180" s="11"/>
      <c r="K180" s="11"/>
      <c r="L180" s="11"/>
      <c r="M180" s="11"/>
      <c r="N180" s="11"/>
    </row>
    <row r="181" spans="1:14" ht="15.75" customHeight="1" x14ac:dyDescent="0.25">
      <c r="A181" s="11"/>
      <c r="B181" s="11"/>
      <c r="C181" s="11"/>
      <c r="D181" s="11"/>
      <c r="E181" s="11"/>
      <c r="F181" s="11"/>
      <c r="G181" s="15" t="str">
        <f t="shared" si="6"/>
        <v/>
      </c>
      <c r="H181" s="13" t="str">
        <f t="shared" si="7"/>
        <v/>
      </c>
      <c r="I181" s="16" t="str">
        <f t="shared" si="8"/>
        <v/>
      </c>
      <c r="J181" s="11"/>
      <c r="K181" s="11"/>
      <c r="L181" s="11"/>
      <c r="M181" s="11"/>
      <c r="N181" s="11"/>
    </row>
    <row r="182" spans="1:14" ht="15.75" customHeight="1" x14ac:dyDescent="0.25">
      <c r="A182" s="11"/>
      <c r="B182" s="11"/>
      <c r="C182" s="11"/>
      <c r="D182" s="11"/>
      <c r="E182" s="11"/>
      <c r="F182" s="11"/>
      <c r="G182" s="15" t="str">
        <f t="shared" si="6"/>
        <v/>
      </c>
      <c r="H182" s="13" t="str">
        <f t="shared" si="7"/>
        <v/>
      </c>
      <c r="I182" s="16" t="str">
        <f t="shared" si="8"/>
        <v/>
      </c>
      <c r="J182" s="11"/>
      <c r="K182" s="11"/>
      <c r="L182" s="11"/>
      <c r="M182" s="11"/>
      <c r="N182" s="11"/>
    </row>
    <row r="183" spans="1:14" ht="15.75" customHeight="1" x14ac:dyDescent="0.25">
      <c r="A183" s="11"/>
      <c r="B183" s="11"/>
      <c r="C183" s="11"/>
      <c r="D183" s="11"/>
      <c r="E183" s="11"/>
      <c r="F183" s="11"/>
      <c r="G183" s="15" t="str">
        <f t="shared" si="6"/>
        <v/>
      </c>
      <c r="H183" s="13" t="str">
        <f t="shared" si="7"/>
        <v/>
      </c>
      <c r="I183" s="16" t="str">
        <f t="shared" si="8"/>
        <v/>
      </c>
      <c r="J183" s="11"/>
      <c r="K183" s="11"/>
      <c r="L183" s="11"/>
      <c r="M183" s="11"/>
      <c r="N183" s="11"/>
    </row>
    <row r="184" spans="1:14" ht="15.75" customHeight="1" x14ac:dyDescent="0.25">
      <c r="A184" s="11"/>
      <c r="B184" s="11"/>
      <c r="C184" s="11"/>
      <c r="D184" s="11"/>
      <c r="E184" s="11"/>
      <c r="F184" s="11"/>
      <c r="G184" s="15" t="str">
        <f t="shared" si="6"/>
        <v/>
      </c>
      <c r="H184" s="13" t="str">
        <f t="shared" si="7"/>
        <v/>
      </c>
      <c r="I184" s="16" t="str">
        <f t="shared" si="8"/>
        <v/>
      </c>
      <c r="J184" s="11"/>
      <c r="K184" s="11"/>
      <c r="L184" s="11"/>
      <c r="M184" s="11"/>
      <c r="N184" s="11"/>
    </row>
    <row r="185" spans="1:14" ht="15.75" customHeight="1" x14ac:dyDescent="0.25">
      <c r="A185" s="11"/>
      <c r="B185" s="11"/>
      <c r="C185" s="11"/>
      <c r="D185" s="11"/>
      <c r="E185" s="11"/>
      <c r="F185" s="11"/>
      <c r="G185" s="15" t="str">
        <f t="shared" si="6"/>
        <v/>
      </c>
      <c r="H185" s="13" t="str">
        <f t="shared" si="7"/>
        <v/>
      </c>
      <c r="I185" s="16" t="str">
        <f t="shared" si="8"/>
        <v/>
      </c>
      <c r="J185" s="11"/>
      <c r="K185" s="11"/>
      <c r="L185" s="11"/>
      <c r="M185" s="11"/>
      <c r="N185" s="11"/>
    </row>
    <row r="186" spans="1:14" ht="15.75" customHeight="1" x14ac:dyDescent="0.25">
      <c r="A186" s="11"/>
      <c r="B186" s="11"/>
      <c r="C186" s="11"/>
      <c r="D186" s="11"/>
      <c r="E186" s="11"/>
      <c r="F186" s="11"/>
      <c r="G186" s="15" t="str">
        <f t="shared" si="6"/>
        <v/>
      </c>
      <c r="H186" s="13" t="str">
        <f t="shared" si="7"/>
        <v/>
      </c>
      <c r="I186" s="16" t="str">
        <f t="shared" si="8"/>
        <v/>
      </c>
      <c r="J186" s="11"/>
      <c r="K186" s="11"/>
      <c r="L186" s="11"/>
      <c r="M186" s="11"/>
      <c r="N186" s="11"/>
    </row>
    <row r="187" spans="1:14" ht="15.75" customHeight="1" x14ac:dyDescent="0.25">
      <c r="A187" s="11"/>
      <c r="B187" s="11"/>
      <c r="C187" s="11"/>
      <c r="D187" s="11"/>
      <c r="E187" s="11"/>
      <c r="F187" s="11"/>
      <c r="G187" s="15" t="str">
        <f t="shared" si="6"/>
        <v/>
      </c>
      <c r="H187" s="13" t="str">
        <f t="shared" si="7"/>
        <v/>
      </c>
      <c r="I187" s="16" t="str">
        <f t="shared" si="8"/>
        <v/>
      </c>
      <c r="J187" s="11"/>
      <c r="K187" s="11"/>
      <c r="L187" s="11"/>
      <c r="M187" s="11"/>
      <c r="N187" s="11"/>
    </row>
    <row r="188" spans="1:14" ht="15.75" customHeight="1" x14ac:dyDescent="0.25">
      <c r="A188" s="11"/>
      <c r="B188" s="11"/>
      <c r="C188" s="11"/>
      <c r="D188" s="11"/>
      <c r="E188" s="11"/>
      <c r="F188" s="11"/>
      <c r="G188" s="15" t="str">
        <f t="shared" si="6"/>
        <v/>
      </c>
      <c r="H188" s="13" t="str">
        <f t="shared" si="7"/>
        <v/>
      </c>
      <c r="I188" s="16" t="str">
        <f t="shared" si="8"/>
        <v/>
      </c>
      <c r="J188" s="11"/>
      <c r="K188" s="11"/>
      <c r="L188" s="11"/>
      <c r="M188" s="11"/>
      <c r="N188" s="11"/>
    </row>
    <row r="189" spans="1:14" ht="15.75" customHeight="1" x14ac:dyDescent="0.25">
      <c r="A189" s="11"/>
      <c r="B189" s="11"/>
      <c r="C189" s="11"/>
      <c r="D189" s="11"/>
      <c r="E189" s="11"/>
      <c r="F189" s="11"/>
      <c r="G189" s="15" t="str">
        <f t="shared" si="6"/>
        <v/>
      </c>
      <c r="H189" s="13" t="str">
        <f t="shared" si="7"/>
        <v/>
      </c>
      <c r="I189" s="16" t="str">
        <f t="shared" si="8"/>
        <v/>
      </c>
      <c r="J189" s="11"/>
      <c r="K189" s="11"/>
      <c r="L189" s="11"/>
      <c r="M189" s="11"/>
      <c r="N189" s="11"/>
    </row>
    <row r="190" spans="1:14" ht="15.75" customHeight="1" x14ac:dyDescent="0.25">
      <c r="A190" s="11"/>
      <c r="B190" s="11"/>
      <c r="C190" s="11"/>
      <c r="D190" s="11"/>
      <c r="E190" s="11"/>
      <c r="F190" s="11"/>
      <c r="G190" s="15" t="str">
        <f t="shared" si="6"/>
        <v/>
      </c>
      <c r="H190" s="13" t="str">
        <f t="shared" si="7"/>
        <v/>
      </c>
      <c r="I190" s="16" t="str">
        <f t="shared" si="8"/>
        <v/>
      </c>
      <c r="J190" s="11"/>
      <c r="K190" s="11"/>
      <c r="L190" s="11"/>
      <c r="M190" s="11"/>
      <c r="N190" s="11"/>
    </row>
    <row r="191" spans="1:14" ht="15.75" customHeight="1" x14ac:dyDescent="0.25">
      <c r="A191" s="11"/>
      <c r="B191" s="11"/>
      <c r="C191" s="11"/>
      <c r="D191" s="11"/>
      <c r="E191" s="11"/>
      <c r="F191" s="11"/>
      <c r="G191" s="15" t="str">
        <f t="shared" si="6"/>
        <v/>
      </c>
      <c r="H191" s="13" t="str">
        <f t="shared" si="7"/>
        <v/>
      </c>
      <c r="I191" s="16" t="str">
        <f t="shared" si="8"/>
        <v/>
      </c>
      <c r="J191" s="11"/>
      <c r="K191" s="11"/>
      <c r="L191" s="11"/>
      <c r="M191" s="11"/>
      <c r="N191" s="11"/>
    </row>
    <row r="192" spans="1:14" ht="15.75" customHeight="1" x14ac:dyDescent="0.25">
      <c r="A192" s="11"/>
      <c r="B192" s="11"/>
      <c r="C192" s="11"/>
      <c r="D192" s="11"/>
      <c r="E192" s="11"/>
      <c r="F192" s="11"/>
      <c r="G192" s="15" t="str">
        <f t="shared" si="6"/>
        <v/>
      </c>
      <c r="H192" s="13" t="str">
        <f t="shared" si="7"/>
        <v/>
      </c>
      <c r="I192" s="16" t="str">
        <f t="shared" si="8"/>
        <v/>
      </c>
      <c r="J192" s="11"/>
      <c r="K192" s="11"/>
      <c r="L192" s="11"/>
      <c r="M192" s="11"/>
      <c r="N192" s="11"/>
    </row>
    <row r="193" spans="1:14" ht="15.75" customHeight="1" x14ac:dyDescent="0.25">
      <c r="A193" s="11"/>
      <c r="B193" s="11"/>
      <c r="C193" s="11"/>
      <c r="D193" s="11"/>
      <c r="E193" s="11"/>
      <c r="F193" s="11"/>
      <c r="G193" s="15" t="str">
        <f t="shared" si="6"/>
        <v/>
      </c>
      <c r="H193" s="13" t="str">
        <f t="shared" si="7"/>
        <v/>
      </c>
      <c r="I193" s="16" t="str">
        <f t="shared" si="8"/>
        <v/>
      </c>
      <c r="J193" s="11"/>
      <c r="K193" s="11"/>
      <c r="L193" s="11"/>
      <c r="M193" s="11"/>
      <c r="N193" s="11"/>
    </row>
    <row r="194" spans="1:14" ht="15.75" customHeight="1" x14ac:dyDescent="0.25">
      <c r="A194" s="11"/>
      <c r="B194" s="11"/>
      <c r="C194" s="11"/>
      <c r="D194" s="11"/>
      <c r="E194" s="11"/>
      <c r="F194" s="11"/>
      <c r="G194" s="15" t="str">
        <f t="shared" si="6"/>
        <v/>
      </c>
      <c r="H194" s="13" t="str">
        <f t="shared" si="7"/>
        <v/>
      </c>
      <c r="I194" s="16" t="str">
        <f t="shared" si="8"/>
        <v/>
      </c>
      <c r="J194" s="11"/>
      <c r="K194" s="11"/>
      <c r="L194" s="11"/>
      <c r="M194" s="11"/>
      <c r="N194" s="11"/>
    </row>
    <row r="195" spans="1:14" ht="15.75" customHeight="1" x14ac:dyDescent="0.25">
      <c r="A195" s="11"/>
      <c r="B195" s="11"/>
      <c r="C195" s="11"/>
      <c r="D195" s="11"/>
      <c r="E195" s="11"/>
      <c r="F195" s="11"/>
      <c r="G195" s="15" t="str">
        <f t="shared" si="6"/>
        <v/>
      </c>
      <c r="H195" s="13" t="str">
        <f t="shared" si="7"/>
        <v/>
      </c>
      <c r="I195" s="16" t="str">
        <f t="shared" si="8"/>
        <v/>
      </c>
      <c r="J195" s="11"/>
      <c r="K195" s="11"/>
      <c r="L195" s="11"/>
      <c r="M195" s="11"/>
      <c r="N195" s="11"/>
    </row>
    <row r="196" spans="1:14" ht="15.75" customHeight="1" x14ac:dyDescent="0.25">
      <c r="A196" s="11"/>
      <c r="B196" s="11"/>
      <c r="C196" s="11"/>
      <c r="D196" s="11"/>
      <c r="E196" s="11"/>
      <c r="F196" s="11"/>
      <c r="G196" s="15" t="str">
        <f t="shared" ref="G196:G259" si="9">IF(E196="","",IF(OR(E196="Withdrawal",E196="Loan Disbursement"),F196,0))</f>
        <v/>
      </c>
      <c r="H196" s="13" t="str">
        <f t="shared" ref="H196:H259" si="10">IF(E196="","",IF(OR(E196="Savings Deposit",E196="Loan Repayment"),F196,0))</f>
        <v/>
      </c>
      <c r="I196" s="16" t="str">
        <f t="shared" si="8"/>
        <v/>
      </c>
      <c r="J196" s="11"/>
      <c r="K196" s="11"/>
      <c r="L196" s="11"/>
      <c r="M196" s="11"/>
      <c r="N196" s="11"/>
    </row>
    <row r="197" spans="1:14" ht="15.75" customHeight="1" x14ac:dyDescent="0.25">
      <c r="A197" s="11"/>
      <c r="B197" s="11"/>
      <c r="C197" s="11"/>
      <c r="D197" s="11"/>
      <c r="E197" s="11"/>
      <c r="F197" s="11"/>
      <c r="G197" s="15" t="str">
        <f t="shared" si="9"/>
        <v/>
      </c>
      <c r="H197" s="13" t="str">
        <f t="shared" si="10"/>
        <v/>
      </c>
      <c r="I197" s="16" t="str">
        <f t="shared" ref="I197:I260" si="11">IF(A197="","",I196+H197-G197)</f>
        <v/>
      </c>
      <c r="J197" s="11"/>
      <c r="K197" s="11"/>
      <c r="L197" s="11"/>
      <c r="M197" s="11"/>
      <c r="N197" s="11"/>
    </row>
    <row r="198" spans="1:14" ht="15.75" customHeight="1" x14ac:dyDescent="0.25">
      <c r="A198" s="11"/>
      <c r="B198" s="11"/>
      <c r="C198" s="11"/>
      <c r="D198" s="11"/>
      <c r="E198" s="11"/>
      <c r="F198" s="11"/>
      <c r="G198" s="15" t="str">
        <f t="shared" si="9"/>
        <v/>
      </c>
      <c r="H198" s="13" t="str">
        <f t="shared" si="10"/>
        <v/>
      </c>
      <c r="I198" s="16" t="str">
        <f t="shared" si="11"/>
        <v/>
      </c>
      <c r="J198" s="11"/>
      <c r="K198" s="11"/>
      <c r="L198" s="11"/>
      <c r="M198" s="11"/>
      <c r="N198" s="11"/>
    </row>
    <row r="199" spans="1:14" ht="15.75" customHeight="1" x14ac:dyDescent="0.25">
      <c r="A199" s="11"/>
      <c r="B199" s="11"/>
      <c r="C199" s="11"/>
      <c r="D199" s="11"/>
      <c r="E199" s="11"/>
      <c r="F199" s="11"/>
      <c r="G199" s="15" t="str">
        <f t="shared" si="9"/>
        <v/>
      </c>
      <c r="H199" s="13" t="str">
        <f t="shared" si="10"/>
        <v/>
      </c>
      <c r="I199" s="16" t="str">
        <f t="shared" si="11"/>
        <v/>
      </c>
      <c r="J199" s="11"/>
      <c r="K199" s="11"/>
      <c r="L199" s="11"/>
      <c r="M199" s="11"/>
      <c r="N199" s="11"/>
    </row>
    <row r="200" spans="1:14" ht="15.75" customHeight="1" x14ac:dyDescent="0.25">
      <c r="A200" s="11"/>
      <c r="B200" s="11"/>
      <c r="C200" s="11"/>
      <c r="D200" s="11"/>
      <c r="E200" s="11"/>
      <c r="F200" s="11"/>
      <c r="G200" s="15" t="str">
        <f t="shared" si="9"/>
        <v/>
      </c>
      <c r="H200" s="13" t="str">
        <f t="shared" si="10"/>
        <v/>
      </c>
      <c r="I200" s="16" t="str">
        <f t="shared" si="11"/>
        <v/>
      </c>
      <c r="J200" s="11"/>
      <c r="K200" s="11"/>
      <c r="L200" s="11"/>
      <c r="M200" s="11"/>
      <c r="N200" s="11"/>
    </row>
    <row r="201" spans="1:14" ht="15.75" customHeight="1" x14ac:dyDescent="0.25">
      <c r="A201" s="11"/>
      <c r="B201" s="11"/>
      <c r="C201" s="11"/>
      <c r="D201" s="11"/>
      <c r="E201" s="11"/>
      <c r="F201" s="11"/>
      <c r="G201" s="15" t="str">
        <f t="shared" si="9"/>
        <v/>
      </c>
      <c r="H201" s="13" t="str">
        <f t="shared" si="10"/>
        <v/>
      </c>
      <c r="I201" s="16" t="str">
        <f t="shared" si="11"/>
        <v/>
      </c>
      <c r="J201" s="11"/>
      <c r="K201" s="11"/>
      <c r="L201" s="11"/>
      <c r="M201" s="11"/>
      <c r="N201" s="11"/>
    </row>
    <row r="202" spans="1:14" ht="15.75" customHeight="1" x14ac:dyDescent="0.25">
      <c r="A202" s="11"/>
      <c r="B202" s="11"/>
      <c r="C202" s="11"/>
      <c r="D202" s="11"/>
      <c r="E202" s="11"/>
      <c r="F202" s="11"/>
      <c r="G202" s="15" t="str">
        <f t="shared" si="9"/>
        <v/>
      </c>
      <c r="H202" s="13" t="str">
        <f t="shared" si="10"/>
        <v/>
      </c>
      <c r="I202" s="16" t="str">
        <f t="shared" si="11"/>
        <v/>
      </c>
      <c r="J202" s="11"/>
      <c r="K202" s="11"/>
      <c r="L202" s="11"/>
      <c r="M202" s="11"/>
      <c r="N202" s="11"/>
    </row>
    <row r="203" spans="1:14" ht="15.75" customHeight="1" x14ac:dyDescent="0.25">
      <c r="A203" s="11"/>
      <c r="B203" s="11"/>
      <c r="C203" s="11"/>
      <c r="D203" s="11"/>
      <c r="E203" s="11"/>
      <c r="F203" s="11"/>
      <c r="G203" s="15" t="str">
        <f t="shared" si="9"/>
        <v/>
      </c>
      <c r="H203" s="13" t="str">
        <f t="shared" si="10"/>
        <v/>
      </c>
      <c r="I203" s="16" t="str">
        <f t="shared" si="11"/>
        <v/>
      </c>
      <c r="J203" s="11"/>
      <c r="K203" s="11"/>
      <c r="L203" s="11"/>
      <c r="M203" s="11"/>
      <c r="N203" s="11"/>
    </row>
    <row r="204" spans="1:14" ht="15.75" customHeight="1" x14ac:dyDescent="0.25">
      <c r="A204" s="11"/>
      <c r="B204" s="11"/>
      <c r="C204" s="11"/>
      <c r="D204" s="11"/>
      <c r="E204" s="11"/>
      <c r="F204" s="11"/>
      <c r="G204" s="15" t="str">
        <f t="shared" si="9"/>
        <v/>
      </c>
      <c r="H204" s="13" t="str">
        <f t="shared" si="10"/>
        <v/>
      </c>
      <c r="I204" s="16" t="str">
        <f t="shared" si="11"/>
        <v/>
      </c>
      <c r="J204" s="11"/>
      <c r="K204" s="11"/>
      <c r="L204" s="11"/>
      <c r="M204" s="11"/>
      <c r="N204" s="11"/>
    </row>
    <row r="205" spans="1:14" ht="15.75" customHeight="1" x14ac:dyDescent="0.25">
      <c r="A205" s="11"/>
      <c r="B205" s="11"/>
      <c r="C205" s="11"/>
      <c r="D205" s="11"/>
      <c r="E205" s="11"/>
      <c r="F205" s="11"/>
      <c r="G205" s="15" t="str">
        <f t="shared" si="9"/>
        <v/>
      </c>
      <c r="H205" s="13" t="str">
        <f t="shared" si="10"/>
        <v/>
      </c>
      <c r="I205" s="16" t="str">
        <f t="shared" si="11"/>
        <v/>
      </c>
      <c r="J205" s="11"/>
      <c r="K205" s="11"/>
      <c r="L205" s="11"/>
      <c r="M205" s="11"/>
      <c r="N205" s="11"/>
    </row>
    <row r="206" spans="1:14" ht="15.75" customHeight="1" x14ac:dyDescent="0.25">
      <c r="A206" s="11"/>
      <c r="B206" s="11"/>
      <c r="C206" s="11"/>
      <c r="D206" s="11"/>
      <c r="E206" s="11"/>
      <c r="F206" s="11"/>
      <c r="G206" s="15" t="str">
        <f t="shared" si="9"/>
        <v/>
      </c>
      <c r="H206" s="13" t="str">
        <f t="shared" si="10"/>
        <v/>
      </c>
      <c r="I206" s="16" t="str">
        <f t="shared" si="11"/>
        <v/>
      </c>
      <c r="J206" s="11"/>
      <c r="K206" s="11"/>
      <c r="L206" s="11"/>
      <c r="M206" s="11"/>
      <c r="N206" s="11"/>
    </row>
    <row r="207" spans="1:14" ht="15.75" customHeight="1" x14ac:dyDescent="0.25">
      <c r="A207" s="11"/>
      <c r="B207" s="11"/>
      <c r="C207" s="11"/>
      <c r="D207" s="11"/>
      <c r="E207" s="11"/>
      <c r="F207" s="11"/>
      <c r="G207" s="15" t="str">
        <f t="shared" si="9"/>
        <v/>
      </c>
      <c r="H207" s="13" t="str">
        <f t="shared" si="10"/>
        <v/>
      </c>
      <c r="I207" s="16" t="str">
        <f t="shared" si="11"/>
        <v/>
      </c>
      <c r="J207" s="11"/>
      <c r="K207" s="11"/>
      <c r="L207" s="11"/>
      <c r="M207" s="11"/>
      <c r="N207" s="11"/>
    </row>
    <row r="208" spans="1:14" ht="15.75" customHeight="1" x14ac:dyDescent="0.25">
      <c r="A208" s="11"/>
      <c r="B208" s="11"/>
      <c r="C208" s="11"/>
      <c r="D208" s="11"/>
      <c r="E208" s="11"/>
      <c r="F208" s="11"/>
      <c r="G208" s="15" t="str">
        <f t="shared" si="9"/>
        <v/>
      </c>
      <c r="H208" s="13" t="str">
        <f t="shared" si="10"/>
        <v/>
      </c>
      <c r="I208" s="16" t="str">
        <f t="shared" si="11"/>
        <v/>
      </c>
      <c r="J208" s="11"/>
      <c r="K208" s="11"/>
      <c r="L208" s="11"/>
      <c r="M208" s="11"/>
      <c r="N208" s="11"/>
    </row>
    <row r="209" spans="1:14" ht="15.75" customHeight="1" x14ac:dyDescent="0.25">
      <c r="A209" s="11"/>
      <c r="B209" s="11"/>
      <c r="C209" s="11"/>
      <c r="D209" s="11"/>
      <c r="E209" s="11"/>
      <c r="F209" s="11"/>
      <c r="G209" s="15" t="str">
        <f t="shared" si="9"/>
        <v/>
      </c>
      <c r="H209" s="13" t="str">
        <f t="shared" si="10"/>
        <v/>
      </c>
      <c r="I209" s="16" t="str">
        <f t="shared" si="11"/>
        <v/>
      </c>
      <c r="J209" s="11"/>
      <c r="K209" s="11"/>
      <c r="L209" s="11"/>
      <c r="M209" s="11"/>
      <c r="N209" s="11"/>
    </row>
    <row r="210" spans="1:14" ht="15.75" customHeight="1" x14ac:dyDescent="0.25">
      <c r="A210" s="11"/>
      <c r="B210" s="11"/>
      <c r="C210" s="11"/>
      <c r="D210" s="11"/>
      <c r="E210" s="11"/>
      <c r="F210" s="11"/>
      <c r="G210" s="15" t="str">
        <f t="shared" si="9"/>
        <v/>
      </c>
      <c r="H210" s="13" t="str">
        <f t="shared" si="10"/>
        <v/>
      </c>
      <c r="I210" s="16" t="str">
        <f t="shared" si="11"/>
        <v/>
      </c>
      <c r="J210" s="11"/>
      <c r="K210" s="11"/>
      <c r="L210" s="11"/>
      <c r="M210" s="11"/>
      <c r="N210" s="11"/>
    </row>
    <row r="211" spans="1:14" ht="15.75" customHeight="1" x14ac:dyDescent="0.25">
      <c r="A211" s="11"/>
      <c r="B211" s="11"/>
      <c r="C211" s="11"/>
      <c r="D211" s="11"/>
      <c r="E211" s="11"/>
      <c r="F211" s="11"/>
      <c r="G211" s="15" t="str">
        <f t="shared" si="9"/>
        <v/>
      </c>
      <c r="H211" s="13" t="str">
        <f t="shared" si="10"/>
        <v/>
      </c>
      <c r="I211" s="16" t="str">
        <f t="shared" si="11"/>
        <v/>
      </c>
      <c r="J211" s="11"/>
      <c r="K211" s="11"/>
      <c r="L211" s="11"/>
      <c r="M211" s="11"/>
      <c r="N211" s="11"/>
    </row>
    <row r="212" spans="1:14" ht="15.75" customHeight="1" x14ac:dyDescent="0.25">
      <c r="A212" s="11"/>
      <c r="B212" s="11"/>
      <c r="C212" s="11"/>
      <c r="D212" s="11"/>
      <c r="E212" s="11"/>
      <c r="F212" s="11"/>
      <c r="G212" s="15" t="str">
        <f t="shared" si="9"/>
        <v/>
      </c>
      <c r="H212" s="13" t="str">
        <f t="shared" si="10"/>
        <v/>
      </c>
      <c r="I212" s="16" t="str">
        <f t="shared" si="11"/>
        <v/>
      </c>
      <c r="J212" s="11"/>
      <c r="K212" s="11"/>
      <c r="L212" s="11"/>
      <c r="M212" s="11"/>
      <c r="N212" s="11"/>
    </row>
    <row r="213" spans="1:14" ht="15.75" customHeight="1" x14ac:dyDescent="0.25">
      <c r="A213" s="11"/>
      <c r="B213" s="11"/>
      <c r="C213" s="11"/>
      <c r="D213" s="11"/>
      <c r="E213" s="11"/>
      <c r="F213" s="11"/>
      <c r="G213" s="15" t="str">
        <f t="shared" si="9"/>
        <v/>
      </c>
      <c r="H213" s="13" t="str">
        <f t="shared" si="10"/>
        <v/>
      </c>
      <c r="I213" s="16" t="str">
        <f t="shared" si="11"/>
        <v/>
      </c>
      <c r="J213" s="11"/>
      <c r="K213" s="11"/>
      <c r="L213" s="11"/>
      <c r="M213" s="11"/>
      <c r="N213" s="11"/>
    </row>
    <row r="214" spans="1:14" ht="15.75" customHeight="1" x14ac:dyDescent="0.25">
      <c r="A214" s="11"/>
      <c r="B214" s="11"/>
      <c r="C214" s="11"/>
      <c r="D214" s="11"/>
      <c r="E214" s="11"/>
      <c r="F214" s="11"/>
      <c r="G214" s="15" t="str">
        <f t="shared" si="9"/>
        <v/>
      </c>
      <c r="H214" s="13" t="str">
        <f t="shared" si="10"/>
        <v/>
      </c>
      <c r="I214" s="16" t="str">
        <f t="shared" si="11"/>
        <v/>
      </c>
      <c r="J214" s="11"/>
      <c r="K214" s="11"/>
      <c r="L214" s="11"/>
      <c r="M214" s="11"/>
      <c r="N214" s="11"/>
    </row>
    <row r="215" spans="1:14" ht="15.75" customHeight="1" x14ac:dyDescent="0.25">
      <c r="A215" s="11"/>
      <c r="B215" s="11"/>
      <c r="C215" s="11"/>
      <c r="D215" s="11"/>
      <c r="E215" s="11"/>
      <c r="F215" s="11"/>
      <c r="G215" s="15" t="str">
        <f t="shared" si="9"/>
        <v/>
      </c>
      <c r="H215" s="13" t="str">
        <f t="shared" si="10"/>
        <v/>
      </c>
      <c r="I215" s="16" t="str">
        <f t="shared" si="11"/>
        <v/>
      </c>
      <c r="J215" s="11"/>
      <c r="K215" s="11"/>
      <c r="L215" s="11"/>
      <c r="M215" s="11"/>
      <c r="N215" s="11"/>
    </row>
    <row r="216" spans="1:14" ht="15.75" customHeight="1" x14ac:dyDescent="0.25">
      <c r="A216" s="11"/>
      <c r="B216" s="11"/>
      <c r="C216" s="11"/>
      <c r="D216" s="11"/>
      <c r="E216" s="11"/>
      <c r="F216" s="11"/>
      <c r="G216" s="15" t="str">
        <f t="shared" si="9"/>
        <v/>
      </c>
      <c r="H216" s="13" t="str">
        <f t="shared" si="10"/>
        <v/>
      </c>
      <c r="I216" s="16" t="str">
        <f t="shared" si="11"/>
        <v/>
      </c>
      <c r="J216" s="11"/>
      <c r="K216" s="11"/>
      <c r="L216" s="11"/>
      <c r="M216" s="11"/>
      <c r="N216" s="11"/>
    </row>
    <row r="217" spans="1:14" ht="15.75" customHeight="1" x14ac:dyDescent="0.25">
      <c r="A217" s="11"/>
      <c r="B217" s="11"/>
      <c r="C217" s="11"/>
      <c r="D217" s="11"/>
      <c r="E217" s="11"/>
      <c r="F217" s="11"/>
      <c r="G217" s="15" t="str">
        <f t="shared" si="9"/>
        <v/>
      </c>
      <c r="H217" s="13" t="str">
        <f t="shared" si="10"/>
        <v/>
      </c>
      <c r="I217" s="16" t="str">
        <f t="shared" si="11"/>
        <v/>
      </c>
      <c r="J217" s="11"/>
      <c r="K217" s="11"/>
      <c r="L217" s="11"/>
      <c r="M217" s="11"/>
      <c r="N217" s="11"/>
    </row>
    <row r="218" spans="1:14" ht="15.75" customHeight="1" x14ac:dyDescent="0.25">
      <c r="A218" s="11"/>
      <c r="B218" s="11"/>
      <c r="C218" s="11"/>
      <c r="D218" s="11"/>
      <c r="E218" s="11"/>
      <c r="F218" s="11"/>
      <c r="G218" s="15" t="str">
        <f t="shared" si="9"/>
        <v/>
      </c>
      <c r="H218" s="13" t="str">
        <f t="shared" si="10"/>
        <v/>
      </c>
      <c r="I218" s="16" t="str">
        <f t="shared" si="11"/>
        <v/>
      </c>
      <c r="J218" s="11"/>
      <c r="K218" s="11"/>
      <c r="L218" s="11"/>
      <c r="M218" s="11"/>
      <c r="N218" s="11"/>
    </row>
    <row r="219" spans="1:14" ht="15.75" customHeight="1" x14ac:dyDescent="0.25">
      <c r="A219" s="11"/>
      <c r="B219" s="11"/>
      <c r="C219" s="11"/>
      <c r="D219" s="11"/>
      <c r="E219" s="11"/>
      <c r="F219" s="11"/>
      <c r="G219" s="15" t="str">
        <f t="shared" si="9"/>
        <v/>
      </c>
      <c r="H219" s="13" t="str">
        <f t="shared" si="10"/>
        <v/>
      </c>
      <c r="I219" s="16" t="str">
        <f t="shared" si="11"/>
        <v/>
      </c>
      <c r="J219" s="11"/>
      <c r="K219" s="11"/>
      <c r="L219" s="11"/>
      <c r="M219" s="11"/>
      <c r="N219" s="11"/>
    </row>
    <row r="220" spans="1:14" ht="15.75" customHeight="1" x14ac:dyDescent="0.25">
      <c r="A220" s="11"/>
      <c r="B220" s="11"/>
      <c r="C220" s="11"/>
      <c r="D220" s="11"/>
      <c r="E220" s="11"/>
      <c r="F220" s="11"/>
      <c r="G220" s="15" t="str">
        <f t="shared" si="9"/>
        <v/>
      </c>
      <c r="H220" s="13" t="str">
        <f t="shared" si="10"/>
        <v/>
      </c>
      <c r="I220" s="16" t="str">
        <f t="shared" si="11"/>
        <v/>
      </c>
      <c r="J220" s="11"/>
      <c r="K220" s="11"/>
      <c r="L220" s="11"/>
      <c r="M220" s="11"/>
      <c r="N220" s="11"/>
    </row>
    <row r="221" spans="1:14" ht="15.75" customHeight="1" x14ac:dyDescent="0.25">
      <c r="A221" s="11"/>
      <c r="B221" s="11"/>
      <c r="C221" s="11"/>
      <c r="D221" s="11"/>
      <c r="E221" s="11"/>
      <c r="F221" s="11"/>
      <c r="G221" s="15" t="str">
        <f t="shared" si="9"/>
        <v/>
      </c>
      <c r="H221" s="13" t="str">
        <f t="shared" si="10"/>
        <v/>
      </c>
      <c r="I221" s="16" t="str">
        <f t="shared" si="11"/>
        <v/>
      </c>
      <c r="J221" s="11"/>
      <c r="K221" s="11"/>
      <c r="L221" s="11"/>
      <c r="M221" s="11"/>
      <c r="N221" s="11"/>
    </row>
    <row r="222" spans="1:14" ht="15.75" customHeight="1" x14ac:dyDescent="0.25">
      <c r="A222" s="11"/>
      <c r="B222" s="11"/>
      <c r="C222" s="11"/>
      <c r="D222" s="11"/>
      <c r="E222" s="11"/>
      <c r="F222" s="11"/>
      <c r="G222" s="15" t="str">
        <f t="shared" si="9"/>
        <v/>
      </c>
      <c r="H222" s="13" t="str">
        <f t="shared" si="10"/>
        <v/>
      </c>
      <c r="I222" s="16" t="str">
        <f t="shared" si="11"/>
        <v/>
      </c>
      <c r="J222" s="11"/>
      <c r="K222" s="11"/>
      <c r="L222" s="11"/>
      <c r="M222" s="11"/>
      <c r="N222" s="11"/>
    </row>
    <row r="223" spans="1:14" ht="15.75" customHeight="1" x14ac:dyDescent="0.25">
      <c r="A223" s="11"/>
      <c r="B223" s="11"/>
      <c r="C223" s="11"/>
      <c r="D223" s="11"/>
      <c r="E223" s="11"/>
      <c r="F223" s="11"/>
      <c r="G223" s="15" t="str">
        <f t="shared" si="9"/>
        <v/>
      </c>
      <c r="H223" s="13" t="str">
        <f t="shared" si="10"/>
        <v/>
      </c>
      <c r="I223" s="16" t="str">
        <f t="shared" si="11"/>
        <v/>
      </c>
      <c r="J223" s="11"/>
      <c r="K223" s="11"/>
      <c r="L223" s="11"/>
      <c r="M223" s="11"/>
      <c r="N223" s="11"/>
    </row>
    <row r="224" spans="1:14" ht="15.75" customHeight="1" x14ac:dyDescent="0.25">
      <c r="A224" s="11"/>
      <c r="B224" s="11"/>
      <c r="C224" s="11"/>
      <c r="D224" s="11"/>
      <c r="E224" s="11"/>
      <c r="F224" s="11"/>
      <c r="G224" s="15" t="str">
        <f t="shared" si="9"/>
        <v/>
      </c>
      <c r="H224" s="13" t="str">
        <f t="shared" si="10"/>
        <v/>
      </c>
      <c r="I224" s="16" t="str">
        <f t="shared" si="11"/>
        <v/>
      </c>
      <c r="J224" s="11"/>
      <c r="K224" s="11"/>
      <c r="L224" s="11"/>
      <c r="M224" s="11"/>
      <c r="N224" s="11"/>
    </row>
    <row r="225" spans="1:14" ht="15.75" customHeight="1" x14ac:dyDescent="0.25">
      <c r="A225" s="11"/>
      <c r="B225" s="11"/>
      <c r="C225" s="11"/>
      <c r="D225" s="11"/>
      <c r="E225" s="11"/>
      <c r="F225" s="11"/>
      <c r="G225" s="15" t="str">
        <f t="shared" si="9"/>
        <v/>
      </c>
      <c r="H225" s="13" t="str">
        <f t="shared" si="10"/>
        <v/>
      </c>
      <c r="I225" s="16" t="str">
        <f t="shared" si="11"/>
        <v/>
      </c>
      <c r="J225" s="11"/>
      <c r="K225" s="11"/>
      <c r="L225" s="11"/>
      <c r="M225" s="11"/>
      <c r="N225" s="11"/>
    </row>
    <row r="226" spans="1:14" ht="15.75" customHeight="1" x14ac:dyDescent="0.25">
      <c r="A226" s="11"/>
      <c r="B226" s="11"/>
      <c r="C226" s="11"/>
      <c r="D226" s="11"/>
      <c r="E226" s="11"/>
      <c r="F226" s="11"/>
      <c r="G226" s="15" t="str">
        <f t="shared" si="9"/>
        <v/>
      </c>
      <c r="H226" s="13" t="str">
        <f t="shared" si="10"/>
        <v/>
      </c>
      <c r="I226" s="16" t="str">
        <f t="shared" si="11"/>
        <v/>
      </c>
      <c r="J226" s="11"/>
      <c r="K226" s="11"/>
      <c r="L226" s="11"/>
      <c r="M226" s="11"/>
      <c r="N226" s="11"/>
    </row>
    <row r="227" spans="1:14" ht="15.75" customHeight="1" x14ac:dyDescent="0.25">
      <c r="A227" s="11"/>
      <c r="B227" s="11"/>
      <c r="C227" s="11"/>
      <c r="D227" s="11"/>
      <c r="E227" s="11"/>
      <c r="F227" s="11"/>
      <c r="G227" s="15" t="str">
        <f t="shared" si="9"/>
        <v/>
      </c>
      <c r="H227" s="13" t="str">
        <f t="shared" si="10"/>
        <v/>
      </c>
      <c r="I227" s="16" t="str">
        <f t="shared" si="11"/>
        <v/>
      </c>
      <c r="J227" s="11"/>
      <c r="K227" s="11"/>
      <c r="L227" s="11"/>
      <c r="M227" s="11"/>
      <c r="N227" s="11"/>
    </row>
    <row r="228" spans="1:14" ht="15.75" customHeight="1" x14ac:dyDescent="0.25">
      <c r="A228" s="11"/>
      <c r="B228" s="11"/>
      <c r="C228" s="11"/>
      <c r="D228" s="11"/>
      <c r="E228" s="11"/>
      <c r="F228" s="11"/>
      <c r="G228" s="15" t="str">
        <f t="shared" si="9"/>
        <v/>
      </c>
      <c r="H228" s="13" t="str">
        <f t="shared" si="10"/>
        <v/>
      </c>
      <c r="I228" s="16" t="str">
        <f t="shared" si="11"/>
        <v/>
      </c>
      <c r="J228" s="11"/>
      <c r="K228" s="11"/>
      <c r="L228" s="11"/>
      <c r="M228" s="11"/>
      <c r="N228" s="11"/>
    </row>
    <row r="229" spans="1:14" ht="15.75" customHeight="1" x14ac:dyDescent="0.25">
      <c r="A229" s="11"/>
      <c r="B229" s="11"/>
      <c r="C229" s="11"/>
      <c r="D229" s="11"/>
      <c r="E229" s="11"/>
      <c r="F229" s="11"/>
      <c r="G229" s="15" t="str">
        <f t="shared" si="9"/>
        <v/>
      </c>
      <c r="H229" s="13" t="str">
        <f t="shared" si="10"/>
        <v/>
      </c>
      <c r="I229" s="16" t="str">
        <f t="shared" si="11"/>
        <v/>
      </c>
      <c r="J229" s="11"/>
      <c r="K229" s="11"/>
      <c r="L229" s="11"/>
      <c r="M229" s="11"/>
      <c r="N229" s="11"/>
    </row>
    <row r="230" spans="1:14" ht="15.75" customHeight="1" x14ac:dyDescent="0.25">
      <c r="A230" s="11"/>
      <c r="B230" s="11"/>
      <c r="C230" s="11"/>
      <c r="D230" s="11"/>
      <c r="E230" s="11"/>
      <c r="F230" s="11"/>
      <c r="G230" s="15" t="str">
        <f t="shared" si="9"/>
        <v/>
      </c>
      <c r="H230" s="13" t="str">
        <f t="shared" si="10"/>
        <v/>
      </c>
      <c r="I230" s="16" t="str">
        <f t="shared" si="11"/>
        <v/>
      </c>
      <c r="J230" s="11"/>
      <c r="K230" s="11"/>
      <c r="L230" s="11"/>
      <c r="M230" s="11"/>
      <c r="N230" s="11"/>
    </row>
    <row r="231" spans="1:14" ht="15.75" customHeight="1" x14ac:dyDescent="0.25">
      <c r="A231" s="11"/>
      <c r="B231" s="11"/>
      <c r="C231" s="11"/>
      <c r="D231" s="11"/>
      <c r="E231" s="11"/>
      <c r="F231" s="11"/>
      <c r="G231" s="15" t="str">
        <f t="shared" si="9"/>
        <v/>
      </c>
      <c r="H231" s="13" t="str">
        <f t="shared" si="10"/>
        <v/>
      </c>
      <c r="I231" s="16" t="str">
        <f t="shared" si="11"/>
        <v/>
      </c>
      <c r="J231" s="11"/>
      <c r="K231" s="11"/>
      <c r="L231" s="11"/>
      <c r="M231" s="11"/>
      <c r="N231" s="11"/>
    </row>
    <row r="232" spans="1:14" ht="15.75" customHeight="1" x14ac:dyDescent="0.25">
      <c r="A232" s="11"/>
      <c r="B232" s="11"/>
      <c r="C232" s="11"/>
      <c r="D232" s="11"/>
      <c r="E232" s="11"/>
      <c r="F232" s="11"/>
      <c r="G232" s="15" t="str">
        <f t="shared" si="9"/>
        <v/>
      </c>
      <c r="H232" s="13" t="str">
        <f t="shared" si="10"/>
        <v/>
      </c>
      <c r="I232" s="16" t="str">
        <f t="shared" si="11"/>
        <v/>
      </c>
      <c r="J232" s="11"/>
      <c r="K232" s="11"/>
      <c r="L232" s="11"/>
      <c r="M232" s="11"/>
      <c r="N232" s="11"/>
    </row>
    <row r="233" spans="1:14" ht="15.75" customHeight="1" x14ac:dyDescent="0.25">
      <c r="A233" s="11"/>
      <c r="B233" s="11"/>
      <c r="C233" s="11"/>
      <c r="D233" s="11"/>
      <c r="E233" s="11"/>
      <c r="F233" s="11"/>
      <c r="G233" s="15" t="str">
        <f t="shared" si="9"/>
        <v/>
      </c>
      <c r="H233" s="13" t="str">
        <f t="shared" si="10"/>
        <v/>
      </c>
      <c r="I233" s="16" t="str">
        <f t="shared" si="11"/>
        <v/>
      </c>
      <c r="J233" s="11"/>
      <c r="K233" s="11"/>
      <c r="L233" s="11"/>
      <c r="M233" s="11"/>
      <c r="N233" s="11"/>
    </row>
    <row r="234" spans="1:14" ht="15.75" customHeight="1" x14ac:dyDescent="0.25">
      <c r="A234" s="11"/>
      <c r="B234" s="11"/>
      <c r="C234" s="11"/>
      <c r="D234" s="11"/>
      <c r="E234" s="11"/>
      <c r="F234" s="11"/>
      <c r="G234" s="15" t="str">
        <f t="shared" si="9"/>
        <v/>
      </c>
      <c r="H234" s="13" t="str">
        <f t="shared" si="10"/>
        <v/>
      </c>
      <c r="I234" s="16" t="str">
        <f t="shared" si="11"/>
        <v/>
      </c>
      <c r="J234" s="11"/>
      <c r="K234" s="11"/>
      <c r="L234" s="11"/>
      <c r="M234" s="11"/>
      <c r="N234" s="11"/>
    </row>
    <row r="235" spans="1:14" ht="15.75" customHeight="1" x14ac:dyDescent="0.25">
      <c r="A235" s="11"/>
      <c r="B235" s="11"/>
      <c r="C235" s="11"/>
      <c r="D235" s="11"/>
      <c r="E235" s="11"/>
      <c r="F235" s="11"/>
      <c r="G235" s="15" t="str">
        <f t="shared" si="9"/>
        <v/>
      </c>
      <c r="H235" s="13" t="str">
        <f t="shared" si="10"/>
        <v/>
      </c>
      <c r="I235" s="16" t="str">
        <f t="shared" si="11"/>
        <v/>
      </c>
      <c r="J235" s="11"/>
      <c r="K235" s="11"/>
      <c r="L235" s="11"/>
      <c r="M235" s="11"/>
      <c r="N235" s="11"/>
    </row>
    <row r="236" spans="1:14" ht="15.75" customHeight="1" x14ac:dyDescent="0.25">
      <c r="A236" s="11"/>
      <c r="B236" s="11"/>
      <c r="C236" s="11"/>
      <c r="D236" s="11"/>
      <c r="E236" s="11"/>
      <c r="F236" s="11"/>
      <c r="G236" s="15" t="str">
        <f t="shared" si="9"/>
        <v/>
      </c>
      <c r="H236" s="13" t="str">
        <f t="shared" si="10"/>
        <v/>
      </c>
      <c r="I236" s="16" t="str">
        <f t="shared" si="11"/>
        <v/>
      </c>
      <c r="J236" s="11"/>
      <c r="K236" s="11"/>
      <c r="L236" s="11"/>
      <c r="M236" s="11"/>
      <c r="N236" s="11"/>
    </row>
    <row r="237" spans="1:14" ht="15.75" customHeight="1" x14ac:dyDescent="0.25">
      <c r="A237" s="11"/>
      <c r="B237" s="11"/>
      <c r="C237" s="11"/>
      <c r="D237" s="11"/>
      <c r="E237" s="11"/>
      <c r="F237" s="11"/>
      <c r="G237" s="15" t="str">
        <f t="shared" si="9"/>
        <v/>
      </c>
      <c r="H237" s="13" t="str">
        <f t="shared" si="10"/>
        <v/>
      </c>
      <c r="I237" s="16" t="str">
        <f t="shared" si="11"/>
        <v/>
      </c>
      <c r="J237" s="11"/>
      <c r="K237" s="11"/>
      <c r="L237" s="11"/>
      <c r="M237" s="11"/>
      <c r="N237" s="11"/>
    </row>
    <row r="238" spans="1:14" ht="15.75" customHeight="1" x14ac:dyDescent="0.25">
      <c r="A238" s="11"/>
      <c r="B238" s="11"/>
      <c r="C238" s="11"/>
      <c r="D238" s="11"/>
      <c r="E238" s="11"/>
      <c r="F238" s="11"/>
      <c r="G238" s="15" t="str">
        <f t="shared" si="9"/>
        <v/>
      </c>
      <c r="H238" s="13" t="str">
        <f t="shared" si="10"/>
        <v/>
      </c>
      <c r="I238" s="16" t="str">
        <f t="shared" si="11"/>
        <v/>
      </c>
      <c r="J238" s="11"/>
      <c r="K238" s="11"/>
      <c r="L238" s="11"/>
      <c r="M238" s="11"/>
      <c r="N238" s="11"/>
    </row>
    <row r="239" spans="1:14" ht="15.75" customHeight="1" x14ac:dyDescent="0.25">
      <c r="A239" s="11"/>
      <c r="B239" s="11"/>
      <c r="C239" s="11"/>
      <c r="D239" s="11"/>
      <c r="E239" s="11"/>
      <c r="F239" s="11"/>
      <c r="G239" s="15" t="str">
        <f t="shared" si="9"/>
        <v/>
      </c>
      <c r="H239" s="13" t="str">
        <f t="shared" si="10"/>
        <v/>
      </c>
      <c r="I239" s="16" t="str">
        <f t="shared" si="11"/>
        <v/>
      </c>
      <c r="J239" s="11"/>
      <c r="K239" s="11"/>
      <c r="L239" s="11"/>
      <c r="M239" s="11"/>
      <c r="N239" s="11"/>
    </row>
    <row r="240" spans="1:14" ht="15.75" customHeight="1" x14ac:dyDescent="0.25">
      <c r="A240" s="11"/>
      <c r="B240" s="11"/>
      <c r="C240" s="11"/>
      <c r="D240" s="11"/>
      <c r="E240" s="11"/>
      <c r="F240" s="11"/>
      <c r="G240" s="15" t="str">
        <f t="shared" si="9"/>
        <v/>
      </c>
      <c r="H240" s="13" t="str">
        <f t="shared" si="10"/>
        <v/>
      </c>
      <c r="I240" s="16" t="str">
        <f t="shared" si="11"/>
        <v/>
      </c>
      <c r="J240" s="11"/>
      <c r="K240" s="11"/>
      <c r="L240" s="11"/>
      <c r="M240" s="11"/>
      <c r="N240" s="11"/>
    </row>
    <row r="241" spans="1:14" ht="15.75" customHeight="1" x14ac:dyDescent="0.25">
      <c r="A241" s="11"/>
      <c r="B241" s="11"/>
      <c r="C241" s="11"/>
      <c r="D241" s="11"/>
      <c r="E241" s="11"/>
      <c r="F241" s="11"/>
      <c r="G241" s="15" t="str">
        <f t="shared" si="9"/>
        <v/>
      </c>
      <c r="H241" s="13" t="str">
        <f t="shared" si="10"/>
        <v/>
      </c>
      <c r="I241" s="16" t="str">
        <f t="shared" si="11"/>
        <v/>
      </c>
      <c r="J241" s="11"/>
      <c r="K241" s="11"/>
      <c r="L241" s="11"/>
      <c r="M241" s="11"/>
      <c r="N241" s="11"/>
    </row>
    <row r="242" spans="1:14" ht="15.75" customHeight="1" x14ac:dyDescent="0.25">
      <c r="A242" s="11"/>
      <c r="B242" s="11"/>
      <c r="C242" s="11"/>
      <c r="D242" s="11"/>
      <c r="E242" s="11"/>
      <c r="F242" s="11"/>
      <c r="G242" s="15" t="str">
        <f t="shared" si="9"/>
        <v/>
      </c>
      <c r="H242" s="13" t="str">
        <f t="shared" si="10"/>
        <v/>
      </c>
      <c r="I242" s="16" t="str">
        <f t="shared" si="11"/>
        <v/>
      </c>
      <c r="J242" s="11"/>
      <c r="K242" s="11"/>
      <c r="L242" s="11"/>
      <c r="M242" s="11"/>
      <c r="N242" s="11"/>
    </row>
    <row r="243" spans="1:14" ht="15.75" customHeight="1" x14ac:dyDescent="0.25">
      <c r="A243" s="11"/>
      <c r="B243" s="11"/>
      <c r="C243" s="11"/>
      <c r="D243" s="11"/>
      <c r="E243" s="11"/>
      <c r="F243" s="11"/>
      <c r="G243" s="15" t="str">
        <f t="shared" si="9"/>
        <v/>
      </c>
      <c r="H243" s="13" t="str">
        <f t="shared" si="10"/>
        <v/>
      </c>
      <c r="I243" s="16" t="str">
        <f t="shared" si="11"/>
        <v/>
      </c>
      <c r="J243" s="11"/>
      <c r="K243" s="11"/>
      <c r="L243" s="11"/>
      <c r="M243" s="11"/>
      <c r="N243" s="11"/>
    </row>
    <row r="244" spans="1:14" ht="15.75" customHeight="1" x14ac:dyDescent="0.25">
      <c r="A244" s="11"/>
      <c r="B244" s="11"/>
      <c r="C244" s="11"/>
      <c r="D244" s="11"/>
      <c r="E244" s="11"/>
      <c r="F244" s="11"/>
      <c r="G244" s="15" t="str">
        <f t="shared" si="9"/>
        <v/>
      </c>
      <c r="H244" s="13" t="str">
        <f t="shared" si="10"/>
        <v/>
      </c>
      <c r="I244" s="16" t="str">
        <f t="shared" si="11"/>
        <v/>
      </c>
      <c r="J244" s="11"/>
      <c r="K244" s="11"/>
      <c r="L244" s="11"/>
      <c r="M244" s="11"/>
      <c r="N244" s="11"/>
    </row>
    <row r="245" spans="1:14" ht="15.75" customHeight="1" x14ac:dyDescent="0.25">
      <c r="A245" s="11"/>
      <c r="B245" s="11"/>
      <c r="C245" s="11"/>
      <c r="D245" s="11"/>
      <c r="E245" s="11"/>
      <c r="F245" s="11"/>
      <c r="G245" s="15" t="str">
        <f t="shared" si="9"/>
        <v/>
      </c>
      <c r="H245" s="13" t="str">
        <f t="shared" si="10"/>
        <v/>
      </c>
      <c r="I245" s="16" t="str">
        <f t="shared" si="11"/>
        <v/>
      </c>
      <c r="J245" s="11"/>
      <c r="K245" s="11"/>
      <c r="L245" s="11"/>
      <c r="M245" s="11"/>
      <c r="N245" s="11"/>
    </row>
    <row r="246" spans="1:14" ht="15.75" customHeight="1" x14ac:dyDescent="0.25">
      <c r="A246" s="11"/>
      <c r="B246" s="11"/>
      <c r="C246" s="11"/>
      <c r="D246" s="11"/>
      <c r="E246" s="11"/>
      <c r="F246" s="11"/>
      <c r="G246" s="15" t="str">
        <f t="shared" si="9"/>
        <v/>
      </c>
      <c r="H246" s="13" t="str">
        <f t="shared" si="10"/>
        <v/>
      </c>
      <c r="I246" s="16" t="str">
        <f t="shared" si="11"/>
        <v/>
      </c>
      <c r="J246" s="11"/>
      <c r="K246" s="11"/>
      <c r="L246" s="11"/>
      <c r="M246" s="11"/>
      <c r="N246" s="11"/>
    </row>
    <row r="247" spans="1:14" ht="15.75" customHeight="1" x14ac:dyDescent="0.25">
      <c r="A247" s="11"/>
      <c r="B247" s="11"/>
      <c r="C247" s="11"/>
      <c r="D247" s="11"/>
      <c r="E247" s="11"/>
      <c r="F247" s="11"/>
      <c r="G247" s="15" t="str">
        <f t="shared" si="9"/>
        <v/>
      </c>
      <c r="H247" s="13" t="str">
        <f t="shared" si="10"/>
        <v/>
      </c>
      <c r="I247" s="16" t="str">
        <f t="shared" si="11"/>
        <v/>
      </c>
      <c r="J247" s="11"/>
      <c r="K247" s="11"/>
      <c r="L247" s="11"/>
      <c r="M247" s="11"/>
      <c r="N247" s="11"/>
    </row>
    <row r="248" spans="1:14" ht="15.75" customHeight="1" x14ac:dyDescent="0.25">
      <c r="A248" s="11"/>
      <c r="B248" s="11"/>
      <c r="C248" s="11"/>
      <c r="D248" s="11"/>
      <c r="E248" s="11"/>
      <c r="F248" s="11"/>
      <c r="G248" s="15" t="str">
        <f t="shared" si="9"/>
        <v/>
      </c>
      <c r="H248" s="13" t="str">
        <f t="shared" si="10"/>
        <v/>
      </c>
      <c r="I248" s="16" t="str">
        <f t="shared" si="11"/>
        <v/>
      </c>
      <c r="J248" s="11"/>
      <c r="K248" s="11"/>
      <c r="L248" s="11"/>
      <c r="M248" s="11"/>
      <c r="N248" s="11"/>
    </row>
    <row r="249" spans="1:14" ht="15.75" customHeight="1" x14ac:dyDescent="0.25">
      <c r="A249" s="11"/>
      <c r="B249" s="11"/>
      <c r="C249" s="11"/>
      <c r="D249" s="11"/>
      <c r="E249" s="11"/>
      <c r="F249" s="11"/>
      <c r="G249" s="15" t="str">
        <f t="shared" si="9"/>
        <v/>
      </c>
      <c r="H249" s="13" t="str">
        <f t="shared" si="10"/>
        <v/>
      </c>
      <c r="I249" s="16" t="str">
        <f t="shared" si="11"/>
        <v/>
      </c>
      <c r="J249" s="11"/>
      <c r="K249" s="11"/>
      <c r="L249" s="11"/>
      <c r="M249" s="11"/>
      <c r="N249" s="11"/>
    </row>
    <row r="250" spans="1:14" ht="15.75" customHeight="1" x14ac:dyDescent="0.25">
      <c r="A250" s="11"/>
      <c r="B250" s="11"/>
      <c r="C250" s="11"/>
      <c r="D250" s="11"/>
      <c r="E250" s="11"/>
      <c r="F250" s="11"/>
      <c r="G250" s="15" t="str">
        <f t="shared" si="9"/>
        <v/>
      </c>
      <c r="H250" s="13" t="str">
        <f t="shared" si="10"/>
        <v/>
      </c>
      <c r="I250" s="16" t="str">
        <f t="shared" si="11"/>
        <v/>
      </c>
      <c r="J250" s="11"/>
      <c r="K250" s="11"/>
      <c r="L250" s="11"/>
      <c r="M250" s="11"/>
      <c r="N250" s="11"/>
    </row>
    <row r="251" spans="1:14" ht="15.75" customHeight="1" x14ac:dyDescent="0.25">
      <c r="A251" s="11"/>
      <c r="B251" s="11"/>
      <c r="C251" s="11"/>
      <c r="D251" s="11"/>
      <c r="E251" s="11"/>
      <c r="F251" s="11"/>
      <c r="G251" s="15" t="str">
        <f t="shared" si="9"/>
        <v/>
      </c>
      <c r="H251" s="13" t="str">
        <f t="shared" si="10"/>
        <v/>
      </c>
      <c r="I251" s="16" t="str">
        <f t="shared" si="11"/>
        <v/>
      </c>
      <c r="J251" s="11"/>
      <c r="K251" s="11"/>
      <c r="L251" s="11"/>
      <c r="M251" s="11"/>
      <c r="N251" s="11"/>
    </row>
    <row r="252" spans="1:14" ht="15.75" customHeight="1" x14ac:dyDescent="0.25">
      <c r="A252" s="11"/>
      <c r="B252" s="11"/>
      <c r="C252" s="11"/>
      <c r="D252" s="11"/>
      <c r="E252" s="11"/>
      <c r="F252" s="11"/>
      <c r="G252" s="15" t="str">
        <f t="shared" si="9"/>
        <v/>
      </c>
      <c r="H252" s="13" t="str">
        <f t="shared" si="10"/>
        <v/>
      </c>
      <c r="I252" s="16" t="str">
        <f t="shared" si="11"/>
        <v/>
      </c>
      <c r="J252" s="11"/>
      <c r="K252" s="11"/>
      <c r="L252" s="11"/>
      <c r="M252" s="11"/>
      <c r="N252" s="11"/>
    </row>
    <row r="253" spans="1:14" ht="15.75" customHeight="1" x14ac:dyDescent="0.25">
      <c r="A253" s="11"/>
      <c r="B253" s="11"/>
      <c r="C253" s="11"/>
      <c r="D253" s="11"/>
      <c r="E253" s="11"/>
      <c r="F253" s="11"/>
      <c r="G253" s="15" t="str">
        <f t="shared" si="9"/>
        <v/>
      </c>
      <c r="H253" s="13" t="str">
        <f t="shared" si="10"/>
        <v/>
      </c>
      <c r="I253" s="16" t="str">
        <f t="shared" si="11"/>
        <v/>
      </c>
      <c r="J253" s="11"/>
      <c r="K253" s="11"/>
      <c r="L253" s="11"/>
      <c r="M253" s="11"/>
      <c r="N253" s="11"/>
    </row>
    <row r="254" spans="1:14" ht="15.75" customHeight="1" x14ac:dyDescent="0.25">
      <c r="A254" s="11"/>
      <c r="B254" s="11"/>
      <c r="C254" s="11"/>
      <c r="D254" s="11"/>
      <c r="E254" s="11"/>
      <c r="F254" s="11"/>
      <c r="G254" s="15" t="str">
        <f t="shared" si="9"/>
        <v/>
      </c>
      <c r="H254" s="13" t="str">
        <f t="shared" si="10"/>
        <v/>
      </c>
      <c r="I254" s="16" t="str">
        <f t="shared" si="11"/>
        <v/>
      </c>
      <c r="J254" s="11"/>
      <c r="K254" s="11"/>
      <c r="L254" s="11"/>
      <c r="M254" s="11"/>
      <c r="N254" s="11"/>
    </row>
    <row r="255" spans="1:14" ht="15.75" customHeight="1" x14ac:dyDescent="0.25">
      <c r="A255" s="11"/>
      <c r="B255" s="11"/>
      <c r="C255" s="11"/>
      <c r="D255" s="11"/>
      <c r="E255" s="11"/>
      <c r="F255" s="11"/>
      <c r="G255" s="15" t="str">
        <f t="shared" si="9"/>
        <v/>
      </c>
      <c r="H255" s="13" t="str">
        <f t="shared" si="10"/>
        <v/>
      </c>
      <c r="I255" s="16" t="str">
        <f t="shared" si="11"/>
        <v/>
      </c>
      <c r="J255" s="11"/>
      <c r="K255" s="11"/>
      <c r="L255" s="11"/>
      <c r="M255" s="11"/>
      <c r="N255" s="11"/>
    </row>
    <row r="256" spans="1:14" ht="15.75" customHeight="1" x14ac:dyDescent="0.25">
      <c r="A256" s="11"/>
      <c r="B256" s="11"/>
      <c r="C256" s="11"/>
      <c r="D256" s="11"/>
      <c r="E256" s="11"/>
      <c r="F256" s="11"/>
      <c r="G256" s="15" t="str">
        <f t="shared" si="9"/>
        <v/>
      </c>
      <c r="H256" s="13" t="str">
        <f t="shared" si="10"/>
        <v/>
      </c>
      <c r="I256" s="16" t="str">
        <f t="shared" si="11"/>
        <v/>
      </c>
      <c r="J256" s="11"/>
      <c r="K256" s="11"/>
      <c r="L256" s="11"/>
      <c r="M256" s="11"/>
      <c r="N256" s="11"/>
    </row>
    <row r="257" spans="1:14" ht="15.75" customHeight="1" x14ac:dyDescent="0.25">
      <c r="A257" s="11"/>
      <c r="B257" s="11"/>
      <c r="C257" s="11"/>
      <c r="D257" s="11"/>
      <c r="E257" s="11"/>
      <c r="F257" s="11"/>
      <c r="G257" s="15" t="str">
        <f t="shared" si="9"/>
        <v/>
      </c>
      <c r="H257" s="13" t="str">
        <f t="shared" si="10"/>
        <v/>
      </c>
      <c r="I257" s="16" t="str">
        <f t="shared" si="11"/>
        <v/>
      </c>
      <c r="J257" s="11"/>
      <c r="K257" s="11"/>
      <c r="L257" s="11"/>
      <c r="M257" s="11"/>
      <c r="N257" s="11"/>
    </row>
    <row r="258" spans="1:14" ht="15.75" customHeight="1" x14ac:dyDescent="0.25">
      <c r="A258" s="11"/>
      <c r="B258" s="11"/>
      <c r="C258" s="11"/>
      <c r="D258" s="11"/>
      <c r="E258" s="11"/>
      <c r="F258" s="11"/>
      <c r="G258" s="15" t="str">
        <f t="shared" si="9"/>
        <v/>
      </c>
      <c r="H258" s="13" t="str">
        <f t="shared" si="10"/>
        <v/>
      </c>
      <c r="I258" s="16" t="str">
        <f t="shared" si="11"/>
        <v/>
      </c>
      <c r="J258" s="11"/>
      <c r="K258" s="11"/>
      <c r="L258" s="11"/>
      <c r="M258" s="11"/>
      <c r="N258" s="11"/>
    </row>
    <row r="259" spans="1:14" ht="15.75" customHeight="1" x14ac:dyDescent="0.25">
      <c r="A259" s="11"/>
      <c r="B259" s="11"/>
      <c r="C259" s="11"/>
      <c r="D259" s="11"/>
      <c r="E259" s="11"/>
      <c r="F259" s="11"/>
      <c r="G259" s="15" t="str">
        <f t="shared" si="9"/>
        <v/>
      </c>
      <c r="H259" s="13" t="str">
        <f t="shared" si="10"/>
        <v/>
      </c>
      <c r="I259" s="16" t="str">
        <f t="shared" si="11"/>
        <v/>
      </c>
      <c r="J259" s="11"/>
      <c r="K259" s="11"/>
      <c r="L259" s="11"/>
      <c r="M259" s="11"/>
      <c r="N259" s="11"/>
    </row>
    <row r="260" spans="1:14" ht="15.75" customHeight="1" x14ac:dyDescent="0.25">
      <c r="A260" s="11"/>
      <c r="B260" s="11"/>
      <c r="C260" s="11"/>
      <c r="D260" s="11"/>
      <c r="E260" s="11"/>
      <c r="F260" s="11"/>
      <c r="G260" s="15" t="str">
        <f t="shared" ref="G260:G323" si="12">IF(E260="","",IF(OR(E260="Withdrawal",E260="Loan Disbursement"),F260,0))</f>
        <v/>
      </c>
      <c r="H260" s="13" t="str">
        <f t="shared" ref="H260:H323" si="13">IF(E260="","",IF(OR(E260="Savings Deposit",E260="Loan Repayment"),F260,0))</f>
        <v/>
      </c>
      <c r="I260" s="16" t="str">
        <f t="shared" si="11"/>
        <v/>
      </c>
      <c r="J260" s="11"/>
      <c r="K260" s="11"/>
      <c r="L260" s="11"/>
      <c r="M260" s="11"/>
      <c r="N260" s="11"/>
    </row>
    <row r="261" spans="1:14" ht="15.75" customHeight="1" x14ac:dyDescent="0.25">
      <c r="A261" s="11"/>
      <c r="B261" s="11"/>
      <c r="C261" s="11"/>
      <c r="D261" s="11"/>
      <c r="E261" s="11"/>
      <c r="F261" s="11"/>
      <c r="G261" s="15" t="str">
        <f t="shared" si="12"/>
        <v/>
      </c>
      <c r="H261" s="13" t="str">
        <f t="shared" si="13"/>
        <v/>
      </c>
      <c r="I261" s="16" t="str">
        <f t="shared" ref="I261:I324" si="14">IF(A261="","",I260+H261-G261)</f>
        <v/>
      </c>
      <c r="J261" s="11"/>
      <c r="K261" s="11"/>
      <c r="L261" s="11"/>
      <c r="M261" s="11"/>
      <c r="N261" s="11"/>
    </row>
    <row r="262" spans="1:14" ht="15.75" customHeight="1" x14ac:dyDescent="0.25">
      <c r="A262" s="11"/>
      <c r="B262" s="11"/>
      <c r="C262" s="11"/>
      <c r="D262" s="11"/>
      <c r="E262" s="11"/>
      <c r="F262" s="11"/>
      <c r="G262" s="15" t="str">
        <f t="shared" si="12"/>
        <v/>
      </c>
      <c r="H262" s="13" t="str">
        <f t="shared" si="13"/>
        <v/>
      </c>
      <c r="I262" s="16" t="str">
        <f t="shared" si="14"/>
        <v/>
      </c>
      <c r="J262" s="11"/>
      <c r="K262" s="11"/>
      <c r="L262" s="11"/>
      <c r="M262" s="11"/>
      <c r="N262" s="11"/>
    </row>
    <row r="263" spans="1:14" ht="15.75" customHeight="1" x14ac:dyDescent="0.25">
      <c r="A263" s="11"/>
      <c r="B263" s="11"/>
      <c r="C263" s="11"/>
      <c r="D263" s="11"/>
      <c r="E263" s="11"/>
      <c r="F263" s="11"/>
      <c r="G263" s="15" t="str">
        <f t="shared" si="12"/>
        <v/>
      </c>
      <c r="H263" s="13" t="str">
        <f t="shared" si="13"/>
        <v/>
      </c>
      <c r="I263" s="16" t="str">
        <f t="shared" si="14"/>
        <v/>
      </c>
      <c r="J263" s="11"/>
      <c r="K263" s="11"/>
      <c r="L263" s="11"/>
      <c r="M263" s="11"/>
      <c r="N263" s="11"/>
    </row>
    <row r="264" spans="1:14" ht="15.75" customHeight="1" x14ac:dyDescent="0.25">
      <c r="A264" s="11"/>
      <c r="B264" s="11"/>
      <c r="C264" s="11"/>
      <c r="D264" s="11"/>
      <c r="E264" s="11"/>
      <c r="F264" s="11"/>
      <c r="G264" s="15" t="str">
        <f t="shared" si="12"/>
        <v/>
      </c>
      <c r="H264" s="13" t="str">
        <f t="shared" si="13"/>
        <v/>
      </c>
      <c r="I264" s="16" t="str">
        <f t="shared" si="14"/>
        <v/>
      </c>
      <c r="J264" s="11"/>
      <c r="K264" s="11"/>
      <c r="L264" s="11"/>
      <c r="M264" s="11"/>
      <c r="N264" s="11"/>
    </row>
    <row r="265" spans="1:14" ht="15.75" customHeight="1" x14ac:dyDescent="0.25">
      <c r="A265" s="11"/>
      <c r="B265" s="11"/>
      <c r="C265" s="11"/>
      <c r="D265" s="11"/>
      <c r="E265" s="11"/>
      <c r="F265" s="11"/>
      <c r="G265" s="15" t="str">
        <f t="shared" si="12"/>
        <v/>
      </c>
      <c r="H265" s="13" t="str">
        <f t="shared" si="13"/>
        <v/>
      </c>
      <c r="I265" s="16" t="str">
        <f t="shared" si="14"/>
        <v/>
      </c>
      <c r="J265" s="11"/>
      <c r="K265" s="11"/>
      <c r="L265" s="11"/>
      <c r="M265" s="11"/>
      <c r="N265" s="11"/>
    </row>
    <row r="266" spans="1:14" ht="15.75" customHeight="1" x14ac:dyDescent="0.25">
      <c r="A266" s="11"/>
      <c r="B266" s="11"/>
      <c r="C266" s="11"/>
      <c r="D266" s="11"/>
      <c r="E266" s="11"/>
      <c r="F266" s="11"/>
      <c r="G266" s="15" t="str">
        <f t="shared" si="12"/>
        <v/>
      </c>
      <c r="H266" s="13" t="str">
        <f t="shared" si="13"/>
        <v/>
      </c>
      <c r="I266" s="16" t="str">
        <f t="shared" si="14"/>
        <v/>
      </c>
      <c r="J266" s="11"/>
      <c r="K266" s="11"/>
      <c r="L266" s="11"/>
      <c r="M266" s="11"/>
      <c r="N266" s="11"/>
    </row>
    <row r="267" spans="1:14" ht="15.75" customHeight="1" x14ac:dyDescent="0.25">
      <c r="A267" s="11"/>
      <c r="B267" s="11"/>
      <c r="C267" s="11"/>
      <c r="D267" s="11"/>
      <c r="E267" s="11"/>
      <c r="F267" s="11"/>
      <c r="G267" s="15" t="str">
        <f t="shared" si="12"/>
        <v/>
      </c>
      <c r="H267" s="13" t="str">
        <f t="shared" si="13"/>
        <v/>
      </c>
      <c r="I267" s="16" t="str">
        <f t="shared" si="14"/>
        <v/>
      </c>
      <c r="J267" s="11"/>
      <c r="K267" s="11"/>
      <c r="L267" s="11"/>
      <c r="M267" s="11"/>
      <c r="N267" s="11"/>
    </row>
    <row r="268" spans="1:14" ht="15.75" customHeight="1" x14ac:dyDescent="0.25">
      <c r="A268" s="11"/>
      <c r="B268" s="11"/>
      <c r="C268" s="11"/>
      <c r="D268" s="11"/>
      <c r="E268" s="11"/>
      <c r="F268" s="11"/>
      <c r="G268" s="15" t="str">
        <f t="shared" si="12"/>
        <v/>
      </c>
      <c r="H268" s="13" t="str">
        <f t="shared" si="13"/>
        <v/>
      </c>
      <c r="I268" s="16" t="str">
        <f t="shared" si="14"/>
        <v/>
      </c>
      <c r="J268" s="11"/>
      <c r="K268" s="11"/>
      <c r="L268" s="11"/>
      <c r="M268" s="11"/>
      <c r="N268" s="11"/>
    </row>
    <row r="269" spans="1:14" ht="15.75" customHeight="1" x14ac:dyDescent="0.25">
      <c r="A269" s="11"/>
      <c r="B269" s="11"/>
      <c r="C269" s="11"/>
      <c r="D269" s="11"/>
      <c r="E269" s="11"/>
      <c r="F269" s="11"/>
      <c r="G269" s="15" t="str">
        <f t="shared" si="12"/>
        <v/>
      </c>
      <c r="H269" s="13" t="str">
        <f t="shared" si="13"/>
        <v/>
      </c>
      <c r="I269" s="16" t="str">
        <f t="shared" si="14"/>
        <v/>
      </c>
      <c r="J269" s="11"/>
      <c r="K269" s="11"/>
      <c r="L269" s="11"/>
      <c r="M269" s="11"/>
      <c r="N269" s="11"/>
    </row>
    <row r="270" spans="1:14" ht="15.75" customHeight="1" x14ac:dyDescent="0.25">
      <c r="A270" s="11"/>
      <c r="B270" s="11"/>
      <c r="C270" s="11"/>
      <c r="D270" s="11"/>
      <c r="E270" s="11"/>
      <c r="F270" s="11"/>
      <c r="G270" s="15" t="str">
        <f t="shared" si="12"/>
        <v/>
      </c>
      <c r="H270" s="13" t="str">
        <f t="shared" si="13"/>
        <v/>
      </c>
      <c r="I270" s="16" t="str">
        <f t="shared" si="14"/>
        <v/>
      </c>
      <c r="J270" s="11"/>
      <c r="K270" s="11"/>
      <c r="L270" s="11"/>
      <c r="M270" s="11"/>
      <c r="N270" s="11"/>
    </row>
    <row r="271" spans="1:14" ht="15.75" customHeight="1" x14ac:dyDescent="0.25">
      <c r="A271" s="11"/>
      <c r="B271" s="11"/>
      <c r="C271" s="11"/>
      <c r="D271" s="11"/>
      <c r="E271" s="11"/>
      <c r="F271" s="11"/>
      <c r="G271" s="15" t="str">
        <f t="shared" si="12"/>
        <v/>
      </c>
      <c r="H271" s="13" t="str">
        <f t="shared" si="13"/>
        <v/>
      </c>
      <c r="I271" s="16" t="str">
        <f t="shared" si="14"/>
        <v/>
      </c>
      <c r="J271" s="11"/>
      <c r="K271" s="11"/>
      <c r="L271" s="11"/>
      <c r="M271" s="11"/>
      <c r="N271" s="11"/>
    </row>
    <row r="272" spans="1:14" ht="15.75" customHeight="1" x14ac:dyDescent="0.25">
      <c r="A272" s="11"/>
      <c r="B272" s="11"/>
      <c r="C272" s="11"/>
      <c r="D272" s="11"/>
      <c r="E272" s="11"/>
      <c r="F272" s="11"/>
      <c r="G272" s="15" t="str">
        <f t="shared" si="12"/>
        <v/>
      </c>
      <c r="H272" s="13" t="str">
        <f t="shared" si="13"/>
        <v/>
      </c>
      <c r="I272" s="16" t="str">
        <f t="shared" si="14"/>
        <v/>
      </c>
      <c r="J272" s="11"/>
      <c r="K272" s="11"/>
      <c r="L272" s="11"/>
      <c r="M272" s="11"/>
      <c r="N272" s="11"/>
    </row>
    <row r="273" spans="1:14" ht="15.75" customHeight="1" x14ac:dyDescent="0.25">
      <c r="A273" s="11"/>
      <c r="B273" s="11"/>
      <c r="C273" s="11"/>
      <c r="D273" s="11"/>
      <c r="E273" s="11"/>
      <c r="F273" s="11"/>
      <c r="G273" s="15" t="str">
        <f t="shared" si="12"/>
        <v/>
      </c>
      <c r="H273" s="13" t="str">
        <f t="shared" si="13"/>
        <v/>
      </c>
      <c r="I273" s="16" t="str">
        <f t="shared" si="14"/>
        <v/>
      </c>
      <c r="J273" s="11"/>
      <c r="K273" s="11"/>
      <c r="L273" s="11"/>
      <c r="M273" s="11"/>
      <c r="N273" s="11"/>
    </row>
    <row r="274" spans="1:14" ht="15.75" customHeight="1" x14ac:dyDescent="0.25">
      <c r="A274" s="11"/>
      <c r="B274" s="11"/>
      <c r="C274" s="11"/>
      <c r="D274" s="11"/>
      <c r="E274" s="11"/>
      <c r="F274" s="11"/>
      <c r="G274" s="15" t="str">
        <f t="shared" si="12"/>
        <v/>
      </c>
      <c r="H274" s="13" t="str">
        <f t="shared" si="13"/>
        <v/>
      </c>
      <c r="I274" s="16" t="str">
        <f t="shared" si="14"/>
        <v/>
      </c>
      <c r="J274" s="11"/>
      <c r="K274" s="11"/>
      <c r="L274" s="11"/>
      <c r="M274" s="11"/>
      <c r="N274" s="11"/>
    </row>
    <row r="275" spans="1:14" ht="15.75" customHeight="1" x14ac:dyDescent="0.25">
      <c r="A275" s="11"/>
      <c r="B275" s="11"/>
      <c r="C275" s="11"/>
      <c r="D275" s="11"/>
      <c r="E275" s="11"/>
      <c r="F275" s="11"/>
      <c r="G275" s="15" t="str">
        <f t="shared" si="12"/>
        <v/>
      </c>
      <c r="H275" s="13" t="str">
        <f t="shared" si="13"/>
        <v/>
      </c>
      <c r="I275" s="16" t="str">
        <f t="shared" si="14"/>
        <v/>
      </c>
      <c r="J275" s="11"/>
      <c r="K275" s="11"/>
      <c r="L275" s="11"/>
      <c r="M275" s="11"/>
      <c r="N275" s="11"/>
    </row>
    <row r="276" spans="1:14" ht="15.75" customHeight="1" x14ac:dyDescent="0.25">
      <c r="A276" s="11"/>
      <c r="B276" s="11"/>
      <c r="C276" s="11"/>
      <c r="D276" s="11"/>
      <c r="E276" s="11"/>
      <c r="F276" s="11"/>
      <c r="G276" s="15" t="str">
        <f t="shared" si="12"/>
        <v/>
      </c>
      <c r="H276" s="13" t="str">
        <f t="shared" si="13"/>
        <v/>
      </c>
      <c r="I276" s="16" t="str">
        <f t="shared" si="14"/>
        <v/>
      </c>
      <c r="J276" s="11"/>
      <c r="K276" s="11"/>
      <c r="L276" s="11"/>
      <c r="M276" s="11"/>
      <c r="N276" s="11"/>
    </row>
    <row r="277" spans="1:14" ht="15.75" customHeight="1" x14ac:dyDescent="0.25">
      <c r="A277" s="11"/>
      <c r="B277" s="11"/>
      <c r="C277" s="11"/>
      <c r="D277" s="11"/>
      <c r="E277" s="11"/>
      <c r="F277" s="11"/>
      <c r="G277" s="15" t="str">
        <f t="shared" si="12"/>
        <v/>
      </c>
      <c r="H277" s="13" t="str">
        <f t="shared" si="13"/>
        <v/>
      </c>
      <c r="I277" s="16" t="str">
        <f t="shared" si="14"/>
        <v/>
      </c>
      <c r="J277" s="11"/>
      <c r="K277" s="11"/>
      <c r="L277" s="11"/>
      <c r="M277" s="11"/>
      <c r="N277" s="11"/>
    </row>
    <row r="278" spans="1:14" ht="15.75" customHeight="1" x14ac:dyDescent="0.25">
      <c r="A278" s="11"/>
      <c r="B278" s="11"/>
      <c r="C278" s="11"/>
      <c r="D278" s="11"/>
      <c r="E278" s="11"/>
      <c r="F278" s="11"/>
      <c r="G278" s="15" t="str">
        <f t="shared" si="12"/>
        <v/>
      </c>
      <c r="H278" s="13" t="str">
        <f t="shared" si="13"/>
        <v/>
      </c>
      <c r="I278" s="16" t="str">
        <f t="shared" si="14"/>
        <v/>
      </c>
      <c r="J278" s="11"/>
      <c r="K278" s="11"/>
      <c r="L278" s="11"/>
      <c r="M278" s="11"/>
      <c r="N278" s="11"/>
    </row>
    <row r="279" spans="1:14" ht="15.75" customHeight="1" x14ac:dyDescent="0.25">
      <c r="A279" s="11"/>
      <c r="B279" s="11"/>
      <c r="C279" s="11"/>
      <c r="D279" s="11"/>
      <c r="E279" s="11"/>
      <c r="F279" s="11"/>
      <c r="G279" s="15" t="str">
        <f t="shared" si="12"/>
        <v/>
      </c>
      <c r="H279" s="13" t="str">
        <f t="shared" si="13"/>
        <v/>
      </c>
      <c r="I279" s="16" t="str">
        <f t="shared" si="14"/>
        <v/>
      </c>
      <c r="J279" s="11"/>
      <c r="K279" s="11"/>
      <c r="L279" s="11"/>
      <c r="M279" s="11"/>
      <c r="N279" s="11"/>
    </row>
    <row r="280" spans="1:14" ht="15.75" customHeight="1" x14ac:dyDescent="0.25">
      <c r="A280" s="11"/>
      <c r="B280" s="11"/>
      <c r="C280" s="11"/>
      <c r="D280" s="11"/>
      <c r="E280" s="11"/>
      <c r="F280" s="11"/>
      <c r="G280" s="15" t="str">
        <f t="shared" si="12"/>
        <v/>
      </c>
      <c r="H280" s="13" t="str">
        <f t="shared" si="13"/>
        <v/>
      </c>
      <c r="I280" s="16" t="str">
        <f t="shared" si="14"/>
        <v/>
      </c>
      <c r="J280" s="11"/>
      <c r="K280" s="11"/>
      <c r="L280" s="11"/>
      <c r="M280" s="11"/>
      <c r="N280" s="11"/>
    </row>
    <row r="281" spans="1:14" ht="15.75" customHeight="1" x14ac:dyDescent="0.25">
      <c r="A281" s="11"/>
      <c r="B281" s="11"/>
      <c r="C281" s="11"/>
      <c r="D281" s="11"/>
      <c r="E281" s="11"/>
      <c r="F281" s="11"/>
      <c r="G281" s="15" t="str">
        <f t="shared" si="12"/>
        <v/>
      </c>
      <c r="H281" s="13" t="str">
        <f t="shared" si="13"/>
        <v/>
      </c>
      <c r="I281" s="16" t="str">
        <f t="shared" si="14"/>
        <v/>
      </c>
      <c r="J281" s="11"/>
      <c r="K281" s="11"/>
      <c r="L281" s="11"/>
      <c r="M281" s="11"/>
      <c r="N281" s="11"/>
    </row>
    <row r="282" spans="1:14" ht="15.75" customHeight="1" x14ac:dyDescent="0.25">
      <c r="A282" s="11"/>
      <c r="B282" s="11"/>
      <c r="C282" s="11"/>
      <c r="D282" s="11"/>
      <c r="E282" s="11"/>
      <c r="F282" s="11"/>
      <c r="G282" s="15" t="str">
        <f t="shared" si="12"/>
        <v/>
      </c>
      <c r="H282" s="13" t="str">
        <f t="shared" si="13"/>
        <v/>
      </c>
      <c r="I282" s="16" t="str">
        <f t="shared" si="14"/>
        <v/>
      </c>
      <c r="J282" s="11"/>
      <c r="K282" s="11"/>
      <c r="L282" s="11"/>
      <c r="M282" s="11"/>
      <c r="N282" s="11"/>
    </row>
    <row r="283" spans="1:14" ht="15.75" customHeight="1" x14ac:dyDescent="0.25">
      <c r="A283" s="11"/>
      <c r="B283" s="11"/>
      <c r="C283" s="11"/>
      <c r="D283" s="11"/>
      <c r="E283" s="11"/>
      <c r="F283" s="11"/>
      <c r="G283" s="15" t="str">
        <f t="shared" si="12"/>
        <v/>
      </c>
      <c r="H283" s="13" t="str">
        <f t="shared" si="13"/>
        <v/>
      </c>
      <c r="I283" s="16" t="str">
        <f t="shared" si="14"/>
        <v/>
      </c>
      <c r="J283" s="11"/>
      <c r="K283" s="11"/>
      <c r="L283" s="11"/>
      <c r="M283" s="11"/>
      <c r="N283" s="11"/>
    </row>
    <row r="284" spans="1:14" ht="15.75" customHeight="1" x14ac:dyDescent="0.25">
      <c r="A284" s="11"/>
      <c r="B284" s="11"/>
      <c r="C284" s="11"/>
      <c r="D284" s="11"/>
      <c r="E284" s="11"/>
      <c r="F284" s="11"/>
      <c r="G284" s="15" t="str">
        <f t="shared" si="12"/>
        <v/>
      </c>
      <c r="H284" s="13" t="str">
        <f t="shared" si="13"/>
        <v/>
      </c>
      <c r="I284" s="16" t="str">
        <f t="shared" si="14"/>
        <v/>
      </c>
      <c r="J284" s="11"/>
      <c r="K284" s="11"/>
      <c r="L284" s="11"/>
      <c r="M284" s="11"/>
      <c r="N284" s="11"/>
    </row>
    <row r="285" spans="1:14" ht="15.75" customHeight="1" x14ac:dyDescent="0.25">
      <c r="A285" s="11"/>
      <c r="B285" s="11"/>
      <c r="C285" s="11"/>
      <c r="D285" s="11"/>
      <c r="E285" s="11"/>
      <c r="F285" s="11"/>
      <c r="G285" s="15" t="str">
        <f t="shared" si="12"/>
        <v/>
      </c>
      <c r="H285" s="13" t="str">
        <f t="shared" si="13"/>
        <v/>
      </c>
      <c r="I285" s="16" t="str">
        <f t="shared" si="14"/>
        <v/>
      </c>
      <c r="J285" s="11"/>
      <c r="K285" s="11"/>
      <c r="L285" s="11"/>
      <c r="M285" s="11"/>
      <c r="N285" s="11"/>
    </row>
    <row r="286" spans="1:14" ht="15.75" customHeight="1" x14ac:dyDescent="0.25">
      <c r="A286" s="11"/>
      <c r="B286" s="11"/>
      <c r="C286" s="11"/>
      <c r="D286" s="11"/>
      <c r="E286" s="11"/>
      <c r="F286" s="11"/>
      <c r="G286" s="15" t="str">
        <f t="shared" si="12"/>
        <v/>
      </c>
      <c r="H286" s="13" t="str">
        <f t="shared" si="13"/>
        <v/>
      </c>
      <c r="I286" s="16" t="str">
        <f t="shared" si="14"/>
        <v/>
      </c>
      <c r="J286" s="11"/>
      <c r="K286" s="11"/>
      <c r="L286" s="11"/>
      <c r="M286" s="11"/>
      <c r="N286" s="11"/>
    </row>
    <row r="287" spans="1:14" ht="15.75" customHeight="1" x14ac:dyDescent="0.25">
      <c r="A287" s="11"/>
      <c r="B287" s="11"/>
      <c r="C287" s="11"/>
      <c r="D287" s="11"/>
      <c r="E287" s="11"/>
      <c r="F287" s="11"/>
      <c r="G287" s="15" t="str">
        <f t="shared" si="12"/>
        <v/>
      </c>
      <c r="H287" s="13" t="str">
        <f t="shared" si="13"/>
        <v/>
      </c>
      <c r="I287" s="16" t="str">
        <f t="shared" si="14"/>
        <v/>
      </c>
      <c r="J287" s="11"/>
      <c r="K287" s="11"/>
      <c r="L287" s="11"/>
      <c r="M287" s="11"/>
      <c r="N287" s="11"/>
    </row>
    <row r="288" spans="1:14" ht="15.75" customHeight="1" x14ac:dyDescent="0.25">
      <c r="A288" s="11"/>
      <c r="B288" s="11"/>
      <c r="C288" s="11"/>
      <c r="D288" s="11"/>
      <c r="E288" s="11"/>
      <c r="F288" s="11"/>
      <c r="G288" s="15" t="str">
        <f t="shared" si="12"/>
        <v/>
      </c>
      <c r="H288" s="13" t="str">
        <f t="shared" si="13"/>
        <v/>
      </c>
      <c r="I288" s="16" t="str">
        <f t="shared" si="14"/>
        <v/>
      </c>
      <c r="J288" s="11"/>
      <c r="K288" s="11"/>
      <c r="L288" s="11"/>
      <c r="M288" s="11"/>
      <c r="N288" s="11"/>
    </row>
    <row r="289" spans="1:14" ht="15.75" customHeight="1" x14ac:dyDescent="0.25">
      <c r="A289" s="11"/>
      <c r="B289" s="11"/>
      <c r="C289" s="11"/>
      <c r="D289" s="11"/>
      <c r="E289" s="11"/>
      <c r="F289" s="11"/>
      <c r="G289" s="15" t="str">
        <f t="shared" si="12"/>
        <v/>
      </c>
      <c r="H289" s="13" t="str">
        <f t="shared" si="13"/>
        <v/>
      </c>
      <c r="I289" s="16" t="str">
        <f t="shared" si="14"/>
        <v/>
      </c>
      <c r="J289" s="11"/>
      <c r="K289" s="11"/>
      <c r="L289" s="11"/>
      <c r="M289" s="11"/>
      <c r="N289" s="11"/>
    </row>
    <row r="290" spans="1:14" ht="15.75" customHeight="1" x14ac:dyDescent="0.25">
      <c r="A290" s="11"/>
      <c r="B290" s="11"/>
      <c r="C290" s="11"/>
      <c r="D290" s="11"/>
      <c r="E290" s="11"/>
      <c r="F290" s="11"/>
      <c r="G290" s="15" t="str">
        <f t="shared" si="12"/>
        <v/>
      </c>
      <c r="H290" s="13" t="str">
        <f t="shared" si="13"/>
        <v/>
      </c>
      <c r="I290" s="16" t="str">
        <f t="shared" si="14"/>
        <v/>
      </c>
      <c r="J290" s="11"/>
      <c r="K290" s="11"/>
      <c r="L290" s="11"/>
      <c r="M290" s="11"/>
      <c r="N290" s="11"/>
    </row>
    <row r="291" spans="1:14" ht="15.75" customHeight="1" x14ac:dyDescent="0.25">
      <c r="A291" s="11"/>
      <c r="B291" s="11"/>
      <c r="C291" s="11"/>
      <c r="D291" s="11"/>
      <c r="E291" s="11"/>
      <c r="F291" s="11"/>
      <c r="G291" s="15" t="str">
        <f t="shared" si="12"/>
        <v/>
      </c>
      <c r="H291" s="13" t="str">
        <f t="shared" si="13"/>
        <v/>
      </c>
      <c r="I291" s="16" t="str">
        <f t="shared" si="14"/>
        <v/>
      </c>
      <c r="J291" s="11"/>
      <c r="K291" s="11"/>
      <c r="L291" s="11"/>
      <c r="M291" s="11"/>
      <c r="N291" s="11"/>
    </row>
    <row r="292" spans="1:14" ht="15.75" customHeight="1" x14ac:dyDescent="0.25">
      <c r="A292" s="11"/>
      <c r="B292" s="11"/>
      <c r="C292" s="11"/>
      <c r="D292" s="11"/>
      <c r="E292" s="11"/>
      <c r="F292" s="11"/>
      <c r="G292" s="15" t="str">
        <f t="shared" si="12"/>
        <v/>
      </c>
      <c r="H292" s="13" t="str">
        <f t="shared" si="13"/>
        <v/>
      </c>
      <c r="I292" s="16" t="str">
        <f t="shared" si="14"/>
        <v/>
      </c>
      <c r="J292" s="11"/>
      <c r="K292" s="11"/>
      <c r="L292" s="11"/>
      <c r="M292" s="11"/>
      <c r="N292" s="11"/>
    </row>
    <row r="293" spans="1:14" ht="15.75" customHeight="1" x14ac:dyDescent="0.25">
      <c r="A293" s="11"/>
      <c r="B293" s="11"/>
      <c r="C293" s="11"/>
      <c r="D293" s="11"/>
      <c r="E293" s="11"/>
      <c r="F293" s="11"/>
      <c r="G293" s="15" t="str">
        <f t="shared" si="12"/>
        <v/>
      </c>
      <c r="H293" s="13" t="str">
        <f t="shared" si="13"/>
        <v/>
      </c>
      <c r="I293" s="16" t="str">
        <f t="shared" si="14"/>
        <v/>
      </c>
      <c r="J293" s="11"/>
      <c r="K293" s="11"/>
      <c r="L293" s="11"/>
      <c r="M293" s="11"/>
      <c r="N293" s="11"/>
    </row>
    <row r="294" spans="1:14" ht="15.75" customHeight="1" x14ac:dyDescent="0.25">
      <c r="A294" s="11"/>
      <c r="B294" s="11"/>
      <c r="C294" s="11"/>
      <c r="D294" s="11"/>
      <c r="E294" s="11"/>
      <c r="F294" s="11"/>
      <c r="G294" s="15" t="str">
        <f t="shared" si="12"/>
        <v/>
      </c>
      <c r="H294" s="13" t="str">
        <f t="shared" si="13"/>
        <v/>
      </c>
      <c r="I294" s="16" t="str">
        <f t="shared" si="14"/>
        <v/>
      </c>
      <c r="J294" s="11"/>
      <c r="K294" s="11"/>
      <c r="L294" s="11"/>
      <c r="M294" s="11"/>
      <c r="N294" s="11"/>
    </row>
    <row r="295" spans="1:14" ht="15.75" customHeight="1" x14ac:dyDescent="0.25">
      <c r="A295" s="11"/>
      <c r="B295" s="11"/>
      <c r="C295" s="11"/>
      <c r="D295" s="11"/>
      <c r="E295" s="11"/>
      <c r="F295" s="11"/>
      <c r="G295" s="15" t="str">
        <f t="shared" si="12"/>
        <v/>
      </c>
      <c r="H295" s="13" t="str">
        <f t="shared" si="13"/>
        <v/>
      </c>
      <c r="I295" s="16" t="str">
        <f t="shared" si="14"/>
        <v/>
      </c>
      <c r="J295" s="11"/>
      <c r="K295" s="11"/>
      <c r="L295" s="11"/>
      <c r="M295" s="11"/>
      <c r="N295" s="11"/>
    </row>
    <row r="296" spans="1:14" ht="15.75" customHeight="1" x14ac:dyDescent="0.25">
      <c r="A296" s="11"/>
      <c r="B296" s="11"/>
      <c r="C296" s="11"/>
      <c r="D296" s="11"/>
      <c r="E296" s="11"/>
      <c r="F296" s="11"/>
      <c r="G296" s="15" t="str">
        <f t="shared" si="12"/>
        <v/>
      </c>
      <c r="H296" s="13" t="str">
        <f t="shared" si="13"/>
        <v/>
      </c>
      <c r="I296" s="16" t="str">
        <f t="shared" si="14"/>
        <v/>
      </c>
      <c r="J296" s="11"/>
      <c r="K296" s="11"/>
      <c r="L296" s="11"/>
      <c r="M296" s="11"/>
      <c r="N296" s="11"/>
    </row>
    <row r="297" spans="1:14" ht="15.75" customHeight="1" x14ac:dyDescent="0.25">
      <c r="A297" s="11"/>
      <c r="B297" s="11"/>
      <c r="C297" s="11"/>
      <c r="D297" s="11"/>
      <c r="E297" s="11"/>
      <c r="F297" s="11"/>
      <c r="G297" s="15" t="str">
        <f t="shared" si="12"/>
        <v/>
      </c>
      <c r="H297" s="13" t="str">
        <f t="shared" si="13"/>
        <v/>
      </c>
      <c r="I297" s="16" t="str">
        <f t="shared" si="14"/>
        <v/>
      </c>
      <c r="J297" s="11"/>
      <c r="K297" s="11"/>
      <c r="L297" s="11"/>
      <c r="M297" s="11"/>
      <c r="N297" s="11"/>
    </row>
    <row r="298" spans="1:14" ht="15.75" customHeight="1" x14ac:dyDescent="0.25">
      <c r="A298" s="11"/>
      <c r="B298" s="11"/>
      <c r="C298" s="11"/>
      <c r="D298" s="11"/>
      <c r="E298" s="11"/>
      <c r="F298" s="11"/>
      <c r="G298" s="15" t="str">
        <f t="shared" si="12"/>
        <v/>
      </c>
      <c r="H298" s="13" t="str">
        <f t="shared" si="13"/>
        <v/>
      </c>
      <c r="I298" s="16" t="str">
        <f t="shared" si="14"/>
        <v/>
      </c>
      <c r="J298" s="11"/>
      <c r="K298" s="11"/>
      <c r="L298" s="11"/>
      <c r="M298" s="11"/>
      <c r="N298" s="11"/>
    </row>
    <row r="299" spans="1:14" ht="15.75" customHeight="1" x14ac:dyDescent="0.25">
      <c r="A299" s="11"/>
      <c r="B299" s="11"/>
      <c r="C299" s="11"/>
      <c r="D299" s="11"/>
      <c r="E299" s="11"/>
      <c r="F299" s="11"/>
      <c r="G299" s="15" t="str">
        <f t="shared" si="12"/>
        <v/>
      </c>
      <c r="H299" s="13" t="str">
        <f t="shared" si="13"/>
        <v/>
      </c>
      <c r="I299" s="16" t="str">
        <f t="shared" si="14"/>
        <v/>
      </c>
      <c r="J299" s="11"/>
      <c r="K299" s="11"/>
      <c r="L299" s="11"/>
      <c r="M299" s="11"/>
      <c r="N299" s="11"/>
    </row>
    <row r="300" spans="1:14" ht="15.75" customHeight="1" x14ac:dyDescent="0.25">
      <c r="A300" s="11"/>
      <c r="B300" s="11"/>
      <c r="C300" s="11"/>
      <c r="D300" s="11"/>
      <c r="E300" s="11"/>
      <c r="F300" s="11"/>
      <c r="G300" s="15" t="str">
        <f t="shared" si="12"/>
        <v/>
      </c>
      <c r="H300" s="13" t="str">
        <f t="shared" si="13"/>
        <v/>
      </c>
      <c r="I300" s="16" t="str">
        <f t="shared" si="14"/>
        <v/>
      </c>
      <c r="J300" s="11"/>
      <c r="K300" s="11"/>
      <c r="L300" s="11"/>
      <c r="M300" s="11"/>
      <c r="N300" s="11"/>
    </row>
    <row r="301" spans="1:14" ht="15.75" customHeight="1" x14ac:dyDescent="0.25">
      <c r="A301" s="11"/>
      <c r="B301" s="11"/>
      <c r="C301" s="11"/>
      <c r="D301" s="11"/>
      <c r="E301" s="11"/>
      <c r="F301" s="11"/>
      <c r="G301" s="15" t="str">
        <f t="shared" si="12"/>
        <v/>
      </c>
      <c r="H301" s="13" t="str">
        <f t="shared" si="13"/>
        <v/>
      </c>
      <c r="I301" s="16" t="str">
        <f t="shared" si="14"/>
        <v/>
      </c>
      <c r="J301" s="11"/>
      <c r="K301" s="11"/>
      <c r="L301" s="11"/>
      <c r="M301" s="11"/>
      <c r="N301" s="11"/>
    </row>
    <row r="302" spans="1:14" ht="15.75" customHeight="1" x14ac:dyDescent="0.25">
      <c r="A302" s="11"/>
      <c r="B302" s="11"/>
      <c r="C302" s="11"/>
      <c r="D302" s="11"/>
      <c r="E302" s="11"/>
      <c r="F302" s="11"/>
      <c r="G302" s="15" t="str">
        <f t="shared" si="12"/>
        <v/>
      </c>
      <c r="H302" s="13" t="str">
        <f t="shared" si="13"/>
        <v/>
      </c>
      <c r="I302" s="16" t="str">
        <f t="shared" si="14"/>
        <v/>
      </c>
      <c r="J302" s="11"/>
      <c r="K302" s="11"/>
      <c r="L302" s="11"/>
      <c r="M302" s="11"/>
      <c r="N302" s="11"/>
    </row>
    <row r="303" spans="1:14" ht="15.75" customHeight="1" x14ac:dyDescent="0.25">
      <c r="A303" s="11"/>
      <c r="B303" s="11"/>
      <c r="C303" s="11"/>
      <c r="D303" s="11"/>
      <c r="E303" s="11"/>
      <c r="F303" s="11"/>
      <c r="G303" s="15" t="str">
        <f t="shared" si="12"/>
        <v/>
      </c>
      <c r="H303" s="13" t="str">
        <f t="shared" si="13"/>
        <v/>
      </c>
      <c r="I303" s="16" t="str">
        <f t="shared" si="14"/>
        <v/>
      </c>
      <c r="J303" s="11"/>
      <c r="K303" s="11"/>
      <c r="L303" s="11"/>
      <c r="M303" s="11"/>
      <c r="N303" s="11"/>
    </row>
    <row r="304" spans="1:14" ht="15.75" customHeight="1" x14ac:dyDescent="0.25">
      <c r="A304" s="11"/>
      <c r="B304" s="11"/>
      <c r="C304" s="11"/>
      <c r="D304" s="11"/>
      <c r="E304" s="11"/>
      <c r="F304" s="11"/>
      <c r="G304" s="15" t="str">
        <f t="shared" si="12"/>
        <v/>
      </c>
      <c r="H304" s="13" t="str">
        <f t="shared" si="13"/>
        <v/>
      </c>
      <c r="I304" s="16" t="str">
        <f t="shared" si="14"/>
        <v/>
      </c>
      <c r="J304" s="11"/>
      <c r="K304" s="11"/>
      <c r="L304" s="11"/>
      <c r="M304" s="11"/>
      <c r="N304" s="11"/>
    </row>
    <row r="305" spans="1:14" ht="15.75" customHeight="1" x14ac:dyDescent="0.25">
      <c r="A305" s="11"/>
      <c r="B305" s="11"/>
      <c r="C305" s="11"/>
      <c r="D305" s="11"/>
      <c r="E305" s="11"/>
      <c r="F305" s="11"/>
      <c r="G305" s="15" t="str">
        <f t="shared" si="12"/>
        <v/>
      </c>
      <c r="H305" s="13" t="str">
        <f t="shared" si="13"/>
        <v/>
      </c>
      <c r="I305" s="16" t="str">
        <f t="shared" si="14"/>
        <v/>
      </c>
      <c r="J305" s="11"/>
      <c r="K305" s="11"/>
      <c r="L305" s="11"/>
      <c r="M305" s="11"/>
      <c r="N305" s="11"/>
    </row>
    <row r="306" spans="1:14" ht="15.75" customHeight="1" x14ac:dyDescent="0.25">
      <c r="A306" s="11"/>
      <c r="B306" s="11"/>
      <c r="C306" s="11"/>
      <c r="D306" s="11"/>
      <c r="E306" s="11"/>
      <c r="F306" s="11"/>
      <c r="G306" s="15" t="str">
        <f t="shared" si="12"/>
        <v/>
      </c>
      <c r="H306" s="13" t="str">
        <f t="shared" si="13"/>
        <v/>
      </c>
      <c r="I306" s="16" t="str">
        <f t="shared" si="14"/>
        <v/>
      </c>
      <c r="J306" s="11"/>
      <c r="K306" s="11"/>
      <c r="L306" s="11"/>
      <c r="M306" s="11"/>
      <c r="N306" s="11"/>
    </row>
    <row r="307" spans="1:14" ht="15.75" customHeight="1" x14ac:dyDescent="0.25">
      <c r="A307" s="11"/>
      <c r="B307" s="11"/>
      <c r="C307" s="11"/>
      <c r="D307" s="11"/>
      <c r="E307" s="11"/>
      <c r="F307" s="11"/>
      <c r="G307" s="15" t="str">
        <f t="shared" si="12"/>
        <v/>
      </c>
      <c r="H307" s="13" t="str">
        <f t="shared" si="13"/>
        <v/>
      </c>
      <c r="I307" s="16" t="str">
        <f t="shared" si="14"/>
        <v/>
      </c>
      <c r="J307" s="11"/>
      <c r="K307" s="11"/>
      <c r="L307" s="11"/>
      <c r="M307" s="11"/>
      <c r="N307" s="11"/>
    </row>
    <row r="308" spans="1:14" ht="15.75" customHeight="1" x14ac:dyDescent="0.25">
      <c r="A308" s="11"/>
      <c r="B308" s="11"/>
      <c r="C308" s="11"/>
      <c r="D308" s="11"/>
      <c r="E308" s="11"/>
      <c r="F308" s="11"/>
      <c r="G308" s="15" t="str">
        <f t="shared" si="12"/>
        <v/>
      </c>
      <c r="H308" s="13" t="str">
        <f t="shared" si="13"/>
        <v/>
      </c>
      <c r="I308" s="16" t="str">
        <f t="shared" si="14"/>
        <v/>
      </c>
      <c r="J308" s="11"/>
      <c r="K308" s="11"/>
      <c r="L308" s="11"/>
      <c r="M308" s="11"/>
      <c r="N308" s="11"/>
    </row>
    <row r="309" spans="1:14" ht="15.75" customHeight="1" x14ac:dyDescent="0.25">
      <c r="A309" s="11"/>
      <c r="B309" s="11"/>
      <c r="C309" s="11"/>
      <c r="D309" s="11"/>
      <c r="E309" s="11"/>
      <c r="F309" s="11"/>
      <c r="G309" s="15" t="str">
        <f t="shared" si="12"/>
        <v/>
      </c>
      <c r="H309" s="13" t="str">
        <f t="shared" si="13"/>
        <v/>
      </c>
      <c r="I309" s="16" t="str">
        <f t="shared" si="14"/>
        <v/>
      </c>
      <c r="J309" s="11"/>
      <c r="K309" s="11"/>
      <c r="L309" s="11"/>
      <c r="M309" s="11"/>
      <c r="N309" s="11"/>
    </row>
    <row r="310" spans="1:14" ht="15.75" customHeight="1" x14ac:dyDescent="0.25">
      <c r="A310" s="11"/>
      <c r="B310" s="11"/>
      <c r="C310" s="11"/>
      <c r="D310" s="11"/>
      <c r="E310" s="11"/>
      <c r="F310" s="11"/>
      <c r="G310" s="15" t="str">
        <f t="shared" si="12"/>
        <v/>
      </c>
      <c r="H310" s="13" t="str">
        <f t="shared" si="13"/>
        <v/>
      </c>
      <c r="I310" s="16" t="str">
        <f t="shared" si="14"/>
        <v/>
      </c>
      <c r="J310" s="11"/>
      <c r="K310" s="11"/>
      <c r="L310" s="11"/>
      <c r="M310" s="11"/>
      <c r="N310" s="11"/>
    </row>
    <row r="311" spans="1:14" ht="15.75" customHeight="1" x14ac:dyDescent="0.25">
      <c r="A311" s="11"/>
      <c r="B311" s="11"/>
      <c r="C311" s="11"/>
      <c r="D311" s="11"/>
      <c r="E311" s="11"/>
      <c r="F311" s="11"/>
      <c r="G311" s="15" t="str">
        <f t="shared" si="12"/>
        <v/>
      </c>
      <c r="H311" s="13" t="str">
        <f t="shared" si="13"/>
        <v/>
      </c>
      <c r="I311" s="16" t="str">
        <f t="shared" si="14"/>
        <v/>
      </c>
      <c r="J311" s="11"/>
      <c r="K311" s="11"/>
      <c r="L311" s="11"/>
      <c r="M311" s="11"/>
      <c r="N311" s="11"/>
    </row>
    <row r="312" spans="1:14" ht="15.75" customHeight="1" x14ac:dyDescent="0.25">
      <c r="A312" s="11"/>
      <c r="B312" s="11"/>
      <c r="C312" s="11"/>
      <c r="D312" s="11"/>
      <c r="E312" s="11"/>
      <c r="F312" s="11"/>
      <c r="G312" s="15" t="str">
        <f t="shared" si="12"/>
        <v/>
      </c>
      <c r="H312" s="13" t="str">
        <f t="shared" si="13"/>
        <v/>
      </c>
      <c r="I312" s="16" t="str">
        <f t="shared" si="14"/>
        <v/>
      </c>
      <c r="J312" s="11"/>
      <c r="K312" s="11"/>
      <c r="L312" s="11"/>
      <c r="M312" s="11"/>
      <c r="N312" s="11"/>
    </row>
    <row r="313" spans="1:14" ht="15.75" customHeight="1" x14ac:dyDescent="0.25">
      <c r="A313" s="11"/>
      <c r="B313" s="11"/>
      <c r="C313" s="11"/>
      <c r="D313" s="11"/>
      <c r="E313" s="11"/>
      <c r="F313" s="11"/>
      <c r="G313" s="15" t="str">
        <f t="shared" si="12"/>
        <v/>
      </c>
      <c r="H313" s="13" t="str">
        <f t="shared" si="13"/>
        <v/>
      </c>
      <c r="I313" s="16" t="str">
        <f t="shared" si="14"/>
        <v/>
      </c>
      <c r="J313" s="11"/>
      <c r="K313" s="11"/>
      <c r="L313" s="11"/>
      <c r="M313" s="11"/>
      <c r="N313" s="11"/>
    </row>
    <row r="314" spans="1:14" ht="15.75" customHeight="1" x14ac:dyDescent="0.25">
      <c r="A314" s="11"/>
      <c r="B314" s="11"/>
      <c r="C314" s="11"/>
      <c r="D314" s="11"/>
      <c r="E314" s="11"/>
      <c r="F314" s="11"/>
      <c r="G314" s="15" t="str">
        <f t="shared" si="12"/>
        <v/>
      </c>
      <c r="H314" s="13" t="str">
        <f t="shared" si="13"/>
        <v/>
      </c>
      <c r="I314" s="16" t="str">
        <f t="shared" si="14"/>
        <v/>
      </c>
      <c r="J314" s="11"/>
      <c r="K314" s="11"/>
      <c r="L314" s="11"/>
      <c r="M314" s="11"/>
      <c r="N314" s="11"/>
    </row>
    <row r="315" spans="1:14" ht="15.75" customHeight="1" x14ac:dyDescent="0.25">
      <c r="A315" s="11"/>
      <c r="B315" s="11"/>
      <c r="C315" s="11"/>
      <c r="D315" s="11"/>
      <c r="E315" s="11"/>
      <c r="F315" s="11"/>
      <c r="G315" s="15" t="str">
        <f t="shared" si="12"/>
        <v/>
      </c>
      <c r="H315" s="13" t="str">
        <f t="shared" si="13"/>
        <v/>
      </c>
      <c r="I315" s="16" t="str">
        <f t="shared" si="14"/>
        <v/>
      </c>
      <c r="J315" s="11"/>
      <c r="K315" s="11"/>
      <c r="L315" s="11"/>
      <c r="M315" s="11"/>
      <c r="N315" s="11"/>
    </row>
    <row r="316" spans="1:14" ht="15.75" customHeight="1" x14ac:dyDescent="0.25">
      <c r="A316" s="11"/>
      <c r="B316" s="11"/>
      <c r="C316" s="11"/>
      <c r="D316" s="11"/>
      <c r="E316" s="11"/>
      <c r="F316" s="11"/>
      <c r="G316" s="15" t="str">
        <f t="shared" si="12"/>
        <v/>
      </c>
      <c r="H316" s="13" t="str">
        <f t="shared" si="13"/>
        <v/>
      </c>
      <c r="I316" s="16" t="str">
        <f t="shared" si="14"/>
        <v/>
      </c>
      <c r="J316" s="11"/>
      <c r="K316" s="11"/>
      <c r="L316" s="11"/>
      <c r="M316" s="11"/>
      <c r="N316" s="11"/>
    </row>
    <row r="317" spans="1:14" ht="15.75" customHeight="1" x14ac:dyDescent="0.25">
      <c r="A317" s="11"/>
      <c r="B317" s="11"/>
      <c r="C317" s="11"/>
      <c r="D317" s="11"/>
      <c r="E317" s="11"/>
      <c r="F317" s="11"/>
      <c r="G317" s="15" t="str">
        <f t="shared" si="12"/>
        <v/>
      </c>
      <c r="H317" s="13" t="str">
        <f t="shared" si="13"/>
        <v/>
      </c>
      <c r="I317" s="16" t="str">
        <f t="shared" si="14"/>
        <v/>
      </c>
      <c r="J317" s="11"/>
      <c r="K317" s="11"/>
      <c r="L317" s="11"/>
      <c r="M317" s="11"/>
      <c r="N317" s="11"/>
    </row>
    <row r="318" spans="1:14" ht="15.75" customHeight="1" x14ac:dyDescent="0.25">
      <c r="A318" s="11"/>
      <c r="B318" s="11"/>
      <c r="C318" s="11"/>
      <c r="D318" s="11"/>
      <c r="E318" s="11"/>
      <c r="F318" s="11"/>
      <c r="G318" s="15" t="str">
        <f t="shared" si="12"/>
        <v/>
      </c>
      <c r="H318" s="13" t="str">
        <f t="shared" si="13"/>
        <v/>
      </c>
      <c r="I318" s="16" t="str">
        <f t="shared" si="14"/>
        <v/>
      </c>
      <c r="J318" s="11"/>
      <c r="K318" s="11"/>
      <c r="L318" s="11"/>
      <c r="M318" s="11"/>
      <c r="N318" s="11"/>
    </row>
    <row r="319" spans="1:14" ht="15.75" customHeight="1" x14ac:dyDescent="0.25">
      <c r="A319" s="11"/>
      <c r="B319" s="11"/>
      <c r="C319" s="11"/>
      <c r="D319" s="11"/>
      <c r="E319" s="11"/>
      <c r="F319" s="11"/>
      <c r="G319" s="15" t="str">
        <f t="shared" si="12"/>
        <v/>
      </c>
      <c r="H319" s="13" t="str">
        <f t="shared" si="13"/>
        <v/>
      </c>
      <c r="I319" s="16" t="str">
        <f t="shared" si="14"/>
        <v/>
      </c>
      <c r="J319" s="11"/>
      <c r="K319" s="11"/>
      <c r="L319" s="11"/>
      <c r="M319" s="11"/>
      <c r="N319" s="11"/>
    </row>
    <row r="320" spans="1:14" ht="15.75" customHeight="1" x14ac:dyDescent="0.25">
      <c r="A320" s="11"/>
      <c r="B320" s="11"/>
      <c r="C320" s="11"/>
      <c r="D320" s="11"/>
      <c r="E320" s="11"/>
      <c r="F320" s="11"/>
      <c r="G320" s="15" t="str">
        <f t="shared" si="12"/>
        <v/>
      </c>
      <c r="H320" s="13" t="str">
        <f t="shared" si="13"/>
        <v/>
      </c>
      <c r="I320" s="16" t="str">
        <f t="shared" si="14"/>
        <v/>
      </c>
      <c r="J320" s="11"/>
      <c r="K320" s="11"/>
      <c r="L320" s="11"/>
      <c r="M320" s="11"/>
      <c r="N320" s="11"/>
    </row>
    <row r="321" spans="1:14" ht="15.75" customHeight="1" x14ac:dyDescent="0.25">
      <c r="A321" s="11"/>
      <c r="B321" s="11"/>
      <c r="C321" s="11"/>
      <c r="D321" s="11"/>
      <c r="E321" s="11"/>
      <c r="F321" s="11"/>
      <c r="G321" s="15" t="str">
        <f t="shared" si="12"/>
        <v/>
      </c>
      <c r="H321" s="13" t="str">
        <f t="shared" si="13"/>
        <v/>
      </c>
      <c r="I321" s="16" t="str">
        <f t="shared" si="14"/>
        <v/>
      </c>
      <c r="J321" s="11"/>
      <c r="K321" s="11"/>
      <c r="L321" s="11"/>
      <c r="M321" s="11"/>
      <c r="N321" s="11"/>
    </row>
    <row r="322" spans="1:14" ht="15.75" customHeight="1" x14ac:dyDescent="0.25">
      <c r="A322" s="11"/>
      <c r="B322" s="11"/>
      <c r="C322" s="11"/>
      <c r="D322" s="11"/>
      <c r="E322" s="11"/>
      <c r="F322" s="11"/>
      <c r="G322" s="15" t="str">
        <f t="shared" si="12"/>
        <v/>
      </c>
      <c r="H322" s="13" t="str">
        <f t="shared" si="13"/>
        <v/>
      </c>
      <c r="I322" s="16" t="str">
        <f t="shared" si="14"/>
        <v/>
      </c>
      <c r="J322" s="11"/>
      <c r="K322" s="11"/>
      <c r="L322" s="11"/>
      <c r="M322" s="11"/>
      <c r="N322" s="11"/>
    </row>
    <row r="323" spans="1:14" ht="15.75" customHeight="1" x14ac:dyDescent="0.25">
      <c r="A323" s="11"/>
      <c r="B323" s="11"/>
      <c r="C323" s="11"/>
      <c r="D323" s="11"/>
      <c r="E323" s="11"/>
      <c r="F323" s="11"/>
      <c r="G323" s="15" t="str">
        <f t="shared" si="12"/>
        <v/>
      </c>
      <c r="H323" s="13" t="str">
        <f t="shared" si="13"/>
        <v/>
      </c>
      <c r="I323" s="16" t="str">
        <f t="shared" si="14"/>
        <v/>
      </c>
      <c r="J323" s="11"/>
      <c r="K323" s="11"/>
      <c r="L323" s="11"/>
      <c r="M323" s="11"/>
      <c r="N323" s="11"/>
    </row>
    <row r="324" spans="1:14" ht="15.75" customHeight="1" x14ac:dyDescent="0.25">
      <c r="A324" s="11"/>
      <c r="B324" s="11"/>
      <c r="C324" s="11"/>
      <c r="D324" s="11"/>
      <c r="E324" s="11"/>
      <c r="F324" s="11"/>
      <c r="G324" s="15" t="str">
        <f t="shared" ref="G324:G387" si="15">IF(E324="","",IF(OR(E324="Withdrawal",E324="Loan Disbursement"),F324,0))</f>
        <v/>
      </c>
      <c r="H324" s="13" t="str">
        <f t="shared" ref="H324:H387" si="16">IF(E324="","",IF(OR(E324="Savings Deposit",E324="Loan Repayment"),F324,0))</f>
        <v/>
      </c>
      <c r="I324" s="16" t="str">
        <f t="shared" si="14"/>
        <v/>
      </c>
      <c r="J324" s="11"/>
      <c r="K324" s="11"/>
      <c r="L324" s="11"/>
      <c r="M324" s="11"/>
      <c r="N324" s="11"/>
    </row>
    <row r="325" spans="1:14" ht="15.75" customHeight="1" x14ac:dyDescent="0.25">
      <c r="A325" s="11"/>
      <c r="B325" s="11"/>
      <c r="C325" s="11"/>
      <c r="D325" s="11"/>
      <c r="E325" s="11"/>
      <c r="F325" s="11"/>
      <c r="G325" s="15" t="str">
        <f t="shared" si="15"/>
        <v/>
      </c>
      <c r="H325" s="13" t="str">
        <f t="shared" si="16"/>
        <v/>
      </c>
      <c r="I325" s="16" t="str">
        <f t="shared" ref="I325:I388" si="17">IF(A325="","",I324+H325-G325)</f>
        <v/>
      </c>
      <c r="J325" s="11"/>
      <c r="K325" s="11"/>
      <c r="L325" s="11"/>
      <c r="M325" s="11"/>
      <c r="N325" s="11"/>
    </row>
    <row r="326" spans="1:14" ht="15.75" customHeight="1" x14ac:dyDescent="0.25">
      <c r="A326" s="11"/>
      <c r="B326" s="11"/>
      <c r="C326" s="11"/>
      <c r="D326" s="11"/>
      <c r="E326" s="11"/>
      <c r="F326" s="11"/>
      <c r="G326" s="15" t="str">
        <f t="shared" si="15"/>
        <v/>
      </c>
      <c r="H326" s="13" t="str">
        <f t="shared" si="16"/>
        <v/>
      </c>
      <c r="I326" s="16" t="str">
        <f t="shared" si="17"/>
        <v/>
      </c>
      <c r="J326" s="11"/>
      <c r="K326" s="11"/>
      <c r="L326" s="11"/>
      <c r="M326" s="11"/>
      <c r="N326" s="11"/>
    </row>
    <row r="327" spans="1:14" ht="15.75" customHeight="1" x14ac:dyDescent="0.25">
      <c r="A327" s="11"/>
      <c r="B327" s="11"/>
      <c r="C327" s="11"/>
      <c r="D327" s="11"/>
      <c r="E327" s="11"/>
      <c r="F327" s="11"/>
      <c r="G327" s="15" t="str">
        <f t="shared" si="15"/>
        <v/>
      </c>
      <c r="H327" s="13" t="str">
        <f t="shared" si="16"/>
        <v/>
      </c>
      <c r="I327" s="16" t="str">
        <f t="shared" si="17"/>
        <v/>
      </c>
      <c r="J327" s="11"/>
      <c r="K327" s="11"/>
      <c r="L327" s="11"/>
      <c r="M327" s="11"/>
      <c r="N327" s="11"/>
    </row>
    <row r="328" spans="1:14" ht="15.75" customHeight="1" x14ac:dyDescent="0.25">
      <c r="A328" s="11"/>
      <c r="B328" s="11"/>
      <c r="C328" s="11"/>
      <c r="D328" s="11"/>
      <c r="E328" s="11"/>
      <c r="F328" s="11"/>
      <c r="G328" s="15" t="str">
        <f t="shared" si="15"/>
        <v/>
      </c>
      <c r="H328" s="13" t="str">
        <f t="shared" si="16"/>
        <v/>
      </c>
      <c r="I328" s="16" t="str">
        <f t="shared" si="17"/>
        <v/>
      </c>
      <c r="J328" s="11"/>
      <c r="K328" s="11"/>
      <c r="L328" s="11"/>
      <c r="M328" s="11"/>
      <c r="N328" s="11"/>
    </row>
    <row r="329" spans="1:14" ht="15.75" customHeight="1" x14ac:dyDescent="0.25">
      <c r="A329" s="11"/>
      <c r="B329" s="11"/>
      <c r="C329" s="11"/>
      <c r="D329" s="11"/>
      <c r="E329" s="11"/>
      <c r="F329" s="11"/>
      <c r="G329" s="15" t="str">
        <f t="shared" si="15"/>
        <v/>
      </c>
      <c r="H329" s="13" t="str">
        <f t="shared" si="16"/>
        <v/>
      </c>
      <c r="I329" s="16" t="str">
        <f t="shared" si="17"/>
        <v/>
      </c>
      <c r="J329" s="11"/>
      <c r="K329" s="11"/>
      <c r="L329" s="11"/>
      <c r="M329" s="11"/>
      <c r="N329" s="11"/>
    </row>
    <row r="330" spans="1:14" ht="15.75" customHeight="1" x14ac:dyDescent="0.25">
      <c r="A330" s="11"/>
      <c r="B330" s="11"/>
      <c r="C330" s="11"/>
      <c r="D330" s="11"/>
      <c r="E330" s="11"/>
      <c r="F330" s="11"/>
      <c r="G330" s="15" t="str">
        <f t="shared" si="15"/>
        <v/>
      </c>
      <c r="H330" s="13" t="str">
        <f t="shared" si="16"/>
        <v/>
      </c>
      <c r="I330" s="16" t="str">
        <f t="shared" si="17"/>
        <v/>
      </c>
      <c r="J330" s="11"/>
      <c r="K330" s="11"/>
      <c r="L330" s="11"/>
      <c r="M330" s="11"/>
      <c r="N330" s="11"/>
    </row>
    <row r="331" spans="1:14" ht="15.75" customHeight="1" x14ac:dyDescent="0.25">
      <c r="A331" s="11"/>
      <c r="B331" s="11"/>
      <c r="C331" s="11"/>
      <c r="D331" s="11"/>
      <c r="E331" s="11"/>
      <c r="F331" s="11"/>
      <c r="G331" s="15" t="str">
        <f t="shared" si="15"/>
        <v/>
      </c>
      <c r="H331" s="13" t="str">
        <f t="shared" si="16"/>
        <v/>
      </c>
      <c r="I331" s="16" t="str">
        <f t="shared" si="17"/>
        <v/>
      </c>
      <c r="J331" s="11"/>
      <c r="K331" s="11"/>
      <c r="L331" s="11"/>
      <c r="M331" s="11"/>
      <c r="N331" s="11"/>
    </row>
    <row r="332" spans="1:14" ht="15.75" customHeight="1" x14ac:dyDescent="0.25">
      <c r="A332" s="11"/>
      <c r="B332" s="11"/>
      <c r="C332" s="11"/>
      <c r="D332" s="11"/>
      <c r="E332" s="11"/>
      <c r="F332" s="11"/>
      <c r="G332" s="15" t="str">
        <f t="shared" si="15"/>
        <v/>
      </c>
      <c r="H332" s="13" t="str">
        <f t="shared" si="16"/>
        <v/>
      </c>
      <c r="I332" s="16" t="str">
        <f t="shared" si="17"/>
        <v/>
      </c>
      <c r="J332" s="11"/>
      <c r="K332" s="11"/>
      <c r="L332" s="11"/>
      <c r="M332" s="11"/>
      <c r="N332" s="11"/>
    </row>
    <row r="333" spans="1:14" ht="15.75" customHeight="1" x14ac:dyDescent="0.25">
      <c r="A333" s="11"/>
      <c r="B333" s="11"/>
      <c r="C333" s="11"/>
      <c r="D333" s="11"/>
      <c r="E333" s="11"/>
      <c r="F333" s="11"/>
      <c r="G333" s="15" t="str">
        <f t="shared" si="15"/>
        <v/>
      </c>
      <c r="H333" s="13" t="str">
        <f t="shared" si="16"/>
        <v/>
      </c>
      <c r="I333" s="16" t="str">
        <f t="shared" si="17"/>
        <v/>
      </c>
      <c r="J333" s="11"/>
      <c r="K333" s="11"/>
      <c r="L333" s="11"/>
      <c r="M333" s="11"/>
      <c r="N333" s="11"/>
    </row>
    <row r="334" spans="1:14" ht="15.75" customHeight="1" x14ac:dyDescent="0.25">
      <c r="A334" s="11"/>
      <c r="B334" s="11"/>
      <c r="C334" s="11"/>
      <c r="D334" s="11"/>
      <c r="E334" s="11"/>
      <c r="F334" s="11"/>
      <c r="G334" s="15" t="str">
        <f t="shared" si="15"/>
        <v/>
      </c>
      <c r="H334" s="13" t="str">
        <f t="shared" si="16"/>
        <v/>
      </c>
      <c r="I334" s="16" t="str">
        <f t="shared" si="17"/>
        <v/>
      </c>
      <c r="J334" s="11"/>
      <c r="K334" s="11"/>
      <c r="L334" s="11"/>
      <c r="M334" s="11"/>
      <c r="N334" s="11"/>
    </row>
    <row r="335" spans="1:14" ht="15.75" customHeight="1" x14ac:dyDescent="0.25">
      <c r="A335" s="11"/>
      <c r="B335" s="11"/>
      <c r="C335" s="11"/>
      <c r="D335" s="11"/>
      <c r="E335" s="11"/>
      <c r="F335" s="11"/>
      <c r="G335" s="15" t="str">
        <f t="shared" si="15"/>
        <v/>
      </c>
      <c r="H335" s="13" t="str">
        <f t="shared" si="16"/>
        <v/>
      </c>
      <c r="I335" s="16" t="str">
        <f t="shared" si="17"/>
        <v/>
      </c>
      <c r="J335" s="11"/>
      <c r="K335" s="11"/>
      <c r="L335" s="11"/>
      <c r="M335" s="11"/>
      <c r="N335" s="11"/>
    </row>
    <row r="336" spans="1:14" ht="15.75" customHeight="1" x14ac:dyDescent="0.25">
      <c r="A336" s="11"/>
      <c r="B336" s="11"/>
      <c r="C336" s="11"/>
      <c r="D336" s="11"/>
      <c r="E336" s="11"/>
      <c r="F336" s="11"/>
      <c r="G336" s="15" t="str">
        <f t="shared" si="15"/>
        <v/>
      </c>
      <c r="H336" s="13" t="str">
        <f t="shared" si="16"/>
        <v/>
      </c>
      <c r="I336" s="16" t="str">
        <f t="shared" si="17"/>
        <v/>
      </c>
      <c r="J336" s="11"/>
      <c r="K336" s="11"/>
      <c r="L336" s="11"/>
      <c r="M336" s="11"/>
      <c r="N336" s="11"/>
    </row>
    <row r="337" spans="1:14" ht="15.75" customHeight="1" x14ac:dyDescent="0.25">
      <c r="A337" s="11"/>
      <c r="B337" s="11"/>
      <c r="C337" s="11"/>
      <c r="D337" s="11"/>
      <c r="E337" s="11"/>
      <c r="F337" s="11"/>
      <c r="G337" s="15" t="str">
        <f t="shared" si="15"/>
        <v/>
      </c>
      <c r="H337" s="13" t="str">
        <f t="shared" si="16"/>
        <v/>
      </c>
      <c r="I337" s="16" t="str">
        <f t="shared" si="17"/>
        <v/>
      </c>
      <c r="J337" s="11"/>
      <c r="K337" s="11"/>
      <c r="L337" s="11"/>
      <c r="M337" s="11"/>
      <c r="N337" s="11"/>
    </row>
    <row r="338" spans="1:14" ht="15.75" customHeight="1" x14ac:dyDescent="0.25">
      <c r="A338" s="11"/>
      <c r="B338" s="11"/>
      <c r="C338" s="11"/>
      <c r="D338" s="11"/>
      <c r="E338" s="11"/>
      <c r="F338" s="11"/>
      <c r="G338" s="15" t="str">
        <f t="shared" si="15"/>
        <v/>
      </c>
      <c r="H338" s="13" t="str">
        <f t="shared" si="16"/>
        <v/>
      </c>
      <c r="I338" s="16" t="str">
        <f t="shared" si="17"/>
        <v/>
      </c>
      <c r="J338" s="11"/>
      <c r="K338" s="11"/>
      <c r="L338" s="11"/>
      <c r="M338" s="11"/>
      <c r="N338" s="11"/>
    </row>
    <row r="339" spans="1:14" ht="15.75" customHeight="1" x14ac:dyDescent="0.25">
      <c r="A339" s="11"/>
      <c r="B339" s="11"/>
      <c r="C339" s="11"/>
      <c r="D339" s="11"/>
      <c r="E339" s="11"/>
      <c r="F339" s="11"/>
      <c r="G339" s="15" t="str">
        <f t="shared" si="15"/>
        <v/>
      </c>
      <c r="H339" s="13" t="str">
        <f t="shared" si="16"/>
        <v/>
      </c>
      <c r="I339" s="16" t="str">
        <f t="shared" si="17"/>
        <v/>
      </c>
      <c r="J339" s="11"/>
      <c r="K339" s="11"/>
      <c r="L339" s="11"/>
      <c r="M339" s="11"/>
      <c r="N339" s="11"/>
    </row>
    <row r="340" spans="1:14" ht="15.75" customHeight="1" x14ac:dyDescent="0.25">
      <c r="A340" s="11"/>
      <c r="B340" s="11"/>
      <c r="C340" s="11"/>
      <c r="D340" s="11"/>
      <c r="E340" s="11"/>
      <c r="F340" s="11"/>
      <c r="G340" s="15" t="str">
        <f t="shared" si="15"/>
        <v/>
      </c>
      <c r="H340" s="13" t="str">
        <f t="shared" si="16"/>
        <v/>
      </c>
      <c r="I340" s="16" t="str">
        <f t="shared" si="17"/>
        <v/>
      </c>
      <c r="J340" s="11"/>
      <c r="K340" s="11"/>
      <c r="L340" s="11"/>
      <c r="M340" s="11"/>
      <c r="N340" s="11"/>
    </row>
    <row r="341" spans="1:14" ht="15.75" customHeight="1" x14ac:dyDescent="0.25">
      <c r="A341" s="11"/>
      <c r="B341" s="11"/>
      <c r="C341" s="11"/>
      <c r="D341" s="11"/>
      <c r="E341" s="11"/>
      <c r="F341" s="11"/>
      <c r="G341" s="15" t="str">
        <f t="shared" si="15"/>
        <v/>
      </c>
      <c r="H341" s="13" t="str">
        <f t="shared" si="16"/>
        <v/>
      </c>
      <c r="I341" s="16" t="str">
        <f t="shared" si="17"/>
        <v/>
      </c>
      <c r="J341" s="11"/>
      <c r="K341" s="11"/>
      <c r="L341" s="11"/>
      <c r="M341" s="11"/>
      <c r="N341" s="11"/>
    </row>
    <row r="342" spans="1:14" ht="15.75" customHeight="1" x14ac:dyDescent="0.25">
      <c r="A342" s="11"/>
      <c r="B342" s="11"/>
      <c r="C342" s="11"/>
      <c r="D342" s="11"/>
      <c r="E342" s="11"/>
      <c r="F342" s="11"/>
      <c r="G342" s="15" t="str">
        <f t="shared" si="15"/>
        <v/>
      </c>
      <c r="H342" s="13" t="str">
        <f t="shared" si="16"/>
        <v/>
      </c>
      <c r="I342" s="16" t="str">
        <f t="shared" si="17"/>
        <v/>
      </c>
      <c r="J342" s="11"/>
      <c r="K342" s="11"/>
      <c r="L342" s="11"/>
      <c r="M342" s="11"/>
      <c r="N342" s="11"/>
    </row>
    <row r="343" spans="1:14" ht="15.75" customHeight="1" x14ac:dyDescent="0.25">
      <c r="A343" s="11"/>
      <c r="B343" s="11"/>
      <c r="C343" s="11"/>
      <c r="D343" s="11"/>
      <c r="E343" s="11"/>
      <c r="F343" s="11"/>
      <c r="G343" s="15" t="str">
        <f t="shared" si="15"/>
        <v/>
      </c>
      <c r="H343" s="13" t="str">
        <f t="shared" si="16"/>
        <v/>
      </c>
      <c r="I343" s="16" t="str">
        <f t="shared" si="17"/>
        <v/>
      </c>
      <c r="J343" s="11"/>
      <c r="K343" s="11"/>
      <c r="L343" s="11"/>
      <c r="M343" s="11"/>
      <c r="N343" s="11"/>
    </row>
    <row r="344" spans="1:14" ht="15.75" customHeight="1" x14ac:dyDescent="0.25">
      <c r="A344" s="11"/>
      <c r="B344" s="11"/>
      <c r="C344" s="11"/>
      <c r="D344" s="11"/>
      <c r="E344" s="11"/>
      <c r="F344" s="11"/>
      <c r="G344" s="15" t="str">
        <f t="shared" si="15"/>
        <v/>
      </c>
      <c r="H344" s="13" t="str">
        <f t="shared" si="16"/>
        <v/>
      </c>
      <c r="I344" s="16" t="str">
        <f t="shared" si="17"/>
        <v/>
      </c>
      <c r="J344" s="11"/>
      <c r="K344" s="11"/>
      <c r="L344" s="11"/>
      <c r="M344" s="11"/>
      <c r="N344" s="11"/>
    </row>
    <row r="345" spans="1:14" ht="15.75" customHeight="1" x14ac:dyDescent="0.25">
      <c r="A345" s="11"/>
      <c r="B345" s="11"/>
      <c r="C345" s="11"/>
      <c r="D345" s="11"/>
      <c r="E345" s="11"/>
      <c r="F345" s="11"/>
      <c r="G345" s="15" t="str">
        <f t="shared" si="15"/>
        <v/>
      </c>
      <c r="H345" s="13" t="str">
        <f t="shared" si="16"/>
        <v/>
      </c>
      <c r="I345" s="16" t="str">
        <f t="shared" si="17"/>
        <v/>
      </c>
      <c r="J345" s="11"/>
      <c r="K345" s="11"/>
      <c r="L345" s="11"/>
      <c r="M345" s="11"/>
      <c r="N345" s="11"/>
    </row>
    <row r="346" spans="1:14" ht="15.75" customHeight="1" x14ac:dyDescent="0.25">
      <c r="A346" s="11"/>
      <c r="B346" s="11"/>
      <c r="C346" s="11"/>
      <c r="D346" s="11"/>
      <c r="E346" s="11"/>
      <c r="F346" s="11"/>
      <c r="G346" s="15" t="str">
        <f t="shared" si="15"/>
        <v/>
      </c>
      <c r="H346" s="13" t="str">
        <f t="shared" si="16"/>
        <v/>
      </c>
      <c r="I346" s="16" t="str">
        <f t="shared" si="17"/>
        <v/>
      </c>
      <c r="J346" s="11"/>
      <c r="K346" s="11"/>
      <c r="L346" s="11"/>
      <c r="M346" s="11"/>
      <c r="N346" s="11"/>
    </row>
    <row r="347" spans="1:14" ht="15.75" customHeight="1" x14ac:dyDescent="0.25">
      <c r="A347" s="11"/>
      <c r="B347" s="11"/>
      <c r="C347" s="11"/>
      <c r="D347" s="11"/>
      <c r="E347" s="11"/>
      <c r="F347" s="11"/>
      <c r="G347" s="15" t="str">
        <f t="shared" si="15"/>
        <v/>
      </c>
      <c r="H347" s="13" t="str">
        <f t="shared" si="16"/>
        <v/>
      </c>
      <c r="I347" s="16" t="str">
        <f t="shared" si="17"/>
        <v/>
      </c>
      <c r="J347" s="11"/>
      <c r="K347" s="11"/>
      <c r="L347" s="11"/>
      <c r="M347" s="11"/>
      <c r="N347" s="11"/>
    </row>
    <row r="348" spans="1:14" ht="15.75" customHeight="1" x14ac:dyDescent="0.25">
      <c r="A348" s="11"/>
      <c r="B348" s="11"/>
      <c r="C348" s="11"/>
      <c r="D348" s="11"/>
      <c r="E348" s="11"/>
      <c r="F348" s="11"/>
      <c r="G348" s="15" t="str">
        <f t="shared" si="15"/>
        <v/>
      </c>
      <c r="H348" s="13" t="str">
        <f t="shared" si="16"/>
        <v/>
      </c>
      <c r="I348" s="16" t="str">
        <f t="shared" si="17"/>
        <v/>
      </c>
      <c r="J348" s="11"/>
      <c r="K348" s="11"/>
      <c r="L348" s="11"/>
      <c r="M348" s="11"/>
      <c r="N348" s="11"/>
    </row>
    <row r="349" spans="1:14" ht="15.75" customHeight="1" x14ac:dyDescent="0.25">
      <c r="A349" s="11"/>
      <c r="B349" s="11"/>
      <c r="C349" s="11"/>
      <c r="D349" s="11"/>
      <c r="E349" s="11"/>
      <c r="F349" s="11"/>
      <c r="G349" s="15" t="str">
        <f t="shared" si="15"/>
        <v/>
      </c>
      <c r="H349" s="13" t="str">
        <f t="shared" si="16"/>
        <v/>
      </c>
      <c r="I349" s="16" t="str">
        <f t="shared" si="17"/>
        <v/>
      </c>
      <c r="J349" s="11"/>
      <c r="K349" s="11"/>
      <c r="L349" s="11"/>
      <c r="M349" s="11"/>
      <c r="N349" s="11"/>
    </row>
    <row r="350" spans="1:14" ht="15.75" customHeight="1" x14ac:dyDescent="0.25">
      <c r="A350" s="11"/>
      <c r="B350" s="11"/>
      <c r="C350" s="11"/>
      <c r="D350" s="11"/>
      <c r="E350" s="11"/>
      <c r="F350" s="11"/>
      <c r="G350" s="15" t="str">
        <f t="shared" si="15"/>
        <v/>
      </c>
      <c r="H350" s="13" t="str">
        <f t="shared" si="16"/>
        <v/>
      </c>
      <c r="I350" s="16" t="str">
        <f t="shared" si="17"/>
        <v/>
      </c>
      <c r="J350" s="11"/>
      <c r="K350" s="11"/>
      <c r="L350" s="11"/>
      <c r="M350" s="11"/>
      <c r="N350" s="11"/>
    </row>
    <row r="351" spans="1:14" ht="15.75" customHeight="1" x14ac:dyDescent="0.25">
      <c r="A351" s="11"/>
      <c r="B351" s="11"/>
      <c r="C351" s="11"/>
      <c r="D351" s="11"/>
      <c r="E351" s="11"/>
      <c r="F351" s="11"/>
      <c r="G351" s="15" t="str">
        <f t="shared" si="15"/>
        <v/>
      </c>
      <c r="H351" s="13" t="str">
        <f t="shared" si="16"/>
        <v/>
      </c>
      <c r="I351" s="16" t="str">
        <f t="shared" si="17"/>
        <v/>
      </c>
      <c r="J351" s="11"/>
      <c r="K351" s="11"/>
      <c r="L351" s="11"/>
      <c r="M351" s="11"/>
      <c r="N351" s="11"/>
    </row>
    <row r="352" spans="1:14" ht="15.75" customHeight="1" x14ac:dyDescent="0.25">
      <c r="A352" s="11"/>
      <c r="B352" s="11"/>
      <c r="C352" s="11"/>
      <c r="D352" s="11"/>
      <c r="E352" s="11"/>
      <c r="F352" s="11"/>
      <c r="G352" s="15" t="str">
        <f t="shared" si="15"/>
        <v/>
      </c>
      <c r="H352" s="13" t="str">
        <f t="shared" si="16"/>
        <v/>
      </c>
      <c r="I352" s="16" t="str">
        <f t="shared" si="17"/>
        <v/>
      </c>
      <c r="J352" s="11"/>
      <c r="K352" s="11"/>
      <c r="L352" s="11"/>
      <c r="M352" s="11"/>
      <c r="N352" s="11"/>
    </row>
    <row r="353" spans="1:14" ht="15.75" customHeight="1" x14ac:dyDescent="0.25">
      <c r="A353" s="11"/>
      <c r="B353" s="11"/>
      <c r="C353" s="11"/>
      <c r="D353" s="11"/>
      <c r="E353" s="11"/>
      <c r="F353" s="11"/>
      <c r="G353" s="15" t="str">
        <f t="shared" si="15"/>
        <v/>
      </c>
      <c r="H353" s="13" t="str">
        <f t="shared" si="16"/>
        <v/>
      </c>
      <c r="I353" s="16" t="str">
        <f t="shared" si="17"/>
        <v/>
      </c>
      <c r="J353" s="11"/>
      <c r="K353" s="11"/>
      <c r="L353" s="11"/>
      <c r="M353" s="11"/>
      <c r="N353" s="11"/>
    </row>
    <row r="354" spans="1:14" ht="15.75" customHeight="1" x14ac:dyDescent="0.25">
      <c r="A354" s="11"/>
      <c r="B354" s="11"/>
      <c r="C354" s="11"/>
      <c r="D354" s="11"/>
      <c r="E354" s="11"/>
      <c r="F354" s="11"/>
      <c r="G354" s="15" t="str">
        <f t="shared" si="15"/>
        <v/>
      </c>
      <c r="H354" s="13" t="str">
        <f t="shared" si="16"/>
        <v/>
      </c>
      <c r="I354" s="16" t="str">
        <f t="shared" si="17"/>
        <v/>
      </c>
      <c r="J354" s="11"/>
      <c r="K354" s="11"/>
      <c r="L354" s="11"/>
      <c r="M354" s="11"/>
      <c r="N354" s="11"/>
    </row>
    <row r="355" spans="1:14" ht="15.75" customHeight="1" x14ac:dyDescent="0.25">
      <c r="A355" s="11"/>
      <c r="B355" s="11"/>
      <c r="C355" s="11"/>
      <c r="D355" s="11"/>
      <c r="E355" s="11"/>
      <c r="F355" s="11"/>
      <c r="G355" s="15" t="str">
        <f t="shared" si="15"/>
        <v/>
      </c>
      <c r="H355" s="13" t="str">
        <f t="shared" si="16"/>
        <v/>
      </c>
      <c r="I355" s="16" t="str">
        <f t="shared" si="17"/>
        <v/>
      </c>
      <c r="J355" s="11"/>
      <c r="K355" s="11"/>
      <c r="L355" s="11"/>
      <c r="M355" s="11"/>
      <c r="N355" s="11"/>
    </row>
    <row r="356" spans="1:14" ht="15.75" customHeight="1" x14ac:dyDescent="0.25">
      <c r="A356" s="11"/>
      <c r="B356" s="11"/>
      <c r="C356" s="11"/>
      <c r="D356" s="11"/>
      <c r="E356" s="11"/>
      <c r="F356" s="11"/>
      <c r="G356" s="15" t="str">
        <f t="shared" si="15"/>
        <v/>
      </c>
      <c r="H356" s="13" t="str">
        <f t="shared" si="16"/>
        <v/>
      </c>
      <c r="I356" s="16" t="str">
        <f t="shared" si="17"/>
        <v/>
      </c>
      <c r="J356" s="11"/>
      <c r="K356" s="11"/>
      <c r="L356" s="11"/>
      <c r="M356" s="11"/>
      <c r="N356" s="11"/>
    </row>
    <row r="357" spans="1:14" ht="15.75" customHeight="1" x14ac:dyDescent="0.25">
      <c r="A357" s="11"/>
      <c r="B357" s="11"/>
      <c r="C357" s="11"/>
      <c r="D357" s="11"/>
      <c r="E357" s="11"/>
      <c r="F357" s="11"/>
      <c r="G357" s="15" t="str">
        <f t="shared" si="15"/>
        <v/>
      </c>
      <c r="H357" s="13" t="str">
        <f t="shared" si="16"/>
        <v/>
      </c>
      <c r="I357" s="16" t="str">
        <f t="shared" si="17"/>
        <v/>
      </c>
      <c r="J357" s="11"/>
      <c r="K357" s="11"/>
      <c r="L357" s="11"/>
      <c r="M357" s="11"/>
      <c r="N357" s="11"/>
    </row>
    <row r="358" spans="1:14" ht="15.75" customHeight="1" x14ac:dyDescent="0.25">
      <c r="A358" s="11"/>
      <c r="B358" s="11"/>
      <c r="C358" s="11"/>
      <c r="D358" s="11"/>
      <c r="E358" s="11"/>
      <c r="F358" s="11"/>
      <c r="G358" s="15" t="str">
        <f t="shared" si="15"/>
        <v/>
      </c>
      <c r="H358" s="13" t="str">
        <f t="shared" si="16"/>
        <v/>
      </c>
      <c r="I358" s="16" t="str">
        <f t="shared" si="17"/>
        <v/>
      </c>
      <c r="J358" s="11"/>
      <c r="K358" s="11"/>
      <c r="L358" s="11"/>
      <c r="M358" s="11"/>
      <c r="N358" s="11"/>
    </row>
    <row r="359" spans="1:14" ht="15.75" customHeight="1" x14ac:dyDescent="0.25">
      <c r="A359" s="11"/>
      <c r="B359" s="11"/>
      <c r="C359" s="11"/>
      <c r="D359" s="11"/>
      <c r="E359" s="11"/>
      <c r="F359" s="11"/>
      <c r="G359" s="15" t="str">
        <f t="shared" si="15"/>
        <v/>
      </c>
      <c r="H359" s="13" t="str">
        <f t="shared" si="16"/>
        <v/>
      </c>
      <c r="I359" s="16" t="str">
        <f t="shared" si="17"/>
        <v/>
      </c>
      <c r="J359" s="11"/>
      <c r="K359" s="11"/>
      <c r="L359" s="11"/>
      <c r="M359" s="11"/>
      <c r="N359" s="11"/>
    </row>
    <row r="360" spans="1:14" ht="15.75" customHeight="1" x14ac:dyDescent="0.25">
      <c r="A360" s="11"/>
      <c r="B360" s="11"/>
      <c r="C360" s="11"/>
      <c r="D360" s="11"/>
      <c r="E360" s="11"/>
      <c r="F360" s="11"/>
      <c r="G360" s="15" t="str">
        <f t="shared" si="15"/>
        <v/>
      </c>
      <c r="H360" s="13" t="str">
        <f t="shared" si="16"/>
        <v/>
      </c>
      <c r="I360" s="16" t="str">
        <f t="shared" si="17"/>
        <v/>
      </c>
      <c r="J360" s="11"/>
      <c r="K360" s="11"/>
      <c r="L360" s="11"/>
      <c r="M360" s="11"/>
      <c r="N360" s="11"/>
    </row>
    <row r="361" spans="1:14" ht="15.75" customHeight="1" x14ac:dyDescent="0.25">
      <c r="A361" s="11"/>
      <c r="B361" s="11"/>
      <c r="C361" s="11"/>
      <c r="D361" s="11"/>
      <c r="E361" s="11"/>
      <c r="F361" s="11"/>
      <c r="G361" s="15" t="str">
        <f t="shared" si="15"/>
        <v/>
      </c>
      <c r="H361" s="13" t="str">
        <f t="shared" si="16"/>
        <v/>
      </c>
      <c r="I361" s="16" t="str">
        <f t="shared" si="17"/>
        <v/>
      </c>
      <c r="J361" s="11"/>
      <c r="K361" s="11"/>
      <c r="L361" s="11"/>
      <c r="M361" s="11"/>
      <c r="N361" s="11"/>
    </row>
    <row r="362" spans="1:14" ht="15.75" customHeight="1" x14ac:dyDescent="0.25">
      <c r="A362" s="11"/>
      <c r="B362" s="11"/>
      <c r="C362" s="11"/>
      <c r="D362" s="11"/>
      <c r="E362" s="11"/>
      <c r="F362" s="11"/>
      <c r="G362" s="15" t="str">
        <f t="shared" si="15"/>
        <v/>
      </c>
      <c r="H362" s="13" t="str">
        <f t="shared" si="16"/>
        <v/>
      </c>
      <c r="I362" s="16" t="str">
        <f t="shared" si="17"/>
        <v/>
      </c>
      <c r="J362" s="11"/>
      <c r="K362" s="11"/>
      <c r="L362" s="11"/>
      <c r="M362" s="11"/>
      <c r="N362" s="11"/>
    </row>
    <row r="363" spans="1:14" ht="15.75" customHeight="1" x14ac:dyDescent="0.25">
      <c r="A363" s="11"/>
      <c r="B363" s="11"/>
      <c r="C363" s="11"/>
      <c r="D363" s="11"/>
      <c r="E363" s="11"/>
      <c r="F363" s="11"/>
      <c r="G363" s="15" t="str">
        <f t="shared" si="15"/>
        <v/>
      </c>
      <c r="H363" s="13" t="str">
        <f t="shared" si="16"/>
        <v/>
      </c>
      <c r="I363" s="16" t="str">
        <f t="shared" si="17"/>
        <v/>
      </c>
      <c r="J363" s="11"/>
      <c r="K363" s="11"/>
      <c r="L363" s="11"/>
      <c r="M363" s="11"/>
      <c r="N363" s="11"/>
    </row>
    <row r="364" spans="1:14" ht="15.75" customHeight="1" x14ac:dyDescent="0.25">
      <c r="A364" s="11"/>
      <c r="B364" s="11"/>
      <c r="C364" s="11"/>
      <c r="D364" s="11"/>
      <c r="E364" s="11"/>
      <c r="F364" s="11"/>
      <c r="G364" s="15" t="str">
        <f t="shared" si="15"/>
        <v/>
      </c>
      <c r="H364" s="13" t="str">
        <f t="shared" si="16"/>
        <v/>
      </c>
      <c r="I364" s="16" t="str">
        <f t="shared" si="17"/>
        <v/>
      </c>
      <c r="J364" s="11"/>
      <c r="K364" s="11"/>
      <c r="L364" s="11"/>
      <c r="M364" s="11"/>
      <c r="N364" s="11"/>
    </row>
    <row r="365" spans="1:14" ht="15.75" customHeight="1" x14ac:dyDescent="0.25">
      <c r="A365" s="11"/>
      <c r="B365" s="11"/>
      <c r="C365" s="11"/>
      <c r="D365" s="11"/>
      <c r="E365" s="11"/>
      <c r="F365" s="11"/>
      <c r="G365" s="15" t="str">
        <f t="shared" si="15"/>
        <v/>
      </c>
      <c r="H365" s="13" t="str">
        <f t="shared" si="16"/>
        <v/>
      </c>
      <c r="I365" s="16" t="str">
        <f t="shared" si="17"/>
        <v/>
      </c>
      <c r="J365" s="11"/>
      <c r="K365" s="11"/>
      <c r="L365" s="11"/>
      <c r="M365" s="11"/>
      <c r="N365" s="11"/>
    </row>
    <row r="366" spans="1:14" ht="15.75" customHeight="1" x14ac:dyDescent="0.25">
      <c r="A366" s="11"/>
      <c r="B366" s="11"/>
      <c r="C366" s="11"/>
      <c r="D366" s="11"/>
      <c r="E366" s="11"/>
      <c r="F366" s="11"/>
      <c r="G366" s="15" t="str">
        <f t="shared" si="15"/>
        <v/>
      </c>
      <c r="H366" s="13" t="str">
        <f t="shared" si="16"/>
        <v/>
      </c>
      <c r="I366" s="16" t="str">
        <f t="shared" si="17"/>
        <v/>
      </c>
      <c r="J366" s="11"/>
      <c r="K366" s="11"/>
      <c r="L366" s="11"/>
      <c r="M366" s="11"/>
      <c r="N366" s="11"/>
    </row>
    <row r="367" spans="1:14" ht="15.75" customHeight="1" x14ac:dyDescent="0.25">
      <c r="A367" s="11"/>
      <c r="B367" s="11"/>
      <c r="C367" s="11"/>
      <c r="D367" s="11"/>
      <c r="E367" s="11"/>
      <c r="F367" s="11"/>
      <c r="G367" s="15" t="str">
        <f t="shared" si="15"/>
        <v/>
      </c>
      <c r="H367" s="13" t="str">
        <f t="shared" si="16"/>
        <v/>
      </c>
      <c r="I367" s="16" t="str">
        <f t="shared" si="17"/>
        <v/>
      </c>
      <c r="J367" s="11"/>
      <c r="K367" s="11"/>
      <c r="L367" s="11"/>
      <c r="M367" s="11"/>
      <c r="N367" s="11"/>
    </row>
    <row r="368" spans="1:14" ht="15.75" customHeight="1" x14ac:dyDescent="0.25">
      <c r="A368" s="11"/>
      <c r="B368" s="11"/>
      <c r="C368" s="11"/>
      <c r="D368" s="11"/>
      <c r="E368" s="11"/>
      <c r="F368" s="11"/>
      <c r="G368" s="15" t="str">
        <f t="shared" si="15"/>
        <v/>
      </c>
      <c r="H368" s="13" t="str">
        <f t="shared" si="16"/>
        <v/>
      </c>
      <c r="I368" s="16" t="str">
        <f t="shared" si="17"/>
        <v/>
      </c>
      <c r="J368" s="11"/>
      <c r="K368" s="11"/>
      <c r="L368" s="11"/>
      <c r="M368" s="11"/>
      <c r="N368" s="11"/>
    </row>
    <row r="369" spans="1:14" ht="15.75" customHeight="1" x14ac:dyDescent="0.25">
      <c r="A369" s="11"/>
      <c r="B369" s="11"/>
      <c r="C369" s="11"/>
      <c r="D369" s="11"/>
      <c r="E369" s="11"/>
      <c r="F369" s="11"/>
      <c r="G369" s="15" t="str">
        <f t="shared" si="15"/>
        <v/>
      </c>
      <c r="H369" s="13" t="str">
        <f t="shared" si="16"/>
        <v/>
      </c>
      <c r="I369" s="16" t="str">
        <f t="shared" si="17"/>
        <v/>
      </c>
      <c r="J369" s="11"/>
      <c r="K369" s="11"/>
      <c r="L369" s="11"/>
      <c r="M369" s="11"/>
      <c r="N369" s="11"/>
    </row>
    <row r="370" spans="1:14" ht="15.75" customHeight="1" x14ac:dyDescent="0.25">
      <c r="A370" s="11"/>
      <c r="B370" s="11"/>
      <c r="C370" s="11"/>
      <c r="D370" s="11"/>
      <c r="E370" s="11"/>
      <c r="F370" s="11"/>
      <c r="G370" s="15" t="str">
        <f t="shared" si="15"/>
        <v/>
      </c>
      <c r="H370" s="13" t="str">
        <f t="shared" si="16"/>
        <v/>
      </c>
      <c r="I370" s="16" t="str">
        <f t="shared" si="17"/>
        <v/>
      </c>
      <c r="J370" s="11"/>
      <c r="K370" s="11"/>
      <c r="L370" s="11"/>
      <c r="M370" s="11"/>
      <c r="N370" s="11"/>
    </row>
    <row r="371" spans="1:14" ht="15.75" customHeight="1" x14ac:dyDescent="0.25">
      <c r="A371" s="11"/>
      <c r="B371" s="11"/>
      <c r="C371" s="11"/>
      <c r="D371" s="11"/>
      <c r="E371" s="11"/>
      <c r="F371" s="11"/>
      <c r="G371" s="15" t="str">
        <f t="shared" si="15"/>
        <v/>
      </c>
      <c r="H371" s="13" t="str">
        <f t="shared" si="16"/>
        <v/>
      </c>
      <c r="I371" s="16" t="str">
        <f t="shared" si="17"/>
        <v/>
      </c>
      <c r="J371" s="11"/>
      <c r="K371" s="11"/>
      <c r="L371" s="11"/>
      <c r="M371" s="11"/>
      <c r="N371" s="11"/>
    </row>
    <row r="372" spans="1:14" ht="15.75" customHeight="1" x14ac:dyDescent="0.25">
      <c r="A372" s="11"/>
      <c r="B372" s="11"/>
      <c r="C372" s="11"/>
      <c r="D372" s="11"/>
      <c r="E372" s="11"/>
      <c r="F372" s="11"/>
      <c r="G372" s="15" t="str">
        <f t="shared" si="15"/>
        <v/>
      </c>
      <c r="H372" s="13" t="str">
        <f t="shared" si="16"/>
        <v/>
      </c>
      <c r="I372" s="16" t="str">
        <f t="shared" si="17"/>
        <v/>
      </c>
      <c r="J372" s="11"/>
      <c r="K372" s="11"/>
      <c r="L372" s="11"/>
      <c r="M372" s="11"/>
      <c r="N372" s="11"/>
    </row>
    <row r="373" spans="1:14" ht="15.75" customHeight="1" x14ac:dyDescent="0.25">
      <c r="A373" s="11"/>
      <c r="B373" s="11"/>
      <c r="C373" s="11"/>
      <c r="D373" s="11"/>
      <c r="E373" s="11"/>
      <c r="F373" s="11"/>
      <c r="G373" s="15" t="str">
        <f t="shared" si="15"/>
        <v/>
      </c>
      <c r="H373" s="13" t="str">
        <f t="shared" si="16"/>
        <v/>
      </c>
      <c r="I373" s="16" t="str">
        <f t="shared" si="17"/>
        <v/>
      </c>
      <c r="J373" s="11"/>
      <c r="K373" s="11"/>
      <c r="L373" s="11"/>
      <c r="M373" s="11"/>
      <c r="N373" s="11"/>
    </row>
    <row r="374" spans="1:14" ht="15.75" customHeight="1" x14ac:dyDescent="0.25">
      <c r="A374" s="11"/>
      <c r="B374" s="11"/>
      <c r="C374" s="11"/>
      <c r="D374" s="11"/>
      <c r="E374" s="11"/>
      <c r="F374" s="11"/>
      <c r="G374" s="15" t="str">
        <f t="shared" si="15"/>
        <v/>
      </c>
      <c r="H374" s="13" t="str">
        <f t="shared" si="16"/>
        <v/>
      </c>
      <c r="I374" s="16" t="str">
        <f t="shared" si="17"/>
        <v/>
      </c>
      <c r="J374" s="11"/>
      <c r="K374" s="11"/>
      <c r="L374" s="11"/>
      <c r="M374" s="11"/>
      <c r="N374" s="11"/>
    </row>
    <row r="375" spans="1:14" ht="15.75" customHeight="1" x14ac:dyDescent="0.25">
      <c r="A375" s="11"/>
      <c r="B375" s="11"/>
      <c r="C375" s="11"/>
      <c r="D375" s="11"/>
      <c r="E375" s="11"/>
      <c r="F375" s="11"/>
      <c r="G375" s="15" t="str">
        <f t="shared" si="15"/>
        <v/>
      </c>
      <c r="H375" s="13" t="str">
        <f t="shared" si="16"/>
        <v/>
      </c>
      <c r="I375" s="16" t="str">
        <f t="shared" si="17"/>
        <v/>
      </c>
      <c r="J375" s="11"/>
      <c r="K375" s="11"/>
      <c r="L375" s="11"/>
      <c r="M375" s="11"/>
      <c r="N375" s="11"/>
    </row>
    <row r="376" spans="1:14" ht="15.75" customHeight="1" x14ac:dyDescent="0.25">
      <c r="A376" s="11"/>
      <c r="B376" s="11"/>
      <c r="C376" s="11"/>
      <c r="D376" s="11"/>
      <c r="E376" s="11"/>
      <c r="F376" s="11"/>
      <c r="G376" s="15" t="str">
        <f t="shared" si="15"/>
        <v/>
      </c>
      <c r="H376" s="13" t="str">
        <f t="shared" si="16"/>
        <v/>
      </c>
      <c r="I376" s="16" t="str">
        <f t="shared" si="17"/>
        <v/>
      </c>
      <c r="J376" s="11"/>
      <c r="K376" s="11"/>
      <c r="L376" s="11"/>
      <c r="M376" s="11"/>
      <c r="N376" s="11"/>
    </row>
    <row r="377" spans="1:14" ht="15.75" customHeight="1" x14ac:dyDescent="0.25">
      <c r="A377" s="11"/>
      <c r="B377" s="11"/>
      <c r="C377" s="11"/>
      <c r="D377" s="11"/>
      <c r="E377" s="11"/>
      <c r="F377" s="11"/>
      <c r="G377" s="15" t="str">
        <f t="shared" si="15"/>
        <v/>
      </c>
      <c r="H377" s="13" t="str">
        <f t="shared" si="16"/>
        <v/>
      </c>
      <c r="I377" s="16" t="str">
        <f t="shared" si="17"/>
        <v/>
      </c>
      <c r="J377" s="11"/>
      <c r="K377" s="11"/>
      <c r="L377" s="11"/>
      <c r="M377" s="11"/>
      <c r="N377" s="11"/>
    </row>
    <row r="378" spans="1:14" ht="15.75" customHeight="1" x14ac:dyDescent="0.25">
      <c r="A378" s="11"/>
      <c r="B378" s="11"/>
      <c r="C378" s="11"/>
      <c r="D378" s="11"/>
      <c r="E378" s="11"/>
      <c r="F378" s="11"/>
      <c r="G378" s="15" t="str">
        <f t="shared" si="15"/>
        <v/>
      </c>
      <c r="H378" s="13" t="str">
        <f t="shared" si="16"/>
        <v/>
      </c>
      <c r="I378" s="16" t="str">
        <f t="shared" si="17"/>
        <v/>
      </c>
      <c r="J378" s="11"/>
      <c r="K378" s="11"/>
      <c r="L378" s="11"/>
      <c r="M378" s="11"/>
      <c r="N378" s="11"/>
    </row>
    <row r="379" spans="1:14" ht="15.75" customHeight="1" x14ac:dyDescent="0.25">
      <c r="A379" s="11"/>
      <c r="B379" s="11"/>
      <c r="C379" s="11"/>
      <c r="D379" s="11"/>
      <c r="E379" s="11"/>
      <c r="F379" s="11"/>
      <c r="G379" s="15" t="str">
        <f t="shared" si="15"/>
        <v/>
      </c>
      <c r="H379" s="13" t="str">
        <f t="shared" si="16"/>
        <v/>
      </c>
      <c r="I379" s="16" t="str">
        <f t="shared" si="17"/>
        <v/>
      </c>
      <c r="J379" s="11"/>
      <c r="K379" s="11"/>
      <c r="L379" s="11"/>
      <c r="M379" s="11"/>
      <c r="N379" s="11"/>
    </row>
    <row r="380" spans="1:14" ht="15.75" customHeight="1" x14ac:dyDescent="0.25">
      <c r="A380" s="11"/>
      <c r="B380" s="11"/>
      <c r="C380" s="11"/>
      <c r="D380" s="11"/>
      <c r="E380" s="11"/>
      <c r="F380" s="11"/>
      <c r="G380" s="15" t="str">
        <f t="shared" si="15"/>
        <v/>
      </c>
      <c r="H380" s="13" t="str">
        <f t="shared" si="16"/>
        <v/>
      </c>
      <c r="I380" s="16" t="str">
        <f t="shared" si="17"/>
        <v/>
      </c>
      <c r="J380" s="11"/>
      <c r="K380" s="11"/>
      <c r="L380" s="11"/>
      <c r="M380" s="11"/>
      <c r="N380" s="11"/>
    </row>
    <row r="381" spans="1:14" ht="15.75" customHeight="1" x14ac:dyDescent="0.25">
      <c r="A381" s="11"/>
      <c r="B381" s="11"/>
      <c r="C381" s="11"/>
      <c r="D381" s="11"/>
      <c r="E381" s="11"/>
      <c r="F381" s="11"/>
      <c r="G381" s="15" t="str">
        <f t="shared" si="15"/>
        <v/>
      </c>
      <c r="H381" s="13" t="str">
        <f t="shared" si="16"/>
        <v/>
      </c>
      <c r="I381" s="16" t="str">
        <f t="shared" si="17"/>
        <v/>
      </c>
      <c r="J381" s="11"/>
      <c r="K381" s="11"/>
      <c r="L381" s="11"/>
      <c r="M381" s="11"/>
      <c r="N381" s="11"/>
    </row>
    <row r="382" spans="1:14" ht="15.75" customHeight="1" x14ac:dyDescent="0.25">
      <c r="A382" s="11"/>
      <c r="B382" s="11"/>
      <c r="C382" s="11"/>
      <c r="D382" s="11"/>
      <c r="E382" s="11"/>
      <c r="F382" s="11"/>
      <c r="G382" s="15" t="str">
        <f t="shared" si="15"/>
        <v/>
      </c>
      <c r="H382" s="13" t="str">
        <f t="shared" si="16"/>
        <v/>
      </c>
      <c r="I382" s="16" t="str">
        <f t="shared" si="17"/>
        <v/>
      </c>
      <c r="J382" s="11"/>
      <c r="K382" s="11"/>
      <c r="L382" s="11"/>
      <c r="M382" s="11"/>
      <c r="N382" s="11"/>
    </row>
    <row r="383" spans="1:14" ht="15.75" customHeight="1" x14ac:dyDescent="0.25">
      <c r="A383" s="11"/>
      <c r="B383" s="11"/>
      <c r="C383" s="11"/>
      <c r="D383" s="11"/>
      <c r="E383" s="11"/>
      <c r="F383" s="11"/>
      <c r="G383" s="15" t="str">
        <f t="shared" si="15"/>
        <v/>
      </c>
      <c r="H383" s="13" t="str">
        <f t="shared" si="16"/>
        <v/>
      </c>
      <c r="I383" s="16" t="str">
        <f t="shared" si="17"/>
        <v/>
      </c>
      <c r="J383" s="11"/>
      <c r="K383" s="11"/>
      <c r="L383" s="11"/>
      <c r="M383" s="11"/>
      <c r="N383" s="11"/>
    </row>
    <row r="384" spans="1:14" ht="15.75" customHeight="1" x14ac:dyDescent="0.25">
      <c r="A384" s="11"/>
      <c r="B384" s="11"/>
      <c r="C384" s="11"/>
      <c r="D384" s="11"/>
      <c r="E384" s="11"/>
      <c r="F384" s="11"/>
      <c r="G384" s="15" t="str">
        <f t="shared" si="15"/>
        <v/>
      </c>
      <c r="H384" s="13" t="str">
        <f t="shared" si="16"/>
        <v/>
      </c>
      <c r="I384" s="16" t="str">
        <f t="shared" si="17"/>
        <v/>
      </c>
      <c r="J384" s="11"/>
      <c r="K384" s="11"/>
      <c r="L384" s="11"/>
      <c r="M384" s="11"/>
      <c r="N384" s="11"/>
    </row>
    <row r="385" spans="1:14" ht="15.75" customHeight="1" x14ac:dyDescent="0.25">
      <c r="A385" s="11"/>
      <c r="B385" s="11"/>
      <c r="C385" s="11"/>
      <c r="D385" s="11"/>
      <c r="E385" s="11"/>
      <c r="F385" s="11"/>
      <c r="G385" s="15" t="str">
        <f t="shared" si="15"/>
        <v/>
      </c>
      <c r="H385" s="13" t="str">
        <f t="shared" si="16"/>
        <v/>
      </c>
      <c r="I385" s="16" t="str">
        <f t="shared" si="17"/>
        <v/>
      </c>
      <c r="J385" s="11"/>
      <c r="K385" s="11"/>
      <c r="L385" s="11"/>
      <c r="M385" s="11"/>
      <c r="N385" s="11"/>
    </row>
    <row r="386" spans="1:14" ht="15.75" customHeight="1" x14ac:dyDescent="0.25">
      <c r="A386" s="11"/>
      <c r="B386" s="11"/>
      <c r="C386" s="11"/>
      <c r="D386" s="11"/>
      <c r="E386" s="11"/>
      <c r="F386" s="11"/>
      <c r="G386" s="15" t="str">
        <f t="shared" si="15"/>
        <v/>
      </c>
      <c r="H386" s="13" t="str">
        <f t="shared" si="16"/>
        <v/>
      </c>
      <c r="I386" s="16" t="str">
        <f t="shared" si="17"/>
        <v/>
      </c>
      <c r="J386" s="11"/>
      <c r="K386" s="11"/>
      <c r="L386" s="11"/>
      <c r="M386" s="11"/>
      <c r="N386" s="11"/>
    </row>
    <row r="387" spans="1:14" ht="15.75" customHeight="1" x14ac:dyDescent="0.25">
      <c r="A387" s="11"/>
      <c r="B387" s="11"/>
      <c r="C387" s="11"/>
      <c r="D387" s="11"/>
      <c r="E387" s="11"/>
      <c r="F387" s="11"/>
      <c r="G387" s="15" t="str">
        <f t="shared" si="15"/>
        <v/>
      </c>
      <c r="H387" s="13" t="str">
        <f t="shared" si="16"/>
        <v/>
      </c>
      <c r="I387" s="16" t="str">
        <f t="shared" si="17"/>
        <v/>
      </c>
      <c r="J387" s="11"/>
      <c r="K387" s="11"/>
      <c r="L387" s="11"/>
      <c r="M387" s="11"/>
      <c r="N387" s="11"/>
    </row>
    <row r="388" spans="1:14" ht="15.75" customHeight="1" x14ac:dyDescent="0.25">
      <c r="A388" s="11"/>
      <c r="B388" s="11"/>
      <c r="C388" s="11"/>
      <c r="D388" s="11"/>
      <c r="E388" s="11"/>
      <c r="F388" s="11"/>
      <c r="G388" s="15" t="str">
        <f t="shared" ref="G388:G451" si="18">IF(E388="","",IF(OR(E388="Withdrawal",E388="Loan Disbursement"),F388,0))</f>
        <v/>
      </c>
      <c r="H388" s="13" t="str">
        <f t="shared" ref="H388:H451" si="19">IF(E388="","",IF(OR(E388="Savings Deposit",E388="Loan Repayment"),F388,0))</f>
        <v/>
      </c>
      <c r="I388" s="16" t="str">
        <f t="shared" si="17"/>
        <v/>
      </c>
      <c r="J388" s="11"/>
      <c r="K388" s="11"/>
      <c r="L388" s="11"/>
      <c r="M388" s="11"/>
      <c r="N388" s="11"/>
    </row>
    <row r="389" spans="1:14" ht="15.75" customHeight="1" x14ac:dyDescent="0.25">
      <c r="A389" s="11"/>
      <c r="B389" s="11"/>
      <c r="C389" s="11"/>
      <c r="D389" s="11"/>
      <c r="E389" s="11"/>
      <c r="F389" s="11"/>
      <c r="G389" s="15" t="str">
        <f t="shared" si="18"/>
        <v/>
      </c>
      <c r="H389" s="13" t="str">
        <f t="shared" si="19"/>
        <v/>
      </c>
      <c r="I389" s="16" t="str">
        <f t="shared" ref="I389:I452" si="20">IF(A389="","",I388+H389-G389)</f>
        <v/>
      </c>
      <c r="J389" s="11"/>
      <c r="K389" s="11"/>
      <c r="L389" s="11"/>
      <c r="M389" s="11"/>
      <c r="N389" s="11"/>
    </row>
    <row r="390" spans="1:14" ht="15.75" customHeight="1" x14ac:dyDescent="0.25">
      <c r="A390" s="11"/>
      <c r="B390" s="11"/>
      <c r="C390" s="11"/>
      <c r="D390" s="11"/>
      <c r="E390" s="11"/>
      <c r="F390" s="11"/>
      <c r="G390" s="15" t="str">
        <f t="shared" si="18"/>
        <v/>
      </c>
      <c r="H390" s="13" t="str">
        <f t="shared" si="19"/>
        <v/>
      </c>
      <c r="I390" s="16" t="str">
        <f t="shared" si="20"/>
        <v/>
      </c>
      <c r="J390" s="11"/>
      <c r="K390" s="11"/>
      <c r="L390" s="11"/>
      <c r="M390" s="11"/>
      <c r="N390" s="11"/>
    </row>
    <row r="391" spans="1:14" ht="15.75" customHeight="1" x14ac:dyDescent="0.25">
      <c r="A391" s="11"/>
      <c r="B391" s="11"/>
      <c r="C391" s="11"/>
      <c r="D391" s="11"/>
      <c r="E391" s="11"/>
      <c r="F391" s="11"/>
      <c r="G391" s="15" t="str">
        <f t="shared" si="18"/>
        <v/>
      </c>
      <c r="H391" s="13" t="str">
        <f t="shared" si="19"/>
        <v/>
      </c>
      <c r="I391" s="16" t="str">
        <f t="shared" si="20"/>
        <v/>
      </c>
      <c r="J391" s="11"/>
      <c r="K391" s="11"/>
      <c r="L391" s="11"/>
      <c r="M391" s="11"/>
      <c r="N391" s="11"/>
    </row>
    <row r="392" spans="1:14" ht="15.75" customHeight="1" x14ac:dyDescent="0.25">
      <c r="A392" s="11"/>
      <c r="B392" s="11"/>
      <c r="C392" s="11"/>
      <c r="D392" s="11"/>
      <c r="E392" s="11"/>
      <c r="F392" s="11"/>
      <c r="G392" s="15" t="str">
        <f t="shared" si="18"/>
        <v/>
      </c>
      <c r="H392" s="13" t="str">
        <f t="shared" si="19"/>
        <v/>
      </c>
      <c r="I392" s="16" t="str">
        <f t="shared" si="20"/>
        <v/>
      </c>
      <c r="J392" s="11"/>
      <c r="K392" s="11"/>
      <c r="L392" s="11"/>
      <c r="M392" s="11"/>
      <c r="N392" s="11"/>
    </row>
    <row r="393" spans="1:14" ht="15.75" customHeight="1" x14ac:dyDescent="0.25">
      <c r="A393" s="11"/>
      <c r="B393" s="11"/>
      <c r="C393" s="11"/>
      <c r="D393" s="11"/>
      <c r="E393" s="11"/>
      <c r="F393" s="11"/>
      <c r="G393" s="15" t="str">
        <f t="shared" si="18"/>
        <v/>
      </c>
      <c r="H393" s="13" t="str">
        <f t="shared" si="19"/>
        <v/>
      </c>
      <c r="I393" s="16" t="str">
        <f t="shared" si="20"/>
        <v/>
      </c>
      <c r="J393" s="11"/>
      <c r="K393" s="11"/>
      <c r="L393" s="11"/>
      <c r="M393" s="11"/>
      <c r="N393" s="11"/>
    </row>
    <row r="394" spans="1:14" ht="15.75" customHeight="1" x14ac:dyDescent="0.25">
      <c r="A394" s="11"/>
      <c r="B394" s="11"/>
      <c r="C394" s="11"/>
      <c r="D394" s="11"/>
      <c r="E394" s="11"/>
      <c r="F394" s="11"/>
      <c r="G394" s="15" t="str">
        <f t="shared" si="18"/>
        <v/>
      </c>
      <c r="H394" s="13" t="str">
        <f t="shared" si="19"/>
        <v/>
      </c>
      <c r="I394" s="16" t="str">
        <f t="shared" si="20"/>
        <v/>
      </c>
      <c r="J394" s="11"/>
      <c r="K394" s="11"/>
      <c r="L394" s="11"/>
      <c r="M394" s="11"/>
      <c r="N394" s="11"/>
    </row>
    <row r="395" spans="1:14" ht="15.75" customHeight="1" x14ac:dyDescent="0.25">
      <c r="A395" s="11"/>
      <c r="B395" s="11"/>
      <c r="C395" s="11"/>
      <c r="D395" s="11"/>
      <c r="E395" s="11"/>
      <c r="F395" s="11"/>
      <c r="G395" s="15" t="str">
        <f t="shared" si="18"/>
        <v/>
      </c>
      <c r="H395" s="13" t="str">
        <f t="shared" si="19"/>
        <v/>
      </c>
      <c r="I395" s="16" t="str">
        <f t="shared" si="20"/>
        <v/>
      </c>
      <c r="J395" s="11"/>
      <c r="K395" s="11"/>
      <c r="L395" s="11"/>
      <c r="M395" s="11"/>
      <c r="N395" s="11"/>
    </row>
    <row r="396" spans="1:14" ht="15.75" customHeight="1" x14ac:dyDescent="0.25">
      <c r="A396" s="11"/>
      <c r="B396" s="11"/>
      <c r="C396" s="11"/>
      <c r="D396" s="11"/>
      <c r="E396" s="11"/>
      <c r="F396" s="11"/>
      <c r="G396" s="15" t="str">
        <f t="shared" si="18"/>
        <v/>
      </c>
      <c r="H396" s="13" t="str">
        <f t="shared" si="19"/>
        <v/>
      </c>
      <c r="I396" s="16" t="str">
        <f t="shared" si="20"/>
        <v/>
      </c>
      <c r="J396" s="11"/>
      <c r="K396" s="11"/>
      <c r="L396" s="11"/>
      <c r="M396" s="11"/>
      <c r="N396" s="11"/>
    </row>
    <row r="397" spans="1:14" ht="15.75" customHeight="1" x14ac:dyDescent="0.25">
      <c r="A397" s="11"/>
      <c r="B397" s="11"/>
      <c r="C397" s="11"/>
      <c r="D397" s="11"/>
      <c r="E397" s="11"/>
      <c r="F397" s="11"/>
      <c r="G397" s="15" t="str">
        <f t="shared" si="18"/>
        <v/>
      </c>
      <c r="H397" s="13" t="str">
        <f t="shared" si="19"/>
        <v/>
      </c>
      <c r="I397" s="16" t="str">
        <f t="shared" si="20"/>
        <v/>
      </c>
      <c r="J397" s="11"/>
      <c r="K397" s="11"/>
      <c r="L397" s="11"/>
      <c r="M397" s="11"/>
      <c r="N397" s="11"/>
    </row>
    <row r="398" spans="1:14" ht="15.75" customHeight="1" x14ac:dyDescent="0.25">
      <c r="A398" s="11"/>
      <c r="B398" s="11"/>
      <c r="C398" s="11"/>
      <c r="D398" s="11"/>
      <c r="E398" s="11"/>
      <c r="F398" s="11"/>
      <c r="G398" s="15" t="str">
        <f t="shared" si="18"/>
        <v/>
      </c>
      <c r="H398" s="13" t="str">
        <f t="shared" si="19"/>
        <v/>
      </c>
      <c r="I398" s="16" t="str">
        <f t="shared" si="20"/>
        <v/>
      </c>
      <c r="J398" s="11"/>
      <c r="K398" s="11"/>
      <c r="L398" s="11"/>
      <c r="M398" s="11"/>
      <c r="N398" s="11"/>
    </row>
    <row r="399" spans="1:14" ht="15.75" customHeight="1" x14ac:dyDescent="0.25">
      <c r="A399" s="11"/>
      <c r="B399" s="11"/>
      <c r="C399" s="11"/>
      <c r="D399" s="11"/>
      <c r="E399" s="11"/>
      <c r="F399" s="11"/>
      <c r="G399" s="15" t="str">
        <f t="shared" si="18"/>
        <v/>
      </c>
      <c r="H399" s="13" t="str">
        <f t="shared" si="19"/>
        <v/>
      </c>
      <c r="I399" s="16" t="str">
        <f t="shared" si="20"/>
        <v/>
      </c>
      <c r="J399" s="11"/>
      <c r="K399" s="11"/>
      <c r="L399" s="11"/>
      <c r="M399" s="11"/>
      <c r="N399" s="11"/>
    </row>
    <row r="400" spans="1:14" ht="15.75" customHeight="1" x14ac:dyDescent="0.25">
      <c r="A400" s="11"/>
      <c r="B400" s="11"/>
      <c r="C400" s="11"/>
      <c r="D400" s="11"/>
      <c r="E400" s="11"/>
      <c r="F400" s="11"/>
      <c r="G400" s="15" t="str">
        <f t="shared" si="18"/>
        <v/>
      </c>
      <c r="H400" s="13" t="str">
        <f t="shared" si="19"/>
        <v/>
      </c>
      <c r="I400" s="16" t="str">
        <f t="shared" si="20"/>
        <v/>
      </c>
      <c r="J400" s="11"/>
      <c r="K400" s="11"/>
      <c r="L400" s="11"/>
      <c r="M400" s="11"/>
      <c r="N400" s="11"/>
    </row>
    <row r="401" spans="1:14" ht="15.75" customHeight="1" x14ac:dyDescent="0.25">
      <c r="A401" s="11"/>
      <c r="B401" s="11"/>
      <c r="C401" s="11"/>
      <c r="D401" s="11"/>
      <c r="E401" s="11"/>
      <c r="F401" s="11"/>
      <c r="G401" s="15" t="str">
        <f t="shared" si="18"/>
        <v/>
      </c>
      <c r="H401" s="13" t="str">
        <f t="shared" si="19"/>
        <v/>
      </c>
      <c r="I401" s="16" t="str">
        <f t="shared" si="20"/>
        <v/>
      </c>
      <c r="J401" s="11"/>
      <c r="K401" s="11"/>
      <c r="L401" s="11"/>
      <c r="M401" s="11"/>
      <c r="N401" s="11"/>
    </row>
    <row r="402" spans="1:14" ht="15.75" customHeight="1" x14ac:dyDescent="0.25">
      <c r="A402" s="11"/>
      <c r="B402" s="11"/>
      <c r="C402" s="11"/>
      <c r="D402" s="11"/>
      <c r="E402" s="11"/>
      <c r="F402" s="11"/>
      <c r="G402" s="15" t="str">
        <f t="shared" si="18"/>
        <v/>
      </c>
      <c r="H402" s="13" t="str">
        <f t="shared" si="19"/>
        <v/>
      </c>
      <c r="I402" s="16" t="str">
        <f t="shared" si="20"/>
        <v/>
      </c>
      <c r="J402" s="11"/>
      <c r="K402" s="11"/>
      <c r="L402" s="11"/>
      <c r="M402" s="11"/>
      <c r="N402" s="11"/>
    </row>
    <row r="403" spans="1:14" ht="15.75" customHeight="1" x14ac:dyDescent="0.25">
      <c r="A403" s="11"/>
      <c r="B403" s="11"/>
      <c r="C403" s="11"/>
      <c r="D403" s="11"/>
      <c r="E403" s="11"/>
      <c r="F403" s="11"/>
      <c r="G403" s="15" t="str">
        <f t="shared" si="18"/>
        <v/>
      </c>
      <c r="H403" s="13" t="str">
        <f t="shared" si="19"/>
        <v/>
      </c>
      <c r="I403" s="16" t="str">
        <f t="shared" si="20"/>
        <v/>
      </c>
      <c r="J403" s="11"/>
      <c r="K403" s="11"/>
      <c r="L403" s="11"/>
      <c r="M403" s="11"/>
      <c r="N403" s="11"/>
    </row>
    <row r="404" spans="1:14" ht="15.75" customHeight="1" x14ac:dyDescent="0.25">
      <c r="A404" s="11"/>
      <c r="B404" s="11"/>
      <c r="C404" s="11"/>
      <c r="D404" s="11"/>
      <c r="E404" s="11"/>
      <c r="F404" s="11"/>
      <c r="G404" s="15" t="str">
        <f t="shared" si="18"/>
        <v/>
      </c>
      <c r="H404" s="13" t="str">
        <f t="shared" si="19"/>
        <v/>
      </c>
      <c r="I404" s="16" t="str">
        <f t="shared" si="20"/>
        <v/>
      </c>
      <c r="J404" s="11"/>
      <c r="K404" s="11"/>
      <c r="L404" s="11"/>
      <c r="M404" s="11"/>
      <c r="N404" s="11"/>
    </row>
    <row r="405" spans="1:14" ht="15.75" customHeight="1" x14ac:dyDescent="0.25">
      <c r="A405" s="11"/>
      <c r="B405" s="11"/>
      <c r="C405" s="11"/>
      <c r="D405" s="11"/>
      <c r="E405" s="11"/>
      <c r="F405" s="11"/>
      <c r="G405" s="15" t="str">
        <f t="shared" si="18"/>
        <v/>
      </c>
      <c r="H405" s="13" t="str">
        <f t="shared" si="19"/>
        <v/>
      </c>
      <c r="I405" s="16" t="str">
        <f t="shared" si="20"/>
        <v/>
      </c>
      <c r="J405" s="11"/>
      <c r="K405" s="11"/>
      <c r="L405" s="11"/>
      <c r="M405" s="11"/>
      <c r="N405" s="11"/>
    </row>
    <row r="406" spans="1:14" ht="15.75" customHeight="1" x14ac:dyDescent="0.25">
      <c r="A406" s="11"/>
      <c r="B406" s="11"/>
      <c r="C406" s="11"/>
      <c r="D406" s="11"/>
      <c r="E406" s="11"/>
      <c r="F406" s="11"/>
      <c r="G406" s="15" t="str">
        <f t="shared" si="18"/>
        <v/>
      </c>
      <c r="H406" s="13" t="str">
        <f t="shared" si="19"/>
        <v/>
      </c>
      <c r="I406" s="16" t="str">
        <f t="shared" si="20"/>
        <v/>
      </c>
      <c r="J406" s="11"/>
      <c r="K406" s="11"/>
      <c r="L406" s="11"/>
      <c r="M406" s="11"/>
      <c r="N406" s="11"/>
    </row>
    <row r="407" spans="1:14" ht="15.75" customHeight="1" x14ac:dyDescent="0.25">
      <c r="A407" s="11"/>
      <c r="B407" s="11"/>
      <c r="C407" s="11"/>
      <c r="D407" s="11"/>
      <c r="E407" s="11"/>
      <c r="F407" s="11"/>
      <c r="G407" s="15" t="str">
        <f t="shared" si="18"/>
        <v/>
      </c>
      <c r="H407" s="13" t="str">
        <f t="shared" si="19"/>
        <v/>
      </c>
      <c r="I407" s="16" t="str">
        <f t="shared" si="20"/>
        <v/>
      </c>
      <c r="J407" s="11"/>
      <c r="K407" s="11"/>
      <c r="L407" s="11"/>
      <c r="M407" s="11"/>
      <c r="N407" s="11"/>
    </row>
    <row r="408" spans="1:14" ht="15.75" customHeight="1" x14ac:dyDescent="0.25">
      <c r="A408" s="11"/>
      <c r="B408" s="11"/>
      <c r="C408" s="11"/>
      <c r="D408" s="11"/>
      <c r="E408" s="11"/>
      <c r="F408" s="11"/>
      <c r="G408" s="15" t="str">
        <f t="shared" si="18"/>
        <v/>
      </c>
      <c r="H408" s="13" t="str">
        <f t="shared" si="19"/>
        <v/>
      </c>
      <c r="I408" s="16" t="str">
        <f t="shared" si="20"/>
        <v/>
      </c>
      <c r="J408" s="11"/>
      <c r="K408" s="11"/>
      <c r="L408" s="11"/>
      <c r="M408" s="11"/>
      <c r="N408" s="11"/>
    </row>
    <row r="409" spans="1:14" ht="15.75" customHeight="1" x14ac:dyDescent="0.25">
      <c r="A409" s="11"/>
      <c r="B409" s="11"/>
      <c r="C409" s="11"/>
      <c r="D409" s="11"/>
      <c r="E409" s="11"/>
      <c r="F409" s="11"/>
      <c r="G409" s="15" t="str">
        <f t="shared" si="18"/>
        <v/>
      </c>
      <c r="H409" s="13" t="str">
        <f t="shared" si="19"/>
        <v/>
      </c>
      <c r="I409" s="16" t="str">
        <f t="shared" si="20"/>
        <v/>
      </c>
      <c r="J409" s="11"/>
      <c r="K409" s="11"/>
      <c r="L409" s="11"/>
      <c r="M409" s="11"/>
      <c r="N409" s="11"/>
    </row>
    <row r="410" spans="1:14" ht="15.75" customHeight="1" x14ac:dyDescent="0.25">
      <c r="A410" s="11"/>
      <c r="B410" s="11"/>
      <c r="C410" s="11"/>
      <c r="D410" s="11"/>
      <c r="E410" s="11"/>
      <c r="F410" s="11"/>
      <c r="G410" s="15" t="str">
        <f t="shared" si="18"/>
        <v/>
      </c>
      <c r="H410" s="13" t="str">
        <f t="shared" si="19"/>
        <v/>
      </c>
      <c r="I410" s="16" t="str">
        <f t="shared" si="20"/>
        <v/>
      </c>
      <c r="J410" s="11"/>
      <c r="K410" s="11"/>
      <c r="L410" s="11"/>
      <c r="M410" s="11"/>
      <c r="N410" s="11"/>
    </row>
    <row r="411" spans="1:14" ht="15.75" customHeight="1" x14ac:dyDescent="0.25">
      <c r="A411" s="11"/>
      <c r="B411" s="11"/>
      <c r="C411" s="11"/>
      <c r="D411" s="11"/>
      <c r="E411" s="11"/>
      <c r="F411" s="11"/>
      <c r="G411" s="15" t="str">
        <f t="shared" si="18"/>
        <v/>
      </c>
      <c r="H411" s="13" t="str">
        <f t="shared" si="19"/>
        <v/>
      </c>
      <c r="I411" s="16" t="str">
        <f t="shared" si="20"/>
        <v/>
      </c>
      <c r="J411" s="11"/>
      <c r="K411" s="11"/>
      <c r="L411" s="11"/>
      <c r="M411" s="11"/>
      <c r="N411" s="11"/>
    </row>
    <row r="412" spans="1:14" ht="15.75" customHeight="1" x14ac:dyDescent="0.25">
      <c r="A412" s="11"/>
      <c r="B412" s="11"/>
      <c r="C412" s="11"/>
      <c r="D412" s="11"/>
      <c r="E412" s="11"/>
      <c r="F412" s="11"/>
      <c r="G412" s="15" t="str">
        <f t="shared" si="18"/>
        <v/>
      </c>
      <c r="H412" s="13" t="str">
        <f t="shared" si="19"/>
        <v/>
      </c>
      <c r="I412" s="16" t="str">
        <f t="shared" si="20"/>
        <v/>
      </c>
      <c r="J412" s="11"/>
      <c r="K412" s="11"/>
      <c r="L412" s="11"/>
      <c r="M412" s="11"/>
      <c r="N412" s="11"/>
    </row>
    <row r="413" spans="1:14" ht="15.75" customHeight="1" x14ac:dyDescent="0.25">
      <c r="A413" s="11"/>
      <c r="B413" s="11"/>
      <c r="C413" s="11"/>
      <c r="D413" s="11"/>
      <c r="E413" s="11"/>
      <c r="F413" s="11"/>
      <c r="G413" s="15" t="str">
        <f t="shared" si="18"/>
        <v/>
      </c>
      <c r="H413" s="13" t="str">
        <f t="shared" si="19"/>
        <v/>
      </c>
      <c r="I413" s="16" t="str">
        <f t="shared" si="20"/>
        <v/>
      </c>
      <c r="J413" s="11"/>
      <c r="K413" s="11"/>
      <c r="L413" s="11"/>
      <c r="M413" s="11"/>
      <c r="N413" s="11"/>
    </row>
    <row r="414" spans="1:14" ht="15.75" customHeight="1" x14ac:dyDescent="0.25">
      <c r="A414" s="11"/>
      <c r="B414" s="11"/>
      <c r="C414" s="11"/>
      <c r="D414" s="11"/>
      <c r="E414" s="11"/>
      <c r="F414" s="11"/>
      <c r="G414" s="15" t="str">
        <f t="shared" si="18"/>
        <v/>
      </c>
      <c r="H414" s="13" t="str">
        <f t="shared" si="19"/>
        <v/>
      </c>
      <c r="I414" s="16" t="str">
        <f t="shared" si="20"/>
        <v/>
      </c>
      <c r="J414" s="11"/>
      <c r="K414" s="11"/>
      <c r="L414" s="11"/>
      <c r="M414" s="11"/>
      <c r="N414" s="11"/>
    </row>
    <row r="415" spans="1:14" ht="15.75" customHeight="1" x14ac:dyDescent="0.25">
      <c r="A415" s="11"/>
      <c r="B415" s="11"/>
      <c r="C415" s="11"/>
      <c r="D415" s="11"/>
      <c r="E415" s="11"/>
      <c r="F415" s="11"/>
      <c r="G415" s="15" t="str">
        <f t="shared" si="18"/>
        <v/>
      </c>
      <c r="H415" s="13" t="str">
        <f t="shared" si="19"/>
        <v/>
      </c>
      <c r="I415" s="16" t="str">
        <f t="shared" si="20"/>
        <v/>
      </c>
      <c r="J415" s="11"/>
      <c r="K415" s="11"/>
      <c r="L415" s="11"/>
      <c r="M415" s="11"/>
      <c r="N415" s="11"/>
    </row>
    <row r="416" spans="1:14" ht="15.75" customHeight="1" x14ac:dyDescent="0.25">
      <c r="A416" s="11"/>
      <c r="B416" s="11"/>
      <c r="C416" s="11"/>
      <c r="D416" s="11"/>
      <c r="E416" s="11"/>
      <c r="F416" s="11"/>
      <c r="G416" s="15" t="str">
        <f t="shared" si="18"/>
        <v/>
      </c>
      <c r="H416" s="13" t="str">
        <f t="shared" si="19"/>
        <v/>
      </c>
      <c r="I416" s="16" t="str">
        <f t="shared" si="20"/>
        <v/>
      </c>
      <c r="J416" s="11"/>
      <c r="K416" s="11"/>
      <c r="L416" s="11"/>
      <c r="M416" s="11"/>
      <c r="N416" s="11"/>
    </row>
    <row r="417" spans="1:14" ht="15.75" customHeight="1" x14ac:dyDescent="0.25">
      <c r="A417" s="11"/>
      <c r="B417" s="11"/>
      <c r="C417" s="11"/>
      <c r="D417" s="11"/>
      <c r="E417" s="11"/>
      <c r="F417" s="11"/>
      <c r="G417" s="15" t="str">
        <f t="shared" si="18"/>
        <v/>
      </c>
      <c r="H417" s="13" t="str">
        <f t="shared" si="19"/>
        <v/>
      </c>
      <c r="I417" s="16" t="str">
        <f t="shared" si="20"/>
        <v/>
      </c>
      <c r="J417" s="11"/>
      <c r="K417" s="11"/>
      <c r="L417" s="11"/>
      <c r="M417" s="11"/>
      <c r="N417" s="11"/>
    </row>
    <row r="418" spans="1:14" ht="15.75" customHeight="1" x14ac:dyDescent="0.25">
      <c r="A418" s="11"/>
      <c r="B418" s="11"/>
      <c r="C418" s="11"/>
      <c r="D418" s="11"/>
      <c r="E418" s="11"/>
      <c r="F418" s="11"/>
      <c r="G418" s="15" t="str">
        <f t="shared" si="18"/>
        <v/>
      </c>
      <c r="H418" s="13" t="str">
        <f t="shared" si="19"/>
        <v/>
      </c>
      <c r="I418" s="16" t="str">
        <f t="shared" si="20"/>
        <v/>
      </c>
      <c r="J418" s="11"/>
      <c r="K418" s="11"/>
      <c r="L418" s="11"/>
      <c r="M418" s="11"/>
      <c r="N418" s="11"/>
    </row>
    <row r="419" spans="1:14" ht="15.75" customHeight="1" x14ac:dyDescent="0.25">
      <c r="A419" s="11"/>
      <c r="B419" s="11"/>
      <c r="C419" s="11"/>
      <c r="D419" s="11"/>
      <c r="E419" s="11"/>
      <c r="F419" s="11"/>
      <c r="G419" s="15" t="str">
        <f t="shared" si="18"/>
        <v/>
      </c>
      <c r="H419" s="13" t="str">
        <f t="shared" si="19"/>
        <v/>
      </c>
      <c r="I419" s="16" t="str">
        <f t="shared" si="20"/>
        <v/>
      </c>
      <c r="J419" s="11"/>
      <c r="K419" s="11"/>
      <c r="L419" s="11"/>
      <c r="M419" s="11"/>
      <c r="N419" s="11"/>
    </row>
    <row r="420" spans="1:14" ht="15.75" customHeight="1" x14ac:dyDescent="0.25">
      <c r="A420" s="11"/>
      <c r="B420" s="11"/>
      <c r="C420" s="11"/>
      <c r="D420" s="11"/>
      <c r="E420" s="11"/>
      <c r="F420" s="11"/>
      <c r="G420" s="15" t="str">
        <f t="shared" si="18"/>
        <v/>
      </c>
      <c r="H420" s="13" t="str">
        <f t="shared" si="19"/>
        <v/>
      </c>
      <c r="I420" s="16" t="str">
        <f t="shared" si="20"/>
        <v/>
      </c>
      <c r="J420" s="11"/>
      <c r="K420" s="11"/>
      <c r="L420" s="11"/>
      <c r="M420" s="11"/>
      <c r="N420" s="11"/>
    </row>
    <row r="421" spans="1:14" ht="15.75" customHeight="1" x14ac:dyDescent="0.25">
      <c r="A421" s="11"/>
      <c r="B421" s="11"/>
      <c r="C421" s="11"/>
      <c r="D421" s="11"/>
      <c r="E421" s="11"/>
      <c r="F421" s="11"/>
      <c r="G421" s="15" t="str">
        <f t="shared" si="18"/>
        <v/>
      </c>
      <c r="H421" s="13" t="str">
        <f t="shared" si="19"/>
        <v/>
      </c>
      <c r="I421" s="16" t="str">
        <f t="shared" si="20"/>
        <v/>
      </c>
      <c r="J421" s="11"/>
      <c r="K421" s="11"/>
      <c r="L421" s="11"/>
      <c r="M421" s="11"/>
      <c r="N421" s="11"/>
    </row>
    <row r="422" spans="1:14" ht="15.75" customHeight="1" x14ac:dyDescent="0.25">
      <c r="A422" s="11"/>
      <c r="B422" s="11"/>
      <c r="C422" s="11"/>
      <c r="D422" s="11"/>
      <c r="E422" s="11"/>
      <c r="F422" s="11"/>
      <c r="G422" s="15" t="str">
        <f t="shared" si="18"/>
        <v/>
      </c>
      <c r="H422" s="13" t="str">
        <f t="shared" si="19"/>
        <v/>
      </c>
      <c r="I422" s="16" t="str">
        <f t="shared" si="20"/>
        <v/>
      </c>
      <c r="J422" s="11"/>
      <c r="K422" s="11"/>
      <c r="L422" s="11"/>
      <c r="M422" s="11"/>
      <c r="N422" s="11"/>
    </row>
    <row r="423" spans="1:14" ht="15.75" customHeight="1" x14ac:dyDescent="0.25">
      <c r="A423" s="11"/>
      <c r="B423" s="11"/>
      <c r="C423" s="11"/>
      <c r="D423" s="11"/>
      <c r="E423" s="11"/>
      <c r="F423" s="11"/>
      <c r="G423" s="15" t="str">
        <f t="shared" si="18"/>
        <v/>
      </c>
      <c r="H423" s="13" t="str">
        <f t="shared" si="19"/>
        <v/>
      </c>
      <c r="I423" s="16" t="str">
        <f t="shared" si="20"/>
        <v/>
      </c>
      <c r="J423" s="11"/>
      <c r="K423" s="11"/>
      <c r="L423" s="11"/>
      <c r="M423" s="11"/>
      <c r="N423" s="11"/>
    </row>
    <row r="424" spans="1:14" ht="15.75" customHeight="1" x14ac:dyDescent="0.25">
      <c r="A424" s="11"/>
      <c r="B424" s="11"/>
      <c r="C424" s="11"/>
      <c r="D424" s="11"/>
      <c r="E424" s="11"/>
      <c r="F424" s="11"/>
      <c r="G424" s="15" t="str">
        <f t="shared" si="18"/>
        <v/>
      </c>
      <c r="H424" s="13" t="str">
        <f t="shared" si="19"/>
        <v/>
      </c>
      <c r="I424" s="16" t="str">
        <f t="shared" si="20"/>
        <v/>
      </c>
      <c r="J424" s="11"/>
      <c r="K424" s="11"/>
      <c r="L424" s="11"/>
      <c r="M424" s="11"/>
      <c r="N424" s="11"/>
    </row>
    <row r="425" spans="1:14" ht="15.75" customHeight="1" x14ac:dyDescent="0.25">
      <c r="A425" s="11"/>
      <c r="B425" s="11"/>
      <c r="C425" s="11"/>
      <c r="D425" s="11"/>
      <c r="E425" s="11"/>
      <c r="F425" s="11"/>
      <c r="G425" s="15" t="str">
        <f t="shared" si="18"/>
        <v/>
      </c>
      <c r="H425" s="13" t="str">
        <f t="shared" si="19"/>
        <v/>
      </c>
      <c r="I425" s="16" t="str">
        <f t="shared" si="20"/>
        <v/>
      </c>
      <c r="J425" s="11"/>
      <c r="K425" s="11"/>
      <c r="L425" s="11"/>
      <c r="M425" s="11"/>
      <c r="N425" s="11"/>
    </row>
    <row r="426" spans="1:14" ht="15.75" customHeight="1" x14ac:dyDescent="0.25">
      <c r="A426" s="11"/>
      <c r="B426" s="11"/>
      <c r="C426" s="11"/>
      <c r="D426" s="11"/>
      <c r="E426" s="11"/>
      <c r="F426" s="11"/>
      <c r="G426" s="15" t="str">
        <f t="shared" si="18"/>
        <v/>
      </c>
      <c r="H426" s="13" t="str">
        <f t="shared" si="19"/>
        <v/>
      </c>
      <c r="I426" s="16" t="str">
        <f t="shared" si="20"/>
        <v/>
      </c>
      <c r="J426" s="11"/>
      <c r="K426" s="11"/>
      <c r="L426" s="11"/>
      <c r="M426" s="11"/>
      <c r="N426" s="11"/>
    </row>
    <row r="427" spans="1:14" ht="15.75" customHeight="1" x14ac:dyDescent="0.25">
      <c r="A427" s="11"/>
      <c r="B427" s="11"/>
      <c r="C427" s="11"/>
      <c r="D427" s="11"/>
      <c r="E427" s="11"/>
      <c r="F427" s="11"/>
      <c r="G427" s="15" t="str">
        <f t="shared" si="18"/>
        <v/>
      </c>
      <c r="H427" s="13" t="str">
        <f t="shared" si="19"/>
        <v/>
      </c>
      <c r="I427" s="16" t="str">
        <f t="shared" si="20"/>
        <v/>
      </c>
      <c r="J427" s="11"/>
      <c r="K427" s="11"/>
      <c r="L427" s="11"/>
      <c r="M427" s="11"/>
      <c r="N427" s="11"/>
    </row>
    <row r="428" spans="1:14" ht="15.75" customHeight="1" x14ac:dyDescent="0.25">
      <c r="A428" s="11"/>
      <c r="B428" s="11"/>
      <c r="C428" s="11"/>
      <c r="D428" s="11"/>
      <c r="E428" s="11"/>
      <c r="F428" s="11"/>
      <c r="G428" s="15" t="str">
        <f t="shared" si="18"/>
        <v/>
      </c>
      <c r="H428" s="13" t="str">
        <f t="shared" si="19"/>
        <v/>
      </c>
      <c r="I428" s="16" t="str">
        <f t="shared" si="20"/>
        <v/>
      </c>
      <c r="J428" s="11"/>
      <c r="K428" s="11"/>
      <c r="L428" s="11"/>
      <c r="M428" s="11"/>
      <c r="N428" s="11"/>
    </row>
    <row r="429" spans="1:14" ht="15.75" customHeight="1" x14ac:dyDescent="0.25">
      <c r="A429" s="11"/>
      <c r="B429" s="11"/>
      <c r="C429" s="11"/>
      <c r="D429" s="11"/>
      <c r="E429" s="11"/>
      <c r="F429" s="11"/>
      <c r="G429" s="15" t="str">
        <f t="shared" si="18"/>
        <v/>
      </c>
      <c r="H429" s="13" t="str">
        <f t="shared" si="19"/>
        <v/>
      </c>
      <c r="I429" s="16" t="str">
        <f t="shared" si="20"/>
        <v/>
      </c>
      <c r="J429" s="11"/>
      <c r="K429" s="11"/>
      <c r="L429" s="11"/>
      <c r="M429" s="11"/>
      <c r="N429" s="11"/>
    </row>
    <row r="430" spans="1:14" ht="15.75" customHeight="1" x14ac:dyDescent="0.25">
      <c r="A430" s="11"/>
      <c r="B430" s="11"/>
      <c r="C430" s="11"/>
      <c r="D430" s="11"/>
      <c r="E430" s="11"/>
      <c r="F430" s="11"/>
      <c r="G430" s="15" t="str">
        <f t="shared" si="18"/>
        <v/>
      </c>
      <c r="H430" s="13" t="str">
        <f t="shared" si="19"/>
        <v/>
      </c>
      <c r="I430" s="16" t="str">
        <f t="shared" si="20"/>
        <v/>
      </c>
      <c r="J430" s="11"/>
      <c r="K430" s="11"/>
      <c r="L430" s="11"/>
      <c r="M430" s="11"/>
      <c r="N430" s="11"/>
    </row>
    <row r="431" spans="1:14" ht="15.75" customHeight="1" x14ac:dyDescent="0.25">
      <c r="A431" s="11"/>
      <c r="B431" s="11"/>
      <c r="C431" s="11"/>
      <c r="D431" s="11"/>
      <c r="E431" s="11"/>
      <c r="F431" s="11"/>
      <c r="G431" s="15" t="str">
        <f t="shared" si="18"/>
        <v/>
      </c>
      <c r="H431" s="13" t="str">
        <f t="shared" si="19"/>
        <v/>
      </c>
      <c r="I431" s="16" t="str">
        <f t="shared" si="20"/>
        <v/>
      </c>
      <c r="J431" s="11"/>
      <c r="K431" s="11"/>
      <c r="L431" s="11"/>
      <c r="M431" s="11"/>
      <c r="N431" s="11"/>
    </row>
    <row r="432" spans="1:14" ht="15.75" customHeight="1" x14ac:dyDescent="0.25">
      <c r="A432" s="11"/>
      <c r="B432" s="11"/>
      <c r="C432" s="11"/>
      <c r="D432" s="11"/>
      <c r="E432" s="11"/>
      <c r="F432" s="11"/>
      <c r="G432" s="15" t="str">
        <f t="shared" si="18"/>
        <v/>
      </c>
      <c r="H432" s="13" t="str">
        <f t="shared" si="19"/>
        <v/>
      </c>
      <c r="I432" s="16" t="str">
        <f t="shared" si="20"/>
        <v/>
      </c>
      <c r="J432" s="11"/>
      <c r="K432" s="11"/>
      <c r="L432" s="11"/>
      <c r="M432" s="11"/>
      <c r="N432" s="11"/>
    </row>
    <row r="433" spans="1:14" ht="15.75" customHeight="1" x14ac:dyDescent="0.25">
      <c r="A433" s="11"/>
      <c r="B433" s="11"/>
      <c r="C433" s="11"/>
      <c r="D433" s="11"/>
      <c r="E433" s="11"/>
      <c r="F433" s="11"/>
      <c r="G433" s="15" t="str">
        <f t="shared" si="18"/>
        <v/>
      </c>
      <c r="H433" s="13" t="str">
        <f t="shared" si="19"/>
        <v/>
      </c>
      <c r="I433" s="16" t="str">
        <f t="shared" si="20"/>
        <v/>
      </c>
      <c r="J433" s="11"/>
      <c r="K433" s="11"/>
      <c r="L433" s="11"/>
      <c r="M433" s="11"/>
      <c r="N433" s="11"/>
    </row>
    <row r="434" spans="1:14" ht="15.75" customHeight="1" x14ac:dyDescent="0.25">
      <c r="A434" s="11"/>
      <c r="B434" s="11"/>
      <c r="C434" s="11"/>
      <c r="D434" s="11"/>
      <c r="E434" s="11"/>
      <c r="F434" s="11"/>
      <c r="G434" s="15" t="str">
        <f t="shared" si="18"/>
        <v/>
      </c>
      <c r="H434" s="13" t="str">
        <f t="shared" si="19"/>
        <v/>
      </c>
      <c r="I434" s="16" t="str">
        <f t="shared" si="20"/>
        <v/>
      </c>
      <c r="J434" s="11"/>
      <c r="K434" s="11"/>
      <c r="L434" s="11"/>
      <c r="M434" s="11"/>
      <c r="N434" s="11"/>
    </row>
    <row r="435" spans="1:14" ht="15.75" customHeight="1" x14ac:dyDescent="0.25">
      <c r="A435" s="11"/>
      <c r="B435" s="11"/>
      <c r="C435" s="11"/>
      <c r="D435" s="11"/>
      <c r="E435" s="11"/>
      <c r="F435" s="11"/>
      <c r="G435" s="15" t="str">
        <f t="shared" si="18"/>
        <v/>
      </c>
      <c r="H435" s="13" t="str">
        <f t="shared" si="19"/>
        <v/>
      </c>
      <c r="I435" s="16" t="str">
        <f t="shared" si="20"/>
        <v/>
      </c>
      <c r="J435" s="11"/>
      <c r="K435" s="11"/>
      <c r="L435" s="11"/>
      <c r="M435" s="11"/>
      <c r="N435" s="11"/>
    </row>
    <row r="436" spans="1:14" ht="15.75" customHeight="1" x14ac:dyDescent="0.25">
      <c r="A436" s="11"/>
      <c r="B436" s="11"/>
      <c r="C436" s="11"/>
      <c r="D436" s="11"/>
      <c r="E436" s="11"/>
      <c r="F436" s="11"/>
      <c r="G436" s="15" t="str">
        <f t="shared" si="18"/>
        <v/>
      </c>
      <c r="H436" s="13" t="str">
        <f t="shared" si="19"/>
        <v/>
      </c>
      <c r="I436" s="16" t="str">
        <f t="shared" si="20"/>
        <v/>
      </c>
      <c r="J436" s="11"/>
      <c r="K436" s="11"/>
      <c r="L436" s="11"/>
      <c r="M436" s="11"/>
      <c r="N436" s="11"/>
    </row>
    <row r="437" spans="1:14" ht="15.75" customHeight="1" x14ac:dyDescent="0.25">
      <c r="A437" s="11"/>
      <c r="B437" s="11"/>
      <c r="C437" s="11"/>
      <c r="D437" s="11"/>
      <c r="E437" s="11"/>
      <c r="F437" s="11"/>
      <c r="G437" s="15" t="str">
        <f t="shared" si="18"/>
        <v/>
      </c>
      <c r="H437" s="13" t="str">
        <f t="shared" si="19"/>
        <v/>
      </c>
      <c r="I437" s="16" t="str">
        <f t="shared" si="20"/>
        <v/>
      </c>
      <c r="J437" s="11"/>
      <c r="K437" s="11"/>
      <c r="L437" s="11"/>
      <c r="M437" s="11"/>
      <c r="N437" s="11"/>
    </row>
    <row r="438" spans="1:14" ht="15.75" customHeight="1" x14ac:dyDescent="0.25">
      <c r="A438" s="11"/>
      <c r="B438" s="11"/>
      <c r="C438" s="11"/>
      <c r="D438" s="11"/>
      <c r="E438" s="11"/>
      <c r="F438" s="11"/>
      <c r="G438" s="15" t="str">
        <f t="shared" si="18"/>
        <v/>
      </c>
      <c r="H438" s="13" t="str">
        <f t="shared" si="19"/>
        <v/>
      </c>
      <c r="I438" s="16" t="str">
        <f t="shared" si="20"/>
        <v/>
      </c>
      <c r="J438" s="11"/>
      <c r="K438" s="11"/>
      <c r="L438" s="11"/>
      <c r="M438" s="11"/>
      <c r="N438" s="11"/>
    </row>
    <row r="439" spans="1:14" ht="15.75" customHeight="1" x14ac:dyDescent="0.25">
      <c r="A439" s="11"/>
      <c r="B439" s="11"/>
      <c r="C439" s="11"/>
      <c r="D439" s="11"/>
      <c r="E439" s="11"/>
      <c r="F439" s="11"/>
      <c r="G439" s="15" t="str">
        <f t="shared" si="18"/>
        <v/>
      </c>
      <c r="H439" s="13" t="str">
        <f t="shared" si="19"/>
        <v/>
      </c>
      <c r="I439" s="16" t="str">
        <f t="shared" si="20"/>
        <v/>
      </c>
      <c r="J439" s="11"/>
      <c r="K439" s="11"/>
      <c r="L439" s="11"/>
      <c r="M439" s="11"/>
      <c r="N439" s="11"/>
    </row>
    <row r="440" spans="1:14" ht="15.75" customHeight="1" x14ac:dyDescent="0.25">
      <c r="A440" s="11"/>
      <c r="B440" s="11"/>
      <c r="C440" s="11"/>
      <c r="D440" s="11"/>
      <c r="E440" s="11"/>
      <c r="F440" s="11"/>
      <c r="G440" s="15" t="str">
        <f t="shared" si="18"/>
        <v/>
      </c>
      <c r="H440" s="13" t="str">
        <f t="shared" si="19"/>
        <v/>
      </c>
      <c r="I440" s="16" t="str">
        <f t="shared" si="20"/>
        <v/>
      </c>
      <c r="J440" s="11"/>
      <c r="K440" s="11"/>
      <c r="L440" s="11"/>
      <c r="M440" s="11"/>
      <c r="N440" s="11"/>
    </row>
    <row r="441" spans="1:14" ht="15.75" customHeight="1" x14ac:dyDescent="0.25">
      <c r="A441" s="11"/>
      <c r="B441" s="11"/>
      <c r="C441" s="11"/>
      <c r="D441" s="11"/>
      <c r="E441" s="11"/>
      <c r="F441" s="11"/>
      <c r="G441" s="15" t="str">
        <f t="shared" si="18"/>
        <v/>
      </c>
      <c r="H441" s="13" t="str">
        <f t="shared" si="19"/>
        <v/>
      </c>
      <c r="I441" s="16" t="str">
        <f t="shared" si="20"/>
        <v/>
      </c>
      <c r="J441" s="11"/>
      <c r="K441" s="11"/>
      <c r="L441" s="11"/>
      <c r="M441" s="11"/>
      <c r="N441" s="11"/>
    </row>
    <row r="442" spans="1:14" ht="15.75" customHeight="1" x14ac:dyDescent="0.25">
      <c r="A442" s="11"/>
      <c r="B442" s="11"/>
      <c r="C442" s="11"/>
      <c r="D442" s="11"/>
      <c r="E442" s="11"/>
      <c r="F442" s="11"/>
      <c r="G442" s="15" t="str">
        <f t="shared" si="18"/>
        <v/>
      </c>
      <c r="H442" s="13" t="str">
        <f t="shared" si="19"/>
        <v/>
      </c>
      <c r="I442" s="16" t="str">
        <f t="shared" si="20"/>
        <v/>
      </c>
      <c r="J442" s="11"/>
      <c r="K442" s="11"/>
      <c r="L442" s="11"/>
      <c r="M442" s="11"/>
      <c r="N442" s="11"/>
    </row>
    <row r="443" spans="1:14" ht="15.75" customHeight="1" x14ac:dyDescent="0.25">
      <c r="A443" s="11"/>
      <c r="B443" s="11"/>
      <c r="C443" s="11"/>
      <c r="D443" s="11"/>
      <c r="E443" s="11"/>
      <c r="F443" s="11"/>
      <c r="G443" s="15" t="str">
        <f t="shared" si="18"/>
        <v/>
      </c>
      <c r="H443" s="13" t="str">
        <f t="shared" si="19"/>
        <v/>
      </c>
      <c r="I443" s="16" t="str">
        <f t="shared" si="20"/>
        <v/>
      </c>
      <c r="J443" s="11"/>
      <c r="K443" s="11"/>
      <c r="L443" s="11"/>
      <c r="M443" s="11"/>
      <c r="N443" s="11"/>
    </row>
    <row r="444" spans="1:14" ht="15.75" customHeight="1" x14ac:dyDescent="0.25">
      <c r="A444" s="11"/>
      <c r="B444" s="11"/>
      <c r="C444" s="11"/>
      <c r="D444" s="11"/>
      <c r="E444" s="11"/>
      <c r="F444" s="11"/>
      <c r="G444" s="15" t="str">
        <f t="shared" si="18"/>
        <v/>
      </c>
      <c r="H444" s="13" t="str">
        <f t="shared" si="19"/>
        <v/>
      </c>
      <c r="I444" s="16" t="str">
        <f t="shared" si="20"/>
        <v/>
      </c>
      <c r="J444" s="11"/>
      <c r="K444" s="11"/>
      <c r="L444" s="11"/>
      <c r="M444" s="11"/>
      <c r="N444" s="11"/>
    </row>
    <row r="445" spans="1:14" ht="15.75" customHeight="1" x14ac:dyDescent="0.25">
      <c r="A445" s="11"/>
      <c r="B445" s="11"/>
      <c r="C445" s="11"/>
      <c r="D445" s="11"/>
      <c r="E445" s="11"/>
      <c r="F445" s="11"/>
      <c r="G445" s="15" t="str">
        <f t="shared" si="18"/>
        <v/>
      </c>
      <c r="H445" s="13" t="str">
        <f t="shared" si="19"/>
        <v/>
      </c>
      <c r="I445" s="16" t="str">
        <f t="shared" si="20"/>
        <v/>
      </c>
      <c r="J445" s="11"/>
      <c r="K445" s="11"/>
      <c r="L445" s="11"/>
      <c r="M445" s="11"/>
      <c r="N445" s="11"/>
    </row>
    <row r="446" spans="1:14" ht="15.75" customHeight="1" x14ac:dyDescent="0.25">
      <c r="A446" s="11"/>
      <c r="B446" s="11"/>
      <c r="C446" s="11"/>
      <c r="D446" s="11"/>
      <c r="E446" s="11"/>
      <c r="F446" s="11"/>
      <c r="G446" s="15" t="str">
        <f t="shared" si="18"/>
        <v/>
      </c>
      <c r="H446" s="13" t="str">
        <f t="shared" si="19"/>
        <v/>
      </c>
      <c r="I446" s="16" t="str">
        <f t="shared" si="20"/>
        <v/>
      </c>
      <c r="J446" s="11"/>
      <c r="K446" s="11"/>
      <c r="L446" s="11"/>
      <c r="M446" s="11"/>
      <c r="N446" s="11"/>
    </row>
    <row r="447" spans="1:14" ht="15.75" customHeight="1" x14ac:dyDescent="0.25">
      <c r="A447" s="11"/>
      <c r="B447" s="11"/>
      <c r="C447" s="11"/>
      <c r="D447" s="11"/>
      <c r="E447" s="11"/>
      <c r="F447" s="11"/>
      <c r="G447" s="15" t="str">
        <f t="shared" si="18"/>
        <v/>
      </c>
      <c r="H447" s="13" t="str">
        <f t="shared" si="19"/>
        <v/>
      </c>
      <c r="I447" s="16" t="str">
        <f t="shared" si="20"/>
        <v/>
      </c>
      <c r="J447" s="11"/>
      <c r="K447" s="11"/>
      <c r="L447" s="11"/>
      <c r="M447" s="11"/>
      <c r="N447" s="11"/>
    </row>
    <row r="448" spans="1:14" ht="15.75" customHeight="1" x14ac:dyDescent="0.25">
      <c r="A448" s="11"/>
      <c r="B448" s="11"/>
      <c r="C448" s="11"/>
      <c r="D448" s="11"/>
      <c r="E448" s="11"/>
      <c r="F448" s="11"/>
      <c r="G448" s="15" t="str">
        <f t="shared" si="18"/>
        <v/>
      </c>
      <c r="H448" s="13" t="str">
        <f t="shared" si="19"/>
        <v/>
      </c>
      <c r="I448" s="16" t="str">
        <f t="shared" si="20"/>
        <v/>
      </c>
      <c r="J448" s="11"/>
      <c r="K448" s="11"/>
      <c r="L448" s="11"/>
      <c r="M448" s="11"/>
      <c r="N448" s="11"/>
    </row>
    <row r="449" spans="1:14" ht="15.75" customHeight="1" x14ac:dyDescent="0.25">
      <c r="A449" s="11"/>
      <c r="B449" s="11"/>
      <c r="C449" s="11"/>
      <c r="D449" s="11"/>
      <c r="E449" s="11"/>
      <c r="F449" s="11"/>
      <c r="G449" s="15" t="str">
        <f t="shared" si="18"/>
        <v/>
      </c>
      <c r="H449" s="13" t="str">
        <f t="shared" si="19"/>
        <v/>
      </c>
      <c r="I449" s="16" t="str">
        <f t="shared" si="20"/>
        <v/>
      </c>
      <c r="J449" s="11"/>
      <c r="K449" s="11"/>
      <c r="L449" s="11"/>
      <c r="M449" s="11"/>
      <c r="N449" s="11"/>
    </row>
    <row r="450" spans="1:14" ht="15.75" customHeight="1" x14ac:dyDescent="0.25">
      <c r="A450" s="11"/>
      <c r="B450" s="11"/>
      <c r="C450" s="11"/>
      <c r="D450" s="11"/>
      <c r="E450" s="11"/>
      <c r="F450" s="11"/>
      <c r="G450" s="15" t="str">
        <f t="shared" si="18"/>
        <v/>
      </c>
      <c r="H450" s="13" t="str">
        <f t="shared" si="19"/>
        <v/>
      </c>
      <c r="I450" s="16" t="str">
        <f t="shared" si="20"/>
        <v/>
      </c>
      <c r="J450" s="11"/>
      <c r="K450" s="11"/>
      <c r="L450" s="11"/>
      <c r="M450" s="11"/>
      <c r="N450" s="11"/>
    </row>
    <row r="451" spans="1:14" ht="15.75" customHeight="1" x14ac:dyDescent="0.25">
      <c r="A451" s="11"/>
      <c r="B451" s="11"/>
      <c r="C451" s="11"/>
      <c r="D451" s="11"/>
      <c r="E451" s="11"/>
      <c r="F451" s="11"/>
      <c r="G451" s="15" t="str">
        <f t="shared" si="18"/>
        <v/>
      </c>
      <c r="H451" s="13" t="str">
        <f t="shared" si="19"/>
        <v/>
      </c>
      <c r="I451" s="16" t="str">
        <f t="shared" si="20"/>
        <v/>
      </c>
      <c r="J451" s="11"/>
      <c r="K451" s="11"/>
      <c r="L451" s="11"/>
      <c r="M451" s="11"/>
      <c r="N451" s="11"/>
    </row>
    <row r="452" spans="1:14" ht="15.75" customHeight="1" x14ac:dyDescent="0.25">
      <c r="A452" s="11"/>
      <c r="B452" s="11"/>
      <c r="C452" s="11"/>
      <c r="D452" s="11"/>
      <c r="E452" s="11"/>
      <c r="F452" s="11"/>
      <c r="G452" s="15" t="str">
        <f t="shared" ref="G452:G515" si="21">IF(E452="","",IF(OR(E452="Withdrawal",E452="Loan Disbursement"),F452,0))</f>
        <v/>
      </c>
      <c r="H452" s="13" t="str">
        <f t="shared" ref="H452:H515" si="22">IF(E452="","",IF(OR(E452="Savings Deposit",E452="Loan Repayment"),F452,0))</f>
        <v/>
      </c>
      <c r="I452" s="16" t="str">
        <f t="shared" si="20"/>
        <v/>
      </c>
      <c r="J452" s="11"/>
      <c r="K452" s="11"/>
      <c r="L452" s="11"/>
      <c r="M452" s="11"/>
      <c r="N452" s="11"/>
    </row>
    <row r="453" spans="1:14" ht="15.75" customHeight="1" x14ac:dyDescent="0.25">
      <c r="A453" s="11"/>
      <c r="B453" s="11"/>
      <c r="C453" s="11"/>
      <c r="D453" s="11"/>
      <c r="E453" s="11"/>
      <c r="F453" s="11"/>
      <c r="G453" s="15" t="str">
        <f t="shared" si="21"/>
        <v/>
      </c>
      <c r="H453" s="13" t="str">
        <f t="shared" si="22"/>
        <v/>
      </c>
      <c r="I453" s="16" t="str">
        <f t="shared" ref="I453:I516" si="23">IF(A453="","",I452+H453-G453)</f>
        <v/>
      </c>
      <c r="J453" s="11"/>
      <c r="K453" s="11"/>
      <c r="L453" s="11"/>
      <c r="M453" s="11"/>
      <c r="N453" s="11"/>
    </row>
    <row r="454" spans="1:14" ht="15.75" customHeight="1" x14ac:dyDescent="0.25">
      <c r="A454" s="11"/>
      <c r="B454" s="11"/>
      <c r="C454" s="11"/>
      <c r="D454" s="11"/>
      <c r="E454" s="11"/>
      <c r="F454" s="11"/>
      <c r="G454" s="15" t="str">
        <f t="shared" si="21"/>
        <v/>
      </c>
      <c r="H454" s="13" t="str">
        <f t="shared" si="22"/>
        <v/>
      </c>
      <c r="I454" s="16" t="str">
        <f t="shared" si="23"/>
        <v/>
      </c>
      <c r="J454" s="11"/>
      <c r="K454" s="11"/>
      <c r="L454" s="11"/>
      <c r="M454" s="11"/>
      <c r="N454" s="11"/>
    </row>
    <row r="455" spans="1:14" ht="15.75" customHeight="1" x14ac:dyDescent="0.25">
      <c r="A455" s="11"/>
      <c r="B455" s="11"/>
      <c r="C455" s="11"/>
      <c r="D455" s="11"/>
      <c r="E455" s="11"/>
      <c r="F455" s="11"/>
      <c r="G455" s="15" t="str">
        <f t="shared" si="21"/>
        <v/>
      </c>
      <c r="H455" s="13" t="str">
        <f t="shared" si="22"/>
        <v/>
      </c>
      <c r="I455" s="16" t="str">
        <f t="shared" si="23"/>
        <v/>
      </c>
      <c r="J455" s="11"/>
      <c r="K455" s="11"/>
      <c r="L455" s="11"/>
      <c r="M455" s="11"/>
      <c r="N455" s="11"/>
    </row>
    <row r="456" spans="1:14" ht="15.75" customHeight="1" x14ac:dyDescent="0.25">
      <c r="A456" s="11"/>
      <c r="B456" s="11"/>
      <c r="C456" s="11"/>
      <c r="D456" s="11"/>
      <c r="E456" s="11"/>
      <c r="F456" s="11"/>
      <c r="G456" s="15" t="str">
        <f t="shared" si="21"/>
        <v/>
      </c>
      <c r="H456" s="13" t="str">
        <f t="shared" si="22"/>
        <v/>
      </c>
      <c r="I456" s="16" t="str">
        <f t="shared" si="23"/>
        <v/>
      </c>
      <c r="J456" s="11"/>
      <c r="K456" s="11"/>
      <c r="L456" s="11"/>
      <c r="M456" s="11"/>
      <c r="N456" s="11"/>
    </row>
    <row r="457" spans="1:14" ht="15.75" customHeight="1" x14ac:dyDescent="0.25">
      <c r="A457" s="11"/>
      <c r="B457" s="11"/>
      <c r="C457" s="11"/>
      <c r="D457" s="11"/>
      <c r="E457" s="11"/>
      <c r="F457" s="11"/>
      <c r="G457" s="15" t="str">
        <f t="shared" si="21"/>
        <v/>
      </c>
      <c r="H457" s="13" t="str">
        <f t="shared" si="22"/>
        <v/>
      </c>
      <c r="I457" s="16" t="str">
        <f t="shared" si="23"/>
        <v/>
      </c>
      <c r="J457" s="11"/>
      <c r="K457" s="11"/>
      <c r="L457" s="11"/>
      <c r="M457" s="11"/>
      <c r="N457" s="11"/>
    </row>
    <row r="458" spans="1:14" ht="15.75" customHeight="1" x14ac:dyDescent="0.25">
      <c r="A458" s="11"/>
      <c r="B458" s="11"/>
      <c r="C458" s="11"/>
      <c r="D458" s="11"/>
      <c r="E458" s="11"/>
      <c r="F458" s="11"/>
      <c r="G458" s="15" t="str">
        <f t="shared" si="21"/>
        <v/>
      </c>
      <c r="H458" s="13" t="str">
        <f t="shared" si="22"/>
        <v/>
      </c>
      <c r="I458" s="16" t="str">
        <f t="shared" si="23"/>
        <v/>
      </c>
      <c r="J458" s="11"/>
      <c r="K458" s="11"/>
      <c r="L458" s="11"/>
      <c r="M458" s="11"/>
      <c r="N458" s="11"/>
    </row>
    <row r="459" spans="1:14" ht="15.75" customHeight="1" x14ac:dyDescent="0.25">
      <c r="A459" s="11"/>
      <c r="B459" s="11"/>
      <c r="C459" s="11"/>
      <c r="D459" s="11"/>
      <c r="E459" s="11"/>
      <c r="F459" s="11"/>
      <c r="G459" s="15" t="str">
        <f t="shared" si="21"/>
        <v/>
      </c>
      <c r="H459" s="13" t="str">
        <f t="shared" si="22"/>
        <v/>
      </c>
      <c r="I459" s="16" t="str">
        <f t="shared" si="23"/>
        <v/>
      </c>
      <c r="J459" s="11"/>
      <c r="K459" s="11"/>
      <c r="L459" s="11"/>
      <c r="M459" s="11"/>
      <c r="N459" s="11"/>
    </row>
    <row r="460" spans="1:14" ht="15.75" customHeight="1" x14ac:dyDescent="0.25">
      <c r="A460" s="11"/>
      <c r="B460" s="11"/>
      <c r="C460" s="11"/>
      <c r="D460" s="11"/>
      <c r="E460" s="11"/>
      <c r="F460" s="11"/>
      <c r="G460" s="15" t="str">
        <f t="shared" si="21"/>
        <v/>
      </c>
      <c r="H460" s="13" t="str">
        <f t="shared" si="22"/>
        <v/>
      </c>
      <c r="I460" s="16" t="str">
        <f t="shared" si="23"/>
        <v/>
      </c>
      <c r="J460" s="11"/>
      <c r="K460" s="11"/>
      <c r="L460" s="11"/>
      <c r="M460" s="11"/>
      <c r="N460" s="11"/>
    </row>
    <row r="461" spans="1:14" ht="15.75" customHeight="1" x14ac:dyDescent="0.25">
      <c r="A461" s="11"/>
      <c r="B461" s="11"/>
      <c r="C461" s="11"/>
      <c r="D461" s="11"/>
      <c r="E461" s="11"/>
      <c r="F461" s="11"/>
      <c r="G461" s="15" t="str">
        <f t="shared" si="21"/>
        <v/>
      </c>
      <c r="H461" s="13" t="str">
        <f t="shared" si="22"/>
        <v/>
      </c>
      <c r="I461" s="16" t="str">
        <f t="shared" si="23"/>
        <v/>
      </c>
      <c r="J461" s="11"/>
      <c r="K461" s="11"/>
      <c r="L461" s="11"/>
      <c r="M461" s="11"/>
      <c r="N461" s="11"/>
    </row>
    <row r="462" spans="1:14" ht="15.75" customHeight="1" x14ac:dyDescent="0.25">
      <c r="A462" s="11"/>
      <c r="B462" s="11"/>
      <c r="C462" s="11"/>
      <c r="D462" s="11"/>
      <c r="E462" s="11"/>
      <c r="F462" s="11"/>
      <c r="G462" s="15" t="str">
        <f t="shared" si="21"/>
        <v/>
      </c>
      <c r="H462" s="13" t="str">
        <f t="shared" si="22"/>
        <v/>
      </c>
      <c r="I462" s="16" t="str">
        <f t="shared" si="23"/>
        <v/>
      </c>
      <c r="J462" s="11"/>
      <c r="K462" s="11"/>
      <c r="L462" s="11"/>
      <c r="M462" s="11"/>
      <c r="N462" s="11"/>
    </row>
    <row r="463" spans="1:14" ht="15.75" customHeight="1" x14ac:dyDescent="0.25">
      <c r="A463" s="11"/>
      <c r="B463" s="11"/>
      <c r="C463" s="11"/>
      <c r="D463" s="11"/>
      <c r="E463" s="11"/>
      <c r="F463" s="11"/>
      <c r="G463" s="15" t="str">
        <f t="shared" si="21"/>
        <v/>
      </c>
      <c r="H463" s="13" t="str">
        <f t="shared" si="22"/>
        <v/>
      </c>
      <c r="I463" s="16" t="str">
        <f t="shared" si="23"/>
        <v/>
      </c>
      <c r="J463" s="11"/>
      <c r="K463" s="11"/>
      <c r="L463" s="11"/>
      <c r="M463" s="11"/>
      <c r="N463" s="11"/>
    </row>
    <row r="464" spans="1:14" ht="15.75" customHeight="1" x14ac:dyDescent="0.25">
      <c r="A464" s="11"/>
      <c r="B464" s="11"/>
      <c r="C464" s="11"/>
      <c r="D464" s="11"/>
      <c r="E464" s="11"/>
      <c r="F464" s="11"/>
      <c r="G464" s="15" t="str">
        <f t="shared" si="21"/>
        <v/>
      </c>
      <c r="H464" s="13" t="str">
        <f t="shared" si="22"/>
        <v/>
      </c>
      <c r="I464" s="16" t="str">
        <f t="shared" si="23"/>
        <v/>
      </c>
      <c r="J464" s="11"/>
      <c r="K464" s="11"/>
      <c r="L464" s="11"/>
      <c r="M464" s="11"/>
      <c r="N464" s="11"/>
    </row>
    <row r="465" spans="1:14" ht="15.75" customHeight="1" x14ac:dyDescent="0.25">
      <c r="A465" s="11"/>
      <c r="B465" s="11"/>
      <c r="C465" s="11"/>
      <c r="D465" s="11"/>
      <c r="E465" s="11"/>
      <c r="F465" s="11"/>
      <c r="G465" s="15" t="str">
        <f t="shared" si="21"/>
        <v/>
      </c>
      <c r="H465" s="13" t="str">
        <f t="shared" si="22"/>
        <v/>
      </c>
      <c r="I465" s="16" t="str">
        <f t="shared" si="23"/>
        <v/>
      </c>
      <c r="J465" s="11"/>
      <c r="K465" s="11"/>
      <c r="L465" s="11"/>
      <c r="M465" s="11"/>
      <c r="N465" s="11"/>
    </row>
    <row r="466" spans="1:14" ht="15.75" customHeight="1" x14ac:dyDescent="0.25">
      <c r="A466" s="11"/>
      <c r="B466" s="11"/>
      <c r="C466" s="11"/>
      <c r="D466" s="11"/>
      <c r="E466" s="11"/>
      <c r="F466" s="11"/>
      <c r="G466" s="15" t="str">
        <f t="shared" si="21"/>
        <v/>
      </c>
      <c r="H466" s="13" t="str">
        <f t="shared" si="22"/>
        <v/>
      </c>
      <c r="I466" s="16" t="str">
        <f t="shared" si="23"/>
        <v/>
      </c>
      <c r="J466" s="11"/>
      <c r="K466" s="11"/>
      <c r="L466" s="11"/>
      <c r="M466" s="11"/>
      <c r="N466" s="11"/>
    </row>
    <row r="467" spans="1:14" ht="15.75" customHeight="1" x14ac:dyDescent="0.25">
      <c r="A467" s="11"/>
      <c r="B467" s="11"/>
      <c r="C467" s="11"/>
      <c r="D467" s="11"/>
      <c r="E467" s="11"/>
      <c r="F467" s="11"/>
      <c r="G467" s="15" t="str">
        <f t="shared" si="21"/>
        <v/>
      </c>
      <c r="H467" s="13" t="str">
        <f t="shared" si="22"/>
        <v/>
      </c>
      <c r="I467" s="16" t="str">
        <f t="shared" si="23"/>
        <v/>
      </c>
      <c r="J467" s="11"/>
      <c r="K467" s="11"/>
      <c r="L467" s="11"/>
      <c r="M467" s="11"/>
      <c r="N467" s="11"/>
    </row>
    <row r="468" spans="1:14" ht="15.75" customHeight="1" x14ac:dyDescent="0.25">
      <c r="A468" s="11"/>
      <c r="B468" s="11"/>
      <c r="C468" s="11"/>
      <c r="D468" s="11"/>
      <c r="E468" s="11"/>
      <c r="F468" s="11"/>
      <c r="G468" s="15" t="str">
        <f t="shared" si="21"/>
        <v/>
      </c>
      <c r="H468" s="13" t="str">
        <f t="shared" si="22"/>
        <v/>
      </c>
      <c r="I468" s="16" t="str">
        <f t="shared" si="23"/>
        <v/>
      </c>
      <c r="J468" s="11"/>
      <c r="K468" s="11"/>
      <c r="L468" s="11"/>
      <c r="M468" s="11"/>
      <c r="N468" s="11"/>
    </row>
    <row r="469" spans="1:14" ht="15.75" customHeight="1" x14ac:dyDescent="0.25">
      <c r="A469" s="11"/>
      <c r="B469" s="11"/>
      <c r="C469" s="11"/>
      <c r="D469" s="11"/>
      <c r="E469" s="11"/>
      <c r="F469" s="11"/>
      <c r="G469" s="15" t="str">
        <f t="shared" si="21"/>
        <v/>
      </c>
      <c r="H469" s="13" t="str">
        <f t="shared" si="22"/>
        <v/>
      </c>
      <c r="I469" s="16" t="str">
        <f t="shared" si="23"/>
        <v/>
      </c>
      <c r="J469" s="11"/>
      <c r="K469" s="11"/>
      <c r="L469" s="11"/>
      <c r="M469" s="11"/>
      <c r="N469" s="11"/>
    </row>
    <row r="470" spans="1:14" ht="15.75" customHeight="1" x14ac:dyDescent="0.25">
      <c r="A470" s="11"/>
      <c r="B470" s="11"/>
      <c r="C470" s="11"/>
      <c r="D470" s="11"/>
      <c r="E470" s="11"/>
      <c r="F470" s="11"/>
      <c r="G470" s="15" t="str">
        <f t="shared" si="21"/>
        <v/>
      </c>
      <c r="H470" s="13" t="str">
        <f t="shared" si="22"/>
        <v/>
      </c>
      <c r="I470" s="16" t="str">
        <f t="shared" si="23"/>
        <v/>
      </c>
      <c r="J470" s="11"/>
      <c r="K470" s="11"/>
      <c r="L470" s="11"/>
      <c r="M470" s="11"/>
      <c r="N470" s="11"/>
    </row>
    <row r="471" spans="1:14" ht="15.75" customHeight="1" x14ac:dyDescent="0.25">
      <c r="A471" s="11"/>
      <c r="B471" s="11"/>
      <c r="C471" s="11"/>
      <c r="D471" s="11"/>
      <c r="E471" s="11"/>
      <c r="F471" s="11"/>
      <c r="G471" s="15" t="str">
        <f t="shared" si="21"/>
        <v/>
      </c>
      <c r="H471" s="13" t="str">
        <f t="shared" si="22"/>
        <v/>
      </c>
      <c r="I471" s="16" t="str">
        <f t="shared" si="23"/>
        <v/>
      </c>
      <c r="J471" s="11"/>
      <c r="K471" s="11"/>
      <c r="L471" s="11"/>
      <c r="M471" s="11"/>
      <c r="N471" s="11"/>
    </row>
    <row r="472" spans="1:14" ht="15.75" customHeight="1" x14ac:dyDescent="0.25">
      <c r="A472" s="11"/>
      <c r="B472" s="11"/>
      <c r="C472" s="11"/>
      <c r="D472" s="11"/>
      <c r="E472" s="11"/>
      <c r="F472" s="11"/>
      <c r="G472" s="15" t="str">
        <f t="shared" si="21"/>
        <v/>
      </c>
      <c r="H472" s="13" t="str">
        <f t="shared" si="22"/>
        <v/>
      </c>
      <c r="I472" s="16" t="str">
        <f t="shared" si="23"/>
        <v/>
      </c>
      <c r="J472" s="11"/>
      <c r="K472" s="11"/>
      <c r="L472" s="11"/>
      <c r="M472" s="11"/>
      <c r="N472" s="11"/>
    </row>
    <row r="473" spans="1:14" ht="15.75" customHeight="1" x14ac:dyDescent="0.25">
      <c r="A473" s="11"/>
      <c r="B473" s="11"/>
      <c r="C473" s="11"/>
      <c r="D473" s="11"/>
      <c r="E473" s="11"/>
      <c r="F473" s="11"/>
      <c r="G473" s="15" t="str">
        <f t="shared" si="21"/>
        <v/>
      </c>
      <c r="H473" s="13" t="str">
        <f t="shared" si="22"/>
        <v/>
      </c>
      <c r="I473" s="16" t="str">
        <f t="shared" si="23"/>
        <v/>
      </c>
      <c r="J473" s="11"/>
      <c r="K473" s="11"/>
      <c r="L473" s="11"/>
      <c r="M473" s="11"/>
      <c r="N473" s="11"/>
    </row>
    <row r="474" spans="1:14" ht="15.75" customHeight="1" x14ac:dyDescent="0.25">
      <c r="A474" s="11"/>
      <c r="B474" s="11"/>
      <c r="C474" s="11"/>
      <c r="D474" s="11"/>
      <c r="E474" s="11"/>
      <c r="F474" s="11"/>
      <c r="G474" s="15" t="str">
        <f t="shared" si="21"/>
        <v/>
      </c>
      <c r="H474" s="13" t="str">
        <f t="shared" si="22"/>
        <v/>
      </c>
      <c r="I474" s="16" t="str">
        <f t="shared" si="23"/>
        <v/>
      </c>
      <c r="J474" s="11"/>
      <c r="K474" s="11"/>
      <c r="L474" s="11"/>
      <c r="M474" s="11"/>
      <c r="N474" s="11"/>
    </row>
    <row r="475" spans="1:14" ht="15.75" customHeight="1" x14ac:dyDescent="0.25">
      <c r="A475" s="11"/>
      <c r="B475" s="11"/>
      <c r="C475" s="11"/>
      <c r="D475" s="11"/>
      <c r="E475" s="11"/>
      <c r="F475" s="11"/>
      <c r="G475" s="15" t="str">
        <f t="shared" si="21"/>
        <v/>
      </c>
      <c r="H475" s="13" t="str">
        <f t="shared" si="22"/>
        <v/>
      </c>
      <c r="I475" s="16" t="str">
        <f t="shared" si="23"/>
        <v/>
      </c>
      <c r="J475" s="11"/>
      <c r="K475" s="11"/>
      <c r="L475" s="11"/>
      <c r="M475" s="11"/>
      <c r="N475" s="11"/>
    </row>
    <row r="476" spans="1:14" ht="15.75" customHeight="1" x14ac:dyDescent="0.25">
      <c r="A476" s="11"/>
      <c r="B476" s="11"/>
      <c r="C476" s="11"/>
      <c r="D476" s="11"/>
      <c r="E476" s="11"/>
      <c r="F476" s="11"/>
      <c r="G476" s="15" t="str">
        <f t="shared" si="21"/>
        <v/>
      </c>
      <c r="H476" s="13" t="str">
        <f t="shared" si="22"/>
        <v/>
      </c>
      <c r="I476" s="16" t="str">
        <f t="shared" si="23"/>
        <v/>
      </c>
      <c r="J476" s="11"/>
      <c r="K476" s="11"/>
      <c r="L476" s="11"/>
      <c r="M476" s="11"/>
      <c r="N476" s="11"/>
    </row>
    <row r="477" spans="1:14" ht="15.75" customHeight="1" x14ac:dyDescent="0.25">
      <c r="A477" s="11"/>
      <c r="B477" s="11"/>
      <c r="C477" s="11"/>
      <c r="D477" s="11"/>
      <c r="E477" s="11"/>
      <c r="F477" s="11"/>
      <c r="G477" s="15" t="str">
        <f t="shared" si="21"/>
        <v/>
      </c>
      <c r="H477" s="13" t="str">
        <f t="shared" si="22"/>
        <v/>
      </c>
      <c r="I477" s="16" t="str">
        <f t="shared" si="23"/>
        <v/>
      </c>
      <c r="J477" s="11"/>
      <c r="K477" s="11"/>
      <c r="L477" s="11"/>
      <c r="M477" s="11"/>
      <c r="N477" s="11"/>
    </row>
    <row r="478" spans="1:14" ht="15.75" customHeight="1" x14ac:dyDescent="0.25">
      <c r="A478" s="11"/>
      <c r="B478" s="11"/>
      <c r="C478" s="11"/>
      <c r="D478" s="11"/>
      <c r="E478" s="11"/>
      <c r="F478" s="11"/>
      <c r="G478" s="15" t="str">
        <f t="shared" si="21"/>
        <v/>
      </c>
      <c r="H478" s="13" t="str">
        <f t="shared" si="22"/>
        <v/>
      </c>
      <c r="I478" s="16" t="str">
        <f t="shared" si="23"/>
        <v/>
      </c>
      <c r="J478" s="11"/>
      <c r="K478" s="11"/>
      <c r="L478" s="11"/>
      <c r="M478" s="11"/>
      <c r="N478" s="11"/>
    </row>
    <row r="479" spans="1:14" ht="15.75" customHeight="1" x14ac:dyDescent="0.25">
      <c r="A479" s="11"/>
      <c r="B479" s="11"/>
      <c r="C479" s="11"/>
      <c r="D479" s="11"/>
      <c r="E479" s="11"/>
      <c r="F479" s="11"/>
      <c r="G479" s="15" t="str">
        <f t="shared" si="21"/>
        <v/>
      </c>
      <c r="H479" s="13" t="str">
        <f t="shared" si="22"/>
        <v/>
      </c>
      <c r="I479" s="16" t="str">
        <f t="shared" si="23"/>
        <v/>
      </c>
      <c r="J479" s="11"/>
      <c r="K479" s="11"/>
      <c r="L479" s="11"/>
      <c r="M479" s="11"/>
      <c r="N479" s="11"/>
    </row>
    <row r="480" spans="1:14" ht="15.75" customHeight="1" x14ac:dyDescent="0.25">
      <c r="A480" s="11"/>
      <c r="B480" s="11"/>
      <c r="C480" s="11"/>
      <c r="D480" s="11"/>
      <c r="E480" s="11"/>
      <c r="F480" s="11"/>
      <c r="G480" s="15" t="str">
        <f t="shared" si="21"/>
        <v/>
      </c>
      <c r="H480" s="13" t="str">
        <f t="shared" si="22"/>
        <v/>
      </c>
      <c r="I480" s="16" t="str">
        <f t="shared" si="23"/>
        <v/>
      </c>
      <c r="J480" s="11"/>
      <c r="K480" s="11"/>
      <c r="L480" s="11"/>
      <c r="M480" s="11"/>
      <c r="N480" s="11"/>
    </row>
    <row r="481" spans="1:14" ht="15.75" customHeight="1" x14ac:dyDescent="0.25">
      <c r="A481" s="11"/>
      <c r="B481" s="11"/>
      <c r="C481" s="11"/>
      <c r="D481" s="11"/>
      <c r="E481" s="11"/>
      <c r="F481" s="11"/>
      <c r="G481" s="15" t="str">
        <f t="shared" si="21"/>
        <v/>
      </c>
      <c r="H481" s="13" t="str">
        <f t="shared" si="22"/>
        <v/>
      </c>
      <c r="I481" s="16" t="str">
        <f t="shared" si="23"/>
        <v/>
      </c>
      <c r="J481" s="11"/>
      <c r="K481" s="11"/>
      <c r="L481" s="11"/>
      <c r="M481" s="11"/>
      <c r="N481" s="11"/>
    </row>
    <row r="482" spans="1:14" ht="15.75" customHeight="1" x14ac:dyDescent="0.25">
      <c r="A482" s="11"/>
      <c r="B482" s="11"/>
      <c r="C482" s="11"/>
      <c r="D482" s="11"/>
      <c r="E482" s="11"/>
      <c r="F482" s="11"/>
      <c r="G482" s="15" t="str">
        <f t="shared" si="21"/>
        <v/>
      </c>
      <c r="H482" s="13" t="str">
        <f t="shared" si="22"/>
        <v/>
      </c>
      <c r="I482" s="16" t="str">
        <f t="shared" si="23"/>
        <v/>
      </c>
      <c r="J482" s="11"/>
      <c r="K482" s="11"/>
      <c r="L482" s="11"/>
      <c r="M482" s="11"/>
      <c r="N482" s="11"/>
    </row>
    <row r="483" spans="1:14" ht="15.75" customHeight="1" x14ac:dyDescent="0.25">
      <c r="A483" s="11"/>
      <c r="B483" s="11"/>
      <c r="C483" s="11"/>
      <c r="D483" s="11"/>
      <c r="E483" s="11"/>
      <c r="F483" s="11"/>
      <c r="G483" s="15" t="str">
        <f t="shared" si="21"/>
        <v/>
      </c>
      <c r="H483" s="13" t="str">
        <f t="shared" si="22"/>
        <v/>
      </c>
      <c r="I483" s="16" t="str">
        <f t="shared" si="23"/>
        <v/>
      </c>
      <c r="J483" s="11"/>
      <c r="K483" s="11"/>
      <c r="L483" s="11"/>
      <c r="M483" s="11"/>
      <c r="N483" s="11"/>
    </row>
    <row r="484" spans="1:14" ht="15.75" customHeight="1" x14ac:dyDescent="0.25">
      <c r="A484" s="11"/>
      <c r="B484" s="11"/>
      <c r="C484" s="11"/>
      <c r="D484" s="11"/>
      <c r="E484" s="11"/>
      <c r="F484" s="11"/>
      <c r="G484" s="15" t="str">
        <f t="shared" si="21"/>
        <v/>
      </c>
      <c r="H484" s="13" t="str">
        <f t="shared" si="22"/>
        <v/>
      </c>
      <c r="I484" s="16" t="str">
        <f t="shared" si="23"/>
        <v/>
      </c>
      <c r="J484" s="11"/>
      <c r="K484" s="11"/>
      <c r="L484" s="11"/>
      <c r="M484" s="11"/>
      <c r="N484" s="11"/>
    </row>
    <row r="485" spans="1:14" ht="15.75" customHeight="1" x14ac:dyDescent="0.25">
      <c r="A485" s="11"/>
      <c r="B485" s="11"/>
      <c r="C485" s="11"/>
      <c r="D485" s="11"/>
      <c r="E485" s="11"/>
      <c r="F485" s="11"/>
      <c r="G485" s="15" t="str">
        <f t="shared" si="21"/>
        <v/>
      </c>
      <c r="H485" s="13" t="str">
        <f t="shared" si="22"/>
        <v/>
      </c>
      <c r="I485" s="16" t="str">
        <f t="shared" si="23"/>
        <v/>
      </c>
      <c r="J485" s="11"/>
      <c r="K485" s="11"/>
      <c r="L485" s="11"/>
      <c r="M485" s="11"/>
      <c r="N485" s="11"/>
    </row>
    <row r="486" spans="1:14" ht="15.75" customHeight="1" x14ac:dyDescent="0.25">
      <c r="A486" s="11"/>
      <c r="B486" s="11"/>
      <c r="C486" s="11"/>
      <c r="D486" s="11"/>
      <c r="E486" s="11"/>
      <c r="F486" s="11"/>
      <c r="G486" s="15" t="str">
        <f t="shared" si="21"/>
        <v/>
      </c>
      <c r="H486" s="13" t="str">
        <f t="shared" si="22"/>
        <v/>
      </c>
      <c r="I486" s="16" t="str">
        <f t="shared" si="23"/>
        <v/>
      </c>
      <c r="J486" s="11"/>
      <c r="K486" s="11"/>
      <c r="L486" s="11"/>
      <c r="M486" s="11"/>
      <c r="N486" s="11"/>
    </row>
    <row r="487" spans="1:14" ht="15.75" customHeight="1" x14ac:dyDescent="0.25">
      <c r="A487" s="11"/>
      <c r="B487" s="11"/>
      <c r="C487" s="11"/>
      <c r="D487" s="11"/>
      <c r="E487" s="11"/>
      <c r="F487" s="11"/>
      <c r="G487" s="15" t="str">
        <f t="shared" si="21"/>
        <v/>
      </c>
      <c r="H487" s="13" t="str">
        <f t="shared" si="22"/>
        <v/>
      </c>
      <c r="I487" s="16" t="str">
        <f t="shared" si="23"/>
        <v/>
      </c>
      <c r="J487" s="11"/>
      <c r="K487" s="11"/>
      <c r="L487" s="11"/>
      <c r="M487" s="11"/>
      <c r="N487" s="11"/>
    </row>
    <row r="488" spans="1:14" ht="15.75" customHeight="1" x14ac:dyDescent="0.25">
      <c r="A488" s="11"/>
      <c r="B488" s="11"/>
      <c r="C488" s="11"/>
      <c r="D488" s="11"/>
      <c r="E488" s="11"/>
      <c r="F488" s="11"/>
      <c r="G488" s="15" t="str">
        <f t="shared" si="21"/>
        <v/>
      </c>
      <c r="H488" s="13" t="str">
        <f t="shared" si="22"/>
        <v/>
      </c>
      <c r="I488" s="16" t="str">
        <f t="shared" si="23"/>
        <v/>
      </c>
      <c r="J488" s="11"/>
      <c r="K488" s="11"/>
      <c r="L488" s="11"/>
      <c r="M488" s="11"/>
      <c r="N488" s="11"/>
    </row>
    <row r="489" spans="1:14" ht="15.75" customHeight="1" x14ac:dyDescent="0.25">
      <c r="A489" s="11"/>
      <c r="B489" s="11"/>
      <c r="C489" s="11"/>
      <c r="D489" s="11"/>
      <c r="E489" s="11"/>
      <c r="F489" s="11"/>
      <c r="G489" s="15" t="str">
        <f t="shared" si="21"/>
        <v/>
      </c>
      <c r="H489" s="13" t="str">
        <f t="shared" si="22"/>
        <v/>
      </c>
      <c r="I489" s="16" t="str">
        <f t="shared" si="23"/>
        <v/>
      </c>
      <c r="J489" s="11"/>
      <c r="K489" s="11"/>
      <c r="L489" s="11"/>
      <c r="M489" s="11"/>
      <c r="N489" s="11"/>
    </row>
    <row r="490" spans="1:14" ht="15.75" customHeight="1" x14ac:dyDescent="0.25">
      <c r="A490" s="11"/>
      <c r="B490" s="11"/>
      <c r="C490" s="11"/>
      <c r="D490" s="11"/>
      <c r="E490" s="11"/>
      <c r="F490" s="11"/>
      <c r="G490" s="15" t="str">
        <f t="shared" si="21"/>
        <v/>
      </c>
      <c r="H490" s="13" t="str">
        <f t="shared" si="22"/>
        <v/>
      </c>
      <c r="I490" s="16" t="str">
        <f t="shared" si="23"/>
        <v/>
      </c>
      <c r="J490" s="11"/>
      <c r="K490" s="11"/>
      <c r="L490" s="11"/>
      <c r="M490" s="11"/>
      <c r="N490" s="11"/>
    </row>
    <row r="491" spans="1:14" ht="15.75" customHeight="1" x14ac:dyDescent="0.25">
      <c r="A491" s="11"/>
      <c r="B491" s="11"/>
      <c r="C491" s="11"/>
      <c r="D491" s="11"/>
      <c r="E491" s="11"/>
      <c r="F491" s="11"/>
      <c r="G491" s="15" t="str">
        <f t="shared" si="21"/>
        <v/>
      </c>
      <c r="H491" s="13" t="str">
        <f t="shared" si="22"/>
        <v/>
      </c>
      <c r="I491" s="16" t="str">
        <f t="shared" si="23"/>
        <v/>
      </c>
      <c r="J491" s="11"/>
      <c r="K491" s="11"/>
      <c r="L491" s="11"/>
      <c r="M491" s="11"/>
      <c r="N491" s="11"/>
    </row>
    <row r="492" spans="1:14" ht="15.75" customHeight="1" x14ac:dyDescent="0.25">
      <c r="A492" s="11"/>
      <c r="B492" s="11"/>
      <c r="C492" s="11"/>
      <c r="D492" s="11"/>
      <c r="E492" s="11"/>
      <c r="F492" s="11"/>
      <c r="G492" s="15" t="str">
        <f t="shared" si="21"/>
        <v/>
      </c>
      <c r="H492" s="13" t="str">
        <f t="shared" si="22"/>
        <v/>
      </c>
      <c r="I492" s="16" t="str">
        <f t="shared" si="23"/>
        <v/>
      </c>
      <c r="J492" s="11"/>
      <c r="K492" s="11"/>
      <c r="L492" s="11"/>
      <c r="M492" s="11"/>
      <c r="N492" s="11"/>
    </row>
    <row r="493" spans="1:14" ht="15.75" customHeight="1" x14ac:dyDescent="0.25">
      <c r="A493" s="11"/>
      <c r="B493" s="11"/>
      <c r="C493" s="11"/>
      <c r="D493" s="11"/>
      <c r="E493" s="11"/>
      <c r="F493" s="11"/>
      <c r="G493" s="15" t="str">
        <f t="shared" si="21"/>
        <v/>
      </c>
      <c r="H493" s="13" t="str">
        <f t="shared" si="22"/>
        <v/>
      </c>
      <c r="I493" s="16" t="str">
        <f t="shared" si="23"/>
        <v/>
      </c>
      <c r="J493" s="11"/>
      <c r="K493" s="11"/>
      <c r="L493" s="11"/>
      <c r="M493" s="11"/>
      <c r="N493" s="11"/>
    </row>
    <row r="494" spans="1:14" ht="15.75" customHeight="1" x14ac:dyDescent="0.25">
      <c r="A494" s="11"/>
      <c r="B494" s="11"/>
      <c r="C494" s="11"/>
      <c r="D494" s="11"/>
      <c r="E494" s="11"/>
      <c r="F494" s="11"/>
      <c r="G494" s="15" t="str">
        <f t="shared" si="21"/>
        <v/>
      </c>
      <c r="H494" s="13" t="str">
        <f t="shared" si="22"/>
        <v/>
      </c>
      <c r="I494" s="16" t="str">
        <f t="shared" si="23"/>
        <v/>
      </c>
      <c r="J494" s="11"/>
      <c r="K494" s="11"/>
      <c r="L494" s="11"/>
      <c r="M494" s="11"/>
      <c r="N494" s="11"/>
    </row>
    <row r="495" spans="1:14" ht="15.75" customHeight="1" x14ac:dyDescent="0.25">
      <c r="A495" s="11"/>
      <c r="B495" s="11"/>
      <c r="C495" s="11"/>
      <c r="D495" s="11"/>
      <c r="E495" s="11"/>
      <c r="F495" s="11"/>
      <c r="G495" s="15" t="str">
        <f t="shared" si="21"/>
        <v/>
      </c>
      <c r="H495" s="13" t="str">
        <f t="shared" si="22"/>
        <v/>
      </c>
      <c r="I495" s="16" t="str">
        <f t="shared" si="23"/>
        <v/>
      </c>
      <c r="J495" s="11"/>
      <c r="K495" s="11"/>
      <c r="L495" s="11"/>
      <c r="M495" s="11"/>
      <c r="N495" s="11"/>
    </row>
    <row r="496" spans="1:14" ht="15.75" customHeight="1" x14ac:dyDescent="0.25">
      <c r="A496" s="11"/>
      <c r="B496" s="11"/>
      <c r="C496" s="11"/>
      <c r="D496" s="11"/>
      <c r="E496" s="11"/>
      <c r="F496" s="11"/>
      <c r="G496" s="15" t="str">
        <f t="shared" si="21"/>
        <v/>
      </c>
      <c r="H496" s="13" t="str">
        <f t="shared" si="22"/>
        <v/>
      </c>
      <c r="I496" s="16" t="str">
        <f t="shared" si="23"/>
        <v/>
      </c>
      <c r="J496" s="11"/>
      <c r="K496" s="11"/>
      <c r="L496" s="11"/>
      <c r="M496" s="11"/>
      <c r="N496" s="11"/>
    </row>
    <row r="497" spans="1:14" ht="15.75" customHeight="1" x14ac:dyDescent="0.25">
      <c r="A497" s="11"/>
      <c r="B497" s="11"/>
      <c r="C497" s="11"/>
      <c r="D497" s="11"/>
      <c r="E497" s="11"/>
      <c r="F497" s="11"/>
      <c r="G497" s="15" t="str">
        <f t="shared" si="21"/>
        <v/>
      </c>
      <c r="H497" s="13" t="str">
        <f t="shared" si="22"/>
        <v/>
      </c>
      <c r="I497" s="16" t="str">
        <f t="shared" si="23"/>
        <v/>
      </c>
      <c r="J497" s="11"/>
      <c r="K497" s="11"/>
      <c r="L497" s="11"/>
      <c r="M497" s="11"/>
      <c r="N497" s="11"/>
    </row>
    <row r="498" spans="1:14" ht="15.75" customHeight="1" x14ac:dyDescent="0.25">
      <c r="A498" s="11"/>
      <c r="B498" s="11"/>
      <c r="C498" s="11"/>
      <c r="D498" s="11"/>
      <c r="E498" s="11"/>
      <c r="F498" s="11"/>
      <c r="G498" s="15" t="str">
        <f t="shared" si="21"/>
        <v/>
      </c>
      <c r="H498" s="13" t="str">
        <f t="shared" si="22"/>
        <v/>
      </c>
      <c r="I498" s="16" t="str">
        <f t="shared" si="23"/>
        <v/>
      </c>
      <c r="J498" s="11"/>
      <c r="K498" s="11"/>
      <c r="L498" s="11"/>
      <c r="M498" s="11"/>
      <c r="N498" s="11"/>
    </row>
    <row r="499" spans="1:14" ht="15.75" customHeight="1" x14ac:dyDescent="0.25">
      <c r="A499" s="11"/>
      <c r="B499" s="11"/>
      <c r="C499" s="11"/>
      <c r="D499" s="11"/>
      <c r="E499" s="11"/>
      <c r="F499" s="11"/>
      <c r="G499" s="15" t="str">
        <f t="shared" si="21"/>
        <v/>
      </c>
      <c r="H499" s="13" t="str">
        <f t="shared" si="22"/>
        <v/>
      </c>
      <c r="I499" s="16" t="str">
        <f t="shared" si="23"/>
        <v/>
      </c>
      <c r="J499" s="11"/>
      <c r="K499" s="11"/>
      <c r="L499" s="11"/>
      <c r="M499" s="11"/>
      <c r="N499" s="11"/>
    </row>
    <row r="500" spans="1:14" ht="15.75" customHeight="1" x14ac:dyDescent="0.25">
      <c r="A500" s="11"/>
      <c r="B500" s="11"/>
      <c r="C500" s="11"/>
      <c r="D500" s="11"/>
      <c r="E500" s="11"/>
      <c r="F500" s="11"/>
      <c r="G500" s="15" t="str">
        <f t="shared" si="21"/>
        <v/>
      </c>
      <c r="H500" s="13" t="str">
        <f t="shared" si="22"/>
        <v/>
      </c>
      <c r="I500" s="16" t="str">
        <f t="shared" si="23"/>
        <v/>
      </c>
      <c r="J500" s="11"/>
      <c r="K500" s="11"/>
      <c r="L500" s="11"/>
      <c r="M500" s="11"/>
      <c r="N500" s="11"/>
    </row>
    <row r="501" spans="1:14" ht="15.75" customHeight="1" x14ac:dyDescent="0.25">
      <c r="A501" s="11"/>
      <c r="B501" s="11"/>
      <c r="C501" s="11"/>
      <c r="D501" s="11"/>
      <c r="E501" s="11"/>
      <c r="F501" s="11"/>
      <c r="G501" s="15" t="str">
        <f t="shared" si="21"/>
        <v/>
      </c>
      <c r="H501" s="13" t="str">
        <f t="shared" si="22"/>
        <v/>
      </c>
      <c r="I501" s="16" t="str">
        <f t="shared" si="23"/>
        <v/>
      </c>
      <c r="J501" s="11"/>
      <c r="K501" s="11"/>
      <c r="L501" s="11"/>
      <c r="M501" s="11"/>
      <c r="N501" s="11"/>
    </row>
    <row r="502" spans="1:14" ht="15.75" customHeight="1" x14ac:dyDescent="0.25">
      <c r="A502" s="11"/>
      <c r="B502" s="11"/>
      <c r="C502" s="11"/>
      <c r="D502" s="11"/>
      <c r="E502" s="11"/>
      <c r="F502" s="11"/>
      <c r="G502" s="15" t="str">
        <f t="shared" si="21"/>
        <v/>
      </c>
      <c r="H502" s="13" t="str">
        <f t="shared" si="22"/>
        <v/>
      </c>
      <c r="I502" s="16" t="str">
        <f t="shared" si="23"/>
        <v/>
      </c>
      <c r="J502" s="11"/>
      <c r="K502" s="11"/>
      <c r="L502" s="11"/>
      <c r="M502" s="11"/>
      <c r="N502" s="11"/>
    </row>
    <row r="503" spans="1:14" ht="15.75" customHeight="1" x14ac:dyDescent="0.25">
      <c r="A503" s="11"/>
      <c r="B503" s="11"/>
      <c r="C503" s="11"/>
      <c r="D503" s="11"/>
      <c r="E503" s="11"/>
      <c r="F503" s="11"/>
      <c r="G503" s="15" t="str">
        <f t="shared" si="21"/>
        <v/>
      </c>
      <c r="H503" s="13" t="str">
        <f t="shared" si="22"/>
        <v/>
      </c>
      <c r="I503" s="16" t="str">
        <f t="shared" si="23"/>
        <v/>
      </c>
      <c r="J503" s="11"/>
      <c r="K503" s="11"/>
      <c r="L503" s="11"/>
      <c r="M503" s="11"/>
      <c r="N503" s="11"/>
    </row>
    <row r="504" spans="1:14" ht="15.75" customHeight="1" x14ac:dyDescent="0.25">
      <c r="A504" s="11"/>
      <c r="B504" s="11"/>
      <c r="C504" s="11"/>
      <c r="D504" s="11"/>
      <c r="E504" s="11"/>
      <c r="F504" s="11"/>
      <c r="G504" s="15" t="str">
        <f t="shared" si="21"/>
        <v/>
      </c>
      <c r="H504" s="13" t="str">
        <f t="shared" si="22"/>
        <v/>
      </c>
      <c r="I504" s="16" t="str">
        <f t="shared" si="23"/>
        <v/>
      </c>
      <c r="J504" s="11"/>
      <c r="K504" s="11"/>
      <c r="L504" s="11"/>
      <c r="M504" s="11"/>
      <c r="N504" s="11"/>
    </row>
    <row r="505" spans="1:14" ht="15.75" customHeight="1" x14ac:dyDescent="0.25">
      <c r="A505" s="11"/>
      <c r="B505" s="11"/>
      <c r="C505" s="11"/>
      <c r="D505" s="11"/>
      <c r="E505" s="11"/>
      <c r="F505" s="11"/>
      <c r="G505" s="15" t="str">
        <f t="shared" si="21"/>
        <v/>
      </c>
      <c r="H505" s="13" t="str">
        <f t="shared" si="22"/>
        <v/>
      </c>
      <c r="I505" s="16" t="str">
        <f t="shared" si="23"/>
        <v/>
      </c>
      <c r="J505" s="11"/>
      <c r="K505" s="11"/>
      <c r="L505" s="11"/>
      <c r="M505" s="11"/>
      <c r="N505" s="11"/>
    </row>
    <row r="506" spans="1:14" ht="15.75" customHeight="1" x14ac:dyDescent="0.25">
      <c r="A506" s="11"/>
      <c r="B506" s="11"/>
      <c r="C506" s="11"/>
      <c r="D506" s="11"/>
      <c r="E506" s="11"/>
      <c r="F506" s="11"/>
      <c r="G506" s="15" t="str">
        <f t="shared" si="21"/>
        <v/>
      </c>
      <c r="H506" s="13" t="str">
        <f t="shared" si="22"/>
        <v/>
      </c>
      <c r="I506" s="16" t="str">
        <f t="shared" si="23"/>
        <v/>
      </c>
      <c r="J506" s="11"/>
      <c r="K506" s="11"/>
      <c r="L506" s="11"/>
      <c r="M506" s="11"/>
      <c r="N506" s="11"/>
    </row>
    <row r="507" spans="1:14" ht="15.75" customHeight="1" x14ac:dyDescent="0.25">
      <c r="A507" s="11"/>
      <c r="B507" s="11"/>
      <c r="C507" s="11"/>
      <c r="D507" s="11"/>
      <c r="E507" s="11"/>
      <c r="F507" s="11"/>
      <c r="G507" s="15" t="str">
        <f t="shared" si="21"/>
        <v/>
      </c>
      <c r="H507" s="13" t="str">
        <f t="shared" si="22"/>
        <v/>
      </c>
      <c r="I507" s="16" t="str">
        <f t="shared" si="23"/>
        <v/>
      </c>
      <c r="J507" s="11"/>
      <c r="K507" s="11"/>
      <c r="L507" s="11"/>
      <c r="M507" s="11"/>
      <c r="N507" s="11"/>
    </row>
    <row r="508" spans="1:14" ht="15.75" customHeight="1" x14ac:dyDescent="0.25">
      <c r="A508" s="11"/>
      <c r="B508" s="11"/>
      <c r="C508" s="11"/>
      <c r="D508" s="11"/>
      <c r="E508" s="11"/>
      <c r="F508" s="11"/>
      <c r="G508" s="15" t="str">
        <f t="shared" si="21"/>
        <v/>
      </c>
      <c r="H508" s="13" t="str">
        <f t="shared" si="22"/>
        <v/>
      </c>
      <c r="I508" s="16" t="str">
        <f t="shared" si="23"/>
        <v/>
      </c>
      <c r="J508" s="11"/>
      <c r="K508" s="11"/>
      <c r="L508" s="11"/>
      <c r="M508" s="11"/>
      <c r="N508" s="11"/>
    </row>
    <row r="509" spans="1:14" ht="15.75" customHeight="1" x14ac:dyDescent="0.25">
      <c r="A509" s="11"/>
      <c r="B509" s="11"/>
      <c r="C509" s="11"/>
      <c r="D509" s="11"/>
      <c r="E509" s="11"/>
      <c r="F509" s="11"/>
      <c r="G509" s="15" t="str">
        <f t="shared" si="21"/>
        <v/>
      </c>
      <c r="H509" s="13" t="str">
        <f t="shared" si="22"/>
        <v/>
      </c>
      <c r="I509" s="16" t="str">
        <f t="shared" si="23"/>
        <v/>
      </c>
      <c r="J509" s="11"/>
      <c r="K509" s="11"/>
      <c r="L509" s="11"/>
      <c r="M509" s="11"/>
      <c r="N509" s="11"/>
    </row>
    <row r="510" spans="1:14" ht="15.75" customHeight="1" x14ac:dyDescent="0.25">
      <c r="A510" s="11"/>
      <c r="B510" s="11"/>
      <c r="C510" s="11"/>
      <c r="D510" s="11"/>
      <c r="E510" s="11"/>
      <c r="F510" s="11"/>
      <c r="G510" s="15" t="str">
        <f t="shared" si="21"/>
        <v/>
      </c>
      <c r="H510" s="13" t="str">
        <f t="shared" si="22"/>
        <v/>
      </c>
      <c r="I510" s="16" t="str">
        <f t="shared" si="23"/>
        <v/>
      </c>
      <c r="J510" s="11"/>
      <c r="K510" s="11"/>
      <c r="L510" s="11"/>
      <c r="M510" s="11"/>
      <c r="N510" s="11"/>
    </row>
    <row r="511" spans="1:14" ht="15.75" customHeight="1" x14ac:dyDescent="0.25">
      <c r="A511" s="11"/>
      <c r="B511" s="11"/>
      <c r="C511" s="11"/>
      <c r="D511" s="11"/>
      <c r="E511" s="11"/>
      <c r="F511" s="11"/>
      <c r="G511" s="15" t="str">
        <f t="shared" si="21"/>
        <v/>
      </c>
      <c r="H511" s="13" t="str">
        <f t="shared" si="22"/>
        <v/>
      </c>
      <c r="I511" s="16" t="str">
        <f t="shared" si="23"/>
        <v/>
      </c>
      <c r="J511" s="11"/>
      <c r="K511" s="11"/>
      <c r="L511" s="11"/>
      <c r="M511" s="11"/>
      <c r="N511" s="11"/>
    </row>
    <row r="512" spans="1:14" ht="15.75" customHeight="1" x14ac:dyDescent="0.25">
      <c r="A512" s="11"/>
      <c r="B512" s="11"/>
      <c r="C512" s="11"/>
      <c r="D512" s="11"/>
      <c r="E512" s="11"/>
      <c r="F512" s="11"/>
      <c r="G512" s="15" t="str">
        <f t="shared" si="21"/>
        <v/>
      </c>
      <c r="H512" s="13" t="str">
        <f t="shared" si="22"/>
        <v/>
      </c>
      <c r="I512" s="16" t="str">
        <f t="shared" si="23"/>
        <v/>
      </c>
      <c r="J512" s="11"/>
      <c r="K512" s="11"/>
      <c r="L512" s="11"/>
      <c r="M512" s="11"/>
      <c r="N512" s="11"/>
    </row>
    <row r="513" spans="1:14" ht="15.75" customHeight="1" x14ac:dyDescent="0.25">
      <c r="A513" s="11"/>
      <c r="B513" s="11"/>
      <c r="C513" s="11"/>
      <c r="D513" s="11"/>
      <c r="E513" s="11"/>
      <c r="F513" s="11"/>
      <c r="G513" s="15" t="str">
        <f t="shared" si="21"/>
        <v/>
      </c>
      <c r="H513" s="13" t="str">
        <f t="shared" si="22"/>
        <v/>
      </c>
      <c r="I513" s="16" t="str">
        <f t="shared" si="23"/>
        <v/>
      </c>
      <c r="J513" s="11"/>
      <c r="K513" s="11"/>
      <c r="L513" s="11"/>
      <c r="M513" s="11"/>
      <c r="N513" s="11"/>
    </row>
    <row r="514" spans="1:14" ht="15.75" customHeight="1" x14ac:dyDescent="0.25">
      <c r="A514" s="11"/>
      <c r="B514" s="11"/>
      <c r="C514" s="11"/>
      <c r="D514" s="11"/>
      <c r="E514" s="11"/>
      <c r="F514" s="11"/>
      <c r="G514" s="15" t="str">
        <f t="shared" si="21"/>
        <v/>
      </c>
      <c r="H514" s="13" t="str">
        <f t="shared" si="22"/>
        <v/>
      </c>
      <c r="I514" s="16" t="str">
        <f t="shared" si="23"/>
        <v/>
      </c>
      <c r="J514" s="11"/>
      <c r="K514" s="11"/>
      <c r="L514" s="11"/>
      <c r="M514" s="11"/>
      <c r="N514" s="11"/>
    </row>
    <row r="515" spans="1:14" ht="15.75" customHeight="1" x14ac:dyDescent="0.25">
      <c r="A515" s="11"/>
      <c r="B515" s="11"/>
      <c r="C515" s="11"/>
      <c r="D515" s="11"/>
      <c r="E515" s="11"/>
      <c r="F515" s="11"/>
      <c r="G515" s="15" t="str">
        <f t="shared" si="21"/>
        <v/>
      </c>
      <c r="H515" s="13" t="str">
        <f t="shared" si="22"/>
        <v/>
      </c>
      <c r="I515" s="16" t="str">
        <f t="shared" si="23"/>
        <v/>
      </c>
      <c r="J515" s="11"/>
      <c r="K515" s="11"/>
      <c r="L515" s="11"/>
      <c r="M515" s="11"/>
      <c r="N515" s="11"/>
    </row>
    <row r="516" spans="1:14" ht="15.75" customHeight="1" x14ac:dyDescent="0.25">
      <c r="A516" s="11"/>
      <c r="B516" s="11"/>
      <c r="C516" s="11"/>
      <c r="D516" s="11"/>
      <c r="E516" s="11"/>
      <c r="F516" s="11"/>
      <c r="G516" s="15" t="str">
        <f t="shared" ref="G516:G579" si="24">IF(E516="","",IF(OR(E516="Withdrawal",E516="Loan Disbursement"),F516,0))</f>
        <v/>
      </c>
      <c r="H516" s="13" t="str">
        <f t="shared" ref="H516:H579" si="25">IF(E516="","",IF(OR(E516="Savings Deposit",E516="Loan Repayment"),F516,0))</f>
        <v/>
      </c>
      <c r="I516" s="16" t="str">
        <f t="shared" si="23"/>
        <v/>
      </c>
      <c r="J516" s="11"/>
      <c r="K516" s="11"/>
      <c r="L516" s="11"/>
      <c r="M516" s="11"/>
      <c r="N516" s="11"/>
    </row>
    <row r="517" spans="1:14" ht="15.75" customHeight="1" x14ac:dyDescent="0.25">
      <c r="A517" s="11"/>
      <c r="B517" s="11"/>
      <c r="C517" s="11"/>
      <c r="D517" s="11"/>
      <c r="E517" s="11"/>
      <c r="F517" s="11"/>
      <c r="G517" s="15" t="str">
        <f t="shared" si="24"/>
        <v/>
      </c>
      <c r="H517" s="13" t="str">
        <f t="shared" si="25"/>
        <v/>
      </c>
      <c r="I517" s="16" t="str">
        <f t="shared" ref="I517:I580" si="26">IF(A517="","",I516+H517-G517)</f>
        <v/>
      </c>
      <c r="J517" s="11"/>
      <c r="K517" s="11"/>
      <c r="L517" s="11"/>
      <c r="M517" s="11"/>
      <c r="N517" s="11"/>
    </row>
    <row r="518" spans="1:14" ht="15.75" customHeight="1" x14ac:dyDescent="0.25">
      <c r="A518" s="11"/>
      <c r="B518" s="11"/>
      <c r="C518" s="11"/>
      <c r="D518" s="11"/>
      <c r="E518" s="11"/>
      <c r="F518" s="11"/>
      <c r="G518" s="15" t="str">
        <f t="shared" si="24"/>
        <v/>
      </c>
      <c r="H518" s="13" t="str">
        <f t="shared" si="25"/>
        <v/>
      </c>
      <c r="I518" s="16" t="str">
        <f t="shared" si="26"/>
        <v/>
      </c>
      <c r="J518" s="11"/>
      <c r="K518" s="11"/>
      <c r="L518" s="11"/>
      <c r="M518" s="11"/>
      <c r="N518" s="11"/>
    </row>
    <row r="519" spans="1:14" ht="15.75" customHeight="1" x14ac:dyDescent="0.25">
      <c r="A519" s="11"/>
      <c r="B519" s="11"/>
      <c r="C519" s="11"/>
      <c r="D519" s="11"/>
      <c r="E519" s="11"/>
      <c r="F519" s="11"/>
      <c r="G519" s="15" t="str">
        <f t="shared" si="24"/>
        <v/>
      </c>
      <c r="H519" s="13" t="str">
        <f t="shared" si="25"/>
        <v/>
      </c>
      <c r="I519" s="16" t="str">
        <f t="shared" si="26"/>
        <v/>
      </c>
      <c r="J519" s="11"/>
      <c r="K519" s="11"/>
      <c r="L519" s="11"/>
      <c r="M519" s="11"/>
      <c r="N519" s="11"/>
    </row>
    <row r="520" spans="1:14" ht="15.75" customHeight="1" x14ac:dyDescent="0.25">
      <c r="A520" s="11"/>
      <c r="B520" s="11"/>
      <c r="C520" s="11"/>
      <c r="D520" s="11"/>
      <c r="E520" s="11"/>
      <c r="F520" s="11"/>
      <c r="G520" s="15" t="str">
        <f t="shared" si="24"/>
        <v/>
      </c>
      <c r="H520" s="13" t="str">
        <f t="shared" si="25"/>
        <v/>
      </c>
      <c r="I520" s="16" t="str">
        <f t="shared" si="26"/>
        <v/>
      </c>
      <c r="J520" s="11"/>
      <c r="K520" s="11"/>
      <c r="L520" s="11"/>
      <c r="M520" s="11"/>
      <c r="N520" s="11"/>
    </row>
    <row r="521" spans="1:14" ht="15.75" customHeight="1" x14ac:dyDescent="0.25">
      <c r="A521" s="11"/>
      <c r="B521" s="11"/>
      <c r="C521" s="11"/>
      <c r="D521" s="11"/>
      <c r="E521" s="11"/>
      <c r="F521" s="11"/>
      <c r="G521" s="15" t="str">
        <f t="shared" si="24"/>
        <v/>
      </c>
      <c r="H521" s="13" t="str">
        <f t="shared" si="25"/>
        <v/>
      </c>
      <c r="I521" s="16" t="str">
        <f t="shared" si="26"/>
        <v/>
      </c>
      <c r="J521" s="11"/>
      <c r="K521" s="11"/>
      <c r="L521" s="11"/>
      <c r="M521" s="11"/>
      <c r="N521" s="11"/>
    </row>
    <row r="522" spans="1:14" ht="15.75" customHeight="1" x14ac:dyDescent="0.25">
      <c r="A522" s="11"/>
      <c r="B522" s="11"/>
      <c r="C522" s="11"/>
      <c r="D522" s="11"/>
      <c r="E522" s="11"/>
      <c r="F522" s="11"/>
      <c r="G522" s="15" t="str">
        <f t="shared" si="24"/>
        <v/>
      </c>
      <c r="H522" s="13" t="str">
        <f t="shared" si="25"/>
        <v/>
      </c>
      <c r="I522" s="16" t="str">
        <f t="shared" si="26"/>
        <v/>
      </c>
      <c r="J522" s="11"/>
      <c r="K522" s="11"/>
      <c r="L522" s="11"/>
      <c r="M522" s="11"/>
      <c r="N522" s="11"/>
    </row>
    <row r="523" spans="1:14" ht="15.75" customHeight="1" x14ac:dyDescent="0.25">
      <c r="A523" s="11"/>
      <c r="B523" s="11"/>
      <c r="C523" s="11"/>
      <c r="D523" s="11"/>
      <c r="E523" s="11"/>
      <c r="F523" s="11"/>
      <c r="G523" s="15" t="str">
        <f t="shared" si="24"/>
        <v/>
      </c>
      <c r="H523" s="13" t="str">
        <f t="shared" si="25"/>
        <v/>
      </c>
      <c r="I523" s="16" t="str">
        <f t="shared" si="26"/>
        <v/>
      </c>
      <c r="J523" s="11"/>
      <c r="K523" s="11"/>
      <c r="L523" s="11"/>
      <c r="M523" s="11"/>
      <c r="N523" s="11"/>
    </row>
    <row r="524" spans="1:14" ht="15.75" customHeight="1" x14ac:dyDescent="0.25">
      <c r="A524" s="11"/>
      <c r="B524" s="11"/>
      <c r="C524" s="11"/>
      <c r="D524" s="11"/>
      <c r="E524" s="11"/>
      <c r="F524" s="11"/>
      <c r="G524" s="15" t="str">
        <f t="shared" si="24"/>
        <v/>
      </c>
      <c r="H524" s="13" t="str">
        <f t="shared" si="25"/>
        <v/>
      </c>
      <c r="I524" s="16" t="str">
        <f t="shared" si="26"/>
        <v/>
      </c>
      <c r="J524" s="11"/>
      <c r="K524" s="11"/>
      <c r="L524" s="11"/>
      <c r="M524" s="11"/>
      <c r="N524" s="11"/>
    </row>
    <row r="525" spans="1:14" ht="15.75" customHeight="1" x14ac:dyDescent="0.25">
      <c r="A525" s="11"/>
      <c r="B525" s="11"/>
      <c r="C525" s="11"/>
      <c r="D525" s="11"/>
      <c r="E525" s="11"/>
      <c r="F525" s="11"/>
      <c r="G525" s="15" t="str">
        <f t="shared" si="24"/>
        <v/>
      </c>
      <c r="H525" s="13" t="str">
        <f t="shared" si="25"/>
        <v/>
      </c>
      <c r="I525" s="16" t="str">
        <f t="shared" si="26"/>
        <v/>
      </c>
      <c r="J525" s="11"/>
      <c r="K525" s="11"/>
      <c r="L525" s="11"/>
      <c r="M525" s="11"/>
      <c r="N525" s="11"/>
    </row>
    <row r="526" spans="1:14" ht="15.75" customHeight="1" x14ac:dyDescent="0.25">
      <c r="A526" s="11"/>
      <c r="B526" s="11"/>
      <c r="C526" s="11"/>
      <c r="D526" s="11"/>
      <c r="E526" s="11"/>
      <c r="F526" s="11"/>
      <c r="G526" s="15" t="str">
        <f t="shared" si="24"/>
        <v/>
      </c>
      <c r="H526" s="13" t="str">
        <f t="shared" si="25"/>
        <v/>
      </c>
      <c r="I526" s="16" t="str">
        <f t="shared" si="26"/>
        <v/>
      </c>
      <c r="J526" s="11"/>
      <c r="K526" s="11"/>
      <c r="L526" s="11"/>
      <c r="M526" s="11"/>
      <c r="N526" s="11"/>
    </row>
    <row r="527" spans="1:14" ht="15.75" customHeight="1" x14ac:dyDescent="0.25">
      <c r="A527" s="11"/>
      <c r="B527" s="11"/>
      <c r="C527" s="11"/>
      <c r="D527" s="11"/>
      <c r="E527" s="11"/>
      <c r="F527" s="11"/>
      <c r="G527" s="15" t="str">
        <f t="shared" si="24"/>
        <v/>
      </c>
      <c r="H527" s="13" t="str">
        <f t="shared" si="25"/>
        <v/>
      </c>
      <c r="I527" s="16" t="str">
        <f t="shared" si="26"/>
        <v/>
      </c>
      <c r="J527" s="11"/>
      <c r="K527" s="11"/>
      <c r="L527" s="11"/>
      <c r="M527" s="11"/>
      <c r="N527" s="11"/>
    </row>
    <row r="528" spans="1:14" ht="15.75" customHeight="1" x14ac:dyDescent="0.25">
      <c r="A528" s="11"/>
      <c r="B528" s="11"/>
      <c r="C528" s="11"/>
      <c r="D528" s="11"/>
      <c r="E528" s="11"/>
      <c r="F528" s="11"/>
      <c r="G528" s="15" t="str">
        <f t="shared" si="24"/>
        <v/>
      </c>
      <c r="H528" s="13" t="str">
        <f t="shared" si="25"/>
        <v/>
      </c>
      <c r="I528" s="16" t="str">
        <f t="shared" si="26"/>
        <v/>
      </c>
      <c r="J528" s="11"/>
      <c r="K528" s="11"/>
      <c r="L528" s="11"/>
      <c r="M528" s="11"/>
      <c r="N528" s="11"/>
    </row>
    <row r="529" spans="1:14" ht="15.75" customHeight="1" x14ac:dyDescent="0.25">
      <c r="A529" s="11"/>
      <c r="B529" s="11"/>
      <c r="C529" s="11"/>
      <c r="D529" s="11"/>
      <c r="E529" s="11"/>
      <c r="F529" s="11"/>
      <c r="G529" s="15" t="str">
        <f t="shared" si="24"/>
        <v/>
      </c>
      <c r="H529" s="13" t="str">
        <f t="shared" si="25"/>
        <v/>
      </c>
      <c r="I529" s="16" t="str">
        <f t="shared" si="26"/>
        <v/>
      </c>
      <c r="J529" s="11"/>
      <c r="K529" s="11"/>
      <c r="L529" s="11"/>
      <c r="M529" s="11"/>
      <c r="N529" s="11"/>
    </row>
    <row r="530" spans="1:14" ht="15.75" customHeight="1" x14ac:dyDescent="0.25">
      <c r="A530" s="11"/>
      <c r="B530" s="11"/>
      <c r="C530" s="11"/>
      <c r="D530" s="11"/>
      <c r="E530" s="11"/>
      <c r="F530" s="11"/>
      <c r="G530" s="15" t="str">
        <f t="shared" si="24"/>
        <v/>
      </c>
      <c r="H530" s="13" t="str">
        <f t="shared" si="25"/>
        <v/>
      </c>
      <c r="I530" s="16" t="str">
        <f t="shared" si="26"/>
        <v/>
      </c>
      <c r="J530" s="11"/>
      <c r="K530" s="11"/>
      <c r="L530" s="11"/>
      <c r="M530" s="11"/>
      <c r="N530" s="11"/>
    </row>
    <row r="531" spans="1:14" ht="15.75" customHeight="1" x14ac:dyDescent="0.25">
      <c r="A531" s="11"/>
      <c r="B531" s="11"/>
      <c r="C531" s="11"/>
      <c r="D531" s="11"/>
      <c r="E531" s="11"/>
      <c r="F531" s="11"/>
      <c r="G531" s="15" t="str">
        <f t="shared" si="24"/>
        <v/>
      </c>
      <c r="H531" s="13" t="str">
        <f t="shared" si="25"/>
        <v/>
      </c>
      <c r="I531" s="16" t="str">
        <f t="shared" si="26"/>
        <v/>
      </c>
      <c r="J531" s="11"/>
      <c r="K531" s="11"/>
      <c r="L531" s="11"/>
      <c r="M531" s="11"/>
      <c r="N531" s="11"/>
    </row>
    <row r="532" spans="1:14" ht="15.75" customHeight="1" x14ac:dyDescent="0.25">
      <c r="A532" s="11"/>
      <c r="B532" s="11"/>
      <c r="C532" s="11"/>
      <c r="D532" s="11"/>
      <c r="E532" s="11"/>
      <c r="F532" s="11"/>
      <c r="G532" s="15" t="str">
        <f t="shared" si="24"/>
        <v/>
      </c>
      <c r="H532" s="13" t="str">
        <f t="shared" si="25"/>
        <v/>
      </c>
      <c r="I532" s="16" t="str">
        <f t="shared" si="26"/>
        <v/>
      </c>
      <c r="J532" s="11"/>
      <c r="K532" s="11"/>
      <c r="L532" s="11"/>
      <c r="M532" s="11"/>
      <c r="N532" s="11"/>
    </row>
    <row r="533" spans="1:14" ht="15.75" customHeight="1" x14ac:dyDescent="0.25">
      <c r="A533" s="11"/>
      <c r="B533" s="11"/>
      <c r="C533" s="11"/>
      <c r="D533" s="11"/>
      <c r="E533" s="11"/>
      <c r="F533" s="11"/>
      <c r="G533" s="15" t="str">
        <f t="shared" si="24"/>
        <v/>
      </c>
      <c r="H533" s="13" t="str">
        <f t="shared" si="25"/>
        <v/>
      </c>
      <c r="I533" s="16" t="str">
        <f t="shared" si="26"/>
        <v/>
      </c>
      <c r="J533" s="11"/>
      <c r="K533" s="11"/>
      <c r="L533" s="11"/>
      <c r="M533" s="11"/>
      <c r="N533" s="11"/>
    </row>
    <row r="534" spans="1:14" ht="15.75" customHeight="1" x14ac:dyDescent="0.25">
      <c r="A534" s="11"/>
      <c r="B534" s="11"/>
      <c r="C534" s="11"/>
      <c r="D534" s="11"/>
      <c r="E534" s="11"/>
      <c r="F534" s="11"/>
      <c r="G534" s="15" t="str">
        <f t="shared" si="24"/>
        <v/>
      </c>
      <c r="H534" s="13" t="str">
        <f t="shared" si="25"/>
        <v/>
      </c>
      <c r="I534" s="16" t="str">
        <f t="shared" si="26"/>
        <v/>
      </c>
      <c r="J534" s="11"/>
      <c r="K534" s="11"/>
      <c r="L534" s="11"/>
      <c r="M534" s="11"/>
      <c r="N534" s="11"/>
    </row>
    <row r="535" spans="1:14" ht="15.75" customHeight="1" x14ac:dyDescent="0.25">
      <c r="A535" s="11"/>
      <c r="B535" s="11"/>
      <c r="C535" s="11"/>
      <c r="D535" s="11"/>
      <c r="E535" s="11"/>
      <c r="F535" s="11"/>
      <c r="G535" s="15" t="str">
        <f t="shared" si="24"/>
        <v/>
      </c>
      <c r="H535" s="13" t="str">
        <f t="shared" si="25"/>
        <v/>
      </c>
      <c r="I535" s="16" t="str">
        <f t="shared" si="26"/>
        <v/>
      </c>
      <c r="J535" s="11"/>
      <c r="K535" s="11"/>
      <c r="L535" s="11"/>
      <c r="M535" s="11"/>
      <c r="N535" s="11"/>
    </row>
    <row r="536" spans="1:14" ht="15.75" customHeight="1" x14ac:dyDescent="0.25">
      <c r="A536" s="11"/>
      <c r="B536" s="11"/>
      <c r="C536" s="11"/>
      <c r="D536" s="11"/>
      <c r="E536" s="11"/>
      <c r="F536" s="11"/>
      <c r="G536" s="15" t="str">
        <f t="shared" si="24"/>
        <v/>
      </c>
      <c r="H536" s="13" t="str">
        <f t="shared" si="25"/>
        <v/>
      </c>
      <c r="I536" s="16" t="str">
        <f t="shared" si="26"/>
        <v/>
      </c>
      <c r="J536" s="11"/>
      <c r="K536" s="11"/>
      <c r="L536" s="11"/>
      <c r="M536" s="11"/>
      <c r="N536" s="11"/>
    </row>
    <row r="537" spans="1:14" ht="15.75" customHeight="1" x14ac:dyDescent="0.25">
      <c r="A537" s="11"/>
      <c r="B537" s="11"/>
      <c r="C537" s="11"/>
      <c r="D537" s="11"/>
      <c r="E537" s="11"/>
      <c r="F537" s="11"/>
      <c r="G537" s="15" t="str">
        <f t="shared" si="24"/>
        <v/>
      </c>
      <c r="H537" s="13" t="str">
        <f t="shared" si="25"/>
        <v/>
      </c>
      <c r="I537" s="16" t="str">
        <f t="shared" si="26"/>
        <v/>
      </c>
      <c r="J537" s="11"/>
      <c r="K537" s="11"/>
      <c r="L537" s="11"/>
      <c r="M537" s="11"/>
      <c r="N537" s="11"/>
    </row>
    <row r="538" spans="1:14" ht="15.75" customHeight="1" x14ac:dyDescent="0.25">
      <c r="A538" s="11"/>
      <c r="B538" s="11"/>
      <c r="C538" s="11"/>
      <c r="D538" s="11"/>
      <c r="E538" s="11"/>
      <c r="F538" s="11"/>
      <c r="G538" s="15" t="str">
        <f t="shared" si="24"/>
        <v/>
      </c>
      <c r="H538" s="13" t="str">
        <f t="shared" si="25"/>
        <v/>
      </c>
      <c r="I538" s="16" t="str">
        <f t="shared" si="26"/>
        <v/>
      </c>
      <c r="J538" s="11"/>
      <c r="K538" s="11"/>
      <c r="L538" s="11"/>
      <c r="M538" s="11"/>
      <c r="N538" s="11"/>
    </row>
    <row r="539" spans="1:14" ht="15.75" customHeight="1" x14ac:dyDescent="0.25">
      <c r="A539" s="11"/>
      <c r="B539" s="11"/>
      <c r="C539" s="11"/>
      <c r="D539" s="11"/>
      <c r="E539" s="11"/>
      <c r="F539" s="11"/>
      <c r="G539" s="15" t="str">
        <f t="shared" si="24"/>
        <v/>
      </c>
      <c r="H539" s="13" t="str">
        <f t="shared" si="25"/>
        <v/>
      </c>
      <c r="I539" s="16" t="str">
        <f t="shared" si="26"/>
        <v/>
      </c>
      <c r="J539" s="11"/>
      <c r="K539" s="11"/>
      <c r="L539" s="11"/>
      <c r="M539" s="11"/>
      <c r="N539" s="11"/>
    </row>
    <row r="540" spans="1:14" ht="15.75" customHeight="1" x14ac:dyDescent="0.25">
      <c r="A540" s="11"/>
      <c r="B540" s="11"/>
      <c r="C540" s="11"/>
      <c r="D540" s="11"/>
      <c r="E540" s="11"/>
      <c r="F540" s="11"/>
      <c r="G540" s="15" t="str">
        <f t="shared" si="24"/>
        <v/>
      </c>
      <c r="H540" s="13" t="str">
        <f t="shared" si="25"/>
        <v/>
      </c>
      <c r="I540" s="16" t="str">
        <f t="shared" si="26"/>
        <v/>
      </c>
      <c r="J540" s="11"/>
      <c r="K540" s="11"/>
      <c r="L540" s="11"/>
      <c r="M540" s="11"/>
      <c r="N540" s="11"/>
    </row>
    <row r="541" spans="1:14" ht="15.75" customHeight="1" x14ac:dyDescent="0.25">
      <c r="A541" s="11"/>
      <c r="B541" s="11"/>
      <c r="C541" s="11"/>
      <c r="D541" s="11"/>
      <c r="E541" s="11"/>
      <c r="F541" s="11"/>
      <c r="G541" s="15" t="str">
        <f t="shared" si="24"/>
        <v/>
      </c>
      <c r="H541" s="13" t="str">
        <f t="shared" si="25"/>
        <v/>
      </c>
      <c r="I541" s="16" t="str">
        <f t="shared" si="26"/>
        <v/>
      </c>
      <c r="J541" s="11"/>
      <c r="K541" s="11"/>
      <c r="L541" s="11"/>
      <c r="M541" s="11"/>
      <c r="N541" s="11"/>
    </row>
    <row r="542" spans="1:14" ht="15.75" customHeight="1" x14ac:dyDescent="0.25">
      <c r="A542" s="11"/>
      <c r="B542" s="11"/>
      <c r="C542" s="11"/>
      <c r="D542" s="11"/>
      <c r="E542" s="11"/>
      <c r="F542" s="11"/>
      <c r="G542" s="15" t="str">
        <f t="shared" si="24"/>
        <v/>
      </c>
      <c r="H542" s="13" t="str">
        <f t="shared" si="25"/>
        <v/>
      </c>
      <c r="I542" s="16" t="str">
        <f t="shared" si="26"/>
        <v/>
      </c>
      <c r="J542" s="11"/>
      <c r="K542" s="11"/>
      <c r="L542" s="11"/>
      <c r="M542" s="11"/>
      <c r="N542" s="11"/>
    </row>
    <row r="543" spans="1:14" ht="15.75" customHeight="1" x14ac:dyDescent="0.25">
      <c r="A543" s="11"/>
      <c r="B543" s="11"/>
      <c r="C543" s="11"/>
      <c r="D543" s="11"/>
      <c r="E543" s="11"/>
      <c r="F543" s="11"/>
      <c r="G543" s="15" t="str">
        <f t="shared" si="24"/>
        <v/>
      </c>
      <c r="H543" s="13" t="str">
        <f t="shared" si="25"/>
        <v/>
      </c>
      <c r="I543" s="16" t="str">
        <f t="shared" si="26"/>
        <v/>
      </c>
      <c r="J543" s="11"/>
      <c r="K543" s="11"/>
      <c r="L543" s="11"/>
      <c r="M543" s="11"/>
      <c r="N543" s="11"/>
    </row>
    <row r="544" spans="1:14" ht="15.75" customHeight="1" x14ac:dyDescent="0.25">
      <c r="A544" s="11"/>
      <c r="B544" s="11"/>
      <c r="C544" s="11"/>
      <c r="D544" s="11"/>
      <c r="E544" s="11"/>
      <c r="F544" s="11"/>
      <c r="G544" s="15" t="str">
        <f t="shared" si="24"/>
        <v/>
      </c>
      <c r="H544" s="13" t="str">
        <f t="shared" si="25"/>
        <v/>
      </c>
      <c r="I544" s="16" t="str">
        <f t="shared" si="26"/>
        <v/>
      </c>
      <c r="J544" s="11"/>
      <c r="K544" s="11"/>
      <c r="L544" s="11"/>
      <c r="M544" s="11"/>
      <c r="N544" s="11"/>
    </row>
    <row r="545" spans="1:14" ht="15.75" customHeight="1" x14ac:dyDescent="0.25">
      <c r="A545" s="11"/>
      <c r="B545" s="11"/>
      <c r="C545" s="11"/>
      <c r="D545" s="11"/>
      <c r="E545" s="11"/>
      <c r="F545" s="11"/>
      <c r="G545" s="15" t="str">
        <f t="shared" si="24"/>
        <v/>
      </c>
      <c r="H545" s="13" t="str">
        <f t="shared" si="25"/>
        <v/>
      </c>
      <c r="I545" s="16" t="str">
        <f t="shared" si="26"/>
        <v/>
      </c>
      <c r="J545" s="11"/>
      <c r="K545" s="11"/>
      <c r="L545" s="11"/>
      <c r="M545" s="11"/>
      <c r="N545" s="11"/>
    </row>
    <row r="546" spans="1:14" ht="15.75" customHeight="1" x14ac:dyDescent="0.25">
      <c r="A546" s="11"/>
      <c r="B546" s="11"/>
      <c r="C546" s="11"/>
      <c r="D546" s="11"/>
      <c r="E546" s="11"/>
      <c r="F546" s="11"/>
      <c r="G546" s="15" t="str">
        <f t="shared" si="24"/>
        <v/>
      </c>
      <c r="H546" s="13" t="str">
        <f t="shared" si="25"/>
        <v/>
      </c>
      <c r="I546" s="16" t="str">
        <f t="shared" si="26"/>
        <v/>
      </c>
      <c r="J546" s="11"/>
      <c r="K546" s="11"/>
      <c r="L546" s="11"/>
      <c r="M546" s="11"/>
      <c r="N546" s="11"/>
    </row>
    <row r="547" spans="1:14" ht="15.75" customHeight="1" x14ac:dyDescent="0.25">
      <c r="A547" s="11"/>
      <c r="B547" s="11"/>
      <c r="C547" s="11"/>
      <c r="D547" s="11"/>
      <c r="E547" s="11"/>
      <c r="F547" s="11"/>
      <c r="G547" s="15" t="str">
        <f t="shared" si="24"/>
        <v/>
      </c>
      <c r="H547" s="13" t="str">
        <f t="shared" si="25"/>
        <v/>
      </c>
      <c r="I547" s="16" t="str">
        <f t="shared" si="26"/>
        <v/>
      </c>
      <c r="J547" s="11"/>
      <c r="K547" s="11"/>
      <c r="L547" s="11"/>
      <c r="M547" s="11"/>
      <c r="N547" s="11"/>
    </row>
    <row r="548" spans="1:14" ht="15.75" customHeight="1" x14ac:dyDescent="0.25">
      <c r="A548" s="11"/>
      <c r="B548" s="11"/>
      <c r="C548" s="11"/>
      <c r="D548" s="11"/>
      <c r="E548" s="11"/>
      <c r="F548" s="11"/>
      <c r="G548" s="15" t="str">
        <f t="shared" si="24"/>
        <v/>
      </c>
      <c r="H548" s="13" t="str">
        <f t="shared" si="25"/>
        <v/>
      </c>
      <c r="I548" s="16" t="str">
        <f t="shared" si="26"/>
        <v/>
      </c>
      <c r="J548" s="11"/>
      <c r="K548" s="11"/>
      <c r="L548" s="11"/>
      <c r="M548" s="11"/>
      <c r="N548" s="11"/>
    </row>
    <row r="549" spans="1:14" ht="15.75" customHeight="1" x14ac:dyDescent="0.25">
      <c r="A549" s="11"/>
      <c r="B549" s="11"/>
      <c r="C549" s="11"/>
      <c r="D549" s="11"/>
      <c r="E549" s="11"/>
      <c r="F549" s="11"/>
      <c r="G549" s="15" t="str">
        <f t="shared" si="24"/>
        <v/>
      </c>
      <c r="H549" s="13" t="str">
        <f t="shared" si="25"/>
        <v/>
      </c>
      <c r="I549" s="16" t="str">
        <f t="shared" si="26"/>
        <v/>
      </c>
      <c r="J549" s="11"/>
      <c r="K549" s="11"/>
      <c r="L549" s="11"/>
      <c r="M549" s="11"/>
      <c r="N549" s="11"/>
    </row>
    <row r="550" spans="1:14" ht="15.75" customHeight="1" x14ac:dyDescent="0.25">
      <c r="A550" s="11"/>
      <c r="B550" s="11"/>
      <c r="C550" s="11"/>
      <c r="D550" s="11"/>
      <c r="E550" s="11"/>
      <c r="F550" s="11"/>
      <c r="G550" s="15" t="str">
        <f t="shared" si="24"/>
        <v/>
      </c>
      <c r="H550" s="13" t="str">
        <f t="shared" si="25"/>
        <v/>
      </c>
      <c r="I550" s="16" t="str">
        <f t="shared" si="26"/>
        <v/>
      </c>
      <c r="J550" s="11"/>
      <c r="K550" s="11"/>
      <c r="L550" s="11"/>
      <c r="M550" s="11"/>
      <c r="N550" s="11"/>
    </row>
    <row r="551" spans="1:14" ht="15.75" customHeight="1" x14ac:dyDescent="0.25">
      <c r="A551" s="11"/>
      <c r="B551" s="11"/>
      <c r="C551" s="11"/>
      <c r="D551" s="11"/>
      <c r="E551" s="11"/>
      <c r="F551" s="11"/>
      <c r="G551" s="15" t="str">
        <f t="shared" si="24"/>
        <v/>
      </c>
      <c r="H551" s="13" t="str">
        <f t="shared" si="25"/>
        <v/>
      </c>
      <c r="I551" s="16" t="str">
        <f t="shared" si="26"/>
        <v/>
      </c>
      <c r="J551" s="11"/>
      <c r="K551" s="11"/>
      <c r="L551" s="11"/>
      <c r="M551" s="11"/>
      <c r="N551" s="11"/>
    </row>
    <row r="552" spans="1:14" ht="15.75" customHeight="1" x14ac:dyDescent="0.25">
      <c r="A552" s="11"/>
      <c r="B552" s="11"/>
      <c r="C552" s="11"/>
      <c r="D552" s="11"/>
      <c r="E552" s="11"/>
      <c r="F552" s="11"/>
      <c r="G552" s="15" t="str">
        <f t="shared" si="24"/>
        <v/>
      </c>
      <c r="H552" s="13" t="str">
        <f t="shared" si="25"/>
        <v/>
      </c>
      <c r="I552" s="16" t="str">
        <f t="shared" si="26"/>
        <v/>
      </c>
      <c r="J552" s="11"/>
      <c r="K552" s="11"/>
      <c r="L552" s="11"/>
      <c r="M552" s="11"/>
      <c r="N552" s="11"/>
    </row>
    <row r="553" spans="1:14" ht="15.75" customHeight="1" x14ac:dyDescent="0.25">
      <c r="A553" s="11"/>
      <c r="B553" s="11"/>
      <c r="C553" s="11"/>
      <c r="D553" s="11"/>
      <c r="E553" s="11"/>
      <c r="F553" s="11"/>
      <c r="G553" s="15" t="str">
        <f t="shared" si="24"/>
        <v/>
      </c>
      <c r="H553" s="13" t="str">
        <f t="shared" si="25"/>
        <v/>
      </c>
      <c r="I553" s="16" t="str">
        <f t="shared" si="26"/>
        <v/>
      </c>
      <c r="J553" s="11"/>
      <c r="K553" s="11"/>
      <c r="L553" s="11"/>
      <c r="M553" s="11"/>
      <c r="N553" s="11"/>
    </row>
    <row r="554" spans="1:14" ht="15.75" customHeight="1" x14ac:dyDescent="0.25">
      <c r="A554" s="11"/>
      <c r="B554" s="11"/>
      <c r="C554" s="11"/>
      <c r="D554" s="11"/>
      <c r="E554" s="11"/>
      <c r="F554" s="11"/>
      <c r="G554" s="15" t="str">
        <f t="shared" si="24"/>
        <v/>
      </c>
      <c r="H554" s="13" t="str">
        <f t="shared" si="25"/>
        <v/>
      </c>
      <c r="I554" s="16" t="str">
        <f t="shared" si="26"/>
        <v/>
      </c>
      <c r="J554" s="11"/>
      <c r="K554" s="11"/>
      <c r="L554" s="11"/>
      <c r="M554" s="11"/>
      <c r="N554" s="11"/>
    </row>
    <row r="555" spans="1:14" ht="15.75" customHeight="1" x14ac:dyDescent="0.25">
      <c r="A555" s="11"/>
      <c r="B555" s="11"/>
      <c r="C555" s="11"/>
      <c r="D555" s="11"/>
      <c r="E555" s="11"/>
      <c r="F555" s="11"/>
      <c r="G555" s="15" t="str">
        <f t="shared" si="24"/>
        <v/>
      </c>
      <c r="H555" s="13" t="str">
        <f t="shared" si="25"/>
        <v/>
      </c>
      <c r="I555" s="16" t="str">
        <f t="shared" si="26"/>
        <v/>
      </c>
      <c r="J555" s="11"/>
      <c r="K555" s="11"/>
      <c r="L555" s="11"/>
      <c r="M555" s="11"/>
      <c r="N555" s="11"/>
    </row>
    <row r="556" spans="1:14" ht="15.75" customHeight="1" x14ac:dyDescent="0.25">
      <c r="A556" s="11"/>
      <c r="B556" s="11"/>
      <c r="C556" s="11"/>
      <c r="D556" s="11"/>
      <c r="E556" s="11"/>
      <c r="F556" s="11"/>
      <c r="G556" s="15" t="str">
        <f t="shared" si="24"/>
        <v/>
      </c>
      <c r="H556" s="13" t="str">
        <f t="shared" si="25"/>
        <v/>
      </c>
      <c r="I556" s="16" t="str">
        <f t="shared" si="26"/>
        <v/>
      </c>
      <c r="J556" s="11"/>
      <c r="K556" s="11"/>
      <c r="L556" s="11"/>
      <c r="M556" s="11"/>
      <c r="N556" s="11"/>
    </row>
    <row r="557" spans="1:14" ht="15.75" customHeight="1" x14ac:dyDescent="0.25">
      <c r="A557" s="11"/>
      <c r="B557" s="11"/>
      <c r="C557" s="11"/>
      <c r="D557" s="11"/>
      <c r="E557" s="11"/>
      <c r="F557" s="11"/>
      <c r="G557" s="15" t="str">
        <f t="shared" si="24"/>
        <v/>
      </c>
      <c r="H557" s="13" t="str">
        <f t="shared" si="25"/>
        <v/>
      </c>
      <c r="I557" s="16" t="str">
        <f t="shared" si="26"/>
        <v/>
      </c>
      <c r="J557" s="11"/>
      <c r="K557" s="11"/>
      <c r="L557" s="11"/>
      <c r="M557" s="11"/>
      <c r="N557" s="11"/>
    </row>
    <row r="558" spans="1:14" ht="15.75" customHeight="1" x14ac:dyDescent="0.25">
      <c r="A558" s="11"/>
      <c r="B558" s="11"/>
      <c r="C558" s="11"/>
      <c r="D558" s="11"/>
      <c r="E558" s="11"/>
      <c r="F558" s="11"/>
      <c r="G558" s="15" t="str">
        <f t="shared" si="24"/>
        <v/>
      </c>
      <c r="H558" s="13" t="str">
        <f t="shared" si="25"/>
        <v/>
      </c>
      <c r="I558" s="16" t="str">
        <f t="shared" si="26"/>
        <v/>
      </c>
      <c r="J558" s="11"/>
      <c r="K558" s="11"/>
      <c r="L558" s="11"/>
      <c r="M558" s="11"/>
      <c r="N558" s="11"/>
    </row>
    <row r="559" spans="1:14" ht="15.75" customHeight="1" x14ac:dyDescent="0.25">
      <c r="A559" s="11"/>
      <c r="B559" s="11"/>
      <c r="C559" s="11"/>
      <c r="D559" s="11"/>
      <c r="E559" s="11"/>
      <c r="F559" s="11"/>
      <c r="G559" s="15" t="str">
        <f t="shared" si="24"/>
        <v/>
      </c>
      <c r="H559" s="13" t="str">
        <f t="shared" si="25"/>
        <v/>
      </c>
      <c r="I559" s="16" t="str">
        <f t="shared" si="26"/>
        <v/>
      </c>
      <c r="J559" s="11"/>
      <c r="K559" s="11"/>
      <c r="L559" s="11"/>
      <c r="M559" s="11"/>
      <c r="N559" s="11"/>
    </row>
    <row r="560" spans="1:14" ht="15.75" customHeight="1" x14ac:dyDescent="0.25">
      <c r="A560" s="11"/>
      <c r="B560" s="11"/>
      <c r="C560" s="11"/>
      <c r="D560" s="11"/>
      <c r="E560" s="11"/>
      <c r="F560" s="11"/>
      <c r="G560" s="15" t="str">
        <f t="shared" si="24"/>
        <v/>
      </c>
      <c r="H560" s="13" t="str">
        <f t="shared" si="25"/>
        <v/>
      </c>
      <c r="I560" s="16" t="str">
        <f t="shared" si="26"/>
        <v/>
      </c>
      <c r="J560" s="11"/>
      <c r="K560" s="11"/>
      <c r="L560" s="11"/>
      <c r="M560" s="11"/>
      <c r="N560" s="11"/>
    </row>
    <row r="561" spans="1:14" ht="15.75" customHeight="1" x14ac:dyDescent="0.25">
      <c r="A561" s="11"/>
      <c r="B561" s="11"/>
      <c r="C561" s="11"/>
      <c r="D561" s="11"/>
      <c r="E561" s="11"/>
      <c r="F561" s="11"/>
      <c r="G561" s="15" t="str">
        <f t="shared" si="24"/>
        <v/>
      </c>
      <c r="H561" s="13" t="str">
        <f t="shared" si="25"/>
        <v/>
      </c>
      <c r="I561" s="16" t="str">
        <f t="shared" si="26"/>
        <v/>
      </c>
      <c r="J561" s="11"/>
      <c r="K561" s="11"/>
      <c r="L561" s="11"/>
      <c r="M561" s="11"/>
      <c r="N561" s="11"/>
    </row>
    <row r="562" spans="1:14" ht="15.75" customHeight="1" x14ac:dyDescent="0.25">
      <c r="A562" s="11"/>
      <c r="B562" s="11"/>
      <c r="C562" s="11"/>
      <c r="D562" s="11"/>
      <c r="E562" s="11"/>
      <c r="F562" s="11"/>
      <c r="G562" s="15" t="str">
        <f t="shared" si="24"/>
        <v/>
      </c>
      <c r="H562" s="13" t="str">
        <f t="shared" si="25"/>
        <v/>
      </c>
      <c r="I562" s="16" t="str">
        <f t="shared" si="26"/>
        <v/>
      </c>
      <c r="J562" s="11"/>
      <c r="K562" s="11"/>
      <c r="L562" s="11"/>
      <c r="M562" s="11"/>
      <c r="N562" s="11"/>
    </row>
    <row r="563" spans="1:14" ht="15.75" customHeight="1" x14ac:dyDescent="0.25">
      <c r="A563" s="11"/>
      <c r="B563" s="11"/>
      <c r="C563" s="11"/>
      <c r="D563" s="11"/>
      <c r="E563" s="11"/>
      <c r="F563" s="11"/>
      <c r="G563" s="15" t="str">
        <f t="shared" si="24"/>
        <v/>
      </c>
      <c r="H563" s="13" t="str">
        <f t="shared" si="25"/>
        <v/>
      </c>
      <c r="I563" s="16" t="str">
        <f t="shared" si="26"/>
        <v/>
      </c>
      <c r="J563" s="11"/>
      <c r="K563" s="11"/>
      <c r="L563" s="11"/>
      <c r="M563" s="11"/>
      <c r="N563" s="11"/>
    </row>
    <row r="564" spans="1:14" ht="15.75" customHeight="1" x14ac:dyDescent="0.25">
      <c r="A564" s="11"/>
      <c r="B564" s="11"/>
      <c r="C564" s="11"/>
      <c r="D564" s="11"/>
      <c r="E564" s="11"/>
      <c r="F564" s="11"/>
      <c r="G564" s="15" t="str">
        <f t="shared" si="24"/>
        <v/>
      </c>
      <c r="H564" s="13" t="str">
        <f t="shared" si="25"/>
        <v/>
      </c>
      <c r="I564" s="16" t="str">
        <f t="shared" si="26"/>
        <v/>
      </c>
      <c r="J564" s="11"/>
      <c r="K564" s="11"/>
      <c r="L564" s="11"/>
      <c r="M564" s="11"/>
      <c r="N564" s="11"/>
    </row>
    <row r="565" spans="1:14" ht="15.75" customHeight="1" x14ac:dyDescent="0.25">
      <c r="A565" s="11"/>
      <c r="B565" s="11"/>
      <c r="C565" s="11"/>
      <c r="D565" s="11"/>
      <c r="E565" s="11"/>
      <c r="F565" s="11"/>
      <c r="G565" s="15" t="str">
        <f t="shared" si="24"/>
        <v/>
      </c>
      <c r="H565" s="13" t="str">
        <f t="shared" si="25"/>
        <v/>
      </c>
      <c r="I565" s="16" t="str">
        <f t="shared" si="26"/>
        <v/>
      </c>
      <c r="J565" s="11"/>
      <c r="K565" s="11"/>
      <c r="L565" s="11"/>
      <c r="M565" s="11"/>
      <c r="N565" s="11"/>
    </row>
    <row r="566" spans="1:14" ht="15.75" customHeight="1" x14ac:dyDescent="0.25">
      <c r="A566" s="11"/>
      <c r="B566" s="11"/>
      <c r="C566" s="11"/>
      <c r="D566" s="11"/>
      <c r="E566" s="11"/>
      <c r="F566" s="11"/>
      <c r="G566" s="15" t="str">
        <f t="shared" si="24"/>
        <v/>
      </c>
      <c r="H566" s="13" t="str">
        <f t="shared" si="25"/>
        <v/>
      </c>
      <c r="I566" s="16" t="str">
        <f t="shared" si="26"/>
        <v/>
      </c>
      <c r="J566" s="11"/>
      <c r="K566" s="11"/>
      <c r="L566" s="11"/>
      <c r="M566" s="11"/>
      <c r="N566" s="11"/>
    </row>
    <row r="567" spans="1:14" ht="15.75" customHeight="1" x14ac:dyDescent="0.25">
      <c r="A567" s="11"/>
      <c r="B567" s="11"/>
      <c r="C567" s="11"/>
      <c r="D567" s="11"/>
      <c r="E567" s="11"/>
      <c r="F567" s="11"/>
      <c r="G567" s="15" t="str">
        <f t="shared" si="24"/>
        <v/>
      </c>
      <c r="H567" s="13" t="str">
        <f t="shared" si="25"/>
        <v/>
      </c>
      <c r="I567" s="16" t="str">
        <f t="shared" si="26"/>
        <v/>
      </c>
      <c r="J567" s="11"/>
      <c r="K567" s="11"/>
      <c r="L567" s="11"/>
      <c r="M567" s="11"/>
      <c r="N567" s="11"/>
    </row>
    <row r="568" spans="1:14" ht="15.75" customHeight="1" x14ac:dyDescent="0.25">
      <c r="A568" s="11"/>
      <c r="B568" s="11"/>
      <c r="C568" s="11"/>
      <c r="D568" s="11"/>
      <c r="E568" s="11"/>
      <c r="F568" s="11"/>
      <c r="G568" s="15" t="str">
        <f t="shared" si="24"/>
        <v/>
      </c>
      <c r="H568" s="13" t="str">
        <f t="shared" si="25"/>
        <v/>
      </c>
      <c r="I568" s="16" t="str">
        <f t="shared" si="26"/>
        <v/>
      </c>
      <c r="J568" s="11"/>
      <c r="K568" s="11"/>
      <c r="L568" s="11"/>
      <c r="M568" s="11"/>
      <c r="N568" s="11"/>
    </row>
    <row r="569" spans="1:14" ht="15.75" customHeight="1" x14ac:dyDescent="0.25">
      <c r="A569" s="11"/>
      <c r="B569" s="11"/>
      <c r="C569" s="11"/>
      <c r="D569" s="11"/>
      <c r="E569" s="11"/>
      <c r="F569" s="11"/>
      <c r="G569" s="15" t="str">
        <f t="shared" si="24"/>
        <v/>
      </c>
      <c r="H569" s="13" t="str">
        <f t="shared" si="25"/>
        <v/>
      </c>
      <c r="I569" s="16" t="str">
        <f t="shared" si="26"/>
        <v/>
      </c>
      <c r="J569" s="11"/>
      <c r="K569" s="11"/>
      <c r="L569" s="11"/>
      <c r="M569" s="11"/>
      <c r="N569" s="11"/>
    </row>
    <row r="570" spans="1:14" ht="15.75" customHeight="1" x14ac:dyDescent="0.25">
      <c r="A570" s="11"/>
      <c r="B570" s="11"/>
      <c r="C570" s="11"/>
      <c r="D570" s="11"/>
      <c r="E570" s="11"/>
      <c r="F570" s="11"/>
      <c r="G570" s="15" t="str">
        <f t="shared" si="24"/>
        <v/>
      </c>
      <c r="H570" s="13" t="str">
        <f t="shared" si="25"/>
        <v/>
      </c>
      <c r="I570" s="16" t="str">
        <f t="shared" si="26"/>
        <v/>
      </c>
      <c r="J570" s="11"/>
      <c r="K570" s="11"/>
      <c r="L570" s="11"/>
      <c r="M570" s="11"/>
      <c r="N570" s="11"/>
    </row>
    <row r="571" spans="1:14" ht="15.75" customHeight="1" x14ac:dyDescent="0.25">
      <c r="A571" s="11"/>
      <c r="B571" s="11"/>
      <c r="C571" s="11"/>
      <c r="D571" s="11"/>
      <c r="E571" s="11"/>
      <c r="F571" s="11"/>
      <c r="G571" s="15" t="str">
        <f t="shared" si="24"/>
        <v/>
      </c>
      <c r="H571" s="13" t="str">
        <f t="shared" si="25"/>
        <v/>
      </c>
      <c r="I571" s="16" t="str">
        <f t="shared" si="26"/>
        <v/>
      </c>
      <c r="J571" s="11"/>
      <c r="K571" s="11"/>
      <c r="L571" s="11"/>
      <c r="M571" s="11"/>
      <c r="N571" s="11"/>
    </row>
    <row r="572" spans="1:14" ht="15.75" customHeight="1" x14ac:dyDescent="0.25">
      <c r="A572" s="11"/>
      <c r="B572" s="11"/>
      <c r="C572" s="11"/>
      <c r="D572" s="11"/>
      <c r="E572" s="11"/>
      <c r="F572" s="11"/>
      <c r="G572" s="15" t="str">
        <f t="shared" si="24"/>
        <v/>
      </c>
      <c r="H572" s="13" t="str">
        <f t="shared" si="25"/>
        <v/>
      </c>
      <c r="I572" s="16" t="str">
        <f t="shared" si="26"/>
        <v/>
      </c>
      <c r="J572" s="11"/>
      <c r="K572" s="11"/>
      <c r="L572" s="11"/>
      <c r="M572" s="11"/>
      <c r="N572" s="11"/>
    </row>
    <row r="573" spans="1:14" ht="15.75" customHeight="1" x14ac:dyDescent="0.25">
      <c r="A573" s="11"/>
      <c r="B573" s="11"/>
      <c r="C573" s="11"/>
      <c r="D573" s="11"/>
      <c r="E573" s="11"/>
      <c r="F573" s="11"/>
      <c r="G573" s="15" t="str">
        <f t="shared" si="24"/>
        <v/>
      </c>
      <c r="H573" s="13" t="str">
        <f t="shared" si="25"/>
        <v/>
      </c>
      <c r="I573" s="16" t="str">
        <f t="shared" si="26"/>
        <v/>
      </c>
      <c r="J573" s="11"/>
      <c r="K573" s="11"/>
      <c r="L573" s="11"/>
      <c r="M573" s="11"/>
      <c r="N573" s="11"/>
    </row>
    <row r="574" spans="1:14" ht="15.75" customHeight="1" x14ac:dyDescent="0.25">
      <c r="A574" s="11"/>
      <c r="B574" s="11"/>
      <c r="C574" s="11"/>
      <c r="D574" s="11"/>
      <c r="E574" s="11"/>
      <c r="F574" s="11"/>
      <c r="G574" s="15" t="str">
        <f t="shared" si="24"/>
        <v/>
      </c>
      <c r="H574" s="13" t="str">
        <f t="shared" si="25"/>
        <v/>
      </c>
      <c r="I574" s="16" t="str">
        <f t="shared" si="26"/>
        <v/>
      </c>
      <c r="J574" s="11"/>
      <c r="K574" s="11"/>
      <c r="L574" s="11"/>
      <c r="M574" s="11"/>
      <c r="N574" s="11"/>
    </row>
    <row r="575" spans="1:14" ht="15.75" customHeight="1" x14ac:dyDescent="0.25">
      <c r="A575" s="11"/>
      <c r="B575" s="11"/>
      <c r="C575" s="11"/>
      <c r="D575" s="11"/>
      <c r="E575" s="11"/>
      <c r="F575" s="11"/>
      <c r="G575" s="15" t="str">
        <f t="shared" si="24"/>
        <v/>
      </c>
      <c r="H575" s="13" t="str">
        <f t="shared" si="25"/>
        <v/>
      </c>
      <c r="I575" s="16" t="str">
        <f t="shared" si="26"/>
        <v/>
      </c>
      <c r="J575" s="11"/>
      <c r="K575" s="11"/>
      <c r="L575" s="11"/>
      <c r="M575" s="11"/>
      <c r="N575" s="11"/>
    </row>
    <row r="576" spans="1:14" ht="15.75" customHeight="1" x14ac:dyDescent="0.25">
      <c r="A576" s="11"/>
      <c r="B576" s="11"/>
      <c r="C576" s="11"/>
      <c r="D576" s="11"/>
      <c r="E576" s="11"/>
      <c r="F576" s="11"/>
      <c r="G576" s="15" t="str">
        <f t="shared" si="24"/>
        <v/>
      </c>
      <c r="H576" s="13" t="str">
        <f t="shared" si="25"/>
        <v/>
      </c>
      <c r="I576" s="16" t="str">
        <f t="shared" si="26"/>
        <v/>
      </c>
      <c r="J576" s="11"/>
      <c r="K576" s="11"/>
      <c r="L576" s="11"/>
      <c r="M576" s="11"/>
      <c r="N576" s="11"/>
    </row>
    <row r="577" spans="1:14" ht="15.75" customHeight="1" x14ac:dyDescent="0.25">
      <c r="A577" s="11"/>
      <c r="B577" s="11"/>
      <c r="C577" s="11"/>
      <c r="D577" s="11"/>
      <c r="E577" s="11"/>
      <c r="F577" s="11"/>
      <c r="G577" s="15" t="str">
        <f t="shared" si="24"/>
        <v/>
      </c>
      <c r="H577" s="13" t="str">
        <f t="shared" si="25"/>
        <v/>
      </c>
      <c r="I577" s="16" t="str">
        <f t="shared" si="26"/>
        <v/>
      </c>
      <c r="J577" s="11"/>
      <c r="K577" s="11"/>
      <c r="L577" s="11"/>
      <c r="M577" s="11"/>
      <c r="N577" s="11"/>
    </row>
    <row r="578" spans="1:14" ht="15.75" customHeight="1" x14ac:dyDescent="0.25">
      <c r="A578" s="11"/>
      <c r="B578" s="11"/>
      <c r="C578" s="11"/>
      <c r="D578" s="11"/>
      <c r="E578" s="11"/>
      <c r="F578" s="11"/>
      <c r="G578" s="15" t="str">
        <f t="shared" si="24"/>
        <v/>
      </c>
      <c r="H578" s="13" t="str">
        <f t="shared" si="25"/>
        <v/>
      </c>
      <c r="I578" s="16" t="str">
        <f t="shared" si="26"/>
        <v/>
      </c>
      <c r="J578" s="11"/>
      <c r="K578" s="11"/>
      <c r="L578" s="11"/>
      <c r="M578" s="11"/>
      <c r="N578" s="11"/>
    </row>
    <row r="579" spans="1:14" ht="15.75" customHeight="1" x14ac:dyDescent="0.25">
      <c r="A579" s="11"/>
      <c r="B579" s="11"/>
      <c r="C579" s="11"/>
      <c r="D579" s="11"/>
      <c r="E579" s="11"/>
      <c r="F579" s="11"/>
      <c r="G579" s="15" t="str">
        <f t="shared" si="24"/>
        <v/>
      </c>
      <c r="H579" s="13" t="str">
        <f t="shared" si="25"/>
        <v/>
      </c>
      <c r="I579" s="16" t="str">
        <f t="shared" si="26"/>
        <v/>
      </c>
      <c r="J579" s="11"/>
      <c r="K579" s="11"/>
      <c r="L579" s="11"/>
      <c r="M579" s="11"/>
      <c r="N579" s="11"/>
    </row>
    <row r="580" spans="1:14" ht="15.75" customHeight="1" x14ac:dyDescent="0.25">
      <c r="A580" s="11"/>
      <c r="B580" s="11"/>
      <c r="C580" s="11"/>
      <c r="D580" s="11"/>
      <c r="E580" s="11"/>
      <c r="F580" s="11"/>
      <c r="G580" s="15" t="str">
        <f t="shared" ref="G580:G643" si="27">IF(E580="","",IF(OR(E580="Withdrawal",E580="Loan Disbursement"),F580,0))</f>
        <v/>
      </c>
      <c r="H580" s="13" t="str">
        <f t="shared" ref="H580:H643" si="28">IF(E580="","",IF(OR(E580="Savings Deposit",E580="Loan Repayment"),F580,0))</f>
        <v/>
      </c>
      <c r="I580" s="16" t="str">
        <f t="shared" si="26"/>
        <v/>
      </c>
      <c r="J580" s="11"/>
      <c r="K580" s="11"/>
      <c r="L580" s="11"/>
      <c r="M580" s="11"/>
      <c r="N580" s="11"/>
    </row>
    <row r="581" spans="1:14" ht="15.75" customHeight="1" x14ac:dyDescent="0.25">
      <c r="A581" s="11"/>
      <c r="B581" s="11"/>
      <c r="C581" s="11"/>
      <c r="D581" s="11"/>
      <c r="E581" s="11"/>
      <c r="F581" s="11"/>
      <c r="G581" s="15" t="str">
        <f t="shared" si="27"/>
        <v/>
      </c>
      <c r="H581" s="13" t="str">
        <f t="shared" si="28"/>
        <v/>
      </c>
      <c r="I581" s="16" t="str">
        <f t="shared" ref="I581:I644" si="29">IF(A581="","",I580+H581-G581)</f>
        <v/>
      </c>
      <c r="J581" s="11"/>
      <c r="K581" s="11"/>
      <c r="L581" s="11"/>
      <c r="M581" s="11"/>
      <c r="N581" s="11"/>
    </row>
    <row r="582" spans="1:14" ht="15.75" customHeight="1" x14ac:dyDescent="0.25">
      <c r="A582" s="11"/>
      <c r="B582" s="11"/>
      <c r="C582" s="11"/>
      <c r="D582" s="11"/>
      <c r="E582" s="11"/>
      <c r="F582" s="11"/>
      <c r="G582" s="15" t="str">
        <f t="shared" si="27"/>
        <v/>
      </c>
      <c r="H582" s="13" t="str">
        <f t="shared" si="28"/>
        <v/>
      </c>
      <c r="I582" s="16" t="str">
        <f t="shared" si="29"/>
        <v/>
      </c>
      <c r="J582" s="11"/>
      <c r="K582" s="11"/>
      <c r="L582" s="11"/>
      <c r="M582" s="11"/>
      <c r="N582" s="11"/>
    </row>
    <row r="583" spans="1:14" ht="15.75" customHeight="1" x14ac:dyDescent="0.25">
      <c r="A583" s="11"/>
      <c r="B583" s="11"/>
      <c r="C583" s="11"/>
      <c r="D583" s="11"/>
      <c r="E583" s="11"/>
      <c r="F583" s="11"/>
      <c r="G583" s="15" t="str">
        <f t="shared" si="27"/>
        <v/>
      </c>
      <c r="H583" s="13" t="str">
        <f t="shared" si="28"/>
        <v/>
      </c>
      <c r="I583" s="16" t="str">
        <f t="shared" si="29"/>
        <v/>
      </c>
      <c r="J583" s="11"/>
      <c r="K583" s="11"/>
      <c r="L583" s="11"/>
      <c r="M583" s="11"/>
      <c r="N583" s="11"/>
    </row>
    <row r="584" spans="1:14" ht="15.75" customHeight="1" x14ac:dyDescent="0.25">
      <c r="A584" s="11"/>
      <c r="B584" s="11"/>
      <c r="C584" s="11"/>
      <c r="D584" s="11"/>
      <c r="E584" s="11"/>
      <c r="F584" s="11"/>
      <c r="G584" s="15" t="str">
        <f t="shared" si="27"/>
        <v/>
      </c>
      <c r="H584" s="13" t="str">
        <f t="shared" si="28"/>
        <v/>
      </c>
      <c r="I584" s="16" t="str">
        <f t="shared" si="29"/>
        <v/>
      </c>
      <c r="J584" s="11"/>
      <c r="K584" s="11"/>
      <c r="L584" s="11"/>
      <c r="M584" s="11"/>
      <c r="N584" s="11"/>
    </row>
    <row r="585" spans="1:14" ht="15.75" customHeight="1" x14ac:dyDescent="0.25">
      <c r="A585" s="11"/>
      <c r="B585" s="11"/>
      <c r="C585" s="11"/>
      <c r="D585" s="11"/>
      <c r="E585" s="11"/>
      <c r="F585" s="11"/>
      <c r="G585" s="15" t="str">
        <f t="shared" si="27"/>
        <v/>
      </c>
      <c r="H585" s="13" t="str">
        <f t="shared" si="28"/>
        <v/>
      </c>
      <c r="I585" s="16" t="str">
        <f t="shared" si="29"/>
        <v/>
      </c>
      <c r="J585" s="11"/>
      <c r="K585" s="11"/>
      <c r="L585" s="11"/>
      <c r="M585" s="11"/>
      <c r="N585" s="11"/>
    </row>
    <row r="586" spans="1:14" ht="15.75" customHeight="1" x14ac:dyDescent="0.25">
      <c r="A586" s="11"/>
      <c r="B586" s="11"/>
      <c r="C586" s="11"/>
      <c r="D586" s="11"/>
      <c r="E586" s="11"/>
      <c r="F586" s="11"/>
      <c r="G586" s="15" t="str">
        <f t="shared" si="27"/>
        <v/>
      </c>
      <c r="H586" s="13" t="str">
        <f t="shared" si="28"/>
        <v/>
      </c>
      <c r="I586" s="16" t="str">
        <f t="shared" si="29"/>
        <v/>
      </c>
      <c r="J586" s="11"/>
      <c r="K586" s="11"/>
      <c r="L586" s="11"/>
      <c r="M586" s="11"/>
      <c r="N586" s="11"/>
    </row>
    <row r="587" spans="1:14" ht="15.75" customHeight="1" x14ac:dyDescent="0.25">
      <c r="A587" s="11"/>
      <c r="B587" s="11"/>
      <c r="C587" s="11"/>
      <c r="D587" s="11"/>
      <c r="E587" s="11"/>
      <c r="F587" s="11"/>
      <c r="G587" s="15" t="str">
        <f t="shared" si="27"/>
        <v/>
      </c>
      <c r="H587" s="13" t="str">
        <f t="shared" si="28"/>
        <v/>
      </c>
      <c r="I587" s="16" t="str">
        <f t="shared" si="29"/>
        <v/>
      </c>
      <c r="J587" s="11"/>
      <c r="K587" s="11"/>
      <c r="L587" s="11"/>
      <c r="M587" s="11"/>
      <c r="N587" s="11"/>
    </row>
    <row r="588" spans="1:14" ht="15.75" customHeight="1" x14ac:dyDescent="0.25">
      <c r="A588" s="11"/>
      <c r="B588" s="11"/>
      <c r="C588" s="11"/>
      <c r="D588" s="11"/>
      <c r="E588" s="11"/>
      <c r="F588" s="11"/>
      <c r="G588" s="15" t="str">
        <f t="shared" si="27"/>
        <v/>
      </c>
      <c r="H588" s="13" t="str">
        <f t="shared" si="28"/>
        <v/>
      </c>
      <c r="I588" s="16" t="str">
        <f t="shared" si="29"/>
        <v/>
      </c>
      <c r="J588" s="11"/>
      <c r="K588" s="11"/>
      <c r="L588" s="11"/>
      <c r="M588" s="11"/>
      <c r="N588" s="11"/>
    </row>
    <row r="589" spans="1:14" ht="15.75" customHeight="1" x14ac:dyDescent="0.25">
      <c r="A589" s="11"/>
      <c r="B589" s="11"/>
      <c r="C589" s="11"/>
      <c r="D589" s="11"/>
      <c r="E589" s="11"/>
      <c r="F589" s="11"/>
      <c r="G589" s="15" t="str">
        <f t="shared" si="27"/>
        <v/>
      </c>
      <c r="H589" s="13" t="str">
        <f t="shared" si="28"/>
        <v/>
      </c>
      <c r="I589" s="16" t="str">
        <f t="shared" si="29"/>
        <v/>
      </c>
      <c r="J589" s="11"/>
      <c r="K589" s="11"/>
      <c r="L589" s="11"/>
      <c r="M589" s="11"/>
      <c r="N589" s="11"/>
    </row>
    <row r="590" spans="1:14" ht="15.75" customHeight="1" x14ac:dyDescent="0.25">
      <c r="A590" s="11"/>
      <c r="B590" s="11"/>
      <c r="C590" s="11"/>
      <c r="D590" s="11"/>
      <c r="E590" s="11"/>
      <c r="F590" s="11"/>
      <c r="G590" s="15" t="str">
        <f t="shared" si="27"/>
        <v/>
      </c>
      <c r="H590" s="13" t="str">
        <f t="shared" si="28"/>
        <v/>
      </c>
      <c r="I590" s="16" t="str">
        <f t="shared" si="29"/>
        <v/>
      </c>
      <c r="J590" s="11"/>
      <c r="K590" s="11"/>
      <c r="L590" s="11"/>
      <c r="M590" s="11"/>
      <c r="N590" s="11"/>
    </row>
    <row r="591" spans="1:14" ht="15.75" customHeight="1" x14ac:dyDescent="0.25">
      <c r="A591" s="11"/>
      <c r="B591" s="11"/>
      <c r="C591" s="11"/>
      <c r="D591" s="11"/>
      <c r="E591" s="11"/>
      <c r="F591" s="11"/>
      <c r="G591" s="15" t="str">
        <f t="shared" si="27"/>
        <v/>
      </c>
      <c r="H591" s="13" t="str">
        <f t="shared" si="28"/>
        <v/>
      </c>
      <c r="I591" s="16" t="str">
        <f t="shared" si="29"/>
        <v/>
      </c>
      <c r="J591" s="11"/>
      <c r="K591" s="11"/>
      <c r="L591" s="11"/>
      <c r="M591" s="11"/>
      <c r="N591" s="11"/>
    </row>
    <row r="592" spans="1:14" ht="15.75" customHeight="1" x14ac:dyDescent="0.25">
      <c r="A592" s="11"/>
      <c r="B592" s="11"/>
      <c r="C592" s="11"/>
      <c r="D592" s="11"/>
      <c r="E592" s="11"/>
      <c r="F592" s="11"/>
      <c r="G592" s="15" t="str">
        <f t="shared" si="27"/>
        <v/>
      </c>
      <c r="H592" s="13" t="str">
        <f t="shared" si="28"/>
        <v/>
      </c>
      <c r="I592" s="16" t="str">
        <f t="shared" si="29"/>
        <v/>
      </c>
      <c r="J592" s="11"/>
      <c r="K592" s="11"/>
      <c r="L592" s="11"/>
      <c r="M592" s="11"/>
      <c r="N592" s="11"/>
    </row>
    <row r="593" spans="1:14" ht="15.75" customHeight="1" x14ac:dyDescent="0.25">
      <c r="A593" s="11"/>
      <c r="B593" s="11"/>
      <c r="C593" s="11"/>
      <c r="D593" s="11"/>
      <c r="E593" s="11"/>
      <c r="F593" s="11"/>
      <c r="G593" s="15" t="str">
        <f t="shared" si="27"/>
        <v/>
      </c>
      <c r="H593" s="13" t="str">
        <f t="shared" si="28"/>
        <v/>
      </c>
      <c r="I593" s="16" t="str">
        <f t="shared" si="29"/>
        <v/>
      </c>
      <c r="J593" s="11"/>
      <c r="K593" s="11"/>
      <c r="L593" s="11"/>
      <c r="M593" s="11"/>
      <c r="N593" s="11"/>
    </row>
    <row r="594" spans="1:14" ht="15.75" customHeight="1" x14ac:dyDescent="0.25">
      <c r="A594" s="11"/>
      <c r="B594" s="11"/>
      <c r="C594" s="11"/>
      <c r="D594" s="11"/>
      <c r="E594" s="11"/>
      <c r="F594" s="11"/>
      <c r="G594" s="15" t="str">
        <f t="shared" si="27"/>
        <v/>
      </c>
      <c r="H594" s="13" t="str">
        <f t="shared" si="28"/>
        <v/>
      </c>
      <c r="I594" s="16" t="str">
        <f t="shared" si="29"/>
        <v/>
      </c>
      <c r="J594" s="11"/>
      <c r="K594" s="11"/>
      <c r="L594" s="11"/>
      <c r="M594" s="11"/>
      <c r="N594" s="11"/>
    </row>
    <row r="595" spans="1:14" ht="15.75" customHeight="1" x14ac:dyDescent="0.25">
      <c r="A595" s="11"/>
      <c r="B595" s="11"/>
      <c r="C595" s="11"/>
      <c r="D595" s="11"/>
      <c r="E595" s="11"/>
      <c r="F595" s="11"/>
      <c r="G595" s="15" t="str">
        <f t="shared" si="27"/>
        <v/>
      </c>
      <c r="H595" s="13" t="str">
        <f t="shared" si="28"/>
        <v/>
      </c>
      <c r="I595" s="16" t="str">
        <f t="shared" si="29"/>
        <v/>
      </c>
      <c r="J595" s="11"/>
      <c r="K595" s="11"/>
      <c r="L595" s="11"/>
      <c r="M595" s="11"/>
      <c r="N595" s="11"/>
    </row>
    <row r="596" spans="1:14" ht="15.75" customHeight="1" x14ac:dyDescent="0.25">
      <c r="A596" s="11"/>
      <c r="B596" s="11"/>
      <c r="C596" s="11"/>
      <c r="D596" s="11"/>
      <c r="E596" s="11"/>
      <c r="F596" s="11"/>
      <c r="G596" s="15" t="str">
        <f t="shared" si="27"/>
        <v/>
      </c>
      <c r="H596" s="13" t="str">
        <f t="shared" si="28"/>
        <v/>
      </c>
      <c r="I596" s="16" t="str">
        <f t="shared" si="29"/>
        <v/>
      </c>
      <c r="J596" s="11"/>
      <c r="K596" s="11"/>
      <c r="L596" s="11"/>
      <c r="M596" s="11"/>
      <c r="N596" s="11"/>
    </row>
    <row r="597" spans="1:14" ht="15.75" customHeight="1" x14ac:dyDescent="0.25">
      <c r="A597" s="11"/>
      <c r="B597" s="11"/>
      <c r="C597" s="11"/>
      <c r="D597" s="11"/>
      <c r="E597" s="11"/>
      <c r="F597" s="11"/>
      <c r="G597" s="15" t="str">
        <f t="shared" si="27"/>
        <v/>
      </c>
      <c r="H597" s="13" t="str">
        <f t="shared" si="28"/>
        <v/>
      </c>
      <c r="I597" s="16" t="str">
        <f t="shared" si="29"/>
        <v/>
      </c>
      <c r="J597" s="11"/>
      <c r="K597" s="11"/>
      <c r="L597" s="11"/>
      <c r="M597" s="11"/>
      <c r="N597" s="11"/>
    </row>
    <row r="598" spans="1:14" ht="15.75" customHeight="1" x14ac:dyDescent="0.25">
      <c r="A598" s="11"/>
      <c r="B598" s="11"/>
      <c r="C598" s="11"/>
      <c r="D598" s="11"/>
      <c r="E598" s="11"/>
      <c r="F598" s="11"/>
      <c r="G598" s="15" t="str">
        <f t="shared" si="27"/>
        <v/>
      </c>
      <c r="H598" s="13" t="str">
        <f t="shared" si="28"/>
        <v/>
      </c>
      <c r="I598" s="16" t="str">
        <f t="shared" si="29"/>
        <v/>
      </c>
      <c r="J598" s="11"/>
      <c r="K598" s="11"/>
      <c r="L598" s="11"/>
      <c r="M598" s="11"/>
      <c r="N598" s="11"/>
    </row>
    <row r="599" spans="1:14" ht="15.75" customHeight="1" x14ac:dyDescent="0.25">
      <c r="A599" s="11"/>
      <c r="B599" s="11"/>
      <c r="C599" s="11"/>
      <c r="D599" s="11"/>
      <c r="E599" s="11"/>
      <c r="F599" s="11"/>
      <c r="G599" s="15" t="str">
        <f t="shared" si="27"/>
        <v/>
      </c>
      <c r="H599" s="13" t="str">
        <f t="shared" si="28"/>
        <v/>
      </c>
      <c r="I599" s="16" t="str">
        <f t="shared" si="29"/>
        <v/>
      </c>
      <c r="J599" s="11"/>
      <c r="K599" s="11"/>
      <c r="L599" s="11"/>
      <c r="M599" s="11"/>
      <c r="N599" s="11"/>
    </row>
    <row r="600" spans="1:14" ht="15.75" customHeight="1" x14ac:dyDescent="0.25">
      <c r="A600" s="11"/>
      <c r="B600" s="11"/>
      <c r="C600" s="11"/>
      <c r="D600" s="11"/>
      <c r="E600" s="11"/>
      <c r="F600" s="11"/>
      <c r="G600" s="15" t="str">
        <f t="shared" si="27"/>
        <v/>
      </c>
      <c r="H600" s="13" t="str">
        <f t="shared" si="28"/>
        <v/>
      </c>
      <c r="I600" s="16" t="str">
        <f t="shared" si="29"/>
        <v/>
      </c>
      <c r="J600" s="11"/>
      <c r="K600" s="11"/>
      <c r="L600" s="11"/>
      <c r="M600" s="11"/>
      <c r="N600" s="11"/>
    </row>
    <row r="601" spans="1:14" ht="15.75" customHeight="1" x14ac:dyDescent="0.25">
      <c r="A601" s="11"/>
      <c r="B601" s="11"/>
      <c r="C601" s="11"/>
      <c r="D601" s="11"/>
      <c r="E601" s="11"/>
      <c r="F601" s="11"/>
      <c r="G601" s="15" t="str">
        <f t="shared" si="27"/>
        <v/>
      </c>
      <c r="H601" s="13" t="str">
        <f t="shared" si="28"/>
        <v/>
      </c>
      <c r="I601" s="16" t="str">
        <f t="shared" si="29"/>
        <v/>
      </c>
      <c r="J601" s="11"/>
      <c r="K601" s="11"/>
      <c r="L601" s="11"/>
      <c r="M601" s="11"/>
      <c r="N601" s="11"/>
    </row>
    <row r="602" spans="1:14" ht="15.75" customHeight="1" x14ac:dyDescent="0.25">
      <c r="A602" s="11"/>
      <c r="B602" s="11"/>
      <c r="C602" s="11"/>
      <c r="D602" s="11"/>
      <c r="E602" s="11"/>
      <c r="F602" s="11"/>
      <c r="G602" s="15" t="str">
        <f t="shared" si="27"/>
        <v/>
      </c>
      <c r="H602" s="13" t="str">
        <f t="shared" si="28"/>
        <v/>
      </c>
      <c r="I602" s="16" t="str">
        <f t="shared" si="29"/>
        <v/>
      </c>
      <c r="J602" s="11"/>
      <c r="K602" s="11"/>
      <c r="L602" s="11"/>
      <c r="M602" s="11"/>
      <c r="N602" s="11"/>
    </row>
    <row r="603" spans="1:14" ht="15.75" customHeight="1" x14ac:dyDescent="0.25">
      <c r="A603" s="11"/>
      <c r="B603" s="11"/>
      <c r="C603" s="11"/>
      <c r="D603" s="11"/>
      <c r="E603" s="11"/>
      <c r="F603" s="11"/>
      <c r="G603" s="15" t="str">
        <f t="shared" si="27"/>
        <v/>
      </c>
      <c r="H603" s="13" t="str">
        <f t="shared" si="28"/>
        <v/>
      </c>
      <c r="I603" s="16" t="str">
        <f t="shared" si="29"/>
        <v/>
      </c>
      <c r="J603" s="11"/>
      <c r="K603" s="11"/>
      <c r="L603" s="11"/>
      <c r="M603" s="11"/>
      <c r="N603" s="11"/>
    </row>
    <row r="604" spans="1:14" ht="15.75" customHeight="1" x14ac:dyDescent="0.25">
      <c r="A604" s="11"/>
      <c r="B604" s="11"/>
      <c r="C604" s="11"/>
      <c r="D604" s="11"/>
      <c r="E604" s="11"/>
      <c r="F604" s="11"/>
      <c r="G604" s="15" t="str">
        <f t="shared" si="27"/>
        <v/>
      </c>
      <c r="H604" s="13" t="str">
        <f t="shared" si="28"/>
        <v/>
      </c>
      <c r="I604" s="16" t="str">
        <f t="shared" si="29"/>
        <v/>
      </c>
      <c r="J604" s="11"/>
      <c r="K604" s="11"/>
      <c r="L604" s="11"/>
      <c r="M604" s="11"/>
      <c r="N604" s="11"/>
    </row>
    <row r="605" spans="1:14" ht="15.75" customHeight="1" x14ac:dyDescent="0.25">
      <c r="A605" s="11"/>
      <c r="B605" s="11"/>
      <c r="C605" s="11"/>
      <c r="D605" s="11"/>
      <c r="E605" s="11"/>
      <c r="F605" s="11"/>
      <c r="G605" s="15" t="str">
        <f t="shared" si="27"/>
        <v/>
      </c>
      <c r="H605" s="13" t="str">
        <f t="shared" si="28"/>
        <v/>
      </c>
      <c r="I605" s="16" t="str">
        <f t="shared" si="29"/>
        <v/>
      </c>
      <c r="J605" s="11"/>
      <c r="K605" s="11"/>
      <c r="L605" s="11"/>
      <c r="M605" s="11"/>
      <c r="N605" s="11"/>
    </row>
    <row r="606" spans="1:14" ht="15.75" customHeight="1" x14ac:dyDescent="0.25">
      <c r="A606" s="11"/>
      <c r="B606" s="11"/>
      <c r="C606" s="11"/>
      <c r="D606" s="11"/>
      <c r="E606" s="11"/>
      <c r="F606" s="11"/>
      <c r="G606" s="15" t="str">
        <f t="shared" si="27"/>
        <v/>
      </c>
      <c r="H606" s="13" t="str">
        <f t="shared" si="28"/>
        <v/>
      </c>
      <c r="I606" s="16" t="str">
        <f t="shared" si="29"/>
        <v/>
      </c>
      <c r="J606" s="11"/>
      <c r="K606" s="11"/>
      <c r="L606" s="11"/>
      <c r="M606" s="11"/>
      <c r="N606" s="11"/>
    </row>
    <row r="607" spans="1:14" ht="15.75" customHeight="1" x14ac:dyDescent="0.25">
      <c r="A607" s="11"/>
      <c r="B607" s="11"/>
      <c r="C607" s="11"/>
      <c r="D607" s="11"/>
      <c r="E607" s="11"/>
      <c r="F607" s="11"/>
      <c r="G607" s="15" t="str">
        <f t="shared" si="27"/>
        <v/>
      </c>
      <c r="H607" s="13" t="str">
        <f t="shared" si="28"/>
        <v/>
      </c>
      <c r="I607" s="16" t="str">
        <f t="shared" si="29"/>
        <v/>
      </c>
      <c r="J607" s="11"/>
      <c r="K607" s="11"/>
      <c r="L607" s="11"/>
      <c r="M607" s="11"/>
      <c r="N607" s="11"/>
    </row>
    <row r="608" spans="1:14" ht="15.75" customHeight="1" x14ac:dyDescent="0.25">
      <c r="A608" s="11"/>
      <c r="B608" s="11"/>
      <c r="C608" s="11"/>
      <c r="D608" s="11"/>
      <c r="E608" s="11"/>
      <c r="F608" s="11"/>
      <c r="G608" s="15" t="str">
        <f t="shared" si="27"/>
        <v/>
      </c>
      <c r="H608" s="13" t="str">
        <f t="shared" si="28"/>
        <v/>
      </c>
      <c r="I608" s="16" t="str">
        <f t="shared" si="29"/>
        <v/>
      </c>
      <c r="J608" s="11"/>
      <c r="K608" s="11"/>
      <c r="L608" s="11"/>
      <c r="M608" s="11"/>
      <c r="N608" s="11"/>
    </row>
    <row r="609" spans="1:14" ht="15.75" customHeight="1" x14ac:dyDescent="0.25">
      <c r="A609" s="11"/>
      <c r="B609" s="11"/>
      <c r="C609" s="11"/>
      <c r="D609" s="11"/>
      <c r="E609" s="11"/>
      <c r="F609" s="11"/>
      <c r="G609" s="15" t="str">
        <f t="shared" si="27"/>
        <v/>
      </c>
      <c r="H609" s="13" t="str">
        <f t="shared" si="28"/>
        <v/>
      </c>
      <c r="I609" s="16" t="str">
        <f t="shared" si="29"/>
        <v/>
      </c>
      <c r="J609" s="11"/>
      <c r="K609" s="11"/>
      <c r="L609" s="11"/>
      <c r="M609" s="11"/>
      <c r="N609" s="11"/>
    </row>
    <row r="610" spans="1:14" ht="15.75" customHeight="1" x14ac:dyDescent="0.25">
      <c r="A610" s="11"/>
      <c r="B610" s="11"/>
      <c r="C610" s="11"/>
      <c r="D610" s="11"/>
      <c r="E610" s="11"/>
      <c r="F610" s="11"/>
      <c r="G610" s="15" t="str">
        <f t="shared" si="27"/>
        <v/>
      </c>
      <c r="H610" s="13" t="str">
        <f t="shared" si="28"/>
        <v/>
      </c>
      <c r="I610" s="16" t="str">
        <f t="shared" si="29"/>
        <v/>
      </c>
      <c r="J610" s="11"/>
      <c r="K610" s="11"/>
      <c r="L610" s="11"/>
      <c r="M610" s="11"/>
      <c r="N610" s="11"/>
    </row>
    <row r="611" spans="1:14" ht="15.75" customHeight="1" x14ac:dyDescent="0.25">
      <c r="A611" s="11"/>
      <c r="B611" s="11"/>
      <c r="C611" s="11"/>
      <c r="D611" s="11"/>
      <c r="E611" s="11"/>
      <c r="F611" s="11"/>
      <c r="G611" s="15" t="str">
        <f t="shared" si="27"/>
        <v/>
      </c>
      <c r="H611" s="13" t="str">
        <f t="shared" si="28"/>
        <v/>
      </c>
      <c r="I611" s="16" t="str">
        <f t="shared" si="29"/>
        <v/>
      </c>
      <c r="J611" s="11"/>
      <c r="K611" s="11"/>
      <c r="L611" s="11"/>
      <c r="M611" s="11"/>
      <c r="N611" s="11"/>
    </row>
    <row r="612" spans="1:14" ht="15.75" customHeight="1" x14ac:dyDescent="0.25">
      <c r="A612" s="11"/>
      <c r="B612" s="11"/>
      <c r="C612" s="11"/>
      <c r="D612" s="11"/>
      <c r="E612" s="11"/>
      <c r="F612" s="11"/>
      <c r="G612" s="15" t="str">
        <f t="shared" si="27"/>
        <v/>
      </c>
      <c r="H612" s="13" t="str">
        <f t="shared" si="28"/>
        <v/>
      </c>
      <c r="I612" s="16" t="str">
        <f t="shared" si="29"/>
        <v/>
      </c>
      <c r="J612" s="11"/>
      <c r="K612" s="11"/>
      <c r="L612" s="11"/>
      <c r="M612" s="11"/>
      <c r="N612" s="11"/>
    </row>
    <row r="613" spans="1:14" ht="15.75" customHeight="1" x14ac:dyDescent="0.25">
      <c r="A613" s="11"/>
      <c r="B613" s="11"/>
      <c r="C613" s="11"/>
      <c r="D613" s="11"/>
      <c r="E613" s="11"/>
      <c r="F613" s="11"/>
      <c r="G613" s="15" t="str">
        <f t="shared" si="27"/>
        <v/>
      </c>
      <c r="H613" s="13" t="str">
        <f t="shared" si="28"/>
        <v/>
      </c>
      <c r="I613" s="16" t="str">
        <f t="shared" si="29"/>
        <v/>
      </c>
      <c r="J613" s="11"/>
      <c r="K613" s="11"/>
      <c r="L613" s="11"/>
      <c r="M613" s="11"/>
      <c r="N613" s="11"/>
    </row>
    <row r="614" spans="1:14" ht="15.75" customHeight="1" x14ac:dyDescent="0.25">
      <c r="A614" s="11"/>
      <c r="B614" s="11"/>
      <c r="C614" s="11"/>
      <c r="D614" s="11"/>
      <c r="E614" s="11"/>
      <c r="F614" s="11"/>
      <c r="G614" s="15" t="str">
        <f t="shared" si="27"/>
        <v/>
      </c>
      <c r="H614" s="13" t="str">
        <f t="shared" si="28"/>
        <v/>
      </c>
      <c r="I614" s="16" t="str">
        <f t="shared" si="29"/>
        <v/>
      </c>
      <c r="J614" s="11"/>
      <c r="K614" s="11"/>
      <c r="L614" s="11"/>
      <c r="M614" s="11"/>
      <c r="N614" s="11"/>
    </row>
    <row r="615" spans="1:14" ht="15.75" customHeight="1" x14ac:dyDescent="0.25">
      <c r="A615" s="11"/>
      <c r="B615" s="11"/>
      <c r="C615" s="11"/>
      <c r="D615" s="11"/>
      <c r="E615" s="11"/>
      <c r="F615" s="11"/>
      <c r="G615" s="15" t="str">
        <f t="shared" si="27"/>
        <v/>
      </c>
      <c r="H615" s="13" t="str">
        <f t="shared" si="28"/>
        <v/>
      </c>
      <c r="I615" s="16" t="str">
        <f t="shared" si="29"/>
        <v/>
      </c>
      <c r="J615" s="11"/>
      <c r="K615" s="11"/>
      <c r="L615" s="11"/>
      <c r="M615" s="11"/>
      <c r="N615" s="11"/>
    </row>
    <row r="616" spans="1:14" ht="15.75" customHeight="1" x14ac:dyDescent="0.25">
      <c r="A616" s="11"/>
      <c r="B616" s="11"/>
      <c r="C616" s="11"/>
      <c r="D616" s="11"/>
      <c r="E616" s="11"/>
      <c r="F616" s="11"/>
      <c r="G616" s="15" t="str">
        <f t="shared" si="27"/>
        <v/>
      </c>
      <c r="H616" s="13" t="str">
        <f t="shared" si="28"/>
        <v/>
      </c>
      <c r="I616" s="16" t="str">
        <f t="shared" si="29"/>
        <v/>
      </c>
      <c r="J616" s="11"/>
      <c r="K616" s="11"/>
      <c r="L616" s="11"/>
      <c r="M616" s="11"/>
      <c r="N616" s="11"/>
    </row>
    <row r="617" spans="1:14" ht="15.75" customHeight="1" x14ac:dyDescent="0.25">
      <c r="A617" s="11"/>
      <c r="B617" s="11"/>
      <c r="C617" s="11"/>
      <c r="D617" s="11"/>
      <c r="E617" s="11"/>
      <c r="F617" s="11"/>
      <c r="G617" s="15" t="str">
        <f t="shared" si="27"/>
        <v/>
      </c>
      <c r="H617" s="13" t="str">
        <f t="shared" si="28"/>
        <v/>
      </c>
      <c r="I617" s="16" t="str">
        <f t="shared" si="29"/>
        <v/>
      </c>
      <c r="J617" s="11"/>
      <c r="K617" s="11"/>
      <c r="L617" s="11"/>
      <c r="M617" s="11"/>
      <c r="N617" s="11"/>
    </row>
    <row r="618" spans="1:14" ht="15.75" customHeight="1" x14ac:dyDescent="0.25">
      <c r="A618" s="11"/>
      <c r="B618" s="11"/>
      <c r="C618" s="11"/>
      <c r="D618" s="11"/>
      <c r="E618" s="11"/>
      <c r="F618" s="11"/>
      <c r="G618" s="15" t="str">
        <f t="shared" si="27"/>
        <v/>
      </c>
      <c r="H618" s="13" t="str">
        <f t="shared" si="28"/>
        <v/>
      </c>
      <c r="I618" s="16" t="str">
        <f t="shared" si="29"/>
        <v/>
      </c>
      <c r="J618" s="11"/>
      <c r="K618" s="11"/>
      <c r="L618" s="11"/>
      <c r="M618" s="11"/>
      <c r="N618" s="11"/>
    </row>
    <row r="619" spans="1:14" ht="15.75" customHeight="1" x14ac:dyDescent="0.25">
      <c r="A619" s="11"/>
      <c r="B619" s="11"/>
      <c r="C619" s="11"/>
      <c r="D619" s="11"/>
      <c r="E619" s="11"/>
      <c r="F619" s="11"/>
      <c r="G619" s="15" t="str">
        <f t="shared" si="27"/>
        <v/>
      </c>
      <c r="H619" s="13" t="str">
        <f t="shared" si="28"/>
        <v/>
      </c>
      <c r="I619" s="16" t="str">
        <f t="shared" si="29"/>
        <v/>
      </c>
      <c r="J619" s="11"/>
      <c r="K619" s="11"/>
      <c r="L619" s="11"/>
      <c r="M619" s="11"/>
      <c r="N619" s="11"/>
    </row>
    <row r="620" spans="1:14" ht="15.75" customHeight="1" x14ac:dyDescent="0.25">
      <c r="A620" s="11"/>
      <c r="B620" s="11"/>
      <c r="C620" s="11"/>
      <c r="D620" s="11"/>
      <c r="E620" s="11"/>
      <c r="F620" s="11"/>
      <c r="G620" s="15" t="str">
        <f t="shared" si="27"/>
        <v/>
      </c>
      <c r="H620" s="13" t="str">
        <f t="shared" si="28"/>
        <v/>
      </c>
      <c r="I620" s="16" t="str">
        <f t="shared" si="29"/>
        <v/>
      </c>
      <c r="J620" s="11"/>
      <c r="K620" s="11"/>
      <c r="L620" s="11"/>
      <c r="M620" s="11"/>
      <c r="N620" s="11"/>
    </row>
    <row r="621" spans="1:14" ht="15.75" customHeight="1" x14ac:dyDescent="0.25">
      <c r="A621" s="11"/>
      <c r="B621" s="11"/>
      <c r="C621" s="11"/>
      <c r="D621" s="11"/>
      <c r="E621" s="11"/>
      <c r="F621" s="11"/>
      <c r="G621" s="15" t="str">
        <f t="shared" si="27"/>
        <v/>
      </c>
      <c r="H621" s="13" t="str">
        <f t="shared" si="28"/>
        <v/>
      </c>
      <c r="I621" s="16" t="str">
        <f t="shared" si="29"/>
        <v/>
      </c>
      <c r="J621" s="11"/>
      <c r="K621" s="11"/>
      <c r="L621" s="11"/>
      <c r="M621" s="11"/>
      <c r="N621" s="11"/>
    </row>
    <row r="622" spans="1:14" ht="15.75" customHeight="1" x14ac:dyDescent="0.25">
      <c r="A622" s="11"/>
      <c r="B622" s="11"/>
      <c r="C622" s="11"/>
      <c r="D622" s="11"/>
      <c r="E622" s="11"/>
      <c r="F622" s="11"/>
      <c r="G622" s="15" t="str">
        <f t="shared" si="27"/>
        <v/>
      </c>
      <c r="H622" s="13" t="str">
        <f t="shared" si="28"/>
        <v/>
      </c>
      <c r="I622" s="16" t="str">
        <f t="shared" si="29"/>
        <v/>
      </c>
      <c r="J622" s="11"/>
      <c r="K622" s="11"/>
      <c r="L622" s="11"/>
      <c r="M622" s="11"/>
      <c r="N622" s="11"/>
    </row>
    <row r="623" spans="1:14" ht="15.75" customHeight="1" x14ac:dyDescent="0.25">
      <c r="A623" s="11"/>
      <c r="B623" s="11"/>
      <c r="C623" s="11"/>
      <c r="D623" s="11"/>
      <c r="E623" s="11"/>
      <c r="F623" s="11"/>
      <c r="G623" s="15" t="str">
        <f t="shared" si="27"/>
        <v/>
      </c>
      <c r="H623" s="13" t="str">
        <f t="shared" si="28"/>
        <v/>
      </c>
      <c r="I623" s="16" t="str">
        <f t="shared" si="29"/>
        <v/>
      </c>
      <c r="J623" s="11"/>
      <c r="K623" s="11"/>
      <c r="L623" s="11"/>
      <c r="M623" s="11"/>
      <c r="N623" s="11"/>
    </row>
    <row r="624" spans="1:14" ht="15.75" customHeight="1" x14ac:dyDescent="0.25">
      <c r="A624" s="11"/>
      <c r="B624" s="11"/>
      <c r="C624" s="11"/>
      <c r="D624" s="11"/>
      <c r="E624" s="11"/>
      <c r="F624" s="11"/>
      <c r="G624" s="15" t="str">
        <f t="shared" si="27"/>
        <v/>
      </c>
      <c r="H624" s="13" t="str">
        <f t="shared" si="28"/>
        <v/>
      </c>
      <c r="I624" s="16" t="str">
        <f t="shared" si="29"/>
        <v/>
      </c>
      <c r="J624" s="11"/>
      <c r="K624" s="11"/>
      <c r="L624" s="11"/>
      <c r="M624" s="11"/>
      <c r="N624" s="11"/>
    </row>
    <row r="625" spans="1:14" ht="15.75" customHeight="1" x14ac:dyDescent="0.25">
      <c r="A625" s="11"/>
      <c r="B625" s="11"/>
      <c r="C625" s="11"/>
      <c r="D625" s="11"/>
      <c r="E625" s="11"/>
      <c r="F625" s="11"/>
      <c r="G625" s="15" t="str">
        <f t="shared" si="27"/>
        <v/>
      </c>
      <c r="H625" s="13" t="str">
        <f t="shared" si="28"/>
        <v/>
      </c>
      <c r="I625" s="16" t="str">
        <f t="shared" si="29"/>
        <v/>
      </c>
      <c r="J625" s="11"/>
      <c r="K625" s="11"/>
      <c r="L625" s="11"/>
      <c r="M625" s="11"/>
      <c r="N625" s="11"/>
    </row>
    <row r="626" spans="1:14" ht="15.75" customHeight="1" x14ac:dyDescent="0.25">
      <c r="A626" s="11"/>
      <c r="B626" s="11"/>
      <c r="C626" s="11"/>
      <c r="D626" s="11"/>
      <c r="E626" s="11"/>
      <c r="F626" s="11"/>
      <c r="G626" s="15" t="str">
        <f t="shared" si="27"/>
        <v/>
      </c>
      <c r="H626" s="13" t="str">
        <f t="shared" si="28"/>
        <v/>
      </c>
      <c r="I626" s="16" t="str">
        <f t="shared" si="29"/>
        <v/>
      </c>
      <c r="J626" s="11"/>
      <c r="K626" s="11"/>
      <c r="L626" s="11"/>
      <c r="M626" s="11"/>
      <c r="N626" s="11"/>
    </row>
    <row r="627" spans="1:14" ht="15.75" customHeight="1" x14ac:dyDescent="0.25">
      <c r="A627" s="11"/>
      <c r="B627" s="11"/>
      <c r="C627" s="11"/>
      <c r="D627" s="11"/>
      <c r="E627" s="11"/>
      <c r="F627" s="11"/>
      <c r="G627" s="15" t="str">
        <f t="shared" si="27"/>
        <v/>
      </c>
      <c r="H627" s="13" t="str">
        <f t="shared" si="28"/>
        <v/>
      </c>
      <c r="I627" s="16" t="str">
        <f t="shared" si="29"/>
        <v/>
      </c>
      <c r="J627" s="11"/>
      <c r="K627" s="11"/>
      <c r="L627" s="11"/>
      <c r="M627" s="11"/>
      <c r="N627" s="11"/>
    </row>
    <row r="628" spans="1:14" ht="15.75" customHeight="1" x14ac:dyDescent="0.25">
      <c r="A628" s="11"/>
      <c r="B628" s="11"/>
      <c r="C628" s="11"/>
      <c r="D628" s="11"/>
      <c r="E628" s="11"/>
      <c r="F628" s="11"/>
      <c r="G628" s="15" t="str">
        <f t="shared" si="27"/>
        <v/>
      </c>
      <c r="H628" s="13" t="str">
        <f t="shared" si="28"/>
        <v/>
      </c>
      <c r="I628" s="16" t="str">
        <f t="shared" si="29"/>
        <v/>
      </c>
      <c r="J628" s="11"/>
      <c r="K628" s="11"/>
      <c r="L628" s="11"/>
      <c r="M628" s="11"/>
      <c r="N628" s="11"/>
    </row>
    <row r="629" spans="1:14" ht="15.75" customHeight="1" x14ac:dyDescent="0.25">
      <c r="A629" s="11"/>
      <c r="B629" s="11"/>
      <c r="C629" s="11"/>
      <c r="D629" s="11"/>
      <c r="E629" s="11"/>
      <c r="F629" s="11"/>
      <c r="G629" s="15" t="str">
        <f t="shared" si="27"/>
        <v/>
      </c>
      <c r="H629" s="13" t="str">
        <f t="shared" si="28"/>
        <v/>
      </c>
      <c r="I629" s="16" t="str">
        <f t="shared" si="29"/>
        <v/>
      </c>
      <c r="J629" s="11"/>
      <c r="K629" s="11"/>
      <c r="L629" s="11"/>
      <c r="M629" s="11"/>
      <c r="N629" s="11"/>
    </row>
    <row r="630" spans="1:14" ht="15.75" customHeight="1" x14ac:dyDescent="0.25">
      <c r="A630" s="11"/>
      <c r="B630" s="11"/>
      <c r="C630" s="11"/>
      <c r="D630" s="11"/>
      <c r="E630" s="11"/>
      <c r="F630" s="11"/>
      <c r="G630" s="15" t="str">
        <f t="shared" si="27"/>
        <v/>
      </c>
      <c r="H630" s="13" t="str">
        <f t="shared" si="28"/>
        <v/>
      </c>
      <c r="I630" s="16" t="str">
        <f t="shared" si="29"/>
        <v/>
      </c>
      <c r="J630" s="11"/>
      <c r="K630" s="11"/>
      <c r="L630" s="11"/>
      <c r="M630" s="11"/>
      <c r="N630" s="11"/>
    </row>
    <row r="631" spans="1:14" ht="15.75" customHeight="1" x14ac:dyDescent="0.25">
      <c r="A631" s="11"/>
      <c r="B631" s="11"/>
      <c r="C631" s="11"/>
      <c r="D631" s="11"/>
      <c r="E631" s="11"/>
      <c r="F631" s="11"/>
      <c r="G631" s="15" t="str">
        <f t="shared" si="27"/>
        <v/>
      </c>
      <c r="H631" s="13" t="str">
        <f t="shared" si="28"/>
        <v/>
      </c>
      <c r="I631" s="16" t="str">
        <f t="shared" si="29"/>
        <v/>
      </c>
      <c r="J631" s="11"/>
      <c r="K631" s="11"/>
      <c r="L631" s="11"/>
      <c r="M631" s="11"/>
      <c r="N631" s="11"/>
    </row>
    <row r="632" spans="1:14" ht="15.75" customHeight="1" x14ac:dyDescent="0.25">
      <c r="A632" s="11"/>
      <c r="B632" s="11"/>
      <c r="C632" s="11"/>
      <c r="D632" s="11"/>
      <c r="E632" s="11"/>
      <c r="F632" s="11"/>
      <c r="G632" s="15" t="str">
        <f t="shared" si="27"/>
        <v/>
      </c>
      <c r="H632" s="13" t="str">
        <f t="shared" si="28"/>
        <v/>
      </c>
      <c r="I632" s="16" t="str">
        <f t="shared" si="29"/>
        <v/>
      </c>
      <c r="J632" s="11"/>
      <c r="K632" s="11"/>
      <c r="L632" s="11"/>
      <c r="M632" s="11"/>
      <c r="N632" s="11"/>
    </row>
    <row r="633" spans="1:14" ht="15.75" customHeight="1" x14ac:dyDescent="0.25">
      <c r="A633" s="11"/>
      <c r="B633" s="11"/>
      <c r="C633" s="11"/>
      <c r="D633" s="11"/>
      <c r="E633" s="11"/>
      <c r="F633" s="11"/>
      <c r="G633" s="15" t="str">
        <f t="shared" si="27"/>
        <v/>
      </c>
      <c r="H633" s="13" t="str">
        <f t="shared" si="28"/>
        <v/>
      </c>
      <c r="I633" s="16" t="str">
        <f t="shared" si="29"/>
        <v/>
      </c>
      <c r="J633" s="11"/>
      <c r="K633" s="11"/>
      <c r="L633" s="11"/>
      <c r="M633" s="11"/>
      <c r="N633" s="11"/>
    </row>
    <row r="634" spans="1:14" ht="15.75" customHeight="1" x14ac:dyDescent="0.25">
      <c r="A634" s="11"/>
      <c r="B634" s="11"/>
      <c r="C634" s="11"/>
      <c r="D634" s="11"/>
      <c r="E634" s="11"/>
      <c r="F634" s="11"/>
      <c r="G634" s="15" t="str">
        <f t="shared" si="27"/>
        <v/>
      </c>
      <c r="H634" s="13" t="str">
        <f t="shared" si="28"/>
        <v/>
      </c>
      <c r="I634" s="16" t="str">
        <f t="shared" si="29"/>
        <v/>
      </c>
      <c r="J634" s="11"/>
      <c r="K634" s="11"/>
      <c r="L634" s="11"/>
      <c r="M634" s="11"/>
      <c r="N634" s="11"/>
    </row>
    <row r="635" spans="1:14" ht="15.75" customHeight="1" x14ac:dyDescent="0.25">
      <c r="A635" s="11"/>
      <c r="B635" s="11"/>
      <c r="C635" s="11"/>
      <c r="D635" s="11"/>
      <c r="E635" s="11"/>
      <c r="F635" s="11"/>
      <c r="G635" s="15" t="str">
        <f t="shared" si="27"/>
        <v/>
      </c>
      <c r="H635" s="13" t="str">
        <f t="shared" si="28"/>
        <v/>
      </c>
      <c r="I635" s="16" t="str">
        <f t="shared" si="29"/>
        <v/>
      </c>
      <c r="J635" s="11"/>
      <c r="K635" s="11"/>
      <c r="L635" s="11"/>
      <c r="M635" s="11"/>
      <c r="N635" s="11"/>
    </row>
    <row r="636" spans="1:14" ht="15.75" customHeight="1" x14ac:dyDescent="0.25">
      <c r="A636" s="11"/>
      <c r="B636" s="11"/>
      <c r="C636" s="11"/>
      <c r="D636" s="11"/>
      <c r="E636" s="11"/>
      <c r="F636" s="11"/>
      <c r="G636" s="15" t="str">
        <f t="shared" si="27"/>
        <v/>
      </c>
      <c r="H636" s="13" t="str">
        <f t="shared" si="28"/>
        <v/>
      </c>
      <c r="I636" s="16" t="str">
        <f t="shared" si="29"/>
        <v/>
      </c>
      <c r="J636" s="11"/>
      <c r="K636" s="11"/>
      <c r="L636" s="11"/>
      <c r="M636" s="11"/>
      <c r="N636" s="11"/>
    </row>
    <row r="637" spans="1:14" ht="15.75" customHeight="1" x14ac:dyDescent="0.25">
      <c r="A637" s="11"/>
      <c r="B637" s="11"/>
      <c r="C637" s="11"/>
      <c r="D637" s="11"/>
      <c r="E637" s="11"/>
      <c r="F637" s="11"/>
      <c r="G637" s="15" t="str">
        <f t="shared" si="27"/>
        <v/>
      </c>
      <c r="H637" s="13" t="str">
        <f t="shared" si="28"/>
        <v/>
      </c>
      <c r="I637" s="16" t="str">
        <f t="shared" si="29"/>
        <v/>
      </c>
      <c r="J637" s="11"/>
      <c r="K637" s="11"/>
      <c r="L637" s="11"/>
      <c r="M637" s="11"/>
      <c r="N637" s="11"/>
    </row>
    <row r="638" spans="1:14" ht="15.75" customHeight="1" x14ac:dyDescent="0.25">
      <c r="A638" s="11"/>
      <c r="B638" s="11"/>
      <c r="C638" s="11"/>
      <c r="D638" s="11"/>
      <c r="E638" s="11"/>
      <c r="F638" s="11"/>
      <c r="G638" s="15" t="str">
        <f t="shared" si="27"/>
        <v/>
      </c>
      <c r="H638" s="13" t="str">
        <f t="shared" si="28"/>
        <v/>
      </c>
      <c r="I638" s="16" t="str">
        <f t="shared" si="29"/>
        <v/>
      </c>
      <c r="J638" s="11"/>
      <c r="K638" s="11"/>
      <c r="L638" s="11"/>
      <c r="M638" s="11"/>
      <c r="N638" s="11"/>
    </row>
    <row r="639" spans="1:14" ht="15.75" customHeight="1" x14ac:dyDescent="0.25">
      <c r="A639" s="11"/>
      <c r="B639" s="11"/>
      <c r="C639" s="11"/>
      <c r="D639" s="11"/>
      <c r="E639" s="11"/>
      <c r="F639" s="11"/>
      <c r="G639" s="15" t="str">
        <f t="shared" si="27"/>
        <v/>
      </c>
      <c r="H639" s="13" t="str">
        <f t="shared" si="28"/>
        <v/>
      </c>
      <c r="I639" s="16" t="str">
        <f t="shared" si="29"/>
        <v/>
      </c>
      <c r="J639" s="11"/>
      <c r="K639" s="11"/>
      <c r="L639" s="11"/>
      <c r="M639" s="11"/>
      <c r="N639" s="11"/>
    </row>
    <row r="640" spans="1:14" ht="15.75" customHeight="1" x14ac:dyDescent="0.25">
      <c r="A640" s="11"/>
      <c r="B640" s="11"/>
      <c r="C640" s="11"/>
      <c r="D640" s="11"/>
      <c r="E640" s="11"/>
      <c r="F640" s="11"/>
      <c r="G640" s="15" t="str">
        <f t="shared" si="27"/>
        <v/>
      </c>
      <c r="H640" s="13" t="str">
        <f t="shared" si="28"/>
        <v/>
      </c>
      <c r="I640" s="16" t="str">
        <f t="shared" si="29"/>
        <v/>
      </c>
      <c r="J640" s="11"/>
      <c r="K640" s="11"/>
      <c r="L640" s="11"/>
      <c r="M640" s="11"/>
      <c r="N640" s="11"/>
    </row>
    <row r="641" spans="1:14" ht="15.75" customHeight="1" x14ac:dyDescent="0.25">
      <c r="A641" s="11"/>
      <c r="B641" s="11"/>
      <c r="C641" s="11"/>
      <c r="D641" s="11"/>
      <c r="E641" s="11"/>
      <c r="F641" s="11"/>
      <c r="G641" s="15" t="str">
        <f t="shared" si="27"/>
        <v/>
      </c>
      <c r="H641" s="13" t="str">
        <f t="shared" si="28"/>
        <v/>
      </c>
      <c r="I641" s="16" t="str">
        <f t="shared" si="29"/>
        <v/>
      </c>
      <c r="J641" s="11"/>
      <c r="K641" s="11"/>
      <c r="L641" s="11"/>
      <c r="M641" s="11"/>
      <c r="N641" s="11"/>
    </row>
    <row r="642" spans="1:14" ht="15.75" customHeight="1" x14ac:dyDescent="0.25">
      <c r="A642" s="11"/>
      <c r="B642" s="11"/>
      <c r="C642" s="11"/>
      <c r="D642" s="11"/>
      <c r="E642" s="11"/>
      <c r="F642" s="11"/>
      <c r="G642" s="15" t="str">
        <f t="shared" si="27"/>
        <v/>
      </c>
      <c r="H642" s="13" t="str">
        <f t="shared" si="28"/>
        <v/>
      </c>
      <c r="I642" s="16" t="str">
        <f t="shared" si="29"/>
        <v/>
      </c>
      <c r="J642" s="11"/>
      <c r="K642" s="11"/>
      <c r="L642" s="11"/>
      <c r="M642" s="11"/>
      <c r="N642" s="11"/>
    </row>
    <row r="643" spans="1:14" ht="15.75" customHeight="1" x14ac:dyDescent="0.25">
      <c r="A643" s="11"/>
      <c r="B643" s="11"/>
      <c r="C643" s="11"/>
      <c r="D643" s="11"/>
      <c r="E643" s="11"/>
      <c r="F643" s="11"/>
      <c r="G643" s="15" t="str">
        <f t="shared" si="27"/>
        <v/>
      </c>
      <c r="H643" s="13" t="str">
        <f t="shared" si="28"/>
        <v/>
      </c>
      <c r="I643" s="16" t="str">
        <f t="shared" si="29"/>
        <v/>
      </c>
      <c r="J643" s="11"/>
      <c r="K643" s="11"/>
      <c r="L643" s="11"/>
      <c r="M643" s="11"/>
      <c r="N643" s="11"/>
    </row>
    <row r="644" spans="1:14" ht="15.75" customHeight="1" x14ac:dyDescent="0.25">
      <c r="A644" s="11"/>
      <c r="B644" s="11"/>
      <c r="C644" s="11"/>
      <c r="D644" s="11"/>
      <c r="E644" s="11"/>
      <c r="F644" s="11"/>
      <c r="G644" s="15" t="str">
        <f t="shared" ref="G644:G707" si="30">IF(E644="","",IF(OR(E644="Withdrawal",E644="Loan Disbursement"),F644,0))</f>
        <v/>
      </c>
      <c r="H644" s="13" t="str">
        <f t="shared" ref="H644:H707" si="31">IF(E644="","",IF(OR(E644="Savings Deposit",E644="Loan Repayment"),F644,0))</f>
        <v/>
      </c>
      <c r="I644" s="16" t="str">
        <f t="shared" si="29"/>
        <v/>
      </c>
      <c r="J644" s="11"/>
      <c r="K644" s="11"/>
      <c r="L644" s="11"/>
      <c r="M644" s="11"/>
      <c r="N644" s="11"/>
    </row>
    <row r="645" spans="1:14" ht="15.75" customHeight="1" x14ac:dyDescent="0.25">
      <c r="A645" s="11"/>
      <c r="B645" s="11"/>
      <c r="C645" s="11"/>
      <c r="D645" s="11"/>
      <c r="E645" s="11"/>
      <c r="F645" s="11"/>
      <c r="G645" s="15" t="str">
        <f t="shared" si="30"/>
        <v/>
      </c>
      <c r="H645" s="13" t="str">
        <f t="shared" si="31"/>
        <v/>
      </c>
      <c r="I645" s="16" t="str">
        <f t="shared" ref="I645:I708" si="32">IF(A645="","",I644+H645-G645)</f>
        <v/>
      </c>
      <c r="J645" s="11"/>
      <c r="K645" s="11"/>
      <c r="L645" s="11"/>
      <c r="M645" s="11"/>
      <c r="N645" s="11"/>
    </row>
    <row r="646" spans="1:14" ht="15.75" customHeight="1" x14ac:dyDescent="0.25">
      <c r="A646" s="11"/>
      <c r="B646" s="11"/>
      <c r="C646" s="11"/>
      <c r="D646" s="11"/>
      <c r="E646" s="11"/>
      <c r="F646" s="11"/>
      <c r="G646" s="15" t="str">
        <f t="shared" si="30"/>
        <v/>
      </c>
      <c r="H646" s="13" t="str">
        <f t="shared" si="31"/>
        <v/>
      </c>
      <c r="I646" s="16" t="str">
        <f t="shared" si="32"/>
        <v/>
      </c>
      <c r="J646" s="11"/>
      <c r="K646" s="11"/>
      <c r="L646" s="11"/>
      <c r="M646" s="11"/>
      <c r="N646" s="11"/>
    </row>
    <row r="647" spans="1:14" ht="15.75" customHeight="1" x14ac:dyDescent="0.25">
      <c r="A647" s="11"/>
      <c r="B647" s="11"/>
      <c r="C647" s="11"/>
      <c r="D647" s="11"/>
      <c r="E647" s="11"/>
      <c r="F647" s="11"/>
      <c r="G647" s="15" t="str">
        <f t="shared" si="30"/>
        <v/>
      </c>
      <c r="H647" s="13" t="str">
        <f t="shared" si="31"/>
        <v/>
      </c>
      <c r="I647" s="16" t="str">
        <f t="shared" si="32"/>
        <v/>
      </c>
      <c r="J647" s="11"/>
      <c r="K647" s="11"/>
      <c r="L647" s="11"/>
      <c r="M647" s="11"/>
      <c r="N647" s="11"/>
    </row>
    <row r="648" spans="1:14" ht="15.75" customHeight="1" x14ac:dyDescent="0.25">
      <c r="A648" s="11"/>
      <c r="B648" s="11"/>
      <c r="C648" s="11"/>
      <c r="D648" s="11"/>
      <c r="E648" s="11"/>
      <c r="F648" s="11"/>
      <c r="G648" s="15" t="str">
        <f t="shared" si="30"/>
        <v/>
      </c>
      <c r="H648" s="13" t="str">
        <f t="shared" si="31"/>
        <v/>
      </c>
      <c r="I648" s="16" t="str">
        <f t="shared" si="32"/>
        <v/>
      </c>
      <c r="J648" s="11"/>
      <c r="K648" s="11"/>
      <c r="L648" s="11"/>
      <c r="M648" s="11"/>
      <c r="N648" s="11"/>
    </row>
    <row r="649" spans="1:14" ht="15.75" customHeight="1" x14ac:dyDescent="0.25">
      <c r="A649" s="11"/>
      <c r="B649" s="11"/>
      <c r="C649" s="11"/>
      <c r="D649" s="11"/>
      <c r="E649" s="11"/>
      <c r="F649" s="11"/>
      <c r="G649" s="15" t="str">
        <f t="shared" si="30"/>
        <v/>
      </c>
      <c r="H649" s="13" t="str">
        <f t="shared" si="31"/>
        <v/>
      </c>
      <c r="I649" s="16" t="str">
        <f t="shared" si="32"/>
        <v/>
      </c>
      <c r="J649" s="11"/>
      <c r="K649" s="11"/>
      <c r="L649" s="11"/>
      <c r="M649" s="11"/>
      <c r="N649" s="11"/>
    </row>
    <row r="650" spans="1:14" ht="15.75" customHeight="1" x14ac:dyDescent="0.25">
      <c r="A650" s="11"/>
      <c r="B650" s="11"/>
      <c r="C650" s="11"/>
      <c r="D650" s="11"/>
      <c r="E650" s="11"/>
      <c r="F650" s="11"/>
      <c r="G650" s="15" t="str">
        <f t="shared" si="30"/>
        <v/>
      </c>
      <c r="H650" s="13" t="str">
        <f t="shared" si="31"/>
        <v/>
      </c>
      <c r="I650" s="16" t="str">
        <f t="shared" si="32"/>
        <v/>
      </c>
      <c r="J650" s="11"/>
      <c r="K650" s="11"/>
      <c r="L650" s="11"/>
      <c r="M650" s="11"/>
      <c r="N650" s="11"/>
    </row>
    <row r="651" spans="1:14" ht="15.75" customHeight="1" x14ac:dyDescent="0.25">
      <c r="A651" s="11"/>
      <c r="B651" s="11"/>
      <c r="C651" s="11"/>
      <c r="D651" s="11"/>
      <c r="E651" s="11"/>
      <c r="F651" s="11"/>
      <c r="G651" s="15" t="str">
        <f t="shared" si="30"/>
        <v/>
      </c>
      <c r="H651" s="13" t="str">
        <f t="shared" si="31"/>
        <v/>
      </c>
      <c r="I651" s="16" t="str">
        <f t="shared" si="32"/>
        <v/>
      </c>
      <c r="J651" s="11"/>
      <c r="K651" s="11"/>
      <c r="L651" s="11"/>
      <c r="M651" s="11"/>
      <c r="N651" s="11"/>
    </row>
    <row r="652" spans="1:14" ht="15.75" customHeight="1" x14ac:dyDescent="0.25">
      <c r="A652" s="11"/>
      <c r="B652" s="11"/>
      <c r="C652" s="11"/>
      <c r="D652" s="11"/>
      <c r="E652" s="11"/>
      <c r="F652" s="11"/>
      <c r="G652" s="15" t="str">
        <f t="shared" si="30"/>
        <v/>
      </c>
      <c r="H652" s="13" t="str">
        <f t="shared" si="31"/>
        <v/>
      </c>
      <c r="I652" s="16" t="str">
        <f t="shared" si="32"/>
        <v/>
      </c>
      <c r="J652" s="11"/>
      <c r="K652" s="11"/>
      <c r="L652" s="11"/>
      <c r="M652" s="11"/>
      <c r="N652" s="11"/>
    </row>
    <row r="653" spans="1:14" ht="15.75" customHeight="1" x14ac:dyDescent="0.25">
      <c r="A653" s="11"/>
      <c r="B653" s="11"/>
      <c r="C653" s="11"/>
      <c r="D653" s="11"/>
      <c r="E653" s="11"/>
      <c r="F653" s="11"/>
      <c r="G653" s="15" t="str">
        <f t="shared" si="30"/>
        <v/>
      </c>
      <c r="H653" s="13" t="str">
        <f t="shared" si="31"/>
        <v/>
      </c>
      <c r="I653" s="16" t="str">
        <f t="shared" si="32"/>
        <v/>
      </c>
      <c r="J653" s="11"/>
      <c r="K653" s="11"/>
      <c r="L653" s="11"/>
      <c r="M653" s="11"/>
      <c r="N653" s="11"/>
    </row>
    <row r="654" spans="1:14" ht="15.75" customHeight="1" x14ac:dyDescent="0.25">
      <c r="A654" s="11"/>
      <c r="B654" s="11"/>
      <c r="C654" s="11"/>
      <c r="D654" s="11"/>
      <c r="E654" s="11"/>
      <c r="F654" s="11"/>
      <c r="G654" s="15" t="str">
        <f t="shared" si="30"/>
        <v/>
      </c>
      <c r="H654" s="13" t="str">
        <f t="shared" si="31"/>
        <v/>
      </c>
      <c r="I654" s="16" t="str">
        <f t="shared" si="32"/>
        <v/>
      </c>
      <c r="J654" s="11"/>
      <c r="K654" s="11"/>
      <c r="L654" s="11"/>
      <c r="M654" s="11"/>
      <c r="N654" s="11"/>
    </row>
    <row r="655" spans="1:14" ht="15.75" customHeight="1" x14ac:dyDescent="0.25">
      <c r="A655" s="11"/>
      <c r="B655" s="11"/>
      <c r="C655" s="11"/>
      <c r="D655" s="11"/>
      <c r="E655" s="11"/>
      <c r="F655" s="11"/>
      <c r="G655" s="15" t="str">
        <f t="shared" si="30"/>
        <v/>
      </c>
      <c r="H655" s="13" t="str">
        <f t="shared" si="31"/>
        <v/>
      </c>
      <c r="I655" s="16" t="str">
        <f t="shared" si="32"/>
        <v/>
      </c>
      <c r="J655" s="11"/>
      <c r="K655" s="11"/>
      <c r="L655" s="11"/>
      <c r="M655" s="11"/>
      <c r="N655" s="11"/>
    </row>
    <row r="656" spans="1:14" ht="15.75" customHeight="1" x14ac:dyDescent="0.25">
      <c r="A656" s="11"/>
      <c r="B656" s="11"/>
      <c r="C656" s="11"/>
      <c r="D656" s="11"/>
      <c r="E656" s="11"/>
      <c r="F656" s="11"/>
      <c r="G656" s="15" t="str">
        <f t="shared" si="30"/>
        <v/>
      </c>
      <c r="H656" s="13" t="str">
        <f t="shared" si="31"/>
        <v/>
      </c>
      <c r="I656" s="16" t="str">
        <f t="shared" si="32"/>
        <v/>
      </c>
      <c r="J656" s="11"/>
      <c r="K656" s="11"/>
      <c r="L656" s="11"/>
      <c r="M656" s="11"/>
      <c r="N656" s="11"/>
    </row>
    <row r="657" spans="1:14" ht="15.75" customHeight="1" x14ac:dyDescent="0.25">
      <c r="A657" s="11"/>
      <c r="B657" s="11"/>
      <c r="C657" s="11"/>
      <c r="D657" s="11"/>
      <c r="E657" s="11"/>
      <c r="F657" s="11"/>
      <c r="G657" s="15" t="str">
        <f t="shared" si="30"/>
        <v/>
      </c>
      <c r="H657" s="13" t="str">
        <f t="shared" si="31"/>
        <v/>
      </c>
      <c r="I657" s="16" t="str">
        <f t="shared" si="32"/>
        <v/>
      </c>
      <c r="J657" s="11"/>
      <c r="K657" s="11"/>
      <c r="L657" s="11"/>
      <c r="M657" s="11"/>
      <c r="N657" s="11"/>
    </row>
    <row r="658" spans="1:14" ht="15.75" customHeight="1" x14ac:dyDescent="0.25">
      <c r="A658" s="11"/>
      <c r="B658" s="11"/>
      <c r="C658" s="11"/>
      <c r="D658" s="11"/>
      <c r="E658" s="11"/>
      <c r="F658" s="11"/>
      <c r="G658" s="15" t="str">
        <f t="shared" si="30"/>
        <v/>
      </c>
      <c r="H658" s="13" t="str">
        <f t="shared" si="31"/>
        <v/>
      </c>
      <c r="I658" s="16" t="str">
        <f t="shared" si="32"/>
        <v/>
      </c>
      <c r="J658" s="11"/>
      <c r="K658" s="11"/>
      <c r="L658" s="11"/>
      <c r="M658" s="11"/>
      <c r="N658" s="11"/>
    </row>
    <row r="659" spans="1:14" ht="15.75" customHeight="1" x14ac:dyDescent="0.25">
      <c r="A659" s="11"/>
      <c r="B659" s="11"/>
      <c r="C659" s="11"/>
      <c r="D659" s="11"/>
      <c r="E659" s="11"/>
      <c r="F659" s="11"/>
      <c r="G659" s="15" t="str">
        <f t="shared" si="30"/>
        <v/>
      </c>
      <c r="H659" s="13" t="str">
        <f t="shared" si="31"/>
        <v/>
      </c>
      <c r="I659" s="16" t="str">
        <f t="shared" si="32"/>
        <v/>
      </c>
      <c r="J659" s="11"/>
      <c r="K659" s="11"/>
      <c r="L659" s="11"/>
      <c r="M659" s="11"/>
      <c r="N659" s="11"/>
    </row>
    <row r="660" spans="1:14" ht="15.75" customHeight="1" x14ac:dyDescent="0.25">
      <c r="A660" s="11"/>
      <c r="B660" s="11"/>
      <c r="C660" s="11"/>
      <c r="D660" s="11"/>
      <c r="E660" s="11"/>
      <c r="F660" s="11"/>
      <c r="G660" s="15" t="str">
        <f t="shared" si="30"/>
        <v/>
      </c>
      <c r="H660" s="13" t="str">
        <f t="shared" si="31"/>
        <v/>
      </c>
      <c r="I660" s="16" t="str">
        <f t="shared" si="32"/>
        <v/>
      </c>
      <c r="J660" s="11"/>
      <c r="K660" s="11"/>
      <c r="L660" s="11"/>
      <c r="M660" s="11"/>
      <c r="N660" s="11"/>
    </row>
    <row r="661" spans="1:14" ht="15.75" customHeight="1" x14ac:dyDescent="0.25">
      <c r="A661" s="11"/>
      <c r="B661" s="11"/>
      <c r="C661" s="11"/>
      <c r="D661" s="11"/>
      <c r="E661" s="11"/>
      <c r="F661" s="11"/>
      <c r="G661" s="15" t="str">
        <f t="shared" si="30"/>
        <v/>
      </c>
      <c r="H661" s="13" t="str">
        <f t="shared" si="31"/>
        <v/>
      </c>
      <c r="I661" s="16" t="str">
        <f t="shared" si="32"/>
        <v/>
      </c>
      <c r="J661" s="11"/>
      <c r="K661" s="11"/>
      <c r="L661" s="11"/>
      <c r="M661" s="11"/>
      <c r="N661" s="11"/>
    </row>
    <row r="662" spans="1:14" ht="15.75" customHeight="1" x14ac:dyDescent="0.25">
      <c r="A662" s="11"/>
      <c r="B662" s="11"/>
      <c r="C662" s="11"/>
      <c r="D662" s="11"/>
      <c r="E662" s="11"/>
      <c r="F662" s="11"/>
      <c r="G662" s="15" t="str">
        <f t="shared" si="30"/>
        <v/>
      </c>
      <c r="H662" s="13" t="str">
        <f t="shared" si="31"/>
        <v/>
      </c>
      <c r="I662" s="16" t="str">
        <f t="shared" si="32"/>
        <v/>
      </c>
      <c r="J662" s="11"/>
      <c r="K662" s="11"/>
      <c r="L662" s="11"/>
      <c r="M662" s="11"/>
      <c r="N662" s="11"/>
    </row>
    <row r="663" spans="1:14" ht="15.75" customHeight="1" x14ac:dyDescent="0.25">
      <c r="A663" s="11"/>
      <c r="B663" s="11"/>
      <c r="C663" s="11"/>
      <c r="D663" s="11"/>
      <c r="E663" s="11"/>
      <c r="F663" s="11"/>
      <c r="G663" s="15" t="str">
        <f t="shared" si="30"/>
        <v/>
      </c>
      <c r="H663" s="13" t="str">
        <f t="shared" si="31"/>
        <v/>
      </c>
      <c r="I663" s="16" t="str">
        <f t="shared" si="32"/>
        <v/>
      </c>
      <c r="J663" s="11"/>
      <c r="K663" s="11"/>
      <c r="L663" s="11"/>
      <c r="M663" s="11"/>
      <c r="N663" s="11"/>
    </row>
    <row r="664" spans="1:14" ht="15.75" customHeight="1" x14ac:dyDescent="0.25">
      <c r="A664" s="11"/>
      <c r="B664" s="11"/>
      <c r="C664" s="11"/>
      <c r="D664" s="11"/>
      <c r="E664" s="11"/>
      <c r="F664" s="11"/>
      <c r="G664" s="15" t="str">
        <f t="shared" si="30"/>
        <v/>
      </c>
      <c r="H664" s="13" t="str">
        <f t="shared" si="31"/>
        <v/>
      </c>
      <c r="I664" s="16" t="str">
        <f t="shared" si="32"/>
        <v/>
      </c>
      <c r="J664" s="11"/>
      <c r="K664" s="11"/>
      <c r="L664" s="11"/>
      <c r="M664" s="11"/>
      <c r="N664" s="11"/>
    </row>
    <row r="665" spans="1:14" ht="15.75" customHeight="1" x14ac:dyDescent="0.25">
      <c r="A665" s="11"/>
      <c r="B665" s="11"/>
      <c r="C665" s="11"/>
      <c r="D665" s="11"/>
      <c r="E665" s="11"/>
      <c r="F665" s="11"/>
      <c r="G665" s="15" t="str">
        <f t="shared" si="30"/>
        <v/>
      </c>
      <c r="H665" s="13" t="str">
        <f t="shared" si="31"/>
        <v/>
      </c>
      <c r="I665" s="16" t="str">
        <f t="shared" si="32"/>
        <v/>
      </c>
      <c r="J665" s="11"/>
      <c r="K665" s="11"/>
      <c r="L665" s="11"/>
      <c r="M665" s="11"/>
      <c r="N665" s="11"/>
    </row>
    <row r="666" spans="1:14" ht="15.75" customHeight="1" x14ac:dyDescent="0.25">
      <c r="A666" s="11"/>
      <c r="B666" s="11"/>
      <c r="C666" s="11"/>
      <c r="D666" s="11"/>
      <c r="E666" s="11"/>
      <c r="F666" s="11"/>
      <c r="G666" s="15" t="str">
        <f t="shared" si="30"/>
        <v/>
      </c>
      <c r="H666" s="13" t="str">
        <f t="shared" si="31"/>
        <v/>
      </c>
      <c r="I666" s="16" t="str">
        <f t="shared" si="32"/>
        <v/>
      </c>
      <c r="J666" s="11"/>
      <c r="K666" s="11"/>
      <c r="L666" s="11"/>
      <c r="M666" s="11"/>
      <c r="N666" s="11"/>
    </row>
    <row r="667" spans="1:14" ht="15.75" customHeight="1" x14ac:dyDescent="0.25">
      <c r="A667" s="11"/>
      <c r="B667" s="11"/>
      <c r="C667" s="11"/>
      <c r="D667" s="11"/>
      <c r="E667" s="11"/>
      <c r="F667" s="11"/>
      <c r="G667" s="15" t="str">
        <f t="shared" si="30"/>
        <v/>
      </c>
      <c r="H667" s="13" t="str">
        <f t="shared" si="31"/>
        <v/>
      </c>
      <c r="I667" s="16" t="str">
        <f t="shared" si="32"/>
        <v/>
      </c>
      <c r="J667" s="11"/>
      <c r="K667" s="11"/>
      <c r="L667" s="11"/>
      <c r="M667" s="11"/>
      <c r="N667" s="11"/>
    </row>
    <row r="668" spans="1:14" ht="15.75" customHeight="1" x14ac:dyDescent="0.25">
      <c r="A668" s="11"/>
      <c r="B668" s="11"/>
      <c r="C668" s="11"/>
      <c r="D668" s="11"/>
      <c r="E668" s="11"/>
      <c r="F668" s="11"/>
      <c r="G668" s="15" t="str">
        <f t="shared" si="30"/>
        <v/>
      </c>
      <c r="H668" s="13" t="str">
        <f t="shared" si="31"/>
        <v/>
      </c>
      <c r="I668" s="16" t="str">
        <f t="shared" si="32"/>
        <v/>
      </c>
      <c r="J668" s="11"/>
      <c r="K668" s="11"/>
      <c r="L668" s="11"/>
      <c r="M668" s="11"/>
      <c r="N668" s="11"/>
    </row>
    <row r="669" spans="1:14" ht="15.75" customHeight="1" x14ac:dyDescent="0.25">
      <c r="A669" s="11"/>
      <c r="B669" s="11"/>
      <c r="C669" s="11"/>
      <c r="D669" s="11"/>
      <c r="E669" s="11"/>
      <c r="F669" s="11"/>
      <c r="G669" s="15" t="str">
        <f t="shared" si="30"/>
        <v/>
      </c>
      <c r="H669" s="13" t="str">
        <f t="shared" si="31"/>
        <v/>
      </c>
      <c r="I669" s="16" t="str">
        <f t="shared" si="32"/>
        <v/>
      </c>
      <c r="J669" s="11"/>
      <c r="K669" s="11"/>
      <c r="L669" s="11"/>
      <c r="M669" s="11"/>
      <c r="N669" s="11"/>
    </row>
    <row r="670" spans="1:14" ht="15.75" customHeight="1" x14ac:dyDescent="0.25">
      <c r="A670" s="11"/>
      <c r="B670" s="11"/>
      <c r="C670" s="11"/>
      <c r="D670" s="11"/>
      <c r="E670" s="11"/>
      <c r="F670" s="11"/>
      <c r="G670" s="15" t="str">
        <f t="shared" si="30"/>
        <v/>
      </c>
      <c r="H670" s="13" t="str">
        <f t="shared" si="31"/>
        <v/>
      </c>
      <c r="I670" s="16" t="str">
        <f t="shared" si="32"/>
        <v/>
      </c>
      <c r="J670" s="11"/>
      <c r="K670" s="11"/>
      <c r="L670" s="11"/>
      <c r="M670" s="11"/>
      <c r="N670" s="11"/>
    </row>
    <row r="671" spans="1:14" ht="15.75" customHeight="1" x14ac:dyDescent="0.25">
      <c r="A671" s="11"/>
      <c r="B671" s="11"/>
      <c r="C671" s="11"/>
      <c r="D671" s="11"/>
      <c r="E671" s="11"/>
      <c r="F671" s="11"/>
      <c r="G671" s="15" t="str">
        <f t="shared" si="30"/>
        <v/>
      </c>
      <c r="H671" s="13" t="str">
        <f t="shared" si="31"/>
        <v/>
      </c>
      <c r="I671" s="16" t="str">
        <f t="shared" si="32"/>
        <v/>
      </c>
      <c r="J671" s="11"/>
      <c r="K671" s="11"/>
      <c r="L671" s="11"/>
      <c r="M671" s="11"/>
      <c r="N671" s="11"/>
    </row>
    <row r="672" spans="1:14" ht="15.75" customHeight="1" x14ac:dyDescent="0.25">
      <c r="A672" s="11"/>
      <c r="B672" s="11"/>
      <c r="C672" s="11"/>
      <c r="D672" s="11"/>
      <c r="E672" s="11"/>
      <c r="F672" s="11"/>
      <c r="G672" s="15" t="str">
        <f t="shared" si="30"/>
        <v/>
      </c>
      <c r="H672" s="13" t="str">
        <f t="shared" si="31"/>
        <v/>
      </c>
      <c r="I672" s="16" t="str">
        <f t="shared" si="32"/>
        <v/>
      </c>
      <c r="J672" s="11"/>
      <c r="K672" s="11"/>
      <c r="L672" s="11"/>
      <c r="M672" s="11"/>
      <c r="N672" s="11"/>
    </row>
    <row r="673" spans="1:14" ht="15.75" customHeight="1" x14ac:dyDescent="0.25">
      <c r="A673" s="11"/>
      <c r="B673" s="11"/>
      <c r="C673" s="11"/>
      <c r="D673" s="11"/>
      <c r="E673" s="11"/>
      <c r="F673" s="11"/>
      <c r="G673" s="15" t="str">
        <f t="shared" si="30"/>
        <v/>
      </c>
      <c r="H673" s="13" t="str">
        <f t="shared" si="31"/>
        <v/>
      </c>
      <c r="I673" s="16" t="str">
        <f t="shared" si="32"/>
        <v/>
      </c>
      <c r="J673" s="11"/>
      <c r="K673" s="11"/>
      <c r="L673" s="11"/>
      <c r="M673" s="11"/>
      <c r="N673" s="11"/>
    </row>
    <row r="674" spans="1:14" ht="15.75" customHeight="1" x14ac:dyDescent="0.25">
      <c r="A674" s="11"/>
      <c r="B674" s="11"/>
      <c r="C674" s="11"/>
      <c r="D674" s="11"/>
      <c r="E674" s="11"/>
      <c r="F674" s="11"/>
      <c r="G674" s="15" t="str">
        <f t="shared" si="30"/>
        <v/>
      </c>
      <c r="H674" s="13" t="str">
        <f t="shared" si="31"/>
        <v/>
      </c>
      <c r="I674" s="16" t="str">
        <f t="shared" si="32"/>
        <v/>
      </c>
      <c r="J674" s="11"/>
      <c r="K674" s="11"/>
      <c r="L674" s="11"/>
      <c r="M674" s="11"/>
      <c r="N674" s="11"/>
    </row>
    <row r="675" spans="1:14" ht="15.75" customHeight="1" x14ac:dyDescent="0.25">
      <c r="A675" s="11"/>
      <c r="B675" s="11"/>
      <c r="C675" s="11"/>
      <c r="D675" s="11"/>
      <c r="E675" s="11"/>
      <c r="F675" s="11"/>
      <c r="G675" s="15" t="str">
        <f t="shared" si="30"/>
        <v/>
      </c>
      <c r="H675" s="13" t="str">
        <f t="shared" si="31"/>
        <v/>
      </c>
      <c r="I675" s="16" t="str">
        <f t="shared" si="32"/>
        <v/>
      </c>
      <c r="J675" s="11"/>
      <c r="K675" s="11"/>
      <c r="L675" s="11"/>
      <c r="M675" s="11"/>
      <c r="N675" s="11"/>
    </row>
    <row r="676" spans="1:14" ht="15.75" customHeight="1" x14ac:dyDescent="0.25">
      <c r="A676" s="11"/>
      <c r="B676" s="11"/>
      <c r="C676" s="11"/>
      <c r="D676" s="11"/>
      <c r="E676" s="11"/>
      <c r="F676" s="11"/>
      <c r="G676" s="15" t="str">
        <f t="shared" si="30"/>
        <v/>
      </c>
      <c r="H676" s="13" t="str">
        <f t="shared" si="31"/>
        <v/>
      </c>
      <c r="I676" s="16" t="str">
        <f t="shared" si="32"/>
        <v/>
      </c>
      <c r="J676" s="11"/>
      <c r="K676" s="11"/>
      <c r="L676" s="11"/>
      <c r="M676" s="11"/>
      <c r="N676" s="11"/>
    </row>
    <row r="677" spans="1:14" ht="15.75" customHeight="1" x14ac:dyDescent="0.25">
      <c r="A677" s="11"/>
      <c r="B677" s="11"/>
      <c r="C677" s="11"/>
      <c r="D677" s="11"/>
      <c r="E677" s="11"/>
      <c r="F677" s="11"/>
      <c r="G677" s="15" t="str">
        <f t="shared" si="30"/>
        <v/>
      </c>
      <c r="H677" s="13" t="str">
        <f t="shared" si="31"/>
        <v/>
      </c>
      <c r="I677" s="16" t="str">
        <f t="shared" si="32"/>
        <v/>
      </c>
      <c r="J677" s="11"/>
      <c r="K677" s="11"/>
      <c r="L677" s="11"/>
      <c r="M677" s="11"/>
      <c r="N677" s="11"/>
    </row>
    <row r="678" spans="1:14" ht="15.75" customHeight="1" x14ac:dyDescent="0.25">
      <c r="A678" s="11"/>
      <c r="B678" s="11"/>
      <c r="C678" s="11"/>
      <c r="D678" s="11"/>
      <c r="E678" s="11"/>
      <c r="F678" s="11"/>
      <c r="G678" s="15" t="str">
        <f t="shared" si="30"/>
        <v/>
      </c>
      <c r="H678" s="13" t="str">
        <f t="shared" si="31"/>
        <v/>
      </c>
      <c r="I678" s="16" t="str">
        <f t="shared" si="32"/>
        <v/>
      </c>
      <c r="J678" s="11"/>
      <c r="K678" s="11"/>
      <c r="L678" s="11"/>
      <c r="M678" s="11"/>
      <c r="N678" s="11"/>
    </row>
    <row r="679" spans="1:14" ht="15.75" customHeight="1" x14ac:dyDescent="0.25">
      <c r="A679" s="11"/>
      <c r="B679" s="11"/>
      <c r="C679" s="11"/>
      <c r="D679" s="11"/>
      <c r="E679" s="11"/>
      <c r="F679" s="11"/>
      <c r="G679" s="15" t="str">
        <f t="shared" si="30"/>
        <v/>
      </c>
      <c r="H679" s="13" t="str">
        <f t="shared" si="31"/>
        <v/>
      </c>
      <c r="I679" s="16" t="str">
        <f t="shared" si="32"/>
        <v/>
      </c>
      <c r="J679" s="11"/>
      <c r="K679" s="11"/>
      <c r="L679" s="11"/>
      <c r="M679" s="11"/>
      <c r="N679" s="11"/>
    </row>
    <row r="680" spans="1:14" ht="15.75" customHeight="1" x14ac:dyDescent="0.25">
      <c r="A680" s="11"/>
      <c r="B680" s="11"/>
      <c r="C680" s="11"/>
      <c r="D680" s="11"/>
      <c r="E680" s="11"/>
      <c r="F680" s="11"/>
      <c r="G680" s="15" t="str">
        <f t="shared" si="30"/>
        <v/>
      </c>
      <c r="H680" s="13" t="str">
        <f t="shared" si="31"/>
        <v/>
      </c>
      <c r="I680" s="16" t="str">
        <f t="shared" si="32"/>
        <v/>
      </c>
      <c r="J680" s="11"/>
      <c r="K680" s="11"/>
      <c r="L680" s="11"/>
      <c r="M680" s="11"/>
      <c r="N680" s="11"/>
    </row>
    <row r="681" spans="1:14" ht="15.75" customHeight="1" x14ac:dyDescent="0.25">
      <c r="A681" s="11"/>
      <c r="B681" s="11"/>
      <c r="C681" s="11"/>
      <c r="D681" s="11"/>
      <c r="E681" s="11"/>
      <c r="F681" s="11"/>
      <c r="G681" s="15" t="str">
        <f t="shared" si="30"/>
        <v/>
      </c>
      <c r="H681" s="13" t="str">
        <f t="shared" si="31"/>
        <v/>
      </c>
      <c r="I681" s="16" t="str">
        <f t="shared" si="32"/>
        <v/>
      </c>
      <c r="J681" s="11"/>
      <c r="K681" s="11"/>
      <c r="L681" s="11"/>
      <c r="M681" s="11"/>
      <c r="N681" s="11"/>
    </row>
    <row r="682" spans="1:14" ht="15.75" customHeight="1" x14ac:dyDescent="0.25">
      <c r="A682" s="11"/>
      <c r="B682" s="11"/>
      <c r="C682" s="11"/>
      <c r="D682" s="11"/>
      <c r="E682" s="11"/>
      <c r="F682" s="11"/>
      <c r="G682" s="15" t="str">
        <f t="shared" si="30"/>
        <v/>
      </c>
      <c r="H682" s="13" t="str">
        <f t="shared" si="31"/>
        <v/>
      </c>
      <c r="I682" s="16" t="str">
        <f t="shared" si="32"/>
        <v/>
      </c>
      <c r="J682" s="11"/>
      <c r="K682" s="11"/>
      <c r="L682" s="11"/>
      <c r="M682" s="11"/>
      <c r="N682" s="11"/>
    </row>
    <row r="683" spans="1:14" ht="15.75" customHeight="1" x14ac:dyDescent="0.25">
      <c r="A683" s="11"/>
      <c r="B683" s="11"/>
      <c r="C683" s="11"/>
      <c r="D683" s="11"/>
      <c r="E683" s="11"/>
      <c r="F683" s="11"/>
      <c r="G683" s="15" t="str">
        <f t="shared" si="30"/>
        <v/>
      </c>
      <c r="H683" s="13" t="str">
        <f t="shared" si="31"/>
        <v/>
      </c>
      <c r="I683" s="16" t="str">
        <f t="shared" si="32"/>
        <v/>
      </c>
      <c r="J683" s="11"/>
      <c r="K683" s="11"/>
      <c r="L683" s="11"/>
      <c r="M683" s="11"/>
      <c r="N683" s="11"/>
    </row>
    <row r="684" spans="1:14" ht="15.75" customHeight="1" x14ac:dyDescent="0.25">
      <c r="A684" s="11"/>
      <c r="B684" s="11"/>
      <c r="C684" s="11"/>
      <c r="D684" s="11"/>
      <c r="E684" s="11"/>
      <c r="F684" s="11"/>
      <c r="G684" s="15" t="str">
        <f t="shared" si="30"/>
        <v/>
      </c>
      <c r="H684" s="13" t="str">
        <f t="shared" si="31"/>
        <v/>
      </c>
      <c r="I684" s="16" t="str">
        <f t="shared" si="32"/>
        <v/>
      </c>
      <c r="J684" s="11"/>
      <c r="K684" s="11"/>
      <c r="L684" s="11"/>
      <c r="M684" s="11"/>
      <c r="N684" s="11"/>
    </row>
    <row r="685" spans="1:14" ht="15.75" customHeight="1" x14ac:dyDescent="0.25">
      <c r="A685" s="11"/>
      <c r="B685" s="11"/>
      <c r="C685" s="11"/>
      <c r="D685" s="11"/>
      <c r="E685" s="11"/>
      <c r="F685" s="11"/>
      <c r="G685" s="15" t="str">
        <f t="shared" si="30"/>
        <v/>
      </c>
      <c r="H685" s="13" t="str">
        <f t="shared" si="31"/>
        <v/>
      </c>
      <c r="I685" s="16" t="str">
        <f t="shared" si="32"/>
        <v/>
      </c>
      <c r="J685" s="11"/>
      <c r="K685" s="11"/>
      <c r="L685" s="11"/>
      <c r="M685" s="11"/>
      <c r="N685" s="11"/>
    </row>
    <row r="686" spans="1:14" ht="15.75" customHeight="1" x14ac:dyDescent="0.25">
      <c r="A686" s="11"/>
      <c r="B686" s="11"/>
      <c r="C686" s="11"/>
      <c r="D686" s="11"/>
      <c r="E686" s="11"/>
      <c r="F686" s="11"/>
      <c r="G686" s="15" t="str">
        <f t="shared" si="30"/>
        <v/>
      </c>
      <c r="H686" s="13" t="str">
        <f t="shared" si="31"/>
        <v/>
      </c>
      <c r="I686" s="16" t="str">
        <f t="shared" si="32"/>
        <v/>
      </c>
      <c r="J686" s="11"/>
      <c r="K686" s="11"/>
      <c r="L686" s="11"/>
      <c r="M686" s="11"/>
      <c r="N686" s="11"/>
    </row>
    <row r="687" spans="1:14" ht="15.75" customHeight="1" x14ac:dyDescent="0.25">
      <c r="A687" s="11"/>
      <c r="B687" s="11"/>
      <c r="C687" s="11"/>
      <c r="D687" s="11"/>
      <c r="E687" s="11"/>
      <c r="F687" s="11"/>
      <c r="G687" s="15" t="str">
        <f t="shared" si="30"/>
        <v/>
      </c>
      <c r="H687" s="13" t="str">
        <f t="shared" si="31"/>
        <v/>
      </c>
      <c r="I687" s="16" t="str">
        <f t="shared" si="32"/>
        <v/>
      </c>
      <c r="J687" s="11"/>
      <c r="K687" s="11"/>
      <c r="L687" s="11"/>
      <c r="M687" s="11"/>
      <c r="N687" s="11"/>
    </row>
    <row r="688" spans="1:14" ht="15.75" customHeight="1" x14ac:dyDescent="0.25">
      <c r="A688" s="11"/>
      <c r="B688" s="11"/>
      <c r="C688" s="11"/>
      <c r="D688" s="11"/>
      <c r="E688" s="11"/>
      <c r="F688" s="11"/>
      <c r="G688" s="15" t="str">
        <f t="shared" si="30"/>
        <v/>
      </c>
      <c r="H688" s="13" t="str">
        <f t="shared" si="31"/>
        <v/>
      </c>
      <c r="I688" s="16" t="str">
        <f t="shared" si="32"/>
        <v/>
      </c>
      <c r="J688" s="11"/>
      <c r="K688" s="11"/>
      <c r="L688" s="11"/>
      <c r="M688" s="11"/>
      <c r="N688" s="11"/>
    </row>
    <row r="689" spans="1:14" ht="15.75" customHeight="1" x14ac:dyDescent="0.25">
      <c r="A689" s="11"/>
      <c r="B689" s="11"/>
      <c r="C689" s="11"/>
      <c r="D689" s="11"/>
      <c r="E689" s="11"/>
      <c r="F689" s="11"/>
      <c r="G689" s="15" t="str">
        <f t="shared" si="30"/>
        <v/>
      </c>
      <c r="H689" s="13" t="str">
        <f t="shared" si="31"/>
        <v/>
      </c>
      <c r="I689" s="16" t="str">
        <f t="shared" si="32"/>
        <v/>
      </c>
      <c r="J689" s="11"/>
      <c r="K689" s="11"/>
      <c r="L689" s="11"/>
      <c r="M689" s="11"/>
      <c r="N689" s="11"/>
    </row>
    <row r="690" spans="1:14" ht="15.75" customHeight="1" x14ac:dyDescent="0.25">
      <c r="A690" s="11"/>
      <c r="B690" s="11"/>
      <c r="C690" s="11"/>
      <c r="D690" s="11"/>
      <c r="E690" s="11"/>
      <c r="F690" s="11"/>
      <c r="G690" s="15" t="str">
        <f t="shared" si="30"/>
        <v/>
      </c>
      <c r="H690" s="13" t="str">
        <f t="shared" si="31"/>
        <v/>
      </c>
      <c r="I690" s="16" t="str">
        <f t="shared" si="32"/>
        <v/>
      </c>
      <c r="J690" s="11"/>
      <c r="K690" s="11"/>
      <c r="L690" s="11"/>
      <c r="M690" s="11"/>
      <c r="N690" s="11"/>
    </row>
    <row r="691" spans="1:14" ht="15.75" customHeight="1" x14ac:dyDescent="0.25">
      <c r="A691" s="11"/>
      <c r="B691" s="11"/>
      <c r="C691" s="11"/>
      <c r="D691" s="11"/>
      <c r="E691" s="11"/>
      <c r="F691" s="11"/>
      <c r="G691" s="15" t="str">
        <f t="shared" si="30"/>
        <v/>
      </c>
      <c r="H691" s="13" t="str">
        <f t="shared" si="31"/>
        <v/>
      </c>
      <c r="I691" s="16" t="str">
        <f t="shared" si="32"/>
        <v/>
      </c>
      <c r="J691" s="11"/>
      <c r="K691" s="11"/>
      <c r="L691" s="11"/>
      <c r="M691" s="11"/>
      <c r="N691" s="11"/>
    </row>
    <row r="692" spans="1:14" ht="15.75" customHeight="1" x14ac:dyDescent="0.25">
      <c r="A692" s="11"/>
      <c r="B692" s="11"/>
      <c r="C692" s="11"/>
      <c r="D692" s="11"/>
      <c r="E692" s="11"/>
      <c r="F692" s="11"/>
      <c r="G692" s="15" t="str">
        <f t="shared" si="30"/>
        <v/>
      </c>
      <c r="H692" s="13" t="str">
        <f t="shared" si="31"/>
        <v/>
      </c>
      <c r="I692" s="16" t="str">
        <f t="shared" si="32"/>
        <v/>
      </c>
      <c r="J692" s="11"/>
      <c r="K692" s="11"/>
      <c r="L692" s="11"/>
      <c r="M692" s="11"/>
      <c r="N692" s="11"/>
    </row>
    <row r="693" spans="1:14" ht="15.75" customHeight="1" x14ac:dyDescent="0.25">
      <c r="A693" s="11"/>
      <c r="B693" s="11"/>
      <c r="C693" s="11"/>
      <c r="D693" s="11"/>
      <c r="E693" s="11"/>
      <c r="F693" s="11"/>
      <c r="G693" s="15" t="str">
        <f t="shared" si="30"/>
        <v/>
      </c>
      <c r="H693" s="13" t="str">
        <f t="shared" si="31"/>
        <v/>
      </c>
      <c r="I693" s="16" t="str">
        <f t="shared" si="32"/>
        <v/>
      </c>
      <c r="J693" s="11"/>
      <c r="K693" s="11"/>
      <c r="L693" s="11"/>
      <c r="M693" s="11"/>
      <c r="N693" s="11"/>
    </row>
    <row r="694" spans="1:14" ht="15.75" customHeight="1" x14ac:dyDescent="0.25">
      <c r="A694" s="11"/>
      <c r="B694" s="11"/>
      <c r="C694" s="11"/>
      <c r="D694" s="11"/>
      <c r="E694" s="11"/>
      <c r="F694" s="11"/>
      <c r="G694" s="15" t="str">
        <f t="shared" si="30"/>
        <v/>
      </c>
      <c r="H694" s="13" t="str">
        <f t="shared" si="31"/>
        <v/>
      </c>
      <c r="I694" s="16" t="str">
        <f t="shared" si="32"/>
        <v/>
      </c>
      <c r="J694" s="11"/>
      <c r="K694" s="11"/>
      <c r="L694" s="11"/>
      <c r="M694" s="11"/>
      <c r="N694" s="11"/>
    </row>
    <row r="695" spans="1:14" ht="15.75" customHeight="1" x14ac:dyDescent="0.25">
      <c r="A695" s="11"/>
      <c r="B695" s="11"/>
      <c r="C695" s="11"/>
      <c r="D695" s="11"/>
      <c r="E695" s="11"/>
      <c r="F695" s="11"/>
      <c r="G695" s="15" t="str">
        <f t="shared" si="30"/>
        <v/>
      </c>
      <c r="H695" s="13" t="str">
        <f t="shared" si="31"/>
        <v/>
      </c>
      <c r="I695" s="16" t="str">
        <f t="shared" si="32"/>
        <v/>
      </c>
      <c r="J695" s="11"/>
      <c r="K695" s="11"/>
      <c r="L695" s="11"/>
      <c r="M695" s="11"/>
      <c r="N695" s="11"/>
    </row>
    <row r="696" spans="1:14" ht="15.75" customHeight="1" x14ac:dyDescent="0.25">
      <c r="A696" s="11"/>
      <c r="B696" s="11"/>
      <c r="C696" s="11"/>
      <c r="D696" s="11"/>
      <c r="E696" s="11"/>
      <c r="F696" s="11"/>
      <c r="G696" s="15" t="str">
        <f t="shared" si="30"/>
        <v/>
      </c>
      <c r="H696" s="13" t="str">
        <f t="shared" si="31"/>
        <v/>
      </c>
      <c r="I696" s="16" t="str">
        <f t="shared" si="32"/>
        <v/>
      </c>
      <c r="J696" s="11"/>
      <c r="K696" s="11"/>
      <c r="L696" s="11"/>
      <c r="M696" s="11"/>
      <c r="N696" s="11"/>
    </row>
    <row r="697" spans="1:14" ht="15.75" customHeight="1" x14ac:dyDescent="0.25">
      <c r="A697" s="11"/>
      <c r="B697" s="11"/>
      <c r="C697" s="11"/>
      <c r="D697" s="11"/>
      <c r="E697" s="11"/>
      <c r="F697" s="11"/>
      <c r="G697" s="15" t="str">
        <f t="shared" si="30"/>
        <v/>
      </c>
      <c r="H697" s="13" t="str">
        <f t="shared" si="31"/>
        <v/>
      </c>
      <c r="I697" s="16" t="str">
        <f t="shared" si="32"/>
        <v/>
      </c>
      <c r="J697" s="11"/>
      <c r="K697" s="11"/>
      <c r="L697" s="11"/>
      <c r="M697" s="11"/>
      <c r="N697" s="11"/>
    </row>
    <row r="698" spans="1:14" ht="15.75" customHeight="1" x14ac:dyDescent="0.25">
      <c r="A698" s="11"/>
      <c r="B698" s="11"/>
      <c r="C698" s="11"/>
      <c r="D698" s="11"/>
      <c r="E698" s="11"/>
      <c r="F698" s="11"/>
      <c r="G698" s="15" t="str">
        <f t="shared" si="30"/>
        <v/>
      </c>
      <c r="H698" s="13" t="str">
        <f t="shared" si="31"/>
        <v/>
      </c>
      <c r="I698" s="16" t="str">
        <f t="shared" si="32"/>
        <v/>
      </c>
      <c r="J698" s="11"/>
      <c r="K698" s="11"/>
      <c r="L698" s="11"/>
      <c r="M698" s="11"/>
      <c r="N698" s="11"/>
    </row>
    <row r="699" spans="1:14" ht="15.75" customHeight="1" x14ac:dyDescent="0.25">
      <c r="A699" s="11"/>
      <c r="B699" s="11"/>
      <c r="C699" s="11"/>
      <c r="D699" s="11"/>
      <c r="E699" s="11"/>
      <c r="F699" s="11"/>
      <c r="G699" s="15" t="str">
        <f t="shared" si="30"/>
        <v/>
      </c>
      <c r="H699" s="13" t="str">
        <f t="shared" si="31"/>
        <v/>
      </c>
      <c r="I699" s="16" t="str">
        <f t="shared" si="32"/>
        <v/>
      </c>
      <c r="J699" s="11"/>
      <c r="K699" s="11"/>
      <c r="L699" s="11"/>
      <c r="M699" s="11"/>
      <c r="N699" s="11"/>
    </row>
    <row r="700" spans="1:14" ht="15.75" customHeight="1" x14ac:dyDescent="0.25">
      <c r="A700" s="11"/>
      <c r="B700" s="11"/>
      <c r="C700" s="11"/>
      <c r="D700" s="11"/>
      <c r="E700" s="11"/>
      <c r="F700" s="11"/>
      <c r="G700" s="15" t="str">
        <f t="shared" si="30"/>
        <v/>
      </c>
      <c r="H700" s="13" t="str">
        <f t="shared" si="31"/>
        <v/>
      </c>
      <c r="I700" s="16" t="str">
        <f t="shared" si="32"/>
        <v/>
      </c>
      <c r="J700" s="11"/>
      <c r="K700" s="11"/>
      <c r="L700" s="11"/>
      <c r="M700" s="11"/>
      <c r="N700" s="11"/>
    </row>
    <row r="701" spans="1:14" ht="15.75" customHeight="1" x14ac:dyDescent="0.25">
      <c r="A701" s="11"/>
      <c r="B701" s="11"/>
      <c r="C701" s="11"/>
      <c r="D701" s="11"/>
      <c r="E701" s="11"/>
      <c r="F701" s="11"/>
      <c r="G701" s="15" t="str">
        <f t="shared" si="30"/>
        <v/>
      </c>
      <c r="H701" s="13" t="str">
        <f t="shared" si="31"/>
        <v/>
      </c>
      <c r="I701" s="16" t="str">
        <f t="shared" si="32"/>
        <v/>
      </c>
      <c r="J701" s="11"/>
      <c r="K701" s="11"/>
      <c r="L701" s="11"/>
      <c r="M701" s="11"/>
      <c r="N701" s="11"/>
    </row>
    <row r="702" spans="1:14" ht="15.75" customHeight="1" x14ac:dyDescent="0.25">
      <c r="A702" s="11"/>
      <c r="B702" s="11"/>
      <c r="C702" s="11"/>
      <c r="D702" s="11"/>
      <c r="E702" s="11"/>
      <c r="F702" s="11"/>
      <c r="G702" s="15" t="str">
        <f t="shared" si="30"/>
        <v/>
      </c>
      <c r="H702" s="13" t="str">
        <f t="shared" si="31"/>
        <v/>
      </c>
      <c r="I702" s="16" t="str">
        <f t="shared" si="32"/>
        <v/>
      </c>
      <c r="J702" s="11"/>
      <c r="K702" s="11"/>
      <c r="L702" s="11"/>
      <c r="M702" s="11"/>
      <c r="N702" s="11"/>
    </row>
    <row r="703" spans="1:14" ht="15.75" customHeight="1" x14ac:dyDescent="0.25">
      <c r="A703" s="11"/>
      <c r="B703" s="11"/>
      <c r="C703" s="11"/>
      <c r="D703" s="11"/>
      <c r="E703" s="11"/>
      <c r="F703" s="11"/>
      <c r="G703" s="15" t="str">
        <f t="shared" si="30"/>
        <v/>
      </c>
      <c r="H703" s="13" t="str">
        <f t="shared" si="31"/>
        <v/>
      </c>
      <c r="I703" s="16" t="str">
        <f t="shared" si="32"/>
        <v/>
      </c>
      <c r="J703" s="11"/>
      <c r="K703" s="11"/>
      <c r="L703" s="11"/>
      <c r="M703" s="11"/>
      <c r="N703" s="11"/>
    </row>
    <row r="704" spans="1:14" ht="15.75" customHeight="1" x14ac:dyDescent="0.25">
      <c r="A704" s="11"/>
      <c r="B704" s="11"/>
      <c r="C704" s="11"/>
      <c r="D704" s="11"/>
      <c r="E704" s="11"/>
      <c r="F704" s="11"/>
      <c r="G704" s="15" t="str">
        <f t="shared" si="30"/>
        <v/>
      </c>
      <c r="H704" s="13" t="str">
        <f t="shared" si="31"/>
        <v/>
      </c>
      <c r="I704" s="16" t="str">
        <f t="shared" si="32"/>
        <v/>
      </c>
      <c r="J704" s="11"/>
      <c r="K704" s="11"/>
      <c r="L704" s="11"/>
      <c r="M704" s="11"/>
      <c r="N704" s="11"/>
    </row>
    <row r="705" spans="1:14" ht="15.75" customHeight="1" x14ac:dyDescent="0.25">
      <c r="A705" s="11"/>
      <c r="B705" s="11"/>
      <c r="C705" s="11"/>
      <c r="D705" s="11"/>
      <c r="E705" s="11"/>
      <c r="F705" s="11"/>
      <c r="G705" s="15" t="str">
        <f t="shared" si="30"/>
        <v/>
      </c>
      <c r="H705" s="13" t="str">
        <f t="shared" si="31"/>
        <v/>
      </c>
      <c r="I705" s="16" t="str">
        <f t="shared" si="32"/>
        <v/>
      </c>
      <c r="J705" s="11"/>
      <c r="K705" s="11"/>
      <c r="L705" s="11"/>
      <c r="M705" s="11"/>
      <c r="N705" s="11"/>
    </row>
    <row r="706" spans="1:14" ht="15.75" customHeight="1" x14ac:dyDescent="0.25">
      <c r="A706" s="11"/>
      <c r="B706" s="11"/>
      <c r="C706" s="11"/>
      <c r="D706" s="11"/>
      <c r="E706" s="11"/>
      <c r="F706" s="11"/>
      <c r="G706" s="15" t="str">
        <f t="shared" si="30"/>
        <v/>
      </c>
      <c r="H706" s="13" t="str">
        <f t="shared" si="31"/>
        <v/>
      </c>
      <c r="I706" s="16" t="str">
        <f t="shared" si="32"/>
        <v/>
      </c>
      <c r="J706" s="11"/>
      <c r="K706" s="11"/>
      <c r="L706" s="11"/>
      <c r="M706" s="11"/>
      <c r="N706" s="11"/>
    </row>
    <row r="707" spans="1:14" ht="15.75" customHeight="1" x14ac:dyDescent="0.25">
      <c r="A707" s="11"/>
      <c r="B707" s="11"/>
      <c r="C707" s="11"/>
      <c r="D707" s="11"/>
      <c r="E707" s="11"/>
      <c r="F707" s="11"/>
      <c r="G707" s="15" t="str">
        <f t="shared" si="30"/>
        <v/>
      </c>
      <c r="H707" s="13" t="str">
        <f t="shared" si="31"/>
        <v/>
      </c>
      <c r="I707" s="16" t="str">
        <f t="shared" si="32"/>
        <v/>
      </c>
      <c r="J707" s="11"/>
      <c r="K707" s="11"/>
      <c r="L707" s="11"/>
      <c r="M707" s="11"/>
      <c r="N707" s="11"/>
    </row>
    <row r="708" spans="1:14" ht="15.75" customHeight="1" x14ac:dyDescent="0.25">
      <c r="A708" s="11"/>
      <c r="B708" s="11"/>
      <c r="C708" s="11"/>
      <c r="D708" s="11"/>
      <c r="E708" s="11"/>
      <c r="F708" s="11"/>
      <c r="G708" s="15" t="str">
        <f t="shared" ref="G708:G771" si="33">IF(E708="","",IF(OR(E708="Withdrawal",E708="Loan Disbursement"),F708,0))</f>
        <v/>
      </c>
      <c r="H708" s="13" t="str">
        <f t="shared" ref="H708:H771" si="34">IF(E708="","",IF(OR(E708="Savings Deposit",E708="Loan Repayment"),F708,0))</f>
        <v/>
      </c>
      <c r="I708" s="16" t="str">
        <f t="shared" si="32"/>
        <v/>
      </c>
      <c r="J708" s="11"/>
      <c r="K708" s="11"/>
      <c r="L708" s="11"/>
      <c r="M708" s="11"/>
      <c r="N708" s="11"/>
    </row>
    <row r="709" spans="1:14" ht="15.75" customHeight="1" x14ac:dyDescent="0.25">
      <c r="A709" s="11"/>
      <c r="B709" s="11"/>
      <c r="C709" s="11"/>
      <c r="D709" s="11"/>
      <c r="E709" s="11"/>
      <c r="F709" s="11"/>
      <c r="G709" s="15" t="str">
        <f t="shared" si="33"/>
        <v/>
      </c>
      <c r="H709" s="13" t="str">
        <f t="shared" si="34"/>
        <v/>
      </c>
      <c r="I709" s="16" t="str">
        <f t="shared" ref="I709:I772" si="35">IF(A709="","",I708+H709-G709)</f>
        <v/>
      </c>
      <c r="J709" s="11"/>
      <c r="K709" s="11"/>
      <c r="L709" s="11"/>
      <c r="M709" s="11"/>
      <c r="N709" s="11"/>
    </row>
    <row r="710" spans="1:14" ht="15.75" customHeight="1" x14ac:dyDescent="0.25">
      <c r="A710" s="11"/>
      <c r="B710" s="11"/>
      <c r="C710" s="11"/>
      <c r="D710" s="11"/>
      <c r="E710" s="11"/>
      <c r="F710" s="11"/>
      <c r="G710" s="15" t="str">
        <f t="shared" si="33"/>
        <v/>
      </c>
      <c r="H710" s="13" t="str">
        <f t="shared" si="34"/>
        <v/>
      </c>
      <c r="I710" s="16" t="str">
        <f t="shared" si="35"/>
        <v/>
      </c>
      <c r="J710" s="11"/>
      <c r="K710" s="11"/>
      <c r="L710" s="11"/>
      <c r="M710" s="11"/>
      <c r="N710" s="11"/>
    </row>
    <row r="711" spans="1:14" ht="15.75" customHeight="1" x14ac:dyDescent="0.25">
      <c r="A711" s="11"/>
      <c r="B711" s="11"/>
      <c r="C711" s="11"/>
      <c r="D711" s="11"/>
      <c r="E711" s="11"/>
      <c r="F711" s="11"/>
      <c r="G711" s="15" t="str">
        <f t="shared" si="33"/>
        <v/>
      </c>
      <c r="H711" s="13" t="str">
        <f t="shared" si="34"/>
        <v/>
      </c>
      <c r="I711" s="16" t="str">
        <f t="shared" si="35"/>
        <v/>
      </c>
      <c r="J711" s="11"/>
      <c r="K711" s="11"/>
      <c r="L711" s="11"/>
      <c r="M711" s="11"/>
      <c r="N711" s="11"/>
    </row>
    <row r="712" spans="1:14" ht="15.75" customHeight="1" x14ac:dyDescent="0.25">
      <c r="A712" s="11"/>
      <c r="B712" s="11"/>
      <c r="C712" s="11"/>
      <c r="D712" s="11"/>
      <c r="E712" s="11"/>
      <c r="F712" s="11"/>
      <c r="G712" s="15" t="str">
        <f t="shared" si="33"/>
        <v/>
      </c>
      <c r="H712" s="13" t="str">
        <f t="shared" si="34"/>
        <v/>
      </c>
      <c r="I712" s="16" t="str">
        <f t="shared" si="35"/>
        <v/>
      </c>
      <c r="J712" s="11"/>
      <c r="K712" s="11"/>
      <c r="L712" s="11"/>
      <c r="M712" s="11"/>
      <c r="N712" s="11"/>
    </row>
    <row r="713" spans="1:14" ht="15.75" customHeight="1" x14ac:dyDescent="0.25">
      <c r="A713" s="11"/>
      <c r="B713" s="11"/>
      <c r="C713" s="11"/>
      <c r="D713" s="11"/>
      <c r="E713" s="11"/>
      <c r="F713" s="11"/>
      <c r="G713" s="15" t="str">
        <f t="shared" si="33"/>
        <v/>
      </c>
      <c r="H713" s="13" t="str">
        <f t="shared" si="34"/>
        <v/>
      </c>
      <c r="I713" s="16" t="str">
        <f t="shared" si="35"/>
        <v/>
      </c>
      <c r="J713" s="11"/>
      <c r="K713" s="11"/>
      <c r="L713" s="11"/>
      <c r="M713" s="11"/>
      <c r="N713" s="11"/>
    </row>
    <row r="714" spans="1:14" ht="15.75" customHeight="1" x14ac:dyDescent="0.25">
      <c r="A714" s="11"/>
      <c r="B714" s="11"/>
      <c r="C714" s="11"/>
      <c r="D714" s="11"/>
      <c r="E714" s="11"/>
      <c r="F714" s="11"/>
      <c r="G714" s="15" t="str">
        <f t="shared" si="33"/>
        <v/>
      </c>
      <c r="H714" s="13" t="str">
        <f t="shared" si="34"/>
        <v/>
      </c>
      <c r="I714" s="16" t="str">
        <f t="shared" si="35"/>
        <v/>
      </c>
      <c r="J714" s="11"/>
      <c r="K714" s="11"/>
      <c r="L714" s="11"/>
      <c r="M714" s="11"/>
      <c r="N714" s="11"/>
    </row>
    <row r="715" spans="1:14" ht="15.75" customHeight="1" x14ac:dyDescent="0.25">
      <c r="A715" s="11"/>
      <c r="B715" s="11"/>
      <c r="C715" s="11"/>
      <c r="D715" s="11"/>
      <c r="E715" s="11"/>
      <c r="F715" s="11"/>
      <c r="G715" s="15" t="str">
        <f t="shared" si="33"/>
        <v/>
      </c>
      <c r="H715" s="13" t="str">
        <f t="shared" si="34"/>
        <v/>
      </c>
      <c r="I715" s="16" t="str">
        <f t="shared" si="35"/>
        <v/>
      </c>
      <c r="J715" s="11"/>
      <c r="K715" s="11"/>
      <c r="L715" s="11"/>
      <c r="M715" s="11"/>
      <c r="N715" s="11"/>
    </row>
    <row r="716" spans="1:14" ht="15.75" customHeight="1" x14ac:dyDescent="0.25">
      <c r="A716" s="11"/>
      <c r="B716" s="11"/>
      <c r="C716" s="11"/>
      <c r="D716" s="11"/>
      <c r="E716" s="11"/>
      <c r="F716" s="11"/>
      <c r="G716" s="15" t="str">
        <f t="shared" si="33"/>
        <v/>
      </c>
      <c r="H716" s="13" t="str">
        <f t="shared" si="34"/>
        <v/>
      </c>
      <c r="I716" s="16" t="str">
        <f t="shared" si="35"/>
        <v/>
      </c>
      <c r="J716" s="11"/>
      <c r="K716" s="11"/>
      <c r="L716" s="11"/>
      <c r="M716" s="11"/>
      <c r="N716" s="11"/>
    </row>
    <row r="717" spans="1:14" ht="15.75" customHeight="1" x14ac:dyDescent="0.25">
      <c r="A717" s="11"/>
      <c r="B717" s="11"/>
      <c r="C717" s="11"/>
      <c r="D717" s="11"/>
      <c r="E717" s="11"/>
      <c r="F717" s="11"/>
      <c r="G717" s="15" t="str">
        <f t="shared" si="33"/>
        <v/>
      </c>
      <c r="H717" s="13" t="str">
        <f t="shared" si="34"/>
        <v/>
      </c>
      <c r="I717" s="16" t="str">
        <f t="shared" si="35"/>
        <v/>
      </c>
      <c r="J717" s="11"/>
      <c r="K717" s="11"/>
      <c r="L717" s="11"/>
      <c r="M717" s="11"/>
      <c r="N717" s="11"/>
    </row>
    <row r="718" spans="1:14" ht="15.75" customHeight="1" x14ac:dyDescent="0.25">
      <c r="A718" s="11"/>
      <c r="B718" s="11"/>
      <c r="C718" s="11"/>
      <c r="D718" s="11"/>
      <c r="E718" s="11"/>
      <c r="F718" s="11"/>
      <c r="G718" s="15" t="str">
        <f t="shared" si="33"/>
        <v/>
      </c>
      <c r="H718" s="13" t="str">
        <f t="shared" si="34"/>
        <v/>
      </c>
      <c r="I718" s="16" t="str">
        <f t="shared" si="35"/>
        <v/>
      </c>
      <c r="J718" s="11"/>
      <c r="K718" s="11"/>
      <c r="L718" s="11"/>
      <c r="M718" s="11"/>
      <c r="N718" s="11"/>
    </row>
    <row r="719" spans="1:14" ht="15.75" customHeight="1" x14ac:dyDescent="0.25">
      <c r="A719" s="11"/>
      <c r="B719" s="11"/>
      <c r="C719" s="11"/>
      <c r="D719" s="11"/>
      <c r="E719" s="11"/>
      <c r="F719" s="11"/>
      <c r="G719" s="15" t="str">
        <f t="shared" si="33"/>
        <v/>
      </c>
      <c r="H719" s="13" t="str">
        <f t="shared" si="34"/>
        <v/>
      </c>
      <c r="I719" s="16" t="str">
        <f t="shared" si="35"/>
        <v/>
      </c>
      <c r="J719" s="11"/>
      <c r="K719" s="11"/>
      <c r="L719" s="11"/>
      <c r="M719" s="11"/>
      <c r="N719" s="11"/>
    </row>
    <row r="720" spans="1:14" ht="15.75" customHeight="1" x14ac:dyDescent="0.25">
      <c r="A720" s="11"/>
      <c r="B720" s="11"/>
      <c r="C720" s="11"/>
      <c r="D720" s="11"/>
      <c r="E720" s="11"/>
      <c r="F720" s="11"/>
      <c r="G720" s="15" t="str">
        <f t="shared" si="33"/>
        <v/>
      </c>
      <c r="H720" s="13" t="str">
        <f t="shared" si="34"/>
        <v/>
      </c>
      <c r="I720" s="16" t="str">
        <f t="shared" si="35"/>
        <v/>
      </c>
      <c r="J720" s="11"/>
      <c r="K720" s="11"/>
      <c r="L720" s="11"/>
      <c r="M720" s="11"/>
      <c r="N720" s="11"/>
    </row>
    <row r="721" spans="1:14" ht="15.75" customHeight="1" x14ac:dyDescent="0.25">
      <c r="A721" s="11"/>
      <c r="B721" s="11"/>
      <c r="C721" s="11"/>
      <c r="D721" s="11"/>
      <c r="E721" s="11"/>
      <c r="F721" s="11"/>
      <c r="G721" s="15" t="str">
        <f t="shared" si="33"/>
        <v/>
      </c>
      <c r="H721" s="13" t="str">
        <f t="shared" si="34"/>
        <v/>
      </c>
      <c r="I721" s="16" t="str">
        <f t="shared" si="35"/>
        <v/>
      </c>
      <c r="J721" s="11"/>
      <c r="K721" s="11"/>
      <c r="L721" s="11"/>
      <c r="M721" s="11"/>
      <c r="N721" s="11"/>
    </row>
    <row r="722" spans="1:14" ht="15.75" customHeight="1" x14ac:dyDescent="0.25">
      <c r="A722" s="11"/>
      <c r="B722" s="11"/>
      <c r="C722" s="11"/>
      <c r="D722" s="11"/>
      <c r="E722" s="11"/>
      <c r="F722" s="11"/>
      <c r="G722" s="15" t="str">
        <f t="shared" si="33"/>
        <v/>
      </c>
      <c r="H722" s="13" t="str">
        <f t="shared" si="34"/>
        <v/>
      </c>
      <c r="I722" s="16" t="str">
        <f t="shared" si="35"/>
        <v/>
      </c>
      <c r="J722" s="11"/>
      <c r="K722" s="11"/>
      <c r="L722" s="11"/>
      <c r="M722" s="11"/>
      <c r="N722" s="11"/>
    </row>
    <row r="723" spans="1:14" ht="15.75" customHeight="1" x14ac:dyDescent="0.25">
      <c r="A723" s="11"/>
      <c r="B723" s="11"/>
      <c r="C723" s="11"/>
      <c r="D723" s="11"/>
      <c r="E723" s="11"/>
      <c r="F723" s="11"/>
      <c r="G723" s="15" t="str">
        <f t="shared" si="33"/>
        <v/>
      </c>
      <c r="H723" s="13" t="str">
        <f t="shared" si="34"/>
        <v/>
      </c>
      <c r="I723" s="16" t="str">
        <f t="shared" si="35"/>
        <v/>
      </c>
      <c r="J723" s="11"/>
      <c r="K723" s="11"/>
      <c r="L723" s="11"/>
      <c r="M723" s="11"/>
      <c r="N723" s="11"/>
    </row>
    <row r="724" spans="1:14" ht="15.75" customHeight="1" x14ac:dyDescent="0.25">
      <c r="A724" s="11"/>
      <c r="B724" s="11"/>
      <c r="C724" s="11"/>
      <c r="D724" s="11"/>
      <c r="E724" s="11"/>
      <c r="F724" s="11"/>
      <c r="G724" s="15" t="str">
        <f t="shared" si="33"/>
        <v/>
      </c>
      <c r="H724" s="13" t="str">
        <f t="shared" si="34"/>
        <v/>
      </c>
      <c r="I724" s="16" t="str">
        <f t="shared" si="35"/>
        <v/>
      </c>
      <c r="J724" s="11"/>
      <c r="K724" s="11"/>
      <c r="L724" s="11"/>
      <c r="M724" s="11"/>
      <c r="N724" s="11"/>
    </row>
    <row r="725" spans="1:14" ht="15.75" customHeight="1" x14ac:dyDescent="0.25">
      <c r="A725" s="11"/>
      <c r="B725" s="11"/>
      <c r="C725" s="11"/>
      <c r="D725" s="11"/>
      <c r="E725" s="11"/>
      <c r="F725" s="11"/>
      <c r="G725" s="15" t="str">
        <f t="shared" si="33"/>
        <v/>
      </c>
      <c r="H725" s="13" t="str">
        <f t="shared" si="34"/>
        <v/>
      </c>
      <c r="I725" s="16" t="str">
        <f t="shared" si="35"/>
        <v/>
      </c>
      <c r="J725" s="11"/>
      <c r="K725" s="11"/>
      <c r="L725" s="11"/>
      <c r="M725" s="11"/>
      <c r="N725" s="11"/>
    </row>
    <row r="726" spans="1:14" ht="15.75" customHeight="1" x14ac:dyDescent="0.25">
      <c r="A726" s="11"/>
      <c r="B726" s="11"/>
      <c r="C726" s="11"/>
      <c r="D726" s="11"/>
      <c r="E726" s="11"/>
      <c r="F726" s="11"/>
      <c r="G726" s="15" t="str">
        <f t="shared" si="33"/>
        <v/>
      </c>
      <c r="H726" s="13" t="str">
        <f t="shared" si="34"/>
        <v/>
      </c>
      <c r="I726" s="16" t="str">
        <f t="shared" si="35"/>
        <v/>
      </c>
      <c r="J726" s="11"/>
      <c r="K726" s="11"/>
      <c r="L726" s="11"/>
      <c r="M726" s="11"/>
      <c r="N726" s="11"/>
    </row>
    <row r="727" spans="1:14" ht="15.75" customHeight="1" x14ac:dyDescent="0.25">
      <c r="A727" s="11"/>
      <c r="B727" s="11"/>
      <c r="C727" s="11"/>
      <c r="D727" s="11"/>
      <c r="E727" s="11"/>
      <c r="F727" s="11"/>
      <c r="G727" s="15" t="str">
        <f t="shared" si="33"/>
        <v/>
      </c>
      <c r="H727" s="13" t="str">
        <f t="shared" si="34"/>
        <v/>
      </c>
      <c r="I727" s="16" t="str">
        <f t="shared" si="35"/>
        <v/>
      </c>
      <c r="J727" s="11"/>
      <c r="K727" s="11"/>
      <c r="L727" s="11"/>
      <c r="M727" s="11"/>
      <c r="N727" s="11"/>
    </row>
    <row r="728" spans="1:14" ht="15.75" customHeight="1" x14ac:dyDescent="0.25">
      <c r="A728" s="11"/>
      <c r="B728" s="11"/>
      <c r="C728" s="11"/>
      <c r="D728" s="11"/>
      <c r="E728" s="11"/>
      <c r="F728" s="11"/>
      <c r="G728" s="15" t="str">
        <f t="shared" si="33"/>
        <v/>
      </c>
      <c r="H728" s="13" t="str">
        <f t="shared" si="34"/>
        <v/>
      </c>
      <c r="I728" s="16" t="str">
        <f t="shared" si="35"/>
        <v/>
      </c>
      <c r="J728" s="11"/>
      <c r="K728" s="11"/>
      <c r="L728" s="11"/>
      <c r="M728" s="11"/>
      <c r="N728" s="11"/>
    </row>
    <row r="729" spans="1:14" ht="15.75" customHeight="1" x14ac:dyDescent="0.25">
      <c r="A729" s="11"/>
      <c r="B729" s="11"/>
      <c r="C729" s="11"/>
      <c r="D729" s="11"/>
      <c r="E729" s="11"/>
      <c r="F729" s="11"/>
      <c r="G729" s="15" t="str">
        <f t="shared" si="33"/>
        <v/>
      </c>
      <c r="H729" s="13" t="str">
        <f t="shared" si="34"/>
        <v/>
      </c>
      <c r="I729" s="16" t="str">
        <f t="shared" si="35"/>
        <v/>
      </c>
      <c r="J729" s="11"/>
      <c r="K729" s="11"/>
      <c r="L729" s="11"/>
      <c r="M729" s="11"/>
      <c r="N729" s="11"/>
    </row>
    <row r="730" spans="1:14" ht="15.75" customHeight="1" x14ac:dyDescent="0.25">
      <c r="A730" s="11"/>
      <c r="B730" s="11"/>
      <c r="C730" s="11"/>
      <c r="D730" s="11"/>
      <c r="E730" s="11"/>
      <c r="F730" s="11"/>
      <c r="G730" s="15" t="str">
        <f t="shared" si="33"/>
        <v/>
      </c>
      <c r="H730" s="13" t="str">
        <f t="shared" si="34"/>
        <v/>
      </c>
      <c r="I730" s="16" t="str">
        <f t="shared" si="35"/>
        <v/>
      </c>
      <c r="J730" s="11"/>
      <c r="K730" s="11"/>
      <c r="L730" s="11"/>
      <c r="M730" s="11"/>
      <c r="N730" s="11"/>
    </row>
    <row r="731" spans="1:14" ht="15.75" customHeight="1" x14ac:dyDescent="0.25">
      <c r="A731" s="11"/>
      <c r="B731" s="11"/>
      <c r="C731" s="11"/>
      <c r="D731" s="11"/>
      <c r="E731" s="11"/>
      <c r="F731" s="11"/>
      <c r="G731" s="15" t="str">
        <f t="shared" si="33"/>
        <v/>
      </c>
      <c r="H731" s="13" t="str">
        <f t="shared" si="34"/>
        <v/>
      </c>
      <c r="I731" s="16" t="str">
        <f t="shared" si="35"/>
        <v/>
      </c>
      <c r="J731" s="11"/>
      <c r="K731" s="11"/>
      <c r="L731" s="11"/>
      <c r="M731" s="11"/>
      <c r="N731" s="11"/>
    </row>
    <row r="732" spans="1:14" ht="15.75" customHeight="1" x14ac:dyDescent="0.25">
      <c r="A732" s="11"/>
      <c r="B732" s="11"/>
      <c r="C732" s="11"/>
      <c r="D732" s="11"/>
      <c r="E732" s="11"/>
      <c r="F732" s="11"/>
      <c r="G732" s="15" t="str">
        <f t="shared" si="33"/>
        <v/>
      </c>
      <c r="H732" s="13" t="str">
        <f t="shared" si="34"/>
        <v/>
      </c>
      <c r="I732" s="16" t="str">
        <f t="shared" si="35"/>
        <v/>
      </c>
      <c r="J732" s="11"/>
      <c r="K732" s="11"/>
      <c r="L732" s="11"/>
      <c r="M732" s="11"/>
      <c r="N732" s="11"/>
    </row>
    <row r="733" spans="1:14" ht="15.75" customHeight="1" x14ac:dyDescent="0.25">
      <c r="A733" s="11"/>
      <c r="B733" s="11"/>
      <c r="C733" s="11"/>
      <c r="D733" s="11"/>
      <c r="E733" s="11"/>
      <c r="F733" s="11"/>
      <c r="G733" s="15" t="str">
        <f t="shared" si="33"/>
        <v/>
      </c>
      <c r="H733" s="13" t="str">
        <f t="shared" si="34"/>
        <v/>
      </c>
      <c r="I733" s="16" t="str">
        <f t="shared" si="35"/>
        <v/>
      </c>
      <c r="J733" s="11"/>
      <c r="K733" s="11"/>
      <c r="L733" s="11"/>
      <c r="M733" s="11"/>
      <c r="N733" s="11"/>
    </row>
    <row r="734" spans="1:14" ht="15.75" customHeight="1" x14ac:dyDescent="0.25">
      <c r="A734" s="11"/>
      <c r="B734" s="11"/>
      <c r="C734" s="11"/>
      <c r="D734" s="11"/>
      <c r="E734" s="11"/>
      <c r="F734" s="11"/>
      <c r="G734" s="15" t="str">
        <f t="shared" si="33"/>
        <v/>
      </c>
      <c r="H734" s="13" t="str">
        <f t="shared" si="34"/>
        <v/>
      </c>
      <c r="I734" s="16" t="str">
        <f t="shared" si="35"/>
        <v/>
      </c>
      <c r="J734" s="11"/>
      <c r="K734" s="11"/>
      <c r="L734" s="11"/>
      <c r="M734" s="11"/>
      <c r="N734" s="11"/>
    </row>
    <row r="735" spans="1:14" ht="15.75" customHeight="1" x14ac:dyDescent="0.25">
      <c r="A735" s="11"/>
      <c r="B735" s="11"/>
      <c r="C735" s="11"/>
      <c r="D735" s="11"/>
      <c r="E735" s="11"/>
      <c r="F735" s="11"/>
      <c r="G735" s="15" t="str">
        <f t="shared" si="33"/>
        <v/>
      </c>
      <c r="H735" s="13" t="str">
        <f t="shared" si="34"/>
        <v/>
      </c>
      <c r="I735" s="16" t="str">
        <f t="shared" si="35"/>
        <v/>
      </c>
      <c r="J735" s="11"/>
      <c r="K735" s="11"/>
      <c r="L735" s="11"/>
      <c r="M735" s="11"/>
      <c r="N735" s="11"/>
    </row>
    <row r="736" spans="1:14" ht="15.75" customHeight="1" x14ac:dyDescent="0.25">
      <c r="A736" s="11"/>
      <c r="B736" s="11"/>
      <c r="C736" s="11"/>
      <c r="D736" s="11"/>
      <c r="E736" s="11"/>
      <c r="F736" s="11"/>
      <c r="G736" s="15" t="str">
        <f t="shared" si="33"/>
        <v/>
      </c>
      <c r="H736" s="13" t="str">
        <f t="shared" si="34"/>
        <v/>
      </c>
      <c r="I736" s="16" t="str">
        <f t="shared" si="35"/>
        <v/>
      </c>
      <c r="J736" s="11"/>
      <c r="K736" s="11"/>
      <c r="L736" s="11"/>
      <c r="M736" s="11"/>
      <c r="N736" s="11"/>
    </row>
    <row r="737" spans="1:14" ht="15.75" customHeight="1" x14ac:dyDescent="0.25">
      <c r="A737" s="11"/>
      <c r="B737" s="11"/>
      <c r="C737" s="11"/>
      <c r="D737" s="11"/>
      <c r="E737" s="11"/>
      <c r="F737" s="11"/>
      <c r="G737" s="15" t="str">
        <f t="shared" si="33"/>
        <v/>
      </c>
      <c r="H737" s="13" t="str">
        <f t="shared" si="34"/>
        <v/>
      </c>
      <c r="I737" s="16" t="str">
        <f t="shared" si="35"/>
        <v/>
      </c>
      <c r="J737" s="11"/>
      <c r="K737" s="11"/>
      <c r="L737" s="11"/>
      <c r="M737" s="11"/>
      <c r="N737" s="11"/>
    </row>
    <row r="738" spans="1:14" ht="15.75" customHeight="1" x14ac:dyDescent="0.25">
      <c r="A738" s="11"/>
      <c r="B738" s="11"/>
      <c r="C738" s="11"/>
      <c r="D738" s="11"/>
      <c r="E738" s="11"/>
      <c r="F738" s="11"/>
      <c r="G738" s="15" t="str">
        <f t="shared" si="33"/>
        <v/>
      </c>
      <c r="H738" s="13" t="str">
        <f t="shared" si="34"/>
        <v/>
      </c>
      <c r="I738" s="16" t="str">
        <f t="shared" si="35"/>
        <v/>
      </c>
      <c r="J738" s="11"/>
      <c r="K738" s="11"/>
      <c r="L738" s="11"/>
      <c r="M738" s="11"/>
      <c r="N738" s="11"/>
    </row>
    <row r="739" spans="1:14" ht="15.75" customHeight="1" x14ac:dyDescent="0.25">
      <c r="A739" s="11"/>
      <c r="B739" s="11"/>
      <c r="C739" s="11"/>
      <c r="D739" s="11"/>
      <c r="E739" s="11"/>
      <c r="F739" s="11"/>
      <c r="G739" s="15" t="str">
        <f t="shared" si="33"/>
        <v/>
      </c>
      <c r="H739" s="13" t="str">
        <f t="shared" si="34"/>
        <v/>
      </c>
      <c r="I739" s="16" t="str">
        <f t="shared" si="35"/>
        <v/>
      </c>
      <c r="J739" s="11"/>
      <c r="K739" s="11"/>
      <c r="L739" s="11"/>
      <c r="M739" s="11"/>
      <c r="N739" s="11"/>
    </row>
    <row r="740" spans="1:14" ht="15.75" customHeight="1" x14ac:dyDescent="0.25">
      <c r="A740" s="11"/>
      <c r="B740" s="11"/>
      <c r="C740" s="11"/>
      <c r="D740" s="11"/>
      <c r="E740" s="11"/>
      <c r="F740" s="11"/>
      <c r="G740" s="15" t="str">
        <f t="shared" si="33"/>
        <v/>
      </c>
      <c r="H740" s="13" t="str">
        <f t="shared" si="34"/>
        <v/>
      </c>
      <c r="I740" s="16" t="str">
        <f t="shared" si="35"/>
        <v/>
      </c>
      <c r="J740" s="11"/>
      <c r="K740" s="11"/>
      <c r="L740" s="11"/>
      <c r="M740" s="11"/>
      <c r="N740" s="11"/>
    </row>
    <row r="741" spans="1:14" ht="15.75" customHeight="1" x14ac:dyDescent="0.25">
      <c r="A741" s="11"/>
      <c r="B741" s="11"/>
      <c r="C741" s="11"/>
      <c r="D741" s="11"/>
      <c r="E741" s="11"/>
      <c r="F741" s="11"/>
      <c r="G741" s="15" t="str">
        <f t="shared" si="33"/>
        <v/>
      </c>
      <c r="H741" s="13" t="str">
        <f t="shared" si="34"/>
        <v/>
      </c>
      <c r="I741" s="16" t="str">
        <f t="shared" si="35"/>
        <v/>
      </c>
      <c r="J741" s="11"/>
      <c r="K741" s="11"/>
      <c r="L741" s="11"/>
      <c r="M741" s="11"/>
      <c r="N741" s="11"/>
    </row>
    <row r="742" spans="1:14" ht="15.75" customHeight="1" x14ac:dyDescent="0.25">
      <c r="A742" s="11"/>
      <c r="B742" s="11"/>
      <c r="C742" s="11"/>
      <c r="D742" s="11"/>
      <c r="E742" s="11"/>
      <c r="F742" s="11"/>
      <c r="G742" s="15" t="str">
        <f t="shared" si="33"/>
        <v/>
      </c>
      <c r="H742" s="13" t="str">
        <f t="shared" si="34"/>
        <v/>
      </c>
      <c r="I742" s="16" t="str">
        <f t="shared" si="35"/>
        <v/>
      </c>
      <c r="J742" s="11"/>
      <c r="K742" s="11"/>
      <c r="L742" s="11"/>
      <c r="M742" s="11"/>
      <c r="N742" s="11"/>
    </row>
    <row r="743" spans="1:14" ht="15.75" customHeight="1" x14ac:dyDescent="0.25">
      <c r="A743" s="11"/>
      <c r="B743" s="11"/>
      <c r="C743" s="11"/>
      <c r="D743" s="11"/>
      <c r="E743" s="11"/>
      <c r="F743" s="11"/>
      <c r="G743" s="15" t="str">
        <f t="shared" si="33"/>
        <v/>
      </c>
      <c r="H743" s="13" t="str">
        <f t="shared" si="34"/>
        <v/>
      </c>
      <c r="I743" s="16" t="str">
        <f t="shared" si="35"/>
        <v/>
      </c>
      <c r="J743" s="11"/>
      <c r="K743" s="11"/>
      <c r="L743" s="11"/>
      <c r="M743" s="11"/>
      <c r="N743" s="11"/>
    </row>
    <row r="744" spans="1:14" ht="15.75" customHeight="1" x14ac:dyDescent="0.25">
      <c r="A744" s="11"/>
      <c r="B744" s="11"/>
      <c r="C744" s="11"/>
      <c r="D744" s="11"/>
      <c r="E744" s="11"/>
      <c r="F744" s="11"/>
      <c r="G744" s="15" t="str">
        <f t="shared" si="33"/>
        <v/>
      </c>
      <c r="H744" s="13" t="str">
        <f t="shared" si="34"/>
        <v/>
      </c>
      <c r="I744" s="16" t="str">
        <f t="shared" si="35"/>
        <v/>
      </c>
      <c r="J744" s="11"/>
      <c r="K744" s="11"/>
      <c r="L744" s="11"/>
      <c r="M744" s="11"/>
      <c r="N744" s="11"/>
    </row>
    <row r="745" spans="1:14" ht="15.75" customHeight="1" x14ac:dyDescent="0.25">
      <c r="A745" s="11"/>
      <c r="B745" s="11"/>
      <c r="C745" s="11"/>
      <c r="D745" s="11"/>
      <c r="E745" s="11"/>
      <c r="F745" s="11"/>
      <c r="G745" s="15" t="str">
        <f t="shared" si="33"/>
        <v/>
      </c>
      <c r="H745" s="13" t="str">
        <f t="shared" si="34"/>
        <v/>
      </c>
      <c r="I745" s="16" t="str">
        <f t="shared" si="35"/>
        <v/>
      </c>
      <c r="J745" s="11"/>
      <c r="K745" s="11"/>
      <c r="L745" s="11"/>
      <c r="M745" s="11"/>
      <c r="N745" s="11"/>
    </row>
    <row r="746" spans="1:14" ht="15.75" customHeight="1" x14ac:dyDescent="0.25">
      <c r="A746" s="11"/>
      <c r="B746" s="11"/>
      <c r="C746" s="11"/>
      <c r="D746" s="11"/>
      <c r="E746" s="11"/>
      <c r="F746" s="11"/>
      <c r="G746" s="15" t="str">
        <f t="shared" si="33"/>
        <v/>
      </c>
      <c r="H746" s="13" t="str">
        <f t="shared" si="34"/>
        <v/>
      </c>
      <c r="I746" s="16" t="str">
        <f t="shared" si="35"/>
        <v/>
      </c>
      <c r="J746" s="11"/>
      <c r="K746" s="11"/>
      <c r="L746" s="11"/>
      <c r="M746" s="11"/>
      <c r="N746" s="11"/>
    </row>
    <row r="747" spans="1:14" ht="15.75" customHeight="1" x14ac:dyDescent="0.25">
      <c r="A747" s="11"/>
      <c r="B747" s="11"/>
      <c r="C747" s="11"/>
      <c r="D747" s="11"/>
      <c r="E747" s="11"/>
      <c r="F747" s="11"/>
      <c r="G747" s="15" t="str">
        <f t="shared" si="33"/>
        <v/>
      </c>
      <c r="H747" s="13" t="str">
        <f t="shared" si="34"/>
        <v/>
      </c>
      <c r="I747" s="16" t="str">
        <f t="shared" si="35"/>
        <v/>
      </c>
      <c r="J747" s="11"/>
      <c r="K747" s="11"/>
      <c r="L747" s="11"/>
      <c r="M747" s="11"/>
      <c r="N747" s="11"/>
    </row>
    <row r="748" spans="1:14" ht="15.75" customHeight="1" x14ac:dyDescent="0.25">
      <c r="A748" s="11"/>
      <c r="B748" s="11"/>
      <c r="C748" s="11"/>
      <c r="D748" s="11"/>
      <c r="E748" s="11"/>
      <c r="F748" s="11"/>
      <c r="G748" s="15" t="str">
        <f t="shared" si="33"/>
        <v/>
      </c>
      <c r="H748" s="13" t="str">
        <f t="shared" si="34"/>
        <v/>
      </c>
      <c r="I748" s="16" t="str">
        <f t="shared" si="35"/>
        <v/>
      </c>
      <c r="J748" s="11"/>
      <c r="K748" s="11"/>
      <c r="L748" s="11"/>
      <c r="M748" s="11"/>
      <c r="N748" s="11"/>
    </row>
    <row r="749" spans="1:14" ht="15.75" customHeight="1" x14ac:dyDescent="0.25">
      <c r="A749" s="11"/>
      <c r="B749" s="11"/>
      <c r="C749" s="11"/>
      <c r="D749" s="11"/>
      <c r="E749" s="11"/>
      <c r="F749" s="11"/>
      <c r="G749" s="15" t="str">
        <f t="shared" si="33"/>
        <v/>
      </c>
      <c r="H749" s="13" t="str">
        <f t="shared" si="34"/>
        <v/>
      </c>
      <c r="I749" s="16" t="str">
        <f t="shared" si="35"/>
        <v/>
      </c>
      <c r="J749" s="11"/>
      <c r="K749" s="11"/>
      <c r="L749" s="11"/>
      <c r="M749" s="11"/>
      <c r="N749" s="11"/>
    </row>
    <row r="750" spans="1:14" ht="15.75" customHeight="1" x14ac:dyDescent="0.25">
      <c r="A750" s="11"/>
      <c r="B750" s="11"/>
      <c r="C750" s="11"/>
      <c r="D750" s="11"/>
      <c r="E750" s="11"/>
      <c r="F750" s="11"/>
      <c r="G750" s="15" t="str">
        <f t="shared" si="33"/>
        <v/>
      </c>
      <c r="H750" s="13" t="str">
        <f t="shared" si="34"/>
        <v/>
      </c>
      <c r="I750" s="16" t="str">
        <f t="shared" si="35"/>
        <v/>
      </c>
      <c r="J750" s="11"/>
      <c r="K750" s="11"/>
      <c r="L750" s="11"/>
      <c r="M750" s="11"/>
      <c r="N750" s="11"/>
    </row>
    <row r="751" spans="1:14" ht="15.75" customHeight="1" x14ac:dyDescent="0.25">
      <c r="A751" s="11"/>
      <c r="B751" s="11"/>
      <c r="C751" s="11"/>
      <c r="D751" s="11"/>
      <c r="E751" s="11"/>
      <c r="F751" s="11"/>
      <c r="G751" s="15" t="str">
        <f t="shared" si="33"/>
        <v/>
      </c>
      <c r="H751" s="13" t="str">
        <f t="shared" si="34"/>
        <v/>
      </c>
      <c r="I751" s="16" t="str">
        <f t="shared" si="35"/>
        <v/>
      </c>
      <c r="J751" s="11"/>
      <c r="K751" s="11"/>
      <c r="L751" s="11"/>
      <c r="M751" s="11"/>
      <c r="N751" s="11"/>
    </row>
    <row r="752" spans="1:14" ht="15.75" customHeight="1" x14ac:dyDescent="0.25">
      <c r="A752" s="11"/>
      <c r="B752" s="11"/>
      <c r="C752" s="11"/>
      <c r="D752" s="11"/>
      <c r="E752" s="11"/>
      <c r="F752" s="11"/>
      <c r="G752" s="15" t="str">
        <f t="shared" si="33"/>
        <v/>
      </c>
      <c r="H752" s="13" t="str">
        <f t="shared" si="34"/>
        <v/>
      </c>
      <c r="I752" s="16" t="str">
        <f t="shared" si="35"/>
        <v/>
      </c>
      <c r="J752" s="11"/>
      <c r="K752" s="11"/>
      <c r="L752" s="11"/>
      <c r="M752" s="11"/>
      <c r="N752" s="11"/>
    </row>
    <row r="753" spans="1:14" ht="15.75" customHeight="1" x14ac:dyDescent="0.25">
      <c r="A753" s="11"/>
      <c r="B753" s="11"/>
      <c r="C753" s="11"/>
      <c r="D753" s="11"/>
      <c r="E753" s="11"/>
      <c r="F753" s="11"/>
      <c r="G753" s="15" t="str">
        <f t="shared" si="33"/>
        <v/>
      </c>
      <c r="H753" s="13" t="str">
        <f t="shared" si="34"/>
        <v/>
      </c>
      <c r="I753" s="16" t="str">
        <f t="shared" si="35"/>
        <v/>
      </c>
      <c r="J753" s="11"/>
      <c r="K753" s="11"/>
      <c r="L753" s="11"/>
      <c r="M753" s="11"/>
      <c r="N753" s="11"/>
    </row>
    <row r="754" spans="1:14" ht="15.75" customHeight="1" x14ac:dyDescent="0.25">
      <c r="A754" s="11"/>
      <c r="B754" s="11"/>
      <c r="C754" s="11"/>
      <c r="D754" s="11"/>
      <c r="E754" s="11"/>
      <c r="F754" s="11"/>
      <c r="G754" s="15" t="str">
        <f t="shared" si="33"/>
        <v/>
      </c>
      <c r="H754" s="13" t="str">
        <f t="shared" si="34"/>
        <v/>
      </c>
      <c r="I754" s="16" t="str">
        <f t="shared" si="35"/>
        <v/>
      </c>
      <c r="J754" s="11"/>
      <c r="K754" s="11"/>
      <c r="L754" s="11"/>
      <c r="M754" s="11"/>
      <c r="N754" s="11"/>
    </row>
    <row r="755" spans="1:14" ht="15.75" customHeight="1" x14ac:dyDescent="0.25">
      <c r="A755" s="11"/>
      <c r="B755" s="11"/>
      <c r="C755" s="11"/>
      <c r="D755" s="11"/>
      <c r="E755" s="11"/>
      <c r="F755" s="11"/>
      <c r="G755" s="15" t="str">
        <f t="shared" si="33"/>
        <v/>
      </c>
      <c r="H755" s="13" t="str">
        <f t="shared" si="34"/>
        <v/>
      </c>
      <c r="I755" s="16" t="str">
        <f t="shared" si="35"/>
        <v/>
      </c>
      <c r="J755" s="11"/>
      <c r="K755" s="11"/>
      <c r="L755" s="11"/>
      <c r="M755" s="11"/>
      <c r="N755" s="11"/>
    </row>
    <row r="756" spans="1:14" ht="15.75" customHeight="1" x14ac:dyDescent="0.25">
      <c r="A756" s="11"/>
      <c r="B756" s="11"/>
      <c r="C756" s="11"/>
      <c r="D756" s="11"/>
      <c r="E756" s="11"/>
      <c r="F756" s="11"/>
      <c r="G756" s="15" t="str">
        <f t="shared" si="33"/>
        <v/>
      </c>
      <c r="H756" s="13" t="str">
        <f t="shared" si="34"/>
        <v/>
      </c>
      <c r="I756" s="16" t="str">
        <f t="shared" si="35"/>
        <v/>
      </c>
      <c r="J756" s="11"/>
      <c r="K756" s="11"/>
      <c r="L756" s="11"/>
      <c r="M756" s="11"/>
      <c r="N756" s="11"/>
    </row>
    <row r="757" spans="1:14" ht="15.75" customHeight="1" x14ac:dyDescent="0.25">
      <c r="A757" s="11"/>
      <c r="B757" s="11"/>
      <c r="C757" s="11"/>
      <c r="D757" s="11"/>
      <c r="E757" s="11"/>
      <c r="F757" s="11"/>
      <c r="G757" s="15" t="str">
        <f t="shared" si="33"/>
        <v/>
      </c>
      <c r="H757" s="13" t="str">
        <f t="shared" si="34"/>
        <v/>
      </c>
      <c r="I757" s="16" t="str">
        <f t="shared" si="35"/>
        <v/>
      </c>
      <c r="J757" s="11"/>
      <c r="K757" s="11"/>
      <c r="L757" s="11"/>
      <c r="M757" s="11"/>
      <c r="N757" s="11"/>
    </row>
    <row r="758" spans="1:14" ht="15.75" customHeight="1" x14ac:dyDescent="0.25">
      <c r="A758" s="11"/>
      <c r="B758" s="11"/>
      <c r="C758" s="11"/>
      <c r="D758" s="11"/>
      <c r="E758" s="11"/>
      <c r="F758" s="11"/>
      <c r="G758" s="15" t="str">
        <f t="shared" si="33"/>
        <v/>
      </c>
      <c r="H758" s="13" t="str">
        <f t="shared" si="34"/>
        <v/>
      </c>
      <c r="I758" s="16" t="str">
        <f t="shared" si="35"/>
        <v/>
      </c>
      <c r="J758" s="11"/>
      <c r="K758" s="11"/>
      <c r="L758" s="11"/>
      <c r="M758" s="11"/>
      <c r="N758" s="11"/>
    </row>
    <row r="759" spans="1:14" ht="15.75" customHeight="1" x14ac:dyDescent="0.25">
      <c r="A759" s="11"/>
      <c r="B759" s="11"/>
      <c r="C759" s="11"/>
      <c r="D759" s="11"/>
      <c r="E759" s="11"/>
      <c r="F759" s="11"/>
      <c r="G759" s="15" t="str">
        <f t="shared" si="33"/>
        <v/>
      </c>
      <c r="H759" s="13" t="str">
        <f t="shared" si="34"/>
        <v/>
      </c>
      <c r="I759" s="16" t="str">
        <f t="shared" si="35"/>
        <v/>
      </c>
      <c r="J759" s="11"/>
      <c r="K759" s="11"/>
      <c r="L759" s="11"/>
      <c r="M759" s="11"/>
      <c r="N759" s="11"/>
    </row>
    <row r="760" spans="1:14" ht="15.75" customHeight="1" x14ac:dyDescent="0.25">
      <c r="A760" s="11"/>
      <c r="B760" s="11"/>
      <c r="C760" s="11"/>
      <c r="D760" s="11"/>
      <c r="E760" s="11"/>
      <c r="F760" s="11"/>
      <c r="G760" s="15" t="str">
        <f t="shared" si="33"/>
        <v/>
      </c>
      <c r="H760" s="13" t="str">
        <f t="shared" si="34"/>
        <v/>
      </c>
      <c r="I760" s="16" t="str">
        <f t="shared" si="35"/>
        <v/>
      </c>
      <c r="J760" s="11"/>
      <c r="K760" s="11"/>
      <c r="L760" s="11"/>
      <c r="M760" s="11"/>
      <c r="N760" s="11"/>
    </row>
    <row r="761" spans="1:14" ht="15.75" customHeight="1" x14ac:dyDescent="0.25">
      <c r="A761" s="11"/>
      <c r="B761" s="11"/>
      <c r="C761" s="11"/>
      <c r="D761" s="11"/>
      <c r="E761" s="11"/>
      <c r="F761" s="11"/>
      <c r="G761" s="15" t="str">
        <f t="shared" si="33"/>
        <v/>
      </c>
      <c r="H761" s="13" t="str">
        <f t="shared" si="34"/>
        <v/>
      </c>
      <c r="I761" s="16" t="str">
        <f t="shared" si="35"/>
        <v/>
      </c>
      <c r="J761" s="11"/>
      <c r="K761" s="11"/>
      <c r="L761" s="11"/>
      <c r="M761" s="11"/>
      <c r="N761" s="11"/>
    </row>
    <row r="762" spans="1:14" ht="15.75" customHeight="1" x14ac:dyDescent="0.25">
      <c r="A762" s="11"/>
      <c r="B762" s="11"/>
      <c r="C762" s="11"/>
      <c r="D762" s="11"/>
      <c r="E762" s="11"/>
      <c r="F762" s="11"/>
      <c r="G762" s="15" t="str">
        <f t="shared" si="33"/>
        <v/>
      </c>
      <c r="H762" s="13" t="str">
        <f t="shared" si="34"/>
        <v/>
      </c>
      <c r="I762" s="16" t="str">
        <f t="shared" si="35"/>
        <v/>
      </c>
      <c r="J762" s="11"/>
      <c r="K762" s="11"/>
      <c r="L762" s="11"/>
      <c r="M762" s="11"/>
      <c r="N762" s="11"/>
    </row>
    <row r="763" spans="1:14" ht="15.75" customHeight="1" x14ac:dyDescent="0.25">
      <c r="A763" s="11"/>
      <c r="B763" s="11"/>
      <c r="C763" s="11"/>
      <c r="D763" s="11"/>
      <c r="E763" s="11"/>
      <c r="F763" s="11"/>
      <c r="G763" s="15" t="str">
        <f t="shared" si="33"/>
        <v/>
      </c>
      <c r="H763" s="13" t="str">
        <f t="shared" si="34"/>
        <v/>
      </c>
      <c r="I763" s="16" t="str">
        <f t="shared" si="35"/>
        <v/>
      </c>
      <c r="J763" s="11"/>
      <c r="K763" s="11"/>
      <c r="L763" s="11"/>
      <c r="M763" s="11"/>
      <c r="N763" s="11"/>
    </row>
    <row r="764" spans="1:14" ht="15.75" customHeight="1" x14ac:dyDescent="0.25">
      <c r="A764" s="11"/>
      <c r="B764" s="11"/>
      <c r="C764" s="11"/>
      <c r="D764" s="11"/>
      <c r="E764" s="11"/>
      <c r="F764" s="11"/>
      <c r="G764" s="15" t="str">
        <f t="shared" si="33"/>
        <v/>
      </c>
      <c r="H764" s="13" t="str">
        <f t="shared" si="34"/>
        <v/>
      </c>
      <c r="I764" s="16" t="str">
        <f t="shared" si="35"/>
        <v/>
      </c>
      <c r="J764" s="11"/>
      <c r="K764" s="11"/>
      <c r="L764" s="11"/>
      <c r="M764" s="11"/>
      <c r="N764" s="11"/>
    </row>
    <row r="765" spans="1:14" ht="15.75" customHeight="1" x14ac:dyDescent="0.25">
      <c r="A765" s="11"/>
      <c r="B765" s="11"/>
      <c r="C765" s="11"/>
      <c r="D765" s="11"/>
      <c r="E765" s="11"/>
      <c r="F765" s="11"/>
      <c r="G765" s="15" t="str">
        <f t="shared" si="33"/>
        <v/>
      </c>
      <c r="H765" s="13" t="str">
        <f t="shared" si="34"/>
        <v/>
      </c>
      <c r="I765" s="16" t="str">
        <f t="shared" si="35"/>
        <v/>
      </c>
      <c r="J765" s="11"/>
      <c r="K765" s="11"/>
      <c r="L765" s="11"/>
      <c r="M765" s="11"/>
      <c r="N765" s="11"/>
    </row>
    <row r="766" spans="1:14" ht="15.75" customHeight="1" x14ac:dyDescent="0.25">
      <c r="A766" s="11"/>
      <c r="B766" s="11"/>
      <c r="C766" s="11"/>
      <c r="D766" s="11"/>
      <c r="E766" s="11"/>
      <c r="F766" s="11"/>
      <c r="G766" s="15" t="str">
        <f t="shared" si="33"/>
        <v/>
      </c>
      <c r="H766" s="13" t="str">
        <f t="shared" si="34"/>
        <v/>
      </c>
      <c r="I766" s="16" t="str">
        <f t="shared" si="35"/>
        <v/>
      </c>
      <c r="J766" s="11"/>
      <c r="K766" s="11"/>
      <c r="L766" s="11"/>
      <c r="M766" s="11"/>
      <c r="N766" s="11"/>
    </row>
    <row r="767" spans="1:14" ht="15.75" customHeight="1" x14ac:dyDescent="0.25">
      <c r="A767" s="11"/>
      <c r="B767" s="11"/>
      <c r="C767" s="11"/>
      <c r="D767" s="11"/>
      <c r="E767" s="11"/>
      <c r="F767" s="11"/>
      <c r="G767" s="15" t="str">
        <f t="shared" si="33"/>
        <v/>
      </c>
      <c r="H767" s="13" t="str">
        <f t="shared" si="34"/>
        <v/>
      </c>
      <c r="I767" s="16" t="str">
        <f t="shared" si="35"/>
        <v/>
      </c>
      <c r="J767" s="11"/>
      <c r="K767" s="11"/>
      <c r="L767" s="11"/>
      <c r="M767" s="11"/>
      <c r="N767" s="11"/>
    </row>
    <row r="768" spans="1:14" ht="15.75" customHeight="1" x14ac:dyDescent="0.25">
      <c r="A768" s="11"/>
      <c r="B768" s="11"/>
      <c r="C768" s="11"/>
      <c r="D768" s="11"/>
      <c r="E768" s="11"/>
      <c r="F768" s="11"/>
      <c r="G768" s="15" t="str">
        <f t="shared" si="33"/>
        <v/>
      </c>
      <c r="H768" s="13" t="str">
        <f t="shared" si="34"/>
        <v/>
      </c>
      <c r="I768" s="16" t="str">
        <f t="shared" si="35"/>
        <v/>
      </c>
      <c r="J768" s="11"/>
      <c r="K768" s="11"/>
      <c r="L768" s="11"/>
      <c r="M768" s="11"/>
      <c r="N768" s="11"/>
    </row>
    <row r="769" spans="1:14" ht="15.75" customHeight="1" x14ac:dyDescent="0.25">
      <c r="A769" s="11"/>
      <c r="B769" s="11"/>
      <c r="C769" s="11"/>
      <c r="D769" s="11"/>
      <c r="E769" s="11"/>
      <c r="F769" s="11"/>
      <c r="G769" s="15" t="str">
        <f t="shared" si="33"/>
        <v/>
      </c>
      <c r="H769" s="13" t="str">
        <f t="shared" si="34"/>
        <v/>
      </c>
      <c r="I769" s="16" t="str">
        <f t="shared" si="35"/>
        <v/>
      </c>
      <c r="J769" s="11"/>
      <c r="K769" s="11"/>
      <c r="L769" s="11"/>
      <c r="M769" s="11"/>
      <c r="N769" s="11"/>
    </row>
    <row r="770" spans="1:14" ht="15.75" customHeight="1" x14ac:dyDescent="0.25">
      <c r="A770" s="11"/>
      <c r="B770" s="11"/>
      <c r="C770" s="11"/>
      <c r="D770" s="11"/>
      <c r="E770" s="11"/>
      <c r="F770" s="11"/>
      <c r="G770" s="15" t="str">
        <f t="shared" si="33"/>
        <v/>
      </c>
      <c r="H770" s="13" t="str">
        <f t="shared" si="34"/>
        <v/>
      </c>
      <c r="I770" s="16" t="str">
        <f t="shared" si="35"/>
        <v/>
      </c>
      <c r="J770" s="11"/>
      <c r="K770" s="11"/>
      <c r="L770" s="11"/>
      <c r="M770" s="11"/>
      <c r="N770" s="11"/>
    </row>
    <row r="771" spans="1:14" ht="15.75" customHeight="1" x14ac:dyDescent="0.25">
      <c r="A771" s="11"/>
      <c r="B771" s="11"/>
      <c r="C771" s="11"/>
      <c r="D771" s="11"/>
      <c r="E771" s="11"/>
      <c r="F771" s="11"/>
      <c r="G771" s="15" t="str">
        <f t="shared" si="33"/>
        <v/>
      </c>
      <c r="H771" s="13" t="str">
        <f t="shared" si="34"/>
        <v/>
      </c>
      <c r="I771" s="16" t="str">
        <f t="shared" si="35"/>
        <v/>
      </c>
      <c r="J771" s="11"/>
      <c r="K771" s="11"/>
      <c r="L771" s="11"/>
      <c r="M771" s="11"/>
      <c r="N771" s="11"/>
    </row>
    <row r="772" spans="1:14" ht="15.75" customHeight="1" x14ac:dyDescent="0.25">
      <c r="A772" s="11"/>
      <c r="B772" s="11"/>
      <c r="C772" s="11"/>
      <c r="D772" s="11"/>
      <c r="E772" s="11"/>
      <c r="F772" s="11"/>
      <c r="G772" s="15" t="str">
        <f t="shared" ref="G772:G835" si="36">IF(E772="","",IF(OR(E772="Withdrawal",E772="Loan Disbursement"),F772,0))</f>
        <v/>
      </c>
      <c r="H772" s="13" t="str">
        <f t="shared" ref="H772:H835" si="37">IF(E772="","",IF(OR(E772="Savings Deposit",E772="Loan Repayment"),F772,0))</f>
        <v/>
      </c>
      <c r="I772" s="16" t="str">
        <f t="shared" si="35"/>
        <v/>
      </c>
      <c r="J772" s="11"/>
      <c r="K772" s="11"/>
      <c r="L772" s="11"/>
      <c r="M772" s="11"/>
      <c r="N772" s="11"/>
    </row>
    <row r="773" spans="1:14" ht="15.75" customHeight="1" x14ac:dyDescent="0.25">
      <c r="A773" s="11"/>
      <c r="B773" s="11"/>
      <c r="C773" s="11"/>
      <c r="D773" s="11"/>
      <c r="E773" s="11"/>
      <c r="F773" s="11"/>
      <c r="G773" s="15" t="str">
        <f t="shared" si="36"/>
        <v/>
      </c>
      <c r="H773" s="13" t="str">
        <f t="shared" si="37"/>
        <v/>
      </c>
      <c r="I773" s="16" t="str">
        <f t="shared" ref="I773:I836" si="38">IF(A773="","",I772+H773-G773)</f>
        <v/>
      </c>
      <c r="J773" s="11"/>
      <c r="K773" s="11"/>
      <c r="L773" s="11"/>
      <c r="M773" s="11"/>
      <c r="N773" s="11"/>
    </row>
    <row r="774" spans="1:14" ht="15.75" customHeight="1" x14ac:dyDescent="0.25">
      <c r="A774" s="11"/>
      <c r="B774" s="11"/>
      <c r="C774" s="11"/>
      <c r="D774" s="11"/>
      <c r="E774" s="11"/>
      <c r="F774" s="11"/>
      <c r="G774" s="15" t="str">
        <f t="shared" si="36"/>
        <v/>
      </c>
      <c r="H774" s="13" t="str">
        <f t="shared" si="37"/>
        <v/>
      </c>
      <c r="I774" s="16" t="str">
        <f t="shared" si="38"/>
        <v/>
      </c>
      <c r="J774" s="11"/>
      <c r="K774" s="11"/>
      <c r="L774" s="11"/>
      <c r="M774" s="11"/>
      <c r="N774" s="11"/>
    </row>
    <row r="775" spans="1:14" ht="15.75" customHeight="1" x14ac:dyDescent="0.25">
      <c r="A775" s="11"/>
      <c r="B775" s="11"/>
      <c r="C775" s="11"/>
      <c r="D775" s="11"/>
      <c r="E775" s="11"/>
      <c r="F775" s="11"/>
      <c r="G775" s="15" t="str">
        <f t="shared" si="36"/>
        <v/>
      </c>
      <c r="H775" s="13" t="str">
        <f t="shared" si="37"/>
        <v/>
      </c>
      <c r="I775" s="16" t="str">
        <f t="shared" si="38"/>
        <v/>
      </c>
      <c r="J775" s="11"/>
      <c r="K775" s="11"/>
      <c r="L775" s="11"/>
      <c r="M775" s="11"/>
      <c r="N775" s="11"/>
    </row>
    <row r="776" spans="1:14" ht="15.75" customHeight="1" x14ac:dyDescent="0.25">
      <c r="A776" s="11"/>
      <c r="B776" s="11"/>
      <c r="C776" s="11"/>
      <c r="D776" s="11"/>
      <c r="E776" s="11"/>
      <c r="F776" s="11"/>
      <c r="G776" s="15" t="str">
        <f t="shared" si="36"/>
        <v/>
      </c>
      <c r="H776" s="13" t="str">
        <f t="shared" si="37"/>
        <v/>
      </c>
      <c r="I776" s="16" t="str">
        <f t="shared" si="38"/>
        <v/>
      </c>
      <c r="J776" s="11"/>
      <c r="K776" s="11"/>
      <c r="L776" s="11"/>
      <c r="M776" s="11"/>
      <c r="N776" s="11"/>
    </row>
    <row r="777" spans="1:14" ht="15.75" customHeight="1" x14ac:dyDescent="0.25">
      <c r="A777" s="11"/>
      <c r="B777" s="11"/>
      <c r="C777" s="11"/>
      <c r="D777" s="11"/>
      <c r="E777" s="11"/>
      <c r="F777" s="11"/>
      <c r="G777" s="15" t="str">
        <f t="shared" si="36"/>
        <v/>
      </c>
      <c r="H777" s="13" t="str">
        <f t="shared" si="37"/>
        <v/>
      </c>
      <c r="I777" s="16" t="str">
        <f t="shared" si="38"/>
        <v/>
      </c>
      <c r="J777" s="11"/>
      <c r="K777" s="11"/>
      <c r="L777" s="11"/>
      <c r="M777" s="11"/>
      <c r="N777" s="11"/>
    </row>
    <row r="778" spans="1:14" ht="15.75" customHeight="1" x14ac:dyDescent="0.25">
      <c r="A778" s="11"/>
      <c r="B778" s="11"/>
      <c r="C778" s="11"/>
      <c r="D778" s="11"/>
      <c r="E778" s="11"/>
      <c r="F778" s="11"/>
      <c r="G778" s="15" t="str">
        <f t="shared" si="36"/>
        <v/>
      </c>
      <c r="H778" s="13" t="str">
        <f t="shared" si="37"/>
        <v/>
      </c>
      <c r="I778" s="16" t="str">
        <f t="shared" si="38"/>
        <v/>
      </c>
      <c r="J778" s="11"/>
      <c r="K778" s="11"/>
      <c r="L778" s="11"/>
      <c r="M778" s="11"/>
      <c r="N778" s="11"/>
    </row>
    <row r="779" spans="1:14" ht="15.75" customHeight="1" x14ac:dyDescent="0.25">
      <c r="A779" s="11"/>
      <c r="B779" s="11"/>
      <c r="C779" s="11"/>
      <c r="D779" s="11"/>
      <c r="E779" s="11"/>
      <c r="F779" s="11"/>
      <c r="G779" s="15" t="str">
        <f t="shared" si="36"/>
        <v/>
      </c>
      <c r="H779" s="13" t="str">
        <f t="shared" si="37"/>
        <v/>
      </c>
      <c r="I779" s="16" t="str">
        <f t="shared" si="38"/>
        <v/>
      </c>
      <c r="J779" s="11"/>
      <c r="K779" s="11"/>
      <c r="L779" s="11"/>
      <c r="M779" s="11"/>
      <c r="N779" s="11"/>
    </row>
    <row r="780" spans="1:14" ht="15.75" customHeight="1" x14ac:dyDescent="0.25">
      <c r="A780" s="11"/>
      <c r="B780" s="11"/>
      <c r="C780" s="11"/>
      <c r="D780" s="11"/>
      <c r="E780" s="11"/>
      <c r="F780" s="11"/>
      <c r="G780" s="15" t="str">
        <f t="shared" si="36"/>
        <v/>
      </c>
      <c r="H780" s="13" t="str">
        <f t="shared" si="37"/>
        <v/>
      </c>
      <c r="I780" s="16" t="str">
        <f t="shared" si="38"/>
        <v/>
      </c>
      <c r="J780" s="11"/>
      <c r="K780" s="11"/>
      <c r="L780" s="11"/>
      <c r="M780" s="11"/>
      <c r="N780" s="11"/>
    </row>
    <row r="781" spans="1:14" ht="15.75" customHeight="1" x14ac:dyDescent="0.25">
      <c r="A781" s="11"/>
      <c r="B781" s="11"/>
      <c r="C781" s="11"/>
      <c r="D781" s="11"/>
      <c r="E781" s="11"/>
      <c r="F781" s="11"/>
      <c r="G781" s="15" t="str">
        <f t="shared" si="36"/>
        <v/>
      </c>
      <c r="H781" s="13" t="str">
        <f t="shared" si="37"/>
        <v/>
      </c>
      <c r="I781" s="16" t="str">
        <f t="shared" si="38"/>
        <v/>
      </c>
      <c r="J781" s="11"/>
      <c r="K781" s="11"/>
      <c r="L781" s="11"/>
      <c r="M781" s="11"/>
      <c r="N781" s="11"/>
    </row>
    <row r="782" spans="1:14" ht="15.75" customHeight="1" x14ac:dyDescent="0.25">
      <c r="A782" s="11"/>
      <c r="B782" s="11"/>
      <c r="C782" s="11"/>
      <c r="D782" s="11"/>
      <c r="E782" s="11"/>
      <c r="F782" s="11"/>
      <c r="G782" s="15" t="str">
        <f t="shared" si="36"/>
        <v/>
      </c>
      <c r="H782" s="13" t="str">
        <f t="shared" si="37"/>
        <v/>
      </c>
      <c r="I782" s="16" t="str">
        <f t="shared" si="38"/>
        <v/>
      </c>
      <c r="J782" s="11"/>
      <c r="K782" s="11"/>
      <c r="L782" s="11"/>
      <c r="M782" s="11"/>
      <c r="N782" s="11"/>
    </row>
    <row r="783" spans="1:14" ht="15.75" customHeight="1" x14ac:dyDescent="0.25">
      <c r="A783" s="11"/>
      <c r="B783" s="11"/>
      <c r="C783" s="11"/>
      <c r="D783" s="11"/>
      <c r="E783" s="11"/>
      <c r="F783" s="11"/>
      <c r="G783" s="15" t="str">
        <f t="shared" si="36"/>
        <v/>
      </c>
      <c r="H783" s="13" t="str">
        <f t="shared" si="37"/>
        <v/>
      </c>
      <c r="I783" s="16" t="str">
        <f t="shared" si="38"/>
        <v/>
      </c>
      <c r="J783" s="11"/>
      <c r="K783" s="11"/>
      <c r="L783" s="11"/>
      <c r="M783" s="11"/>
      <c r="N783" s="11"/>
    </row>
    <row r="784" spans="1:14" ht="15.75" customHeight="1" x14ac:dyDescent="0.25">
      <c r="A784" s="11"/>
      <c r="B784" s="11"/>
      <c r="C784" s="11"/>
      <c r="D784" s="11"/>
      <c r="E784" s="11"/>
      <c r="F784" s="11"/>
      <c r="G784" s="15" t="str">
        <f t="shared" si="36"/>
        <v/>
      </c>
      <c r="H784" s="13" t="str">
        <f t="shared" si="37"/>
        <v/>
      </c>
      <c r="I784" s="16" t="str">
        <f t="shared" si="38"/>
        <v/>
      </c>
      <c r="J784" s="11"/>
      <c r="K784" s="11"/>
      <c r="L784" s="11"/>
      <c r="M784" s="11"/>
      <c r="N784" s="11"/>
    </row>
    <row r="785" spans="1:14" ht="15.75" customHeight="1" x14ac:dyDescent="0.25">
      <c r="A785" s="11"/>
      <c r="B785" s="11"/>
      <c r="C785" s="11"/>
      <c r="D785" s="11"/>
      <c r="E785" s="11"/>
      <c r="F785" s="11"/>
      <c r="G785" s="15" t="str">
        <f t="shared" si="36"/>
        <v/>
      </c>
      <c r="H785" s="13" t="str">
        <f t="shared" si="37"/>
        <v/>
      </c>
      <c r="I785" s="16" t="str">
        <f t="shared" si="38"/>
        <v/>
      </c>
      <c r="J785" s="11"/>
      <c r="K785" s="11"/>
      <c r="L785" s="11"/>
      <c r="M785" s="11"/>
      <c r="N785" s="11"/>
    </row>
    <row r="786" spans="1:14" ht="15.75" customHeight="1" x14ac:dyDescent="0.25">
      <c r="A786" s="11"/>
      <c r="B786" s="11"/>
      <c r="C786" s="11"/>
      <c r="D786" s="11"/>
      <c r="E786" s="11"/>
      <c r="F786" s="11"/>
      <c r="G786" s="15" t="str">
        <f t="shared" si="36"/>
        <v/>
      </c>
      <c r="H786" s="13" t="str">
        <f t="shared" si="37"/>
        <v/>
      </c>
      <c r="I786" s="16" t="str">
        <f t="shared" si="38"/>
        <v/>
      </c>
      <c r="J786" s="11"/>
      <c r="K786" s="11"/>
      <c r="L786" s="11"/>
      <c r="M786" s="11"/>
      <c r="N786" s="11"/>
    </row>
    <row r="787" spans="1:14" ht="15.75" customHeight="1" x14ac:dyDescent="0.25">
      <c r="A787" s="11"/>
      <c r="B787" s="11"/>
      <c r="C787" s="11"/>
      <c r="D787" s="11"/>
      <c r="E787" s="11"/>
      <c r="F787" s="11"/>
      <c r="G787" s="15" t="str">
        <f t="shared" si="36"/>
        <v/>
      </c>
      <c r="H787" s="13" t="str">
        <f t="shared" si="37"/>
        <v/>
      </c>
      <c r="I787" s="16" t="str">
        <f t="shared" si="38"/>
        <v/>
      </c>
      <c r="J787" s="11"/>
      <c r="K787" s="11"/>
      <c r="L787" s="11"/>
      <c r="M787" s="11"/>
      <c r="N787" s="11"/>
    </row>
    <row r="788" spans="1:14" ht="15.75" customHeight="1" x14ac:dyDescent="0.25">
      <c r="A788" s="11"/>
      <c r="B788" s="11"/>
      <c r="C788" s="11"/>
      <c r="D788" s="11"/>
      <c r="E788" s="11"/>
      <c r="F788" s="11"/>
      <c r="G788" s="15" t="str">
        <f t="shared" si="36"/>
        <v/>
      </c>
      <c r="H788" s="13" t="str">
        <f t="shared" si="37"/>
        <v/>
      </c>
      <c r="I788" s="16" t="str">
        <f t="shared" si="38"/>
        <v/>
      </c>
      <c r="J788" s="11"/>
      <c r="K788" s="11"/>
      <c r="L788" s="11"/>
      <c r="M788" s="11"/>
      <c r="N788" s="11"/>
    </row>
    <row r="789" spans="1:14" ht="15.75" customHeight="1" x14ac:dyDescent="0.25">
      <c r="A789" s="11"/>
      <c r="B789" s="11"/>
      <c r="C789" s="11"/>
      <c r="D789" s="11"/>
      <c r="E789" s="11"/>
      <c r="F789" s="11"/>
      <c r="G789" s="15" t="str">
        <f t="shared" si="36"/>
        <v/>
      </c>
      <c r="H789" s="13" t="str">
        <f t="shared" si="37"/>
        <v/>
      </c>
      <c r="I789" s="16" t="str">
        <f t="shared" si="38"/>
        <v/>
      </c>
      <c r="J789" s="11"/>
      <c r="K789" s="11"/>
      <c r="L789" s="11"/>
      <c r="M789" s="11"/>
      <c r="N789" s="11"/>
    </row>
    <row r="790" spans="1:14" ht="15.75" customHeight="1" x14ac:dyDescent="0.25">
      <c r="A790" s="11"/>
      <c r="B790" s="11"/>
      <c r="C790" s="11"/>
      <c r="D790" s="11"/>
      <c r="E790" s="11"/>
      <c r="F790" s="11"/>
      <c r="G790" s="15" t="str">
        <f t="shared" si="36"/>
        <v/>
      </c>
      <c r="H790" s="13" t="str">
        <f t="shared" si="37"/>
        <v/>
      </c>
      <c r="I790" s="16" t="str">
        <f t="shared" si="38"/>
        <v/>
      </c>
      <c r="J790" s="11"/>
      <c r="K790" s="11"/>
      <c r="L790" s="11"/>
      <c r="M790" s="11"/>
      <c r="N790" s="11"/>
    </row>
    <row r="791" spans="1:14" ht="15.75" customHeight="1" x14ac:dyDescent="0.25">
      <c r="A791" s="11"/>
      <c r="B791" s="11"/>
      <c r="C791" s="11"/>
      <c r="D791" s="11"/>
      <c r="E791" s="11"/>
      <c r="F791" s="11"/>
      <c r="G791" s="15" t="str">
        <f t="shared" si="36"/>
        <v/>
      </c>
      <c r="H791" s="13" t="str">
        <f t="shared" si="37"/>
        <v/>
      </c>
      <c r="I791" s="16" t="str">
        <f t="shared" si="38"/>
        <v/>
      </c>
      <c r="J791" s="11"/>
      <c r="K791" s="11"/>
      <c r="L791" s="11"/>
      <c r="M791" s="11"/>
      <c r="N791" s="11"/>
    </row>
    <row r="792" spans="1:14" ht="15.75" customHeight="1" x14ac:dyDescent="0.25">
      <c r="A792" s="11"/>
      <c r="B792" s="11"/>
      <c r="C792" s="11"/>
      <c r="D792" s="11"/>
      <c r="E792" s="11"/>
      <c r="F792" s="11"/>
      <c r="G792" s="15" t="str">
        <f t="shared" si="36"/>
        <v/>
      </c>
      <c r="H792" s="13" t="str">
        <f t="shared" si="37"/>
        <v/>
      </c>
      <c r="I792" s="16" t="str">
        <f t="shared" si="38"/>
        <v/>
      </c>
      <c r="J792" s="11"/>
      <c r="K792" s="11"/>
      <c r="L792" s="11"/>
      <c r="M792" s="11"/>
      <c r="N792" s="11"/>
    </row>
    <row r="793" spans="1:14" ht="15.75" customHeight="1" x14ac:dyDescent="0.25">
      <c r="A793" s="11"/>
      <c r="B793" s="11"/>
      <c r="C793" s="11"/>
      <c r="D793" s="11"/>
      <c r="E793" s="11"/>
      <c r="F793" s="11"/>
      <c r="G793" s="15" t="str">
        <f t="shared" si="36"/>
        <v/>
      </c>
      <c r="H793" s="13" t="str">
        <f t="shared" si="37"/>
        <v/>
      </c>
      <c r="I793" s="16" t="str">
        <f t="shared" si="38"/>
        <v/>
      </c>
      <c r="J793" s="11"/>
      <c r="K793" s="11"/>
      <c r="L793" s="11"/>
      <c r="M793" s="11"/>
      <c r="N793" s="11"/>
    </row>
    <row r="794" spans="1:14" ht="15.75" customHeight="1" x14ac:dyDescent="0.25">
      <c r="A794" s="11"/>
      <c r="B794" s="11"/>
      <c r="C794" s="11"/>
      <c r="D794" s="11"/>
      <c r="E794" s="11"/>
      <c r="F794" s="11"/>
      <c r="G794" s="15" t="str">
        <f t="shared" si="36"/>
        <v/>
      </c>
      <c r="H794" s="13" t="str">
        <f t="shared" si="37"/>
        <v/>
      </c>
      <c r="I794" s="16" t="str">
        <f t="shared" si="38"/>
        <v/>
      </c>
      <c r="J794" s="11"/>
      <c r="K794" s="11"/>
      <c r="L794" s="11"/>
      <c r="M794" s="11"/>
      <c r="N794" s="11"/>
    </row>
    <row r="795" spans="1:14" ht="15.75" customHeight="1" x14ac:dyDescent="0.25">
      <c r="A795" s="11"/>
      <c r="B795" s="11"/>
      <c r="C795" s="11"/>
      <c r="D795" s="11"/>
      <c r="E795" s="11"/>
      <c r="F795" s="11"/>
      <c r="G795" s="15" t="str">
        <f t="shared" si="36"/>
        <v/>
      </c>
      <c r="H795" s="13" t="str">
        <f t="shared" si="37"/>
        <v/>
      </c>
      <c r="I795" s="16" t="str">
        <f t="shared" si="38"/>
        <v/>
      </c>
      <c r="J795" s="11"/>
      <c r="K795" s="11"/>
      <c r="L795" s="11"/>
      <c r="M795" s="11"/>
      <c r="N795" s="11"/>
    </row>
    <row r="796" spans="1:14" ht="15.75" customHeight="1" x14ac:dyDescent="0.25">
      <c r="A796" s="11"/>
      <c r="B796" s="11"/>
      <c r="C796" s="11"/>
      <c r="D796" s="11"/>
      <c r="E796" s="11"/>
      <c r="F796" s="11"/>
      <c r="G796" s="15" t="str">
        <f t="shared" si="36"/>
        <v/>
      </c>
      <c r="H796" s="13" t="str">
        <f t="shared" si="37"/>
        <v/>
      </c>
      <c r="I796" s="16" t="str">
        <f t="shared" si="38"/>
        <v/>
      </c>
      <c r="J796" s="11"/>
      <c r="K796" s="11"/>
      <c r="L796" s="11"/>
      <c r="M796" s="11"/>
      <c r="N796" s="11"/>
    </row>
    <row r="797" spans="1:14" ht="15.75" customHeight="1" x14ac:dyDescent="0.25">
      <c r="A797" s="11"/>
      <c r="B797" s="11"/>
      <c r="C797" s="11"/>
      <c r="D797" s="11"/>
      <c r="E797" s="11"/>
      <c r="F797" s="11"/>
      <c r="G797" s="15" t="str">
        <f t="shared" si="36"/>
        <v/>
      </c>
      <c r="H797" s="13" t="str">
        <f t="shared" si="37"/>
        <v/>
      </c>
      <c r="I797" s="16" t="str">
        <f t="shared" si="38"/>
        <v/>
      </c>
      <c r="J797" s="11"/>
      <c r="K797" s="11"/>
      <c r="L797" s="11"/>
      <c r="M797" s="11"/>
      <c r="N797" s="11"/>
    </row>
    <row r="798" spans="1:14" ht="15.75" customHeight="1" x14ac:dyDescent="0.25">
      <c r="A798" s="11"/>
      <c r="B798" s="11"/>
      <c r="C798" s="11"/>
      <c r="D798" s="11"/>
      <c r="E798" s="11"/>
      <c r="F798" s="11"/>
      <c r="G798" s="15" t="str">
        <f t="shared" si="36"/>
        <v/>
      </c>
      <c r="H798" s="13" t="str">
        <f t="shared" si="37"/>
        <v/>
      </c>
      <c r="I798" s="16" t="str">
        <f t="shared" si="38"/>
        <v/>
      </c>
      <c r="J798" s="11"/>
      <c r="K798" s="11"/>
      <c r="L798" s="11"/>
      <c r="M798" s="11"/>
      <c r="N798" s="11"/>
    </row>
    <row r="799" spans="1:14" ht="15.75" customHeight="1" x14ac:dyDescent="0.25">
      <c r="A799" s="11"/>
      <c r="B799" s="11"/>
      <c r="C799" s="11"/>
      <c r="D799" s="11"/>
      <c r="E799" s="11"/>
      <c r="F799" s="11"/>
      <c r="G799" s="15" t="str">
        <f t="shared" si="36"/>
        <v/>
      </c>
      <c r="H799" s="13" t="str">
        <f t="shared" si="37"/>
        <v/>
      </c>
      <c r="I799" s="16" t="str">
        <f t="shared" si="38"/>
        <v/>
      </c>
      <c r="J799" s="11"/>
      <c r="K799" s="11"/>
      <c r="L799" s="11"/>
      <c r="M799" s="11"/>
      <c r="N799" s="11"/>
    </row>
    <row r="800" spans="1:14" ht="15.75" customHeight="1" x14ac:dyDescent="0.25">
      <c r="A800" s="11"/>
      <c r="B800" s="11"/>
      <c r="C800" s="11"/>
      <c r="D800" s="11"/>
      <c r="E800" s="11"/>
      <c r="F800" s="11"/>
      <c r="G800" s="15" t="str">
        <f t="shared" si="36"/>
        <v/>
      </c>
      <c r="H800" s="13" t="str">
        <f t="shared" si="37"/>
        <v/>
      </c>
      <c r="I800" s="16" t="str">
        <f t="shared" si="38"/>
        <v/>
      </c>
      <c r="J800" s="11"/>
      <c r="K800" s="11"/>
      <c r="L800" s="11"/>
      <c r="M800" s="11"/>
      <c r="N800" s="11"/>
    </row>
    <row r="801" spans="1:14" ht="15.75" customHeight="1" x14ac:dyDescent="0.25">
      <c r="A801" s="11"/>
      <c r="B801" s="11"/>
      <c r="C801" s="11"/>
      <c r="D801" s="11"/>
      <c r="E801" s="11"/>
      <c r="F801" s="11"/>
      <c r="G801" s="15" t="str">
        <f t="shared" si="36"/>
        <v/>
      </c>
      <c r="H801" s="13" t="str">
        <f t="shared" si="37"/>
        <v/>
      </c>
      <c r="I801" s="16" t="str">
        <f t="shared" si="38"/>
        <v/>
      </c>
      <c r="J801" s="11"/>
      <c r="K801" s="11"/>
      <c r="L801" s="11"/>
      <c r="M801" s="11"/>
      <c r="N801" s="11"/>
    </row>
    <row r="802" spans="1:14" ht="15.75" customHeight="1" x14ac:dyDescent="0.25">
      <c r="A802" s="11"/>
      <c r="B802" s="11"/>
      <c r="C802" s="11"/>
      <c r="D802" s="11"/>
      <c r="E802" s="11"/>
      <c r="F802" s="11"/>
      <c r="G802" s="15" t="str">
        <f t="shared" si="36"/>
        <v/>
      </c>
      <c r="H802" s="13" t="str">
        <f t="shared" si="37"/>
        <v/>
      </c>
      <c r="I802" s="16" t="str">
        <f t="shared" si="38"/>
        <v/>
      </c>
      <c r="J802" s="11"/>
      <c r="K802" s="11"/>
      <c r="L802" s="11"/>
      <c r="M802" s="11"/>
      <c r="N802" s="11"/>
    </row>
    <row r="803" spans="1:14" ht="15.75" customHeight="1" x14ac:dyDescent="0.25">
      <c r="A803" s="11"/>
      <c r="B803" s="11"/>
      <c r="C803" s="11"/>
      <c r="D803" s="11"/>
      <c r="E803" s="11"/>
      <c r="F803" s="11"/>
      <c r="G803" s="15" t="str">
        <f t="shared" si="36"/>
        <v/>
      </c>
      <c r="H803" s="13" t="str">
        <f t="shared" si="37"/>
        <v/>
      </c>
      <c r="I803" s="16" t="str">
        <f t="shared" si="38"/>
        <v/>
      </c>
      <c r="J803" s="11"/>
      <c r="K803" s="11"/>
      <c r="L803" s="11"/>
      <c r="M803" s="11"/>
      <c r="N803" s="11"/>
    </row>
    <row r="804" spans="1:14" ht="15.75" customHeight="1" x14ac:dyDescent="0.25">
      <c r="A804" s="11"/>
      <c r="B804" s="11"/>
      <c r="C804" s="11"/>
      <c r="D804" s="11"/>
      <c r="E804" s="11"/>
      <c r="F804" s="11"/>
      <c r="G804" s="15" t="str">
        <f t="shared" si="36"/>
        <v/>
      </c>
      <c r="H804" s="13" t="str">
        <f t="shared" si="37"/>
        <v/>
      </c>
      <c r="I804" s="16" t="str">
        <f t="shared" si="38"/>
        <v/>
      </c>
      <c r="J804" s="11"/>
      <c r="K804" s="11"/>
      <c r="L804" s="11"/>
      <c r="M804" s="11"/>
      <c r="N804" s="11"/>
    </row>
    <row r="805" spans="1:14" ht="15.75" customHeight="1" x14ac:dyDescent="0.25">
      <c r="A805" s="11"/>
      <c r="B805" s="11"/>
      <c r="C805" s="11"/>
      <c r="D805" s="11"/>
      <c r="E805" s="11"/>
      <c r="F805" s="11"/>
      <c r="G805" s="15" t="str">
        <f t="shared" si="36"/>
        <v/>
      </c>
      <c r="H805" s="13" t="str">
        <f t="shared" si="37"/>
        <v/>
      </c>
      <c r="I805" s="16" t="str">
        <f t="shared" si="38"/>
        <v/>
      </c>
      <c r="J805" s="11"/>
      <c r="K805" s="11"/>
      <c r="L805" s="11"/>
      <c r="M805" s="11"/>
      <c r="N805" s="11"/>
    </row>
    <row r="806" spans="1:14" ht="15.75" customHeight="1" x14ac:dyDescent="0.25">
      <c r="A806" s="11"/>
      <c r="B806" s="11"/>
      <c r="C806" s="11"/>
      <c r="D806" s="11"/>
      <c r="E806" s="11"/>
      <c r="F806" s="11"/>
      <c r="G806" s="15" t="str">
        <f t="shared" si="36"/>
        <v/>
      </c>
      <c r="H806" s="13" t="str">
        <f t="shared" si="37"/>
        <v/>
      </c>
      <c r="I806" s="16" t="str">
        <f t="shared" si="38"/>
        <v/>
      </c>
      <c r="J806" s="11"/>
      <c r="K806" s="11"/>
      <c r="L806" s="11"/>
      <c r="M806" s="11"/>
      <c r="N806" s="11"/>
    </row>
    <row r="807" spans="1:14" ht="15.75" customHeight="1" x14ac:dyDescent="0.25">
      <c r="A807" s="11"/>
      <c r="B807" s="11"/>
      <c r="C807" s="11"/>
      <c r="D807" s="11"/>
      <c r="E807" s="11"/>
      <c r="F807" s="11"/>
      <c r="G807" s="15" t="str">
        <f t="shared" si="36"/>
        <v/>
      </c>
      <c r="H807" s="13" t="str">
        <f t="shared" si="37"/>
        <v/>
      </c>
      <c r="I807" s="16" t="str">
        <f t="shared" si="38"/>
        <v/>
      </c>
      <c r="J807" s="11"/>
      <c r="K807" s="11"/>
      <c r="L807" s="11"/>
      <c r="M807" s="11"/>
      <c r="N807" s="11"/>
    </row>
    <row r="808" spans="1:14" ht="15.75" customHeight="1" x14ac:dyDescent="0.25">
      <c r="A808" s="11"/>
      <c r="B808" s="11"/>
      <c r="C808" s="11"/>
      <c r="D808" s="11"/>
      <c r="E808" s="11"/>
      <c r="F808" s="11"/>
      <c r="G808" s="15" t="str">
        <f t="shared" si="36"/>
        <v/>
      </c>
      <c r="H808" s="13" t="str">
        <f t="shared" si="37"/>
        <v/>
      </c>
      <c r="I808" s="16" t="str">
        <f t="shared" si="38"/>
        <v/>
      </c>
      <c r="J808" s="11"/>
      <c r="K808" s="11"/>
      <c r="L808" s="11"/>
      <c r="M808" s="11"/>
      <c r="N808" s="11"/>
    </row>
    <row r="809" spans="1:14" ht="15.75" customHeight="1" x14ac:dyDescent="0.25">
      <c r="A809" s="11"/>
      <c r="B809" s="11"/>
      <c r="C809" s="11"/>
      <c r="D809" s="11"/>
      <c r="E809" s="11"/>
      <c r="F809" s="11"/>
      <c r="G809" s="15" t="str">
        <f t="shared" si="36"/>
        <v/>
      </c>
      <c r="H809" s="13" t="str">
        <f t="shared" si="37"/>
        <v/>
      </c>
      <c r="I809" s="16" t="str">
        <f t="shared" si="38"/>
        <v/>
      </c>
      <c r="J809" s="11"/>
      <c r="K809" s="11"/>
      <c r="L809" s="11"/>
      <c r="M809" s="11"/>
      <c r="N809" s="11"/>
    </row>
    <row r="810" spans="1:14" ht="15.75" customHeight="1" x14ac:dyDescent="0.25">
      <c r="A810" s="11"/>
      <c r="B810" s="11"/>
      <c r="C810" s="11"/>
      <c r="D810" s="11"/>
      <c r="E810" s="11"/>
      <c r="F810" s="11"/>
      <c r="G810" s="15" t="str">
        <f t="shared" si="36"/>
        <v/>
      </c>
      <c r="H810" s="13" t="str">
        <f t="shared" si="37"/>
        <v/>
      </c>
      <c r="I810" s="16" t="str">
        <f t="shared" si="38"/>
        <v/>
      </c>
      <c r="J810" s="11"/>
      <c r="K810" s="11"/>
      <c r="L810" s="11"/>
      <c r="M810" s="11"/>
      <c r="N810" s="11"/>
    </row>
    <row r="811" spans="1:14" ht="15.75" customHeight="1" x14ac:dyDescent="0.25">
      <c r="A811" s="11"/>
      <c r="B811" s="11"/>
      <c r="C811" s="11"/>
      <c r="D811" s="11"/>
      <c r="E811" s="11"/>
      <c r="F811" s="11"/>
      <c r="G811" s="15" t="str">
        <f t="shared" si="36"/>
        <v/>
      </c>
      <c r="H811" s="13" t="str">
        <f t="shared" si="37"/>
        <v/>
      </c>
      <c r="I811" s="16" t="str">
        <f t="shared" si="38"/>
        <v/>
      </c>
      <c r="J811" s="11"/>
      <c r="K811" s="11"/>
      <c r="L811" s="11"/>
      <c r="M811" s="11"/>
      <c r="N811" s="11"/>
    </row>
    <row r="812" spans="1:14" ht="15.75" customHeight="1" x14ac:dyDescent="0.25">
      <c r="A812" s="11"/>
      <c r="B812" s="11"/>
      <c r="C812" s="11"/>
      <c r="D812" s="11"/>
      <c r="E812" s="11"/>
      <c r="F812" s="11"/>
      <c r="G812" s="15" t="str">
        <f t="shared" si="36"/>
        <v/>
      </c>
      <c r="H812" s="13" t="str">
        <f t="shared" si="37"/>
        <v/>
      </c>
      <c r="I812" s="16" t="str">
        <f t="shared" si="38"/>
        <v/>
      </c>
      <c r="J812" s="11"/>
      <c r="K812" s="11"/>
      <c r="L812" s="11"/>
      <c r="M812" s="11"/>
      <c r="N812" s="11"/>
    </row>
    <row r="813" spans="1:14" ht="15.75" customHeight="1" x14ac:dyDescent="0.25">
      <c r="A813" s="11"/>
      <c r="B813" s="11"/>
      <c r="C813" s="11"/>
      <c r="D813" s="11"/>
      <c r="E813" s="11"/>
      <c r="F813" s="11"/>
      <c r="G813" s="15" t="str">
        <f t="shared" si="36"/>
        <v/>
      </c>
      <c r="H813" s="13" t="str">
        <f t="shared" si="37"/>
        <v/>
      </c>
      <c r="I813" s="16" t="str">
        <f t="shared" si="38"/>
        <v/>
      </c>
      <c r="J813" s="11"/>
      <c r="K813" s="11"/>
      <c r="L813" s="11"/>
      <c r="M813" s="11"/>
      <c r="N813" s="11"/>
    </row>
    <row r="814" spans="1:14" ht="15.75" customHeight="1" x14ac:dyDescent="0.25">
      <c r="A814" s="11"/>
      <c r="B814" s="11"/>
      <c r="C814" s="11"/>
      <c r="D814" s="11"/>
      <c r="E814" s="11"/>
      <c r="F814" s="11"/>
      <c r="G814" s="15" t="str">
        <f t="shared" si="36"/>
        <v/>
      </c>
      <c r="H814" s="13" t="str">
        <f t="shared" si="37"/>
        <v/>
      </c>
      <c r="I814" s="16" t="str">
        <f t="shared" si="38"/>
        <v/>
      </c>
      <c r="J814" s="11"/>
      <c r="K814" s="11"/>
      <c r="L814" s="11"/>
      <c r="M814" s="11"/>
      <c r="N814" s="11"/>
    </row>
    <row r="815" spans="1:14" ht="15.75" customHeight="1" x14ac:dyDescent="0.25">
      <c r="A815" s="11"/>
      <c r="B815" s="11"/>
      <c r="C815" s="11"/>
      <c r="D815" s="11"/>
      <c r="E815" s="11"/>
      <c r="F815" s="11"/>
      <c r="G815" s="15" t="str">
        <f t="shared" si="36"/>
        <v/>
      </c>
      <c r="H815" s="13" t="str">
        <f t="shared" si="37"/>
        <v/>
      </c>
      <c r="I815" s="16" t="str">
        <f t="shared" si="38"/>
        <v/>
      </c>
      <c r="J815" s="11"/>
      <c r="K815" s="11"/>
      <c r="L815" s="11"/>
      <c r="M815" s="11"/>
      <c r="N815" s="11"/>
    </row>
    <row r="816" spans="1:14" ht="15.75" customHeight="1" x14ac:dyDescent="0.25">
      <c r="A816" s="11"/>
      <c r="B816" s="11"/>
      <c r="C816" s="11"/>
      <c r="D816" s="11"/>
      <c r="E816" s="11"/>
      <c r="F816" s="11"/>
      <c r="G816" s="15" t="str">
        <f t="shared" si="36"/>
        <v/>
      </c>
      <c r="H816" s="13" t="str">
        <f t="shared" si="37"/>
        <v/>
      </c>
      <c r="I816" s="16" t="str">
        <f t="shared" si="38"/>
        <v/>
      </c>
      <c r="J816" s="11"/>
      <c r="K816" s="11"/>
      <c r="L816" s="11"/>
      <c r="M816" s="11"/>
      <c r="N816" s="11"/>
    </row>
    <row r="817" spans="1:14" ht="15.75" customHeight="1" x14ac:dyDescent="0.25">
      <c r="A817" s="11"/>
      <c r="B817" s="11"/>
      <c r="C817" s="11"/>
      <c r="D817" s="11"/>
      <c r="E817" s="11"/>
      <c r="F817" s="11"/>
      <c r="G817" s="15" t="str">
        <f t="shared" si="36"/>
        <v/>
      </c>
      <c r="H817" s="13" t="str">
        <f t="shared" si="37"/>
        <v/>
      </c>
      <c r="I817" s="16" t="str">
        <f t="shared" si="38"/>
        <v/>
      </c>
      <c r="J817" s="11"/>
      <c r="K817" s="11"/>
      <c r="L817" s="11"/>
      <c r="M817" s="11"/>
      <c r="N817" s="11"/>
    </row>
    <row r="818" spans="1:14" ht="15.75" customHeight="1" x14ac:dyDescent="0.25">
      <c r="A818" s="11"/>
      <c r="B818" s="11"/>
      <c r="C818" s="11"/>
      <c r="D818" s="11"/>
      <c r="E818" s="11"/>
      <c r="F818" s="11"/>
      <c r="G818" s="15" t="str">
        <f t="shared" si="36"/>
        <v/>
      </c>
      <c r="H818" s="13" t="str">
        <f t="shared" si="37"/>
        <v/>
      </c>
      <c r="I818" s="16" t="str">
        <f t="shared" si="38"/>
        <v/>
      </c>
      <c r="J818" s="11"/>
      <c r="K818" s="11"/>
      <c r="L818" s="11"/>
      <c r="M818" s="11"/>
      <c r="N818" s="11"/>
    </row>
    <row r="819" spans="1:14" ht="15.75" customHeight="1" x14ac:dyDescent="0.25">
      <c r="A819" s="11"/>
      <c r="B819" s="11"/>
      <c r="C819" s="11"/>
      <c r="D819" s="11"/>
      <c r="E819" s="11"/>
      <c r="F819" s="11"/>
      <c r="G819" s="15" t="str">
        <f t="shared" si="36"/>
        <v/>
      </c>
      <c r="H819" s="13" t="str">
        <f t="shared" si="37"/>
        <v/>
      </c>
      <c r="I819" s="16" t="str">
        <f t="shared" si="38"/>
        <v/>
      </c>
      <c r="J819" s="11"/>
      <c r="K819" s="11"/>
      <c r="L819" s="11"/>
      <c r="M819" s="11"/>
      <c r="N819" s="11"/>
    </row>
    <row r="820" spans="1:14" ht="15.75" customHeight="1" x14ac:dyDescent="0.25">
      <c r="A820" s="11"/>
      <c r="B820" s="11"/>
      <c r="C820" s="11"/>
      <c r="D820" s="11"/>
      <c r="E820" s="11"/>
      <c r="F820" s="11"/>
      <c r="G820" s="15" t="str">
        <f t="shared" si="36"/>
        <v/>
      </c>
      <c r="H820" s="13" t="str">
        <f t="shared" si="37"/>
        <v/>
      </c>
      <c r="I820" s="16" t="str">
        <f t="shared" si="38"/>
        <v/>
      </c>
      <c r="J820" s="11"/>
      <c r="K820" s="11"/>
      <c r="L820" s="11"/>
      <c r="M820" s="11"/>
      <c r="N820" s="11"/>
    </row>
    <row r="821" spans="1:14" ht="15.75" customHeight="1" x14ac:dyDescent="0.25">
      <c r="A821" s="11"/>
      <c r="B821" s="11"/>
      <c r="C821" s="11"/>
      <c r="D821" s="11"/>
      <c r="E821" s="11"/>
      <c r="F821" s="11"/>
      <c r="G821" s="15" t="str">
        <f t="shared" si="36"/>
        <v/>
      </c>
      <c r="H821" s="13" t="str">
        <f t="shared" si="37"/>
        <v/>
      </c>
      <c r="I821" s="16" t="str">
        <f t="shared" si="38"/>
        <v/>
      </c>
      <c r="J821" s="11"/>
      <c r="K821" s="11"/>
      <c r="L821" s="11"/>
      <c r="M821" s="11"/>
      <c r="N821" s="11"/>
    </row>
    <row r="822" spans="1:14" ht="15.75" customHeight="1" x14ac:dyDescent="0.25">
      <c r="A822" s="11"/>
      <c r="B822" s="11"/>
      <c r="C822" s="11"/>
      <c r="D822" s="11"/>
      <c r="E822" s="11"/>
      <c r="F822" s="11"/>
      <c r="G822" s="15" t="str">
        <f t="shared" si="36"/>
        <v/>
      </c>
      <c r="H822" s="13" t="str">
        <f t="shared" si="37"/>
        <v/>
      </c>
      <c r="I822" s="16" t="str">
        <f t="shared" si="38"/>
        <v/>
      </c>
      <c r="J822" s="11"/>
      <c r="K822" s="11"/>
      <c r="L822" s="11"/>
      <c r="M822" s="11"/>
      <c r="N822" s="11"/>
    </row>
    <row r="823" spans="1:14" ht="15.75" customHeight="1" x14ac:dyDescent="0.25">
      <c r="A823" s="11"/>
      <c r="B823" s="11"/>
      <c r="C823" s="11"/>
      <c r="D823" s="11"/>
      <c r="E823" s="11"/>
      <c r="F823" s="11"/>
      <c r="G823" s="15" t="str">
        <f t="shared" si="36"/>
        <v/>
      </c>
      <c r="H823" s="13" t="str">
        <f t="shared" si="37"/>
        <v/>
      </c>
      <c r="I823" s="16" t="str">
        <f t="shared" si="38"/>
        <v/>
      </c>
      <c r="J823" s="11"/>
      <c r="K823" s="11"/>
      <c r="L823" s="11"/>
      <c r="M823" s="11"/>
      <c r="N823" s="11"/>
    </row>
    <row r="824" spans="1:14" ht="15.75" customHeight="1" x14ac:dyDescent="0.25">
      <c r="A824" s="11"/>
      <c r="B824" s="11"/>
      <c r="C824" s="11"/>
      <c r="D824" s="11"/>
      <c r="E824" s="11"/>
      <c r="F824" s="11"/>
      <c r="G824" s="15" t="str">
        <f t="shared" si="36"/>
        <v/>
      </c>
      <c r="H824" s="13" t="str">
        <f t="shared" si="37"/>
        <v/>
      </c>
      <c r="I824" s="16" t="str">
        <f t="shared" si="38"/>
        <v/>
      </c>
      <c r="J824" s="11"/>
      <c r="K824" s="11"/>
      <c r="L824" s="11"/>
      <c r="M824" s="11"/>
      <c r="N824" s="11"/>
    </row>
    <row r="825" spans="1:14" ht="15.75" customHeight="1" x14ac:dyDescent="0.25">
      <c r="A825" s="11"/>
      <c r="B825" s="11"/>
      <c r="C825" s="11"/>
      <c r="D825" s="11"/>
      <c r="E825" s="11"/>
      <c r="F825" s="11"/>
      <c r="G825" s="15" t="str">
        <f t="shared" si="36"/>
        <v/>
      </c>
      <c r="H825" s="13" t="str">
        <f t="shared" si="37"/>
        <v/>
      </c>
      <c r="I825" s="16" t="str">
        <f t="shared" si="38"/>
        <v/>
      </c>
      <c r="J825" s="11"/>
      <c r="K825" s="11"/>
      <c r="L825" s="11"/>
      <c r="M825" s="11"/>
      <c r="N825" s="11"/>
    </row>
    <row r="826" spans="1:14" ht="15.75" customHeight="1" x14ac:dyDescent="0.25">
      <c r="A826" s="11"/>
      <c r="B826" s="11"/>
      <c r="C826" s="11"/>
      <c r="D826" s="11"/>
      <c r="E826" s="11"/>
      <c r="F826" s="11"/>
      <c r="G826" s="15" t="str">
        <f t="shared" si="36"/>
        <v/>
      </c>
      <c r="H826" s="13" t="str">
        <f t="shared" si="37"/>
        <v/>
      </c>
      <c r="I826" s="16" t="str">
        <f t="shared" si="38"/>
        <v/>
      </c>
      <c r="J826" s="11"/>
      <c r="K826" s="11"/>
      <c r="L826" s="11"/>
      <c r="M826" s="11"/>
      <c r="N826" s="11"/>
    </row>
    <row r="827" spans="1:14" ht="15.75" customHeight="1" x14ac:dyDescent="0.25">
      <c r="A827" s="11"/>
      <c r="B827" s="11"/>
      <c r="C827" s="11"/>
      <c r="D827" s="11"/>
      <c r="E827" s="11"/>
      <c r="F827" s="11"/>
      <c r="G827" s="15" t="str">
        <f t="shared" si="36"/>
        <v/>
      </c>
      <c r="H827" s="13" t="str">
        <f t="shared" si="37"/>
        <v/>
      </c>
      <c r="I827" s="16" t="str">
        <f t="shared" si="38"/>
        <v/>
      </c>
      <c r="J827" s="11"/>
      <c r="K827" s="11"/>
      <c r="L827" s="11"/>
      <c r="M827" s="11"/>
      <c r="N827" s="11"/>
    </row>
    <row r="828" spans="1:14" ht="15.75" customHeight="1" x14ac:dyDescent="0.25">
      <c r="A828" s="11"/>
      <c r="B828" s="11"/>
      <c r="C828" s="11"/>
      <c r="D828" s="11"/>
      <c r="E828" s="11"/>
      <c r="F828" s="11"/>
      <c r="G828" s="15" t="str">
        <f t="shared" si="36"/>
        <v/>
      </c>
      <c r="H828" s="13" t="str">
        <f t="shared" si="37"/>
        <v/>
      </c>
      <c r="I828" s="16" t="str">
        <f t="shared" si="38"/>
        <v/>
      </c>
      <c r="J828" s="11"/>
      <c r="K828" s="11"/>
      <c r="L828" s="11"/>
      <c r="M828" s="11"/>
      <c r="N828" s="11"/>
    </row>
    <row r="829" spans="1:14" ht="15.75" customHeight="1" x14ac:dyDescent="0.25">
      <c r="A829" s="11"/>
      <c r="B829" s="11"/>
      <c r="C829" s="11"/>
      <c r="D829" s="11"/>
      <c r="E829" s="11"/>
      <c r="F829" s="11"/>
      <c r="G829" s="15" t="str">
        <f t="shared" si="36"/>
        <v/>
      </c>
      <c r="H829" s="13" t="str">
        <f t="shared" si="37"/>
        <v/>
      </c>
      <c r="I829" s="16" t="str">
        <f t="shared" si="38"/>
        <v/>
      </c>
      <c r="J829" s="11"/>
      <c r="K829" s="11"/>
      <c r="L829" s="11"/>
      <c r="M829" s="11"/>
      <c r="N829" s="11"/>
    </row>
    <row r="830" spans="1:14" ht="15.75" customHeight="1" x14ac:dyDescent="0.25">
      <c r="A830" s="11"/>
      <c r="B830" s="11"/>
      <c r="C830" s="11"/>
      <c r="D830" s="11"/>
      <c r="E830" s="11"/>
      <c r="F830" s="11"/>
      <c r="G830" s="15" t="str">
        <f t="shared" si="36"/>
        <v/>
      </c>
      <c r="H830" s="13" t="str">
        <f t="shared" si="37"/>
        <v/>
      </c>
      <c r="I830" s="16" t="str">
        <f t="shared" si="38"/>
        <v/>
      </c>
      <c r="J830" s="11"/>
      <c r="K830" s="11"/>
      <c r="L830" s="11"/>
      <c r="M830" s="11"/>
      <c r="N830" s="11"/>
    </row>
    <row r="831" spans="1:14" ht="15.75" customHeight="1" x14ac:dyDescent="0.25">
      <c r="A831" s="11"/>
      <c r="B831" s="11"/>
      <c r="C831" s="11"/>
      <c r="D831" s="11"/>
      <c r="E831" s="11"/>
      <c r="F831" s="11"/>
      <c r="G831" s="15" t="str">
        <f t="shared" si="36"/>
        <v/>
      </c>
      <c r="H831" s="13" t="str">
        <f t="shared" si="37"/>
        <v/>
      </c>
      <c r="I831" s="16" t="str">
        <f t="shared" si="38"/>
        <v/>
      </c>
      <c r="J831" s="11"/>
      <c r="K831" s="11"/>
      <c r="L831" s="11"/>
      <c r="M831" s="11"/>
      <c r="N831" s="11"/>
    </row>
    <row r="832" spans="1:14" ht="15.75" customHeight="1" x14ac:dyDescent="0.25">
      <c r="A832" s="11"/>
      <c r="B832" s="11"/>
      <c r="C832" s="11"/>
      <c r="D832" s="11"/>
      <c r="E832" s="11"/>
      <c r="F832" s="11"/>
      <c r="G832" s="15" t="str">
        <f t="shared" si="36"/>
        <v/>
      </c>
      <c r="H832" s="13" t="str">
        <f t="shared" si="37"/>
        <v/>
      </c>
      <c r="I832" s="16" t="str">
        <f t="shared" si="38"/>
        <v/>
      </c>
      <c r="J832" s="11"/>
      <c r="K832" s="11"/>
      <c r="L832" s="11"/>
      <c r="M832" s="11"/>
      <c r="N832" s="11"/>
    </row>
    <row r="833" spans="1:14" ht="15.75" customHeight="1" x14ac:dyDescent="0.25">
      <c r="A833" s="11"/>
      <c r="B833" s="11"/>
      <c r="C833" s="11"/>
      <c r="D833" s="11"/>
      <c r="E833" s="11"/>
      <c r="F833" s="11"/>
      <c r="G833" s="15" t="str">
        <f t="shared" si="36"/>
        <v/>
      </c>
      <c r="H833" s="13" t="str">
        <f t="shared" si="37"/>
        <v/>
      </c>
      <c r="I833" s="16" t="str">
        <f t="shared" si="38"/>
        <v/>
      </c>
      <c r="J833" s="11"/>
      <c r="K833" s="11"/>
      <c r="L833" s="11"/>
      <c r="M833" s="11"/>
      <c r="N833" s="11"/>
    </row>
    <row r="834" spans="1:14" ht="15.75" customHeight="1" x14ac:dyDescent="0.25">
      <c r="A834" s="11"/>
      <c r="B834" s="11"/>
      <c r="C834" s="11"/>
      <c r="D834" s="11"/>
      <c r="E834" s="11"/>
      <c r="F834" s="11"/>
      <c r="G834" s="15" t="str">
        <f t="shared" si="36"/>
        <v/>
      </c>
      <c r="H834" s="13" t="str">
        <f t="shared" si="37"/>
        <v/>
      </c>
      <c r="I834" s="16" t="str">
        <f t="shared" si="38"/>
        <v/>
      </c>
      <c r="J834" s="11"/>
      <c r="K834" s="11"/>
      <c r="L834" s="11"/>
      <c r="M834" s="11"/>
      <c r="N834" s="11"/>
    </row>
    <row r="835" spans="1:14" ht="15.75" customHeight="1" x14ac:dyDescent="0.25">
      <c r="A835" s="11"/>
      <c r="B835" s="11"/>
      <c r="C835" s="11"/>
      <c r="D835" s="11"/>
      <c r="E835" s="11"/>
      <c r="F835" s="11"/>
      <c r="G835" s="15" t="str">
        <f t="shared" si="36"/>
        <v/>
      </c>
      <c r="H835" s="13" t="str">
        <f t="shared" si="37"/>
        <v/>
      </c>
      <c r="I835" s="16" t="str">
        <f t="shared" si="38"/>
        <v/>
      </c>
      <c r="J835" s="11"/>
      <c r="K835" s="11"/>
      <c r="L835" s="11"/>
      <c r="M835" s="11"/>
      <c r="N835" s="11"/>
    </row>
    <row r="836" spans="1:14" ht="15.75" customHeight="1" x14ac:dyDescent="0.25">
      <c r="A836" s="11"/>
      <c r="B836" s="11"/>
      <c r="C836" s="11"/>
      <c r="D836" s="11"/>
      <c r="E836" s="11"/>
      <c r="F836" s="11"/>
      <c r="G836" s="15" t="str">
        <f t="shared" ref="G836:G899" si="39">IF(E836="","",IF(OR(E836="Withdrawal",E836="Loan Disbursement"),F836,0))</f>
        <v/>
      </c>
      <c r="H836" s="13" t="str">
        <f t="shared" ref="H836:H899" si="40">IF(E836="","",IF(OR(E836="Savings Deposit",E836="Loan Repayment"),F836,0))</f>
        <v/>
      </c>
      <c r="I836" s="16" t="str">
        <f t="shared" si="38"/>
        <v/>
      </c>
      <c r="J836" s="11"/>
      <c r="K836" s="11"/>
      <c r="L836" s="11"/>
      <c r="M836" s="11"/>
      <c r="N836" s="11"/>
    </row>
    <row r="837" spans="1:14" ht="15.75" customHeight="1" x14ac:dyDescent="0.25">
      <c r="A837" s="11"/>
      <c r="B837" s="11"/>
      <c r="C837" s="11"/>
      <c r="D837" s="11"/>
      <c r="E837" s="11"/>
      <c r="F837" s="11"/>
      <c r="G837" s="15" t="str">
        <f t="shared" si="39"/>
        <v/>
      </c>
      <c r="H837" s="13" t="str">
        <f t="shared" si="40"/>
        <v/>
      </c>
      <c r="I837" s="16" t="str">
        <f t="shared" ref="I837:I900" si="41">IF(A837="","",I836+H837-G837)</f>
        <v/>
      </c>
      <c r="J837" s="11"/>
      <c r="K837" s="11"/>
      <c r="L837" s="11"/>
      <c r="M837" s="11"/>
      <c r="N837" s="11"/>
    </row>
    <row r="838" spans="1:14" ht="15.75" customHeight="1" x14ac:dyDescent="0.25">
      <c r="A838" s="11"/>
      <c r="B838" s="11"/>
      <c r="C838" s="11"/>
      <c r="D838" s="11"/>
      <c r="E838" s="11"/>
      <c r="F838" s="11"/>
      <c r="G838" s="15" t="str">
        <f t="shared" si="39"/>
        <v/>
      </c>
      <c r="H838" s="13" t="str">
        <f t="shared" si="40"/>
        <v/>
      </c>
      <c r="I838" s="16" t="str">
        <f t="shared" si="41"/>
        <v/>
      </c>
      <c r="J838" s="11"/>
      <c r="K838" s="11"/>
      <c r="L838" s="11"/>
      <c r="M838" s="11"/>
      <c r="N838" s="11"/>
    </row>
    <row r="839" spans="1:14" ht="15.75" customHeight="1" x14ac:dyDescent="0.25">
      <c r="A839" s="11"/>
      <c r="B839" s="11"/>
      <c r="C839" s="11"/>
      <c r="D839" s="11"/>
      <c r="E839" s="11"/>
      <c r="F839" s="11"/>
      <c r="G839" s="15" t="str">
        <f t="shared" si="39"/>
        <v/>
      </c>
      <c r="H839" s="13" t="str">
        <f t="shared" si="40"/>
        <v/>
      </c>
      <c r="I839" s="16" t="str">
        <f t="shared" si="41"/>
        <v/>
      </c>
      <c r="J839" s="11"/>
      <c r="K839" s="11"/>
      <c r="L839" s="11"/>
      <c r="M839" s="11"/>
      <c r="N839" s="11"/>
    </row>
    <row r="840" spans="1:14" ht="15.75" customHeight="1" x14ac:dyDescent="0.25">
      <c r="A840" s="11"/>
      <c r="B840" s="11"/>
      <c r="C840" s="11"/>
      <c r="D840" s="11"/>
      <c r="E840" s="11"/>
      <c r="F840" s="11"/>
      <c r="G840" s="15" t="str">
        <f t="shared" si="39"/>
        <v/>
      </c>
      <c r="H840" s="13" t="str">
        <f t="shared" si="40"/>
        <v/>
      </c>
      <c r="I840" s="16" t="str">
        <f t="shared" si="41"/>
        <v/>
      </c>
      <c r="J840" s="11"/>
      <c r="K840" s="11"/>
      <c r="L840" s="11"/>
      <c r="M840" s="11"/>
      <c r="N840" s="11"/>
    </row>
    <row r="841" spans="1:14" ht="15.75" customHeight="1" x14ac:dyDescent="0.25">
      <c r="A841" s="11"/>
      <c r="B841" s="11"/>
      <c r="C841" s="11"/>
      <c r="D841" s="11"/>
      <c r="E841" s="11"/>
      <c r="F841" s="11"/>
      <c r="G841" s="15" t="str">
        <f t="shared" si="39"/>
        <v/>
      </c>
      <c r="H841" s="13" t="str">
        <f t="shared" si="40"/>
        <v/>
      </c>
      <c r="I841" s="16" t="str">
        <f t="shared" si="41"/>
        <v/>
      </c>
      <c r="J841" s="11"/>
      <c r="K841" s="11"/>
      <c r="L841" s="11"/>
      <c r="M841" s="11"/>
      <c r="N841" s="11"/>
    </row>
    <row r="842" spans="1:14" ht="15.75" customHeight="1" x14ac:dyDescent="0.25">
      <c r="A842" s="11"/>
      <c r="B842" s="11"/>
      <c r="C842" s="11"/>
      <c r="D842" s="11"/>
      <c r="E842" s="11"/>
      <c r="F842" s="11"/>
      <c r="G842" s="15" t="str">
        <f t="shared" si="39"/>
        <v/>
      </c>
      <c r="H842" s="13" t="str">
        <f t="shared" si="40"/>
        <v/>
      </c>
      <c r="I842" s="16" t="str">
        <f t="shared" si="41"/>
        <v/>
      </c>
      <c r="J842" s="11"/>
      <c r="K842" s="11"/>
      <c r="L842" s="11"/>
      <c r="M842" s="11"/>
      <c r="N842" s="11"/>
    </row>
    <row r="843" spans="1:14" ht="15.75" customHeight="1" x14ac:dyDescent="0.25">
      <c r="A843" s="11"/>
      <c r="B843" s="11"/>
      <c r="C843" s="11"/>
      <c r="D843" s="11"/>
      <c r="E843" s="11"/>
      <c r="F843" s="11"/>
      <c r="G843" s="15" t="str">
        <f t="shared" si="39"/>
        <v/>
      </c>
      <c r="H843" s="13" t="str">
        <f t="shared" si="40"/>
        <v/>
      </c>
      <c r="I843" s="16" t="str">
        <f t="shared" si="41"/>
        <v/>
      </c>
      <c r="J843" s="11"/>
      <c r="K843" s="11"/>
      <c r="L843" s="11"/>
      <c r="M843" s="11"/>
      <c r="N843" s="11"/>
    </row>
    <row r="844" spans="1:14" ht="15.75" customHeight="1" x14ac:dyDescent="0.25">
      <c r="A844" s="11"/>
      <c r="B844" s="11"/>
      <c r="C844" s="11"/>
      <c r="D844" s="11"/>
      <c r="E844" s="11"/>
      <c r="F844" s="11"/>
      <c r="G844" s="15" t="str">
        <f t="shared" si="39"/>
        <v/>
      </c>
      <c r="H844" s="13" t="str">
        <f t="shared" si="40"/>
        <v/>
      </c>
      <c r="I844" s="16" t="str">
        <f t="shared" si="41"/>
        <v/>
      </c>
      <c r="J844" s="11"/>
      <c r="K844" s="11"/>
      <c r="L844" s="11"/>
      <c r="M844" s="11"/>
      <c r="N844" s="11"/>
    </row>
    <row r="845" spans="1:14" ht="15.75" customHeight="1" x14ac:dyDescent="0.25">
      <c r="A845" s="11"/>
      <c r="B845" s="11"/>
      <c r="C845" s="11"/>
      <c r="D845" s="11"/>
      <c r="E845" s="11"/>
      <c r="F845" s="11"/>
      <c r="G845" s="15" t="str">
        <f t="shared" si="39"/>
        <v/>
      </c>
      <c r="H845" s="13" t="str">
        <f t="shared" si="40"/>
        <v/>
      </c>
      <c r="I845" s="16" t="str">
        <f t="shared" si="41"/>
        <v/>
      </c>
      <c r="J845" s="11"/>
      <c r="K845" s="11"/>
      <c r="L845" s="11"/>
      <c r="M845" s="11"/>
      <c r="N845" s="11"/>
    </row>
    <row r="846" spans="1:14" ht="15.75" customHeight="1" x14ac:dyDescent="0.25">
      <c r="A846" s="11"/>
      <c r="B846" s="11"/>
      <c r="C846" s="11"/>
      <c r="D846" s="11"/>
      <c r="E846" s="11"/>
      <c r="F846" s="11"/>
      <c r="G846" s="15" t="str">
        <f t="shared" si="39"/>
        <v/>
      </c>
      <c r="H846" s="13" t="str">
        <f t="shared" si="40"/>
        <v/>
      </c>
      <c r="I846" s="16" t="str">
        <f t="shared" si="41"/>
        <v/>
      </c>
      <c r="J846" s="11"/>
      <c r="K846" s="11"/>
      <c r="L846" s="11"/>
      <c r="M846" s="11"/>
      <c r="N846" s="11"/>
    </row>
    <row r="847" spans="1:14" ht="15.75" customHeight="1" x14ac:dyDescent="0.25">
      <c r="A847" s="11"/>
      <c r="B847" s="11"/>
      <c r="C847" s="11"/>
      <c r="D847" s="11"/>
      <c r="E847" s="11"/>
      <c r="F847" s="11"/>
      <c r="G847" s="15" t="str">
        <f t="shared" si="39"/>
        <v/>
      </c>
      <c r="H847" s="13" t="str">
        <f t="shared" si="40"/>
        <v/>
      </c>
      <c r="I847" s="16" t="str">
        <f t="shared" si="41"/>
        <v/>
      </c>
      <c r="J847" s="11"/>
      <c r="K847" s="11"/>
      <c r="L847" s="11"/>
      <c r="M847" s="11"/>
      <c r="N847" s="11"/>
    </row>
    <row r="848" spans="1:14" ht="15.75" customHeight="1" x14ac:dyDescent="0.25">
      <c r="A848" s="11"/>
      <c r="B848" s="11"/>
      <c r="C848" s="11"/>
      <c r="D848" s="11"/>
      <c r="E848" s="11"/>
      <c r="F848" s="11"/>
      <c r="G848" s="15" t="str">
        <f t="shared" si="39"/>
        <v/>
      </c>
      <c r="H848" s="13" t="str">
        <f t="shared" si="40"/>
        <v/>
      </c>
      <c r="I848" s="16" t="str">
        <f t="shared" si="41"/>
        <v/>
      </c>
      <c r="J848" s="11"/>
      <c r="K848" s="11"/>
      <c r="L848" s="11"/>
      <c r="M848" s="11"/>
      <c r="N848" s="11"/>
    </row>
    <row r="849" spans="1:14" ht="15.75" customHeight="1" x14ac:dyDescent="0.25">
      <c r="A849" s="11"/>
      <c r="B849" s="11"/>
      <c r="C849" s="11"/>
      <c r="D849" s="11"/>
      <c r="E849" s="11"/>
      <c r="F849" s="11"/>
      <c r="G849" s="15" t="str">
        <f t="shared" si="39"/>
        <v/>
      </c>
      <c r="H849" s="13" t="str">
        <f t="shared" si="40"/>
        <v/>
      </c>
      <c r="I849" s="16" t="str">
        <f t="shared" si="41"/>
        <v/>
      </c>
      <c r="J849" s="11"/>
      <c r="K849" s="11"/>
      <c r="L849" s="11"/>
      <c r="M849" s="11"/>
      <c r="N849" s="11"/>
    </row>
    <row r="850" spans="1:14" ht="15.75" customHeight="1" x14ac:dyDescent="0.25">
      <c r="A850" s="11"/>
      <c r="B850" s="11"/>
      <c r="C850" s="11"/>
      <c r="D850" s="11"/>
      <c r="E850" s="11"/>
      <c r="F850" s="11"/>
      <c r="G850" s="15" t="str">
        <f t="shared" si="39"/>
        <v/>
      </c>
      <c r="H850" s="13" t="str">
        <f t="shared" si="40"/>
        <v/>
      </c>
      <c r="I850" s="16" t="str">
        <f t="shared" si="41"/>
        <v/>
      </c>
      <c r="J850" s="11"/>
      <c r="K850" s="11"/>
      <c r="L850" s="11"/>
      <c r="M850" s="11"/>
      <c r="N850" s="11"/>
    </row>
    <row r="851" spans="1:14" ht="15.75" customHeight="1" x14ac:dyDescent="0.25">
      <c r="A851" s="11"/>
      <c r="B851" s="11"/>
      <c r="C851" s="11"/>
      <c r="D851" s="11"/>
      <c r="E851" s="11"/>
      <c r="F851" s="11"/>
      <c r="G851" s="15" t="str">
        <f t="shared" si="39"/>
        <v/>
      </c>
      <c r="H851" s="13" t="str">
        <f t="shared" si="40"/>
        <v/>
      </c>
      <c r="I851" s="16" t="str">
        <f t="shared" si="41"/>
        <v/>
      </c>
      <c r="J851" s="11"/>
      <c r="K851" s="11"/>
      <c r="L851" s="11"/>
      <c r="M851" s="11"/>
      <c r="N851" s="11"/>
    </row>
    <row r="852" spans="1:14" ht="15.75" customHeight="1" x14ac:dyDescent="0.25">
      <c r="A852" s="11"/>
      <c r="B852" s="11"/>
      <c r="C852" s="11"/>
      <c r="D852" s="11"/>
      <c r="E852" s="11"/>
      <c r="F852" s="11"/>
      <c r="G852" s="15" t="str">
        <f t="shared" si="39"/>
        <v/>
      </c>
      <c r="H852" s="13" t="str">
        <f t="shared" si="40"/>
        <v/>
      </c>
      <c r="I852" s="16" t="str">
        <f t="shared" si="41"/>
        <v/>
      </c>
      <c r="J852" s="11"/>
      <c r="K852" s="11"/>
      <c r="L852" s="11"/>
      <c r="M852" s="11"/>
      <c r="N852" s="11"/>
    </row>
    <row r="853" spans="1:14" ht="15.75" customHeight="1" x14ac:dyDescent="0.25">
      <c r="A853" s="11"/>
      <c r="B853" s="11"/>
      <c r="C853" s="11"/>
      <c r="D853" s="11"/>
      <c r="E853" s="11"/>
      <c r="F853" s="11"/>
      <c r="G853" s="15" t="str">
        <f t="shared" si="39"/>
        <v/>
      </c>
      <c r="H853" s="13" t="str">
        <f t="shared" si="40"/>
        <v/>
      </c>
      <c r="I853" s="16" t="str">
        <f t="shared" si="41"/>
        <v/>
      </c>
      <c r="J853" s="11"/>
      <c r="K853" s="11"/>
      <c r="L853" s="11"/>
      <c r="M853" s="11"/>
      <c r="N853" s="11"/>
    </row>
    <row r="854" spans="1:14" ht="15.75" customHeight="1" x14ac:dyDescent="0.25">
      <c r="A854" s="11"/>
      <c r="B854" s="11"/>
      <c r="C854" s="11"/>
      <c r="D854" s="11"/>
      <c r="E854" s="11"/>
      <c r="F854" s="11"/>
      <c r="G854" s="15" t="str">
        <f t="shared" si="39"/>
        <v/>
      </c>
      <c r="H854" s="13" t="str">
        <f t="shared" si="40"/>
        <v/>
      </c>
      <c r="I854" s="16" t="str">
        <f t="shared" si="41"/>
        <v/>
      </c>
      <c r="J854" s="11"/>
      <c r="K854" s="11"/>
      <c r="L854" s="11"/>
      <c r="M854" s="11"/>
      <c r="N854" s="11"/>
    </row>
    <row r="855" spans="1:14" ht="15.75" customHeight="1" x14ac:dyDescent="0.25">
      <c r="A855" s="11"/>
      <c r="B855" s="11"/>
      <c r="C855" s="11"/>
      <c r="D855" s="11"/>
      <c r="E855" s="11"/>
      <c r="F855" s="11"/>
      <c r="G855" s="15" t="str">
        <f t="shared" si="39"/>
        <v/>
      </c>
      <c r="H855" s="13" t="str">
        <f t="shared" si="40"/>
        <v/>
      </c>
      <c r="I855" s="16" t="str">
        <f t="shared" si="41"/>
        <v/>
      </c>
      <c r="J855" s="11"/>
      <c r="K855" s="11"/>
      <c r="L855" s="11"/>
      <c r="M855" s="11"/>
      <c r="N855" s="11"/>
    </row>
    <row r="856" spans="1:14" ht="15.75" customHeight="1" x14ac:dyDescent="0.25">
      <c r="A856" s="11"/>
      <c r="B856" s="11"/>
      <c r="C856" s="11"/>
      <c r="D856" s="11"/>
      <c r="E856" s="11"/>
      <c r="F856" s="11"/>
      <c r="G856" s="15" t="str">
        <f t="shared" si="39"/>
        <v/>
      </c>
      <c r="H856" s="13" t="str">
        <f t="shared" si="40"/>
        <v/>
      </c>
      <c r="I856" s="16" t="str">
        <f t="shared" si="41"/>
        <v/>
      </c>
      <c r="J856" s="11"/>
      <c r="K856" s="11"/>
      <c r="L856" s="11"/>
      <c r="M856" s="11"/>
      <c r="N856" s="11"/>
    </row>
    <row r="857" spans="1:14" ht="15.75" customHeight="1" x14ac:dyDescent="0.25">
      <c r="A857" s="11"/>
      <c r="B857" s="11"/>
      <c r="C857" s="11"/>
      <c r="D857" s="11"/>
      <c r="E857" s="11"/>
      <c r="F857" s="11"/>
      <c r="G857" s="15" t="str">
        <f t="shared" si="39"/>
        <v/>
      </c>
      <c r="H857" s="13" t="str">
        <f t="shared" si="40"/>
        <v/>
      </c>
      <c r="I857" s="16" t="str">
        <f t="shared" si="41"/>
        <v/>
      </c>
      <c r="J857" s="11"/>
      <c r="K857" s="11"/>
      <c r="L857" s="11"/>
      <c r="M857" s="11"/>
      <c r="N857" s="11"/>
    </row>
    <row r="858" spans="1:14" ht="15.75" customHeight="1" x14ac:dyDescent="0.25">
      <c r="A858" s="11"/>
      <c r="B858" s="11"/>
      <c r="C858" s="11"/>
      <c r="D858" s="11"/>
      <c r="E858" s="11"/>
      <c r="F858" s="11"/>
      <c r="G858" s="15" t="str">
        <f t="shared" si="39"/>
        <v/>
      </c>
      <c r="H858" s="13" t="str">
        <f t="shared" si="40"/>
        <v/>
      </c>
      <c r="I858" s="16" t="str">
        <f t="shared" si="41"/>
        <v/>
      </c>
      <c r="J858" s="11"/>
      <c r="K858" s="11"/>
      <c r="L858" s="11"/>
      <c r="M858" s="11"/>
      <c r="N858" s="11"/>
    </row>
    <row r="859" spans="1:14" ht="15.75" customHeight="1" x14ac:dyDescent="0.25">
      <c r="A859" s="11"/>
      <c r="B859" s="11"/>
      <c r="C859" s="11"/>
      <c r="D859" s="11"/>
      <c r="E859" s="11"/>
      <c r="F859" s="11"/>
      <c r="G859" s="15" t="str">
        <f t="shared" si="39"/>
        <v/>
      </c>
      <c r="H859" s="13" t="str">
        <f t="shared" si="40"/>
        <v/>
      </c>
      <c r="I859" s="16" t="str">
        <f t="shared" si="41"/>
        <v/>
      </c>
      <c r="J859" s="11"/>
      <c r="K859" s="11"/>
      <c r="L859" s="11"/>
      <c r="M859" s="11"/>
      <c r="N859" s="11"/>
    </row>
    <row r="860" spans="1:14" ht="15.75" customHeight="1" x14ac:dyDescent="0.25">
      <c r="A860" s="11"/>
      <c r="B860" s="11"/>
      <c r="C860" s="11"/>
      <c r="D860" s="11"/>
      <c r="E860" s="11"/>
      <c r="F860" s="11"/>
      <c r="G860" s="15" t="str">
        <f t="shared" si="39"/>
        <v/>
      </c>
      <c r="H860" s="13" t="str">
        <f t="shared" si="40"/>
        <v/>
      </c>
      <c r="I860" s="16" t="str">
        <f t="shared" si="41"/>
        <v/>
      </c>
      <c r="J860" s="11"/>
      <c r="K860" s="11"/>
      <c r="L860" s="11"/>
      <c r="M860" s="11"/>
      <c r="N860" s="11"/>
    </row>
    <row r="861" spans="1:14" ht="15.75" customHeight="1" x14ac:dyDescent="0.25">
      <c r="A861" s="11"/>
      <c r="B861" s="11"/>
      <c r="C861" s="11"/>
      <c r="D861" s="11"/>
      <c r="E861" s="11"/>
      <c r="F861" s="11"/>
      <c r="G861" s="15" t="str">
        <f t="shared" si="39"/>
        <v/>
      </c>
      <c r="H861" s="13" t="str">
        <f t="shared" si="40"/>
        <v/>
      </c>
      <c r="I861" s="16" t="str">
        <f t="shared" si="41"/>
        <v/>
      </c>
      <c r="J861" s="11"/>
      <c r="K861" s="11"/>
      <c r="L861" s="11"/>
      <c r="M861" s="11"/>
      <c r="N861" s="11"/>
    </row>
    <row r="862" spans="1:14" ht="15.75" customHeight="1" x14ac:dyDescent="0.25">
      <c r="A862" s="11"/>
      <c r="B862" s="11"/>
      <c r="C862" s="11"/>
      <c r="D862" s="11"/>
      <c r="E862" s="11"/>
      <c r="F862" s="11"/>
      <c r="G862" s="15" t="str">
        <f t="shared" si="39"/>
        <v/>
      </c>
      <c r="H862" s="13" t="str">
        <f t="shared" si="40"/>
        <v/>
      </c>
      <c r="I862" s="16" t="str">
        <f t="shared" si="41"/>
        <v/>
      </c>
      <c r="J862" s="11"/>
      <c r="K862" s="11"/>
      <c r="L862" s="11"/>
      <c r="M862" s="11"/>
      <c r="N862" s="11"/>
    </row>
    <row r="863" spans="1:14" ht="15.75" customHeight="1" x14ac:dyDescent="0.25">
      <c r="A863" s="11"/>
      <c r="B863" s="11"/>
      <c r="C863" s="11"/>
      <c r="D863" s="11"/>
      <c r="E863" s="11"/>
      <c r="F863" s="11"/>
      <c r="G863" s="15" t="str">
        <f t="shared" si="39"/>
        <v/>
      </c>
      <c r="H863" s="13" t="str">
        <f t="shared" si="40"/>
        <v/>
      </c>
      <c r="I863" s="16" t="str">
        <f t="shared" si="41"/>
        <v/>
      </c>
      <c r="J863" s="11"/>
      <c r="K863" s="11"/>
      <c r="L863" s="11"/>
      <c r="M863" s="11"/>
      <c r="N863" s="11"/>
    </row>
    <row r="864" spans="1:14" ht="15.75" customHeight="1" x14ac:dyDescent="0.25">
      <c r="A864" s="11"/>
      <c r="B864" s="11"/>
      <c r="C864" s="11"/>
      <c r="D864" s="11"/>
      <c r="E864" s="11"/>
      <c r="F864" s="11"/>
      <c r="G864" s="15" t="str">
        <f t="shared" si="39"/>
        <v/>
      </c>
      <c r="H864" s="13" t="str">
        <f t="shared" si="40"/>
        <v/>
      </c>
      <c r="I864" s="16" t="str">
        <f t="shared" si="41"/>
        <v/>
      </c>
      <c r="J864" s="11"/>
      <c r="K864" s="11"/>
      <c r="L864" s="11"/>
      <c r="M864" s="11"/>
      <c r="N864" s="11"/>
    </row>
    <row r="865" spans="1:14" ht="15.75" customHeight="1" x14ac:dyDescent="0.25">
      <c r="A865" s="11"/>
      <c r="B865" s="11"/>
      <c r="C865" s="11"/>
      <c r="D865" s="11"/>
      <c r="E865" s="11"/>
      <c r="F865" s="11"/>
      <c r="G865" s="15" t="str">
        <f t="shared" si="39"/>
        <v/>
      </c>
      <c r="H865" s="13" t="str">
        <f t="shared" si="40"/>
        <v/>
      </c>
      <c r="I865" s="16" t="str">
        <f t="shared" si="41"/>
        <v/>
      </c>
      <c r="J865" s="11"/>
      <c r="K865" s="11"/>
      <c r="L865" s="11"/>
      <c r="M865" s="11"/>
      <c r="N865" s="11"/>
    </row>
    <row r="866" spans="1:14" ht="15.75" customHeight="1" x14ac:dyDescent="0.25">
      <c r="A866" s="11"/>
      <c r="B866" s="11"/>
      <c r="C866" s="11"/>
      <c r="D866" s="11"/>
      <c r="E866" s="11"/>
      <c r="F866" s="11"/>
      <c r="G866" s="15" t="str">
        <f t="shared" si="39"/>
        <v/>
      </c>
      <c r="H866" s="13" t="str">
        <f t="shared" si="40"/>
        <v/>
      </c>
      <c r="I866" s="16" t="str">
        <f t="shared" si="41"/>
        <v/>
      </c>
      <c r="J866" s="11"/>
      <c r="K866" s="11"/>
      <c r="L866" s="11"/>
      <c r="M866" s="11"/>
      <c r="N866" s="11"/>
    </row>
    <row r="867" spans="1:14" ht="15.75" customHeight="1" x14ac:dyDescent="0.25">
      <c r="A867" s="11"/>
      <c r="B867" s="11"/>
      <c r="C867" s="11"/>
      <c r="D867" s="11"/>
      <c r="E867" s="11"/>
      <c r="F867" s="11"/>
      <c r="G867" s="15" t="str">
        <f t="shared" si="39"/>
        <v/>
      </c>
      <c r="H867" s="13" t="str">
        <f t="shared" si="40"/>
        <v/>
      </c>
      <c r="I867" s="16" t="str">
        <f t="shared" si="41"/>
        <v/>
      </c>
      <c r="J867" s="11"/>
      <c r="K867" s="11"/>
      <c r="L867" s="11"/>
      <c r="M867" s="11"/>
      <c r="N867" s="11"/>
    </row>
    <row r="868" spans="1:14" ht="15.75" customHeight="1" x14ac:dyDescent="0.25">
      <c r="A868" s="11"/>
      <c r="B868" s="11"/>
      <c r="C868" s="11"/>
      <c r="D868" s="11"/>
      <c r="E868" s="11"/>
      <c r="F868" s="11"/>
      <c r="G868" s="15" t="str">
        <f t="shared" si="39"/>
        <v/>
      </c>
      <c r="H868" s="13" t="str">
        <f t="shared" si="40"/>
        <v/>
      </c>
      <c r="I868" s="16" t="str">
        <f t="shared" si="41"/>
        <v/>
      </c>
      <c r="J868" s="11"/>
      <c r="K868" s="11"/>
      <c r="L868" s="11"/>
      <c r="M868" s="11"/>
      <c r="N868" s="11"/>
    </row>
    <row r="869" spans="1:14" ht="15.75" customHeight="1" x14ac:dyDescent="0.25">
      <c r="A869" s="11"/>
      <c r="B869" s="11"/>
      <c r="C869" s="11"/>
      <c r="D869" s="11"/>
      <c r="E869" s="11"/>
      <c r="F869" s="11"/>
      <c r="G869" s="15" t="str">
        <f t="shared" si="39"/>
        <v/>
      </c>
      <c r="H869" s="13" t="str">
        <f t="shared" si="40"/>
        <v/>
      </c>
      <c r="I869" s="16" t="str">
        <f t="shared" si="41"/>
        <v/>
      </c>
      <c r="J869" s="11"/>
      <c r="K869" s="11"/>
      <c r="L869" s="11"/>
      <c r="M869" s="11"/>
      <c r="N869" s="11"/>
    </row>
    <row r="870" spans="1:14" ht="15.75" customHeight="1" x14ac:dyDescent="0.25">
      <c r="A870" s="11"/>
      <c r="B870" s="11"/>
      <c r="C870" s="11"/>
      <c r="D870" s="11"/>
      <c r="E870" s="11"/>
      <c r="F870" s="11"/>
      <c r="G870" s="15" t="str">
        <f t="shared" si="39"/>
        <v/>
      </c>
      <c r="H870" s="13" t="str">
        <f t="shared" si="40"/>
        <v/>
      </c>
      <c r="I870" s="16" t="str">
        <f t="shared" si="41"/>
        <v/>
      </c>
      <c r="J870" s="11"/>
      <c r="K870" s="11"/>
      <c r="L870" s="11"/>
      <c r="M870" s="11"/>
      <c r="N870" s="11"/>
    </row>
    <row r="871" spans="1:14" ht="15.75" customHeight="1" x14ac:dyDescent="0.25">
      <c r="A871" s="11"/>
      <c r="B871" s="11"/>
      <c r="C871" s="11"/>
      <c r="D871" s="11"/>
      <c r="E871" s="11"/>
      <c r="F871" s="11"/>
      <c r="G871" s="15" t="str">
        <f t="shared" si="39"/>
        <v/>
      </c>
      <c r="H871" s="13" t="str">
        <f t="shared" si="40"/>
        <v/>
      </c>
      <c r="I871" s="16" t="str">
        <f t="shared" si="41"/>
        <v/>
      </c>
      <c r="J871" s="11"/>
      <c r="K871" s="11"/>
      <c r="L871" s="11"/>
      <c r="M871" s="11"/>
      <c r="N871" s="11"/>
    </row>
    <row r="872" spans="1:14" ht="15.75" customHeight="1" x14ac:dyDescent="0.25">
      <c r="A872" s="11"/>
      <c r="B872" s="11"/>
      <c r="C872" s="11"/>
      <c r="D872" s="11"/>
      <c r="E872" s="11"/>
      <c r="F872" s="11"/>
      <c r="G872" s="15" t="str">
        <f t="shared" si="39"/>
        <v/>
      </c>
      <c r="H872" s="13" t="str">
        <f t="shared" si="40"/>
        <v/>
      </c>
      <c r="I872" s="16" t="str">
        <f t="shared" si="41"/>
        <v/>
      </c>
      <c r="J872" s="11"/>
      <c r="K872" s="11"/>
      <c r="L872" s="11"/>
      <c r="M872" s="11"/>
      <c r="N872" s="11"/>
    </row>
    <row r="873" spans="1:14" ht="15.75" customHeight="1" x14ac:dyDescent="0.25">
      <c r="A873" s="11"/>
      <c r="B873" s="11"/>
      <c r="C873" s="11"/>
      <c r="D873" s="11"/>
      <c r="E873" s="11"/>
      <c r="F873" s="11"/>
      <c r="G873" s="15" t="str">
        <f t="shared" si="39"/>
        <v/>
      </c>
      <c r="H873" s="13" t="str">
        <f t="shared" si="40"/>
        <v/>
      </c>
      <c r="I873" s="16" t="str">
        <f t="shared" si="41"/>
        <v/>
      </c>
      <c r="J873" s="11"/>
      <c r="K873" s="11"/>
      <c r="L873" s="11"/>
      <c r="M873" s="11"/>
      <c r="N873" s="11"/>
    </row>
    <row r="874" spans="1:14" ht="15.75" customHeight="1" x14ac:dyDescent="0.25">
      <c r="A874" s="11"/>
      <c r="B874" s="11"/>
      <c r="C874" s="11"/>
      <c r="D874" s="11"/>
      <c r="E874" s="11"/>
      <c r="F874" s="11"/>
      <c r="G874" s="15" t="str">
        <f t="shared" si="39"/>
        <v/>
      </c>
      <c r="H874" s="13" t="str">
        <f t="shared" si="40"/>
        <v/>
      </c>
      <c r="I874" s="16" t="str">
        <f t="shared" si="41"/>
        <v/>
      </c>
      <c r="J874" s="11"/>
      <c r="K874" s="11"/>
      <c r="L874" s="11"/>
      <c r="M874" s="11"/>
      <c r="N874" s="11"/>
    </row>
    <row r="875" spans="1:14" ht="15.75" customHeight="1" x14ac:dyDescent="0.25">
      <c r="A875" s="11"/>
      <c r="B875" s="11"/>
      <c r="C875" s="11"/>
      <c r="D875" s="11"/>
      <c r="E875" s="11"/>
      <c r="F875" s="11"/>
      <c r="G875" s="15" t="str">
        <f t="shared" si="39"/>
        <v/>
      </c>
      <c r="H875" s="13" t="str">
        <f t="shared" si="40"/>
        <v/>
      </c>
      <c r="I875" s="16" t="str">
        <f t="shared" si="41"/>
        <v/>
      </c>
      <c r="J875" s="11"/>
      <c r="K875" s="11"/>
      <c r="L875" s="11"/>
      <c r="M875" s="11"/>
      <c r="N875" s="11"/>
    </row>
    <row r="876" spans="1:14" ht="15.75" customHeight="1" x14ac:dyDescent="0.25">
      <c r="A876" s="11"/>
      <c r="B876" s="11"/>
      <c r="C876" s="11"/>
      <c r="D876" s="11"/>
      <c r="E876" s="11"/>
      <c r="F876" s="11"/>
      <c r="G876" s="15" t="str">
        <f t="shared" si="39"/>
        <v/>
      </c>
      <c r="H876" s="13" t="str">
        <f t="shared" si="40"/>
        <v/>
      </c>
      <c r="I876" s="16" t="str">
        <f t="shared" si="41"/>
        <v/>
      </c>
      <c r="J876" s="11"/>
      <c r="K876" s="11"/>
      <c r="L876" s="11"/>
      <c r="M876" s="11"/>
      <c r="N876" s="11"/>
    </row>
    <row r="877" spans="1:14" ht="15.75" customHeight="1" x14ac:dyDescent="0.25">
      <c r="A877" s="11"/>
      <c r="B877" s="11"/>
      <c r="C877" s="11"/>
      <c r="D877" s="11"/>
      <c r="E877" s="11"/>
      <c r="F877" s="11"/>
      <c r="G877" s="15" t="str">
        <f t="shared" si="39"/>
        <v/>
      </c>
      <c r="H877" s="13" t="str">
        <f t="shared" si="40"/>
        <v/>
      </c>
      <c r="I877" s="16" t="str">
        <f t="shared" si="41"/>
        <v/>
      </c>
      <c r="J877" s="11"/>
      <c r="K877" s="11"/>
      <c r="L877" s="11"/>
      <c r="M877" s="11"/>
      <c r="N877" s="11"/>
    </row>
    <row r="878" spans="1:14" ht="15.75" customHeight="1" x14ac:dyDescent="0.25">
      <c r="A878" s="11"/>
      <c r="B878" s="11"/>
      <c r="C878" s="11"/>
      <c r="D878" s="11"/>
      <c r="E878" s="11"/>
      <c r="F878" s="11"/>
      <c r="G878" s="15" t="str">
        <f t="shared" si="39"/>
        <v/>
      </c>
      <c r="H878" s="13" t="str">
        <f t="shared" si="40"/>
        <v/>
      </c>
      <c r="I878" s="16" t="str">
        <f t="shared" si="41"/>
        <v/>
      </c>
      <c r="J878" s="11"/>
      <c r="K878" s="11"/>
      <c r="L878" s="11"/>
      <c r="M878" s="11"/>
      <c r="N878" s="11"/>
    </row>
    <row r="879" spans="1:14" ht="15.75" customHeight="1" x14ac:dyDescent="0.25">
      <c r="A879" s="11"/>
      <c r="B879" s="11"/>
      <c r="C879" s="11"/>
      <c r="D879" s="11"/>
      <c r="E879" s="11"/>
      <c r="F879" s="11"/>
      <c r="G879" s="15" t="str">
        <f t="shared" si="39"/>
        <v/>
      </c>
      <c r="H879" s="13" t="str">
        <f t="shared" si="40"/>
        <v/>
      </c>
      <c r="I879" s="16" t="str">
        <f t="shared" si="41"/>
        <v/>
      </c>
      <c r="J879" s="11"/>
      <c r="K879" s="11"/>
      <c r="L879" s="11"/>
      <c r="M879" s="11"/>
      <c r="N879" s="11"/>
    </row>
    <row r="880" spans="1:14" ht="15.75" customHeight="1" x14ac:dyDescent="0.25">
      <c r="A880" s="11"/>
      <c r="B880" s="11"/>
      <c r="C880" s="11"/>
      <c r="D880" s="11"/>
      <c r="E880" s="11"/>
      <c r="F880" s="11"/>
      <c r="G880" s="15" t="str">
        <f t="shared" si="39"/>
        <v/>
      </c>
      <c r="H880" s="13" t="str">
        <f t="shared" si="40"/>
        <v/>
      </c>
      <c r="I880" s="16" t="str">
        <f t="shared" si="41"/>
        <v/>
      </c>
      <c r="J880" s="11"/>
      <c r="K880" s="11"/>
      <c r="L880" s="11"/>
      <c r="M880" s="11"/>
      <c r="N880" s="11"/>
    </row>
    <row r="881" spans="1:14" ht="15.75" customHeight="1" x14ac:dyDescent="0.25">
      <c r="A881" s="11"/>
      <c r="B881" s="11"/>
      <c r="C881" s="11"/>
      <c r="D881" s="11"/>
      <c r="E881" s="11"/>
      <c r="F881" s="11"/>
      <c r="G881" s="15" t="str">
        <f t="shared" si="39"/>
        <v/>
      </c>
      <c r="H881" s="13" t="str">
        <f t="shared" si="40"/>
        <v/>
      </c>
      <c r="I881" s="16" t="str">
        <f t="shared" si="41"/>
        <v/>
      </c>
      <c r="J881" s="11"/>
      <c r="K881" s="11"/>
      <c r="L881" s="11"/>
      <c r="M881" s="11"/>
      <c r="N881" s="11"/>
    </row>
    <row r="882" spans="1:14" ht="15.75" customHeight="1" x14ac:dyDescent="0.25">
      <c r="A882" s="11"/>
      <c r="B882" s="11"/>
      <c r="C882" s="11"/>
      <c r="D882" s="11"/>
      <c r="E882" s="11"/>
      <c r="F882" s="11"/>
      <c r="G882" s="15" t="str">
        <f t="shared" si="39"/>
        <v/>
      </c>
      <c r="H882" s="13" t="str">
        <f t="shared" si="40"/>
        <v/>
      </c>
      <c r="I882" s="16" t="str">
        <f t="shared" si="41"/>
        <v/>
      </c>
      <c r="J882" s="11"/>
      <c r="K882" s="11"/>
      <c r="L882" s="11"/>
      <c r="M882" s="11"/>
      <c r="N882" s="11"/>
    </row>
    <row r="883" spans="1:14" ht="15.75" customHeight="1" x14ac:dyDescent="0.25">
      <c r="A883" s="11"/>
      <c r="B883" s="11"/>
      <c r="C883" s="11"/>
      <c r="D883" s="11"/>
      <c r="E883" s="11"/>
      <c r="F883" s="11"/>
      <c r="G883" s="15" t="str">
        <f t="shared" si="39"/>
        <v/>
      </c>
      <c r="H883" s="13" t="str">
        <f t="shared" si="40"/>
        <v/>
      </c>
      <c r="I883" s="16" t="str">
        <f t="shared" si="41"/>
        <v/>
      </c>
      <c r="J883" s="11"/>
      <c r="K883" s="11"/>
      <c r="L883" s="11"/>
      <c r="M883" s="11"/>
      <c r="N883" s="11"/>
    </row>
    <row r="884" spans="1:14" ht="15.75" customHeight="1" x14ac:dyDescent="0.25">
      <c r="A884" s="11"/>
      <c r="B884" s="11"/>
      <c r="C884" s="11"/>
      <c r="D884" s="11"/>
      <c r="E884" s="11"/>
      <c r="F884" s="11"/>
      <c r="G884" s="15" t="str">
        <f t="shared" si="39"/>
        <v/>
      </c>
      <c r="H884" s="13" t="str">
        <f t="shared" si="40"/>
        <v/>
      </c>
      <c r="I884" s="16" t="str">
        <f t="shared" si="41"/>
        <v/>
      </c>
      <c r="J884" s="11"/>
      <c r="K884" s="11"/>
      <c r="L884" s="11"/>
      <c r="M884" s="11"/>
      <c r="N884" s="11"/>
    </row>
    <row r="885" spans="1:14" ht="15.75" customHeight="1" x14ac:dyDescent="0.25">
      <c r="A885" s="11"/>
      <c r="B885" s="11"/>
      <c r="C885" s="11"/>
      <c r="D885" s="11"/>
      <c r="E885" s="11"/>
      <c r="F885" s="11"/>
      <c r="G885" s="15" t="str">
        <f t="shared" si="39"/>
        <v/>
      </c>
      <c r="H885" s="13" t="str">
        <f t="shared" si="40"/>
        <v/>
      </c>
      <c r="I885" s="16" t="str">
        <f t="shared" si="41"/>
        <v/>
      </c>
      <c r="J885" s="11"/>
      <c r="K885" s="11"/>
      <c r="L885" s="11"/>
      <c r="M885" s="11"/>
      <c r="N885" s="11"/>
    </row>
    <row r="886" spans="1:14" ht="15.75" customHeight="1" x14ac:dyDescent="0.25">
      <c r="A886" s="11"/>
      <c r="B886" s="11"/>
      <c r="C886" s="11"/>
      <c r="D886" s="11"/>
      <c r="E886" s="11"/>
      <c r="F886" s="11"/>
      <c r="G886" s="15" t="str">
        <f t="shared" si="39"/>
        <v/>
      </c>
      <c r="H886" s="13" t="str">
        <f t="shared" si="40"/>
        <v/>
      </c>
      <c r="I886" s="16" t="str">
        <f t="shared" si="41"/>
        <v/>
      </c>
      <c r="J886" s="11"/>
      <c r="K886" s="11"/>
      <c r="L886" s="11"/>
      <c r="M886" s="11"/>
      <c r="N886" s="11"/>
    </row>
    <row r="887" spans="1:14" ht="15.75" customHeight="1" x14ac:dyDescent="0.25">
      <c r="A887" s="11"/>
      <c r="B887" s="11"/>
      <c r="C887" s="11"/>
      <c r="D887" s="11"/>
      <c r="E887" s="11"/>
      <c r="F887" s="11"/>
      <c r="G887" s="15" t="str">
        <f t="shared" si="39"/>
        <v/>
      </c>
      <c r="H887" s="13" t="str">
        <f t="shared" si="40"/>
        <v/>
      </c>
      <c r="I887" s="16" t="str">
        <f t="shared" si="41"/>
        <v/>
      </c>
      <c r="J887" s="11"/>
      <c r="K887" s="11"/>
      <c r="L887" s="11"/>
      <c r="M887" s="11"/>
      <c r="N887" s="11"/>
    </row>
    <row r="888" spans="1:14" ht="15.75" customHeight="1" x14ac:dyDescent="0.25">
      <c r="A888" s="11"/>
      <c r="B888" s="11"/>
      <c r="C888" s="11"/>
      <c r="D888" s="11"/>
      <c r="E888" s="11"/>
      <c r="F888" s="11"/>
      <c r="G888" s="15" t="str">
        <f t="shared" si="39"/>
        <v/>
      </c>
      <c r="H888" s="13" t="str">
        <f t="shared" si="40"/>
        <v/>
      </c>
      <c r="I888" s="16" t="str">
        <f t="shared" si="41"/>
        <v/>
      </c>
      <c r="J888" s="11"/>
      <c r="K888" s="11"/>
      <c r="L888" s="11"/>
      <c r="M888" s="11"/>
      <c r="N888" s="11"/>
    </row>
    <row r="889" spans="1:14" ht="15.75" customHeight="1" x14ac:dyDescent="0.25">
      <c r="A889" s="11"/>
      <c r="B889" s="11"/>
      <c r="C889" s="11"/>
      <c r="D889" s="11"/>
      <c r="E889" s="11"/>
      <c r="F889" s="11"/>
      <c r="G889" s="15" t="str">
        <f t="shared" si="39"/>
        <v/>
      </c>
      <c r="H889" s="13" t="str">
        <f t="shared" si="40"/>
        <v/>
      </c>
      <c r="I889" s="16" t="str">
        <f t="shared" si="41"/>
        <v/>
      </c>
      <c r="J889" s="11"/>
      <c r="K889" s="11"/>
      <c r="L889" s="11"/>
      <c r="M889" s="11"/>
      <c r="N889" s="11"/>
    </row>
    <row r="890" spans="1:14" ht="15.75" customHeight="1" x14ac:dyDescent="0.25">
      <c r="A890" s="11"/>
      <c r="B890" s="11"/>
      <c r="C890" s="11"/>
      <c r="D890" s="11"/>
      <c r="E890" s="11"/>
      <c r="F890" s="11"/>
      <c r="G890" s="15" t="str">
        <f t="shared" si="39"/>
        <v/>
      </c>
      <c r="H890" s="13" t="str">
        <f t="shared" si="40"/>
        <v/>
      </c>
      <c r="I890" s="16" t="str">
        <f t="shared" si="41"/>
        <v/>
      </c>
      <c r="J890" s="11"/>
      <c r="K890" s="11"/>
      <c r="L890" s="11"/>
      <c r="M890" s="11"/>
      <c r="N890" s="11"/>
    </row>
    <row r="891" spans="1:14" ht="15.75" customHeight="1" x14ac:dyDescent="0.25">
      <c r="A891" s="11"/>
      <c r="B891" s="11"/>
      <c r="C891" s="11"/>
      <c r="D891" s="11"/>
      <c r="E891" s="11"/>
      <c r="F891" s="11"/>
      <c r="G891" s="15" t="str">
        <f t="shared" si="39"/>
        <v/>
      </c>
      <c r="H891" s="13" t="str">
        <f t="shared" si="40"/>
        <v/>
      </c>
      <c r="I891" s="16" t="str">
        <f t="shared" si="41"/>
        <v/>
      </c>
      <c r="J891" s="11"/>
      <c r="K891" s="11"/>
      <c r="L891" s="11"/>
      <c r="M891" s="11"/>
      <c r="N891" s="11"/>
    </row>
    <row r="892" spans="1:14" ht="15.75" customHeight="1" x14ac:dyDescent="0.25">
      <c r="A892" s="11"/>
      <c r="B892" s="11"/>
      <c r="C892" s="11"/>
      <c r="D892" s="11"/>
      <c r="E892" s="11"/>
      <c r="F892" s="11"/>
      <c r="G892" s="15" t="str">
        <f t="shared" si="39"/>
        <v/>
      </c>
      <c r="H892" s="13" t="str">
        <f t="shared" si="40"/>
        <v/>
      </c>
      <c r="I892" s="16" t="str">
        <f t="shared" si="41"/>
        <v/>
      </c>
      <c r="J892" s="11"/>
      <c r="K892" s="11"/>
      <c r="L892" s="11"/>
      <c r="M892" s="11"/>
      <c r="N892" s="11"/>
    </row>
    <row r="893" spans="1:14" ht="15.75" customHeight="1" x14ac:dyDescent="0.25">
      <c r="A893" s="11"/>
      <c r="B893" s="11"/>
      <c r="C893" s="11"/>
      <c r="D893" s="11"/>
      <c r="E893" s="11"/>
      <c r="F893" s="11"/>
      <c r="G893" s="15" t="str">
        <f t="shared" si="39"/>
        <v/>
      </c>
      <c r="H893" s="13" t="str">
        <f t="shared" si="40"/>
        <v/>
      </c>
      <c r="I893" s="16" t="str">
        <f t="shared" si="41"/>
        <v/>
      </c>
      <c r="J893" s="11"/>
      <c r="K893" s="11"/>
      <c r="L893" s="11"/>
      <c r="M893" s="11"/>
      <c r="N893" s="11"/>
    </row>
    <row r="894" spans="1:14" ht="15.75" customHeight="1" x14ac:dyDescent="0.25">
      <c r="A894" s="11"/>
      <c r="B894" s="11"/>
      <c r="C894" s="11"/>
      <c r="D894" s="11"/>
      <c r="E894" s="11"/>
      <c r="F894" s="11"/>
      <c r="G894" s="15" t="str">
        <f t="shared" si="39"/>
        <v/>
      </c>
      <c r="H894" s="13" t="str">
        <f t="shared" si="40"/>
        <v/>
      </c>
      <c r="I894" s="16" t="str">
        <f t="shared" si="41"/>
        <v/>
      </c>
      <c r="J894" s="11"/>
      <c r="K894" s="11"/>
      <c r="L894" s="11"/>
      <c r="M894" s="11"/>
      <c r="N894" s="11"/>
    </row>
    <row r="895" spans="1:14" ht="15.75" customHeight="1" x14ac:dyDescent="0.25">
      <c r="A895" s="11"/>
      <c r="B895" s="11"/>
      <c r="C895" s="11"/>
      <c r="D895" s="11"/>
      <c r="E895" s="11"/>
      <c r="F895" s="11"/>
      <c r="G895" s="15" t="str">
        <f t="shared" si="39"/>
        <v/>
      </c>
      <c r="H895" s="13" t="str">
        <f t="shared" si="40"/>
        <v/>
      </c>
      <c r="I895" s="16" t="str">
        <f t="shared" si="41"/>
        <v/>
      </c>
      <c r="J895" s="11"/>
      <c r="K895" s="11"/>
      <c r="L895" s="11"/>
      <c r="M895" s="11"/>
      <c r="N895" s="11"/>
    </row>
    <row r="896" spans="1:14" ht="15.75" customHeight="1" x14ac:dyDescent="0.25">
      <c r="A896" s="11"/>
      <c r="B896" s="11"/>
      <c r="C896" s="11"/>
      <c r="D896" s="11"/>
      <c r="E896" s="11"/>
      <c r="F896" s="11"/>
      <c r="G896" s="15" t="str">
        <f t="shared" si="39"/>
        <v/>
      </c>
      <c r="H896" s="13" t="str">
        <f t="shared" si="40"/>
        <v/>
      </c>
      <c r="I896" s="16" t="str">
        <f t="shared" si="41"/>
        <v/>
      </c>
      <c r="J896" s="11"/>
      <c r="K896" s="11"/>
      <c r="L896" s="11"/>
      <c r="M896" s="11"/>
      <c r="N896" s="11"/>
    </row>
    <row r="897" spans="1:14" ht="15.75" customHeight="1" x14ac:dyDescent="0.25">
      <c r="A897" s="11"/>
      <c r="B897" s="11"/>
      <c r="C897" s="11"/>
      <c r="D897" s="11"/>
      <c r="E897" s="11"/>
      <c r="F897" s="11"/>
      <c r="G897" s="15" t="str">
        <f t="shared" si="39"/>
        <v/>
      </c>
      <c r="H897" s="13" t="str">
        <f t="shared" si="40"/>
        <v/>
      </c>
      <c r="I897" s="16" t="str">
        <f t="shared" si="41"/>
        <v/>
      </c>
      <c r="J897" s="11"/>
      <c r="K897" s="11"/>
      <c r="L897" s="11"/>
      <c r="M897" s="11"/>
      <c r="N897" s="11"/>
    </row>
    <row r="898" spans="1:14" ht="15.75" customHeight="1" x14ac:dyDescent="0.25">
      <c r="A898" s="11"/>
      <c r="B898" s="11"/>
      <c r="C898" s="11"/>
      <c r="D898" s="11"/>
      <c r="E898" s="11"/>
      <c r="F898" s="11"/>
      <c r="G898" s="15" t="str">
        <f t="shared" si="39"/>
        <v/>
      </c>
      <c r="H898" s="13" t="str">
        <f t="shared" si="40"/>
        <v/>
      </c>
      <c r="I898" s="16" t="str">
        <f t="shared" si="41"/>
        <v/>
      </c>
      <c r="J898" s="11"/>
      <c r="K898" s="11"/>
      <c r="L898" s="11"/>
      <c r="M898" s="11"/>
      <c r="N898" s="11"/>
    </row>
    <row r="899" spans="1:14" ht="15.75" customHeight="1" x14ac:dyDescent="0.25">
      <c r="A899" s="11"/>
      <c r="B899" s="11"/>
      <c r="C899" s="11"/>
      <c r="D899" s="11"/>
      <c r="E899" s="11"/>
      <c r="F899" s="11"/>
      <c r="G899" s="15" t="str">
        <f t="shared" si="39"/>
        <v/>
      </c>
      <c r="H899" s="13" t="str">
        <f t="shared" si="40"/>
        <v/>
      </c>
      <c r="I899" s="16" t="str">
        <f t="shared" si="41"/>
        <v/>
      </c>
      <c r="J899" s="11"/>
      <c r="K899" s="11"/>
      <c r="L899" s="11"/>
      <c r="M899" s="11"/>
      <c r="N899" s="11"/>
    </row>
    <row r="900" spans="1:14" ht="15.75" customHeight="1" x14ac:dyDescent="0.25">
      <c r="A900" s="11"/>
      <c r="B900" s="11"/>
      <c r="C900" s="11"/>
      <c r="D900" s="11"/>
      <c r="E900" s="11"/>
      <c r="F900" s="11"/>
      <c r="G900" s="15" t="str">
        <f t="shared" ref="G900:G963" si="42">IF(E900="","",IF(OR(E900="Withdrawal",E900="Loan Disbursement"),F900,0))</f>
        <v/>
      </c>
      <c r="H900" s="13" t="str">
        <f t="shared" ref="H900:H963" si="43">IF(E900="","",IF(OR(E900="Savings Deposit",E900="Loan Repayment"),F900,0))</f>
        <v/>
      </c>
      <c r="I900" s="16" t="str">
        <f t="shared" si="41"/>
        <v/>
      </c>
      <c r="J900" s="11"/>
      <c r="K900" s="11"/>
      <c r="L900" s="11"/>
      <c r="M900" s="11"/>
      <c r="N900" s="11"/>
    </row>
    <row r="901" spans="1:14" ht="15.75" customHeight="1" x14ac:dyDescent="0.25">
      <c r="A901" s="11"/>
      <c r="B901" s="11"/>
      <c r="C901" s="11"/>
      <c r="D901" s="11"/>
      <c r="E901" s="11"/>
      <c r="F901" s="11"/>
      <c r="G901" s="15" t="str">
        <f t="shared" si="42"/>
        <v/>
      </c>
      <c r="H901" s="13" t="str">
        <f t="shared" si="43"/>
        <v/>
      </c>
      <c r="I901" s="16" t="str">
        <f t="shared" ref="I901:I964" si="44">IF(A901="","",I900+H901-G901)</f>
        <v/>
      </c>
      <c r="J901" s="11"/>
      <c r="K901" s="11"/>
      <c r="L901" s="11"/>
      <c r="M901" s="11"/>
      <c r="N901" s="11"/>
    </row>
    <row r="902" spans="1:14" ht="15.75" customHeight="1" x14ac:dyDescent="0.25">
      <c r="A902" s="11"/>
      <c r="B902" s="11"/>
      <c r="C902" s="11"/>
      <c r="D902" s="11"/>
      <c r="E902" s="11"/>
      <c r="F902" s="11"/>
      <c r="G902" s="15" t="str">
        <f t="shared" si="42"/>
        <v/>
      </c>
      <c r="H902" s="13" t="str">
        <f t="shared" si="43"/>
        <v/>
      </c>
      <c r="I902" s="16" t="str">
        <f t="shared" si="44"/>
        <v/>
      </c>
      <c r="J902" s="11"/>
      <c r="K902" s="11"/>
      <c r="L902" s="11"/>
      <c r="M902" s="11"/>
      <c r="N902" s="11"/>
    </row>
    <row r="903" spans="1:14" ht="15.75" customHeight="1" x14ac:dyDescent="0.25">
      <c r="A903" s="11"/>
      <c r="B903" s="11"/>
      <c r="C903" s="11"/>
      <c r="D903" s="11"/>
      <c r="E903" s="11"/>
      <c r="F903" s="11"/>
      <c r="G903" s="15" t="str">
        <f t="shared" si="42"/>
        <v/>
      </c>
      <c r="H903" s="13" t="str">
        <f t="shared" si="43"/>
        <v/>
      </c>
      <c r="I903" s="16" t="str">
        <f t="shared" si="44"/>
        <v/>
      </c>
      <c r="J903" s="11"/>
      <c r="K903" s="11"/>
      <c r="L903" s="11"/>
      <c r="M903" s="11"/>
      <c r="N903" s="11"/>
    </row>
    <row r="904" spans="1:14" ht="15.75" customHeight="1" x14ac:dyDescent="0.25">
      <c r="A904" s="11"/>
      <c r="B904" s="11"/>
      <c r="C904" s="11"/>
      <c r="D904" s="11"/>
      <c r="E904" s="11"/>
      <c r="F904" s="11"/>
      <c r="G904" s="15" t="str">
        <f t="shared" si="42"/>
        <v/>
      </c>
      <c r="H904" s="13" t="str">
        <f t="shared" si="43"/>
        <v/>
      </c>
      <c r="I904" s="16" t="str">
        <f t="shared" si="44"/>
        <v/>
      </c>
      <c r="J904" s="11"/>
      <c r="K904" s="11"/>
      <c r="L904" s="11"/>
      <c r="M904" s="11"/>
      <c r="N904" s="11"/>
    </row>
    <row r="905" spans="1:14" ht="15.75" customHeight="1" x14ac:dyDescent="0.25">
      <c r="A905" s="11"/>
      <c r="B905" s="11"/>
      <c r="C905" s="11"/>
      <c r="D905" s="11"/>
      <c r="E905" s="11"/>
      <c r="F905" s="11"/>
      <c r="G905" s="15" t="str">
        <f t="shared" si="42"/>
        <v/>
      </c>
      <c r="H905" s="13" t="str">
        <f t="shared" si="43"/>
        <v/>
      </c>
      <c r="I905" s="16" t="str">
        <f t="shared" si="44"/>
        <v/>
      </c>
      <c r="J905" s="11"/>
      <c r="K905" s="11"/>
      <c r="L905" s="11"/>
      <c r="M905" s="11"/>
      <c r="N905" s="11"/>
    </row>
    <row r="906" spans="1:14" ht="15.75" customHeight="1" x14ac:dyDescent="0.25">
      <c r="A906" s="11"/>
      <c r="B906" s="11"/>
      <c r="C906" s="11"/>
      <c r="D906" s="11"/>
      <c r="E906" s="11"/>
      <c r="F906" s="11"/>
      <c r="G906" s="15" t="str">
        <f t="shared" si="42"/>
        <v/>
      </c>
      <c r="H906" s="13" t="str">
        <f t="shared" si="43"/>
        <v/>
      </c>
      <c r="I906" s="16" t="str">
        <f t="shared" si="44"/>
        <v/>
      </c>
      <c r="J906" s="11"/>
      <c r="K906" s="11"/>
      <c r="L906" s="11"/>
      <c r="M906" s="11"/>
      <c r="N906" s="11"/>
    </row>
    <row r="907" spans="1:14" ht="15.75" customHeight="1" x14ac:dyDescent="0.25">
      <c r="A907" s="11"/>
      <c r="B907" s="11"/>
      <c r="C907" s="11"/>
      <c r="D907" s="11"/>
      <c r="E907" s="11"/>
      <c r="F907" s="11"/>
      <c r="G907" s="15" t="str">
        <f t="shared" si="42"/>
        <v/>
      </c>
      <c r="H907" s="13" t="str">
        <f t="shared" si="43"/>
        <v/>
      </c>
      <c r="I907" s="16" t="str">
        <f t="shared" si="44"/>
        <v/>
      </c>
      <c r="J907" s="11"/>
      <c r="K907" s="11"/>
      <c r="L907" s="11"/>
      <c r="M907" s="11"/>
      <c r="N907" s="11"/>
    </row>
    <row r="908" spans="1:14" ht="15.75" customHeight="1" x14ac:dyDescent="0.25">
      <c r="A908" s="11"/>
      <c r="B908" s="11"/>
      <c r="C908" s="11"/>
      <c r="D908" s="11"/>
      <c r="E908" s="11"/>
      <c r="F908" s="11"/>
      <c r="G908" s="15" t="str">
        <f t="shared" si="42"/>
        <v/>
      </c>
      <c r="H908" s="13" t="str">
        <f t="shared" si="43"/>
        <v/>
      </c>
      <c r="I908" s="16" t="str">
        <f t="shared" si="44"/>
        <v/>
      </c>
      <c r="J908" s="11"/>
      <c r="K908" s="11"/>
      <c r="L908" s="11"/>
      <c r="M908" s="11"/>
      <c r="N908" s="11"/>
    </row>
    <row r="909" spans="1:14" ht="15.75" customHeight="1" x14ac:dyDescent="0.25">
      <c r="A909" s="11"/>
      <c r="B909" s="11"/>
      <c r="C909" s="11"/>
      <c r="D909" s="11"/>
      <c r="E909" s="11"/>
      <c r="F909" s="11"/>
      <c r="G909" s="15" t="str">
        <f t="shared" si="42"/>
        <v/>
      </c>
      <c r="H909" s="13" t="str">
        <f t="shared" si="43"/>
        <v/>
      </c>
      <c r="I909" s="16" t="str">
        <f t="shared" si="44"/>
        <v/>
      </c>
      <c r="J909" s="11"/>
      <c r="K909" s="11"/>
      <c r="L909" s="11"/>
      <c r="M909" s="11"/>
      <c r="N909" s="11"/>
    </row>
    <row r="910" spans="1:14" ht="15.75" customHeight="1" x14ac:dyDescent="0.25">
      <c r="A910" s="11"/>
      <c r="B910" s="11"/>
      <c r="C910" s="11"/>
      <c r="D910" s="11"/>
      <c r="E910" s="11"/>
      <c r="F910" s="11"/>
      <c r="G910" s="15" t="str">
        <f t="shared" si="42"/>
        <v/>
      </c>
      <c r="H910" s="13" t="str">
        <f t="shared" si="43"/>
        <v/>
      </c>
      <c r="I910" s="16" t="str">
        <f t="shared" si="44"/>
        <v/>
      </c>
      <c r="J910" s="11"/>
      <c r="K910" s="11"/>
      <c r="L910" s="11"/>
      <c r="M910" s="11"/>
      <c r="N910" s="11"/>
    </row>
    <row r="911" spans="1:14" ht="15.75" customHeight="1" x14ac:dyDescent="0.25">
      <c r="A911" s="11"/>
      <c r="B911" s="11"/>
      <c r="C911" s="11"/>
      <c r="D911" s="11"/>
      <c r="E911" s="11"/>
      <c r="F911" s="11"/>
      <c r="G911" s="15" t="str">
        <f t="shared" si="42"/>
        <v/>
      </c>
      <c r="H911" s="13" t="str">
        <f t="shared" si="43"/>
        <v/>
      </c>
      <c r="I911" s="16" t="str">
        <f t="shared" si="44"/>
        <v/>
      </c>
      <c r="J911" s="11"/>
      <c r="K911" s="11"/>
      <c r="L911" s="11"/>
      <c r="M911" s="11"/>
      <c r="N911" s="11"/>
    </row>
    <row r="912" spans="1:14" ht="15.75" customHeight="1" x14ac:dyDescent="0.25">
      <c r="A912" s="11"/>
      <c r="B912" s="11"/>
      <c r="C912" s="11"/>
      <c r="D912" s="11"/>
      <c r="E912" s="11"/>
      <c r="F912" s="11"/>
      <c r="G912" s="15" t="str">
        <f t="shared" si="42"/>
        <v/>
      </c>
      <c r="H912" s="13" t="str">
        <f t="shared" si="43"/>
        <v/>
      </c>
      <c r="I912" s="16" t="str">
        <f t="shared" si="44"/>
        <v/>
      </c>
      <c r="J912" s="11"/>
      <c r="K912" s="11"/>
      <c r="L912" s="11"/>
      <c r="M912" s="11"/>
      <c r="N912" s="11"/>
    </row>
    <row r="913" spans="1:14" ht="15.75" customHeight="1" x14ac:dyDescent="0.25">
      <c r="A913" s="11"/>
      <c r="B913" s="11"/>
      <c r="C913" s="11"/>
      <c r="D913" s="11"/>
      <c r="E913" s="11"/>
      <c r="F913" s="11"/>
      <c r="G913" s="15" t="str">
        <f t="shared" si="42"/>
        <v/>
      </c>
      <c r="H913" s="13" t="str">
        <f t="shared" si="43"/>
        <v/>
      </c>
      <c r="I913" s="16" t="str">
        <f t="shared" si="44"/>
        <v/>
      </c>
      <c r="J913" s="11"/>
      <c r="K913" s="11"/>
      <c r="L913" s="11"/>
      <c r="M913" s="11"/>
      <c r="N913" s="11"/>
    </row>
    <row r="914" spans="1:14" ht="15.75" customHeight="1" x14ac:dyDescent="0.25">
      <c r="A914" s="11"/>
      <c r="B914" s="11"/>
      <c r="C914" s="11"/>
      <c r="D914" s="11"/>
      <c r="E914" s="11"/>
      <c r="F914" s="11"/>
      <c r="G914" s="15" t="str">
        <f t="shared" si="42"/>
        <v/>
      </c>
      <c r="H914" s="13" t="str">
        <f t="shared" si="43"/>
        <v/>
      </c>
      <c r="I914" s="16" t="str">
        <f t="shared" si="44"/>
        <v/>
      </c>
      <c r="J914" s="11"/>
      <c r="K914" s="11"/>
      <c r="L914" s="11"/>
      <c r="M914" s="11"/>
      <c r="N914" s="11"/>
    </row>
    <row r="915" spans="1:14" ht="15.75" customHeight="1" x14ac:dyDescent="0.25">
      <c r="A915" s="11"/>
      <c r="B915" s="11"/>
      <c r="C915" s="11"/>
      <c r="D915" s="11"/>
      <c r="E915" s="11"/>
      <c r="F915" s="11"/>
      <c r="G915" s="15" t="str">
        <f t="shared" si="42"/>
        <v/>
      </c>
      <c r="H915" s="13" t="str">
        <f t="shared" si="43"/>
        <v/>
      </c>
      <c r="I915" s="16" t="str">
        <f t="shared" si="44"/>
        <v/>
      </c>
      <c r="J915" s="11"/>
      <c r="K915" s="11"/>
      <c r="L915" s="11"/>
      <c r="M915" s="11"/>
      <c r="N915" s="11"/>
    </row>
    <row r="916" spans="1:14" ht="15.75" customHeight="1" x14ac:dyDescent="0.25">
      <c r="A916" s="11"/>
      <c r="B916" s="11"/>
      <c r="C916" s="11"/>
      <c r="D916" s="11"/>
      <c r="E916" s="11"/>
      <c r="F916" s="11"/>
      <c r="G916" s="15" t="str">
        <f t="shared" si="42"/>
        <v/>
      </c>
      <c r="H916" s="13" t="str">
        <f t="shared" si="43"/>
        <v/>
      </c>
      <c r="I916" s="16" t="str">
        <f t="shared" si="44"/>
        <v/>
      </c>
      <c r="J916" s="11"/>
      <c r="K916" s="11"/>
      <c r="L916" s="11"/>
      <c r="M916" s="11"/>
      <c r="N916" s="11"/>
    </row>
    <row r="917" spans="1:14" ht="15.75" customHeight="1" x14ac:dyDescent="0.25">
      <c r="A917" s="11"/>
      <c r="B917" s="11"/>
      <c r="C917" s="11"/>
      <c r="D917" s="11"/>
      <c r="E917" s="11"/>
      <c r="F917" s="11"/>
      <c r="G917" s="15" t="str">
        <f t="shared" si="42"/>
        <v/>
      </c>
      <c r="H917" s="13" t="str">
        <f t="shared" si="43"/>
        <v/>
      </c>
      <c r="I917" s="16" t="str">
        <f t="shared" si="44"/>
        <v/>
      </c>
      <c r="J917" s="11"/>
      <c r="K917" s="11"/>
      <c r="L917" s="11"/>
      <c r="M917" s="11"/>
      <c r="N917" s="11"/>
    </row>
    <row r="918" spans="1:14" ht="15.75" customHeight="1" x14ac:dyDescent="0.25">
      <c r="A918" s="11"/>
      <c r="B918" s="11"/>
      <c r="C918" s="11"/>
      <c r="D918" s="11"/>
      <c r="E918" s="11"/>
      <c r="F918" s="11"/>
      <c r="G918" s="15" t="str">
        <f t="shared" si="42"/>
        <v/>
      </c>
      <c r="H918" s="13" t="str">
        <f t="shared" si="43"/>
        <v/>
      </c>
      <c r="I918" s="16" t="str">
        <f t="shared" si="44"/>
        <v/>
      </c>
      <c r="J918" s="11"/>
      <c r="K918" s="11"/>
      <c r="L918" s="11"/>
      <c r="M918" s="11"/>
      <c r="N918" s="11"/>
    </row>
    <row r="919" spans="1:14" ht="15.75" customHeight="1" x14ac:dyDescent="0.25">
      <c r="A919" s="11"/>
      <c r="B919" s="11"/>
      <c r="C919" s="11"/>
      <c r="D919" s="11"/>
      <c r="E919" s="11"/>
      <c r="F919" s="11"/>
      <c r="G919" s="15" t="str">
        <f t="shared" si="42"/>
        <v/>
      </c>
      <c r="H919" s="13" t="str">
        <f t="shared" si="43"/>
        <v/>
      </c>
      <c r="I919" s="16" t="str">
        <f t="shared" si="44"/>
        <v/>
      </c>
      <c r="J919" s="11"/>
      <c r="K919" s="11"/>
      <c r="L919" s="11"/>
      <c r="M919" s="11"/>
      <c r="N919" s="11"/>
    </row>
    <row r="920" spans="1:14" ht="15.75" customHeight="1" x14ac:dyDescent="0.25">
      <c r="A920" s="11"/>
      <c r="B920" s="11"/>
      <c r="C920" s="11"/>
      <c r="D920" s="11"/>
      <c r="E920" s="11"/>
      <c r="F920" s="11"/>
      <c r="G920" s="15" t="str">
        <f t="shared" si="42"/>
        <v/>
      </c>
      <c r="H920" s="13" t="str">
        <f t="shared" si="43"/>
        <v/>
      </c>
      <c r="I920" s="16" t="str">
        <f t="shared" si="44"/>
        <v/>
      </c>
      <c r="J920" s="11"/>
      <c r="K920" s="11"/>
      <c r="L920" s="11"/>
      <c r="M920" s="11"/>
      <c r="N920" s="11"/>
    </row>
    <row r="921" spans="1:14" ht="15.75" customHeight="1" x14ac:dyDescent="0.25">
      <c r="A921" s="11"/>
      <c r="B921" s="11"/>
      <c r="C921" s="11"/>
      <c r="D921" s="11"/>
      <c r="E921" s="11"/>
      <c r="F921" s="11"/>
      <c r="G921" s="15" t="str">
        <f t="shared" si="42"/>
        <v/>
      </c>
      <c r="H921" s="13" t="str">
        <f t="shared" si="43"/>
        <v/>
      </c>
      <c r="I921" s="16" t="str">
        <f t="shared" si="44"/>
        <v/>
      </c>
      <c r="J921" s="11"/>
      <c r="K921" s="11"/>
      <c r="L921" s="11"/>
      <c r="M921" s="11"/>
      <c r="N921" s="11"/>
    </row>
    <row r="922" spans="1:14" ht="15.75" customHeight="1" x14ac:dyDescent="0.25">
      <c r="A922" s="11"/>
      <c r="B922" s="11"/>
      <c r="C922" s="11"/>
      <c r="D922" s="11"/>
      <c r="E922" s="11"/>
      <c r="F922" s="11"/>
      <c r="G922" s="15" t="str">
        <f t="shared" si="42"/>
        <v/>
      </c>
      <c r="H922" s="13" t="str">
        <f t="shared" si="43"/>
        <v/>
      </c>
      <c r="I922" s="16" t="str">
        <f t="shared" si="44"/>
        <v/>
      </c>
      <c r="J922" s="11"/>
      <c r="K922" s="11"/>
      <c r="L922" s="11"/>
      <c r="M922" s="11"/>
      <c r="N922" s="11"/>
    </row>
    <row r="923" spans="1:14" ht="15.75" customHeight="1" x14ac:dyDescent="0.25">
      <c r="A923" s="11"/>
      <c r="B923" s="11"/>
      <c r="C923" s="11"/>
      <c r="D923" s="11"/>
      <c r="E923" s="11"/>
      <c r="F923" s="11"/>
      <c r="G923" s="15" t="str">
        <f t="shared" si="42"/>
        <v/>
      </c>
      <c r="H923" s="13" t="str">
        <f t="shared" si="43"/>
        <v/>
      </c>
      <c r="I923" s="16" t="str">
        <f t="shared" si="44"/>
        <v/>
      </c>
      <c r="J923" s="11"/>
      <c r="K923" s="11"/>
      <c r="L923" s="11"/>
      <c r="M923" s="11"/>
      <c r="N923" s="11"/>
    </row>
    <row r="924" spans="1:14" ht="15.75" customHeight="1" x14ac:dyDescent="0.25">
      <c r="A924" s="11"/>
      <c r="B924" s="11"/>
      <c r="C924" s="11"/>
      <c r="D924" s="11"/>
      <c r="E924" s="11"/>
      <c r="F924" s="11"/>
      <c r="G924" s="15" t="str">
        <f t="shared" si="42"/>
        <v/>
      </c>
      <c r="H924" s="13" t="str">
        <f t="shared" si="43"/>
        <v/>
      </c>
      <c r="I924" s="16" t="str">
        <f t="shared" si="44"/>
        <v/>
      </c>
      <c r="J924" s="11"/>
      <c r="K924" s="11"/>
      <c r="L924" s="11"/>
      <c r="M924" s="11"/>
      <c r="N924" s="11"/>
    </row>
    <row r="925" spans="1:14" ht="15.75" customHeight="1" x14ac:dyDescent="0.25">
      <c r="A925" s="11"/>
      <c r="B925" s="11"/>
      <c r="C925" s="11"/>
      <c r="D925" s="11"/>
      <c r="E925" s="11"/>
      <c r="F925" s="11"/>
      <c r="G925" s="15" t="str">
        <f t="shared" si="42"/>
        <v/>
      </c>
      <c r="H925" s="13" t="str">
        <f t="shared" si="43"/>
        <v/>
      </c>
      <c r="I925" s="16" t="str">
        <f t="shared" si="44"/>
        <v/>
      </c>
      <c r="J925" s="11"/>
      <c r="K925" s="11"/>
      <c r="L925" s="11"/>
      <c r="M925" s="11"/>
      <c r="N925" s="11"/>
    </row>
    <row r="926" spans="1:14" ht="15.75" customHeight="1" x14ac:dyDescent="0.25">
      <c r="A926" s="11"/>
      <c r="B926" s="11"/>
      <c r="C926" s="11"/>
      <c r="D926" s="11"/>
      <c r="E926" s="11"/>
      <c r="F926" s="11"/>
      <c r="G926" s="15" t="str">
        <f t="shared" si="42"/>
        <v/>
      </c>
      <c r="H926" s="13" t="str">
        <f t="shared" si="43"/>
        <v/>
      </c>
      <c r="I926" s="16" t="str">
        <f t="shared" si="44"/>
        <v/>
      </c>
      <c r="J926" s="11"/>
      <c r="K926" s="11"/>
      <c r="L926" s="11"/>
      <c r="M926" s="11"/>
      <c r="N926" s="11"/>
    </row>
    <row r="927" spans="1:14" ht="15.75" customHeight="1" x14ac:dyDescent="0.25">
      <c r="A927" s="11"/>
      <c r="B927" s="11"/>
      <c r="C927" s="11"/>
      <c r="D927" s="11"/>
      <c r="E927" s="11"/>
      <c r="F927" s="11"/>
      <c r="G927" s="15" t="str">
        <f t="shared" si="42"/>
        <v/>
      </c>
      <c r="H927" s="13" t="str">
        <f t="shared" si="43"/>
        <v/>
      </c>
      <c r="I927" s="16" t="str">
        <f t="shared" si="44"/>
        <v/>
      </c>
      <c r="J927" s="11"/>
      <c r="K927" s="11"/>
      <c r="L927" s="11"/>
      <c r="M927" s="11"/>
      <c r="N927" s="11"/>
    </row>
    <row r="928" spans="1:14" ht="15.75" customHeight="1" x14ac:dyDescent="0.25">
      <c r="A928" s="11"/>
      <c r="B928" s="11"/>
      <c r="C928" s="11"/>
      <c r="D928" s="11"/>
      <c r="E928" s="11"/>
      <c r="F928" s="11"/>
      <c r="G928" s="15" t="str">
        <f t="shared" si="42"/>
        <v/>
      </c>
      <c r="H928" s="13" t="str">
        <f t="shared" si="43"/>
        <v/>
      </c>
      <c r="I928" s="16" t="str">
        <f t="shared" si="44"/>
        <v/>
      </c>
      <c r="J928" s="11"/>
      <c r="K928" s="11"/>
      <c r="L928" s="11"/>
      <c r="M928" s="11"/>
      <c r="N928" s="11"/>
    </row>
    <row r="929" spans="1:14" ht="15.75" customHeight="1" x14ac:dyDescent="0.25">
      <c r="A929" s="11"/>
      <c r="B929" s="11"/>
      <c r="C929" s="11"/>
      <c r="D929" s="11"/>
      <c r="E929" s="11"/>
      <c r="F929" s="11"/>
      <c r="G929" s="15" t="str">
        <f t="shared" si="42"/>
        <v/>
      </c>
      <c r="H929" s="13" t="str">
        <f t="shared" si="43"/>
        <v/>
      </c>
      <c r="I929" s="16" t="str">
        <f t="shared" si="44"/>
        <v/>
      </c>
      <c r="J929" s="11"/>
      <c r="K929" s="11"/>
      <c r="L929" s="11"/>
      <c r="M929" s="11"/>
      <c r="N929" s="11"/>
    </row>
    <row r="930" spans="1:14" ht="15.75" customHeight="1" x14ac:dyDescent="0.25">
      <c r="A930" s="11"/>
      <c r="B930" s="11"/>
      <c r="C930" s="11"/>
      <c r="D930" s="11"/>
      <c r="E930" s="11"/>
      <c r="F930" s="11"/>
      <c r="G930" s="15" t="str">
        <f t="shared" si="42"/>
        <v/>
      </c>
      <c r="H930" s="13" t="str">
        <f t="shared" si="43"/>
        <v/>
      </c>
      <c r="I930" s="16" t="str">
        <f t="shared" si="44"/>
        <v/>
      </c>
      <c r="J930" s="11"/>
      <c r="K930" s="11"/>
      <c r="L930" s="11"/>
      <c r="M930" s="11"/>
      <c r="N930" s="11"/>
    </row>
    <row r="931" spans="1:14" ht="15.75" customHeight="1" x14ac:dyDescent="0.25">
      <c r="A931" s="11"/>
      <c r="B931" s="11"/>
      <c r="C931" s="11"/>
      <c r="D931" s="11"/>
      <c r="E931" s="11"/>
      <c r="F931" s="11"/>
      <c r="G931" s="15" t="str">
        <f t="shared" si="42"/>
        <v/>
      </c>
      <c r="H931" s="13" t="str">
        <f t="shared" si="43"/>
        <v/>
      </c>
      <c r="I931" s="16" t="str">
        <f t="shared" si="44"/>
        <v/>
      </c>
      <c r="J931" s="11"/>
      <c r="K931" s="11"/>
      <c r="L931" s="11"/>
      <c r="M931" s="11"/>
      <c r="N931" s="11"/>
    </row>
    <row r="932" spans="1:14" ht="15.75" customHeight="1" x14ac:dyDescent="0.25">
      <c r="A932" s="11"/>
      <c r="B932" s="11"/>
      <c r="C932" s="11"/>
      <c r="D932" s="11"/>
      <c r="E932" s="11"/>
      <c r="F932" s="11"/>
      <c r="G932" s="15" t="str">
        <f t="shared" si="42"/>
        <v/>
      </c>
      <c r="H932" s="13" t="str">
        <f t="shared" si="43"/>
        <v/>
      </c>
      <c r="I932" s="16" t="str">
        <f t="shared" si="44"/>
        <v/>
      </c>
      <c r="J932" s="11"/>
      <c r="K932" s="11"/>
      <c r="L932" s="11"/>
      <c r="M932" s="11"/>
      <c r="N932" s="11"/>
    </row>
    <row r="933" spans="1:14" ht="15.75" customHeight="1" x14ac:dyDescent="0.25">
      <c r="A933" s="11"/>
      <c r="B933" s="11"/>
      <c r="C933" s="11"/>
      <c r="D933" s="11"/>
      <c r="E933" s="11"/>
      <c r="F933" s="11"/>
      <c r="G933" s="15" t="str">
        <f t="shared" si="42"/>
        <v/>
      </c>
      <c r="H933" s="13" t="str">
        <f t="shared" si="43"/>
        <v/>
      </c>
      <c r="I933" s="16" t="str">
        <f t="shared" si="44"/>
        <v/>
      </c>
      <c r="J933" s="11"/>
      <c r="K933" s="11"/>
      <c r="L933" s="11"/>
      <c r="M933" s="11"/>
      <c r="N933" s="11"/>
    </row>
    <row r="934" spans="1:14" ht="15.75" customHeight="1" x14ac:dyDescent="0.25">
      <c r="A934" s="11"/>
      <c r="B934" s="11"/>
      <c r="C934" s="11"/>
      <c r="D934" s="11"/>
      <c r="E934" s="11"/>
      <c r="F934" s="11"/>
      <c r="G934" s="15" t="str">
        <f t="shared" si="42"/>
        <v/>
      </c>
      <c r="H934" s="13" t="str">
        <f t="shared" si="43"/>
        <v/>
      </c>
      <c r="I934" s="16" t="str">
        <f t="shared" si="44"/>
        <v/>
      </c>
      <c r="J934" s="11"/>
      <c r="K934" s="11"/>
      <c r="L934" s="11"/>
      <c r="M934" s="11"/>
      <c r="N934" s="11"/>
    </row>
    <row r="935" spans="1:14" ht="15.75" customHeight="1" x14ac:dyDescent="0.25">
      <c r="A935" s="11"/>
      <c r="B935" s="11"/>
      <c r="C935" s="11"/>
      <c r="D935" s="11"/>
      <c r="E935" s="11"/>
      <c r="F935" s="11"/>
      <c r="G935" s="15" t="str">
        <f t="shared" si="42"/>
        <v/>
      </c>
      <c r="H935" s="13" t="str">
        <f t="shared" si="43"/>
        <v/>
      </c>
      <c r="I935" s="16" t="str">
        <f t="shared" si="44"/>
        <v/>
      </c>
      <c r="J935" s="11"/>
      <c r="K935" s="11"/>
      <c r="L935" s="11"/>
      <c r="M935" s="11"/>
      <c r="N935" s="11"/>
    </row>
    <row r="936" spans="1:14" ht="15.75" customHeight="1" x14ac:dyDescent="0.25">
      <c r="A936" s="11"/>
      <c r="B936" s="11"/>
      <c r="C936" s="11"/>
      <c r="D936" s="11"/>
      <c r="E936" s="11"/>
      <c r="F936" s="11"/>
      <c r="G936" s="15" t="str">
        <f t="shared" si="42"/>
        <v/>
      </c>
      <c r="H936" s="13" t="str">
        <f t="shared" si="43"/>
        <v/>
      </c>
      <c r="I936" s="16" t="str">
        <f t="shared" si="44"/>
        <v/>
      </c>
      <c r="J936" s="11"/>
      <c r="K936" s="11"/>
      <c r="L936" s="11"/>
      <c r="M936" s="11"/>
      <c r="N936" s="11"/>
    </row>
    <row r="937" spans="1:14" ht="15.75" customHeight="1" x14ac:dyDescent="0.25">
      <c r="A937" s="11"/>
      <c r="B937" s="11"/>
      <c r="C937" s="11"/>
      <c r="D937" s="11"/>
      <c r="E937" s="11"/>
      <c r="F937" s="11"/>
      <c r="G937" s="15" t="str">
        <f t="shared" si="42"/>
        <v/>
      </c>
      <c r="H937" s="13" t="str">
        <f t="shared" si="43"/>
        <v/>
      </c>
      <c r="I937" s="16" t="str">
        <f t="shared" si="44"/>
        <v/>
      </c>
      <c r="J937" s="11"/>
      <c r="K937" s="11"/>
      <c r="L937" s="11"/>
      <c r="M937" s="11"/>
      <c r="N937" s="11"/>
    </row>
    <row r="938" spans="1:14" ht="15.75" customHeight="1" x14ac:dyDescent="0.25">
      <c r="A938" s="11"/>
      <c r="B938" s="11"/>
      <c r="C938" s="11"/>
      <c r="D938" s="11"/>
      <c r="E938" s="11"/>
      <c r="F938" s="11"/>
      <c r="G938" s="15" t="str">
        <f t="shared" si="42"/>
        <v/>
      </c>
      <c r="H938" s="13" t="str">
        <f t="shared" si="43"/>
        <v/>
      </c>
      <c r="I938" s="16" t="str">
        <f t="shared" si="44"/>
        <v/>
      </c>
      <c r="J938" s="11"/>
      <c r="K938" s="11"/>
      <c r="L938" s="11"/>
      <c r="M938" s="11"/>
      <c r="N938" s="11"/>
    </row>
    <row r="939" spans="1:14" ht="15.75" customHeight="1" x14ac:dyDescent="0.25">
      <c r="A939" s="11"/>
      <c r="B939" s="11"/>
      <c r="C939" s="11"/>
      <c r="D939" s="11"/>
      <c r="E939" s="11"/>
      <c r="F939" s="11"/>
      <c r="G939" s="15" t="str">
        <f t="shared" si="42"/>
        <v/>
      </c>
      <c r="H939" s="13" t="str">
        <f t="shared" si="43"/>
        <v/>
      </c>
      <c r="I939" s="16" t="str">
        <f t="shared" si="44"/>
        <v/>
      </c>
      <c r="J939" s="11"/>
      <c r="K939" s="11"/>
      <c r="L939" s="11"/>
      <c r="M939" s="11"/>
      <c r="N939" s="11"/>
    </row>
    <row r="940" spans="1:14" ht="15.75" customHeight="1" x14ac:dyDescent="0.25">
      <c r="A940" s="11"/>
      <c r="B940" s="11"/>
      <c r="C940" s="11"/>
      <c r="D940" s="11"/>
      <c r="E940" s="11"/>
      <c r="F940" s="11"/>
      <c r="G940" s="15" t="str">
        <f t="shared" si="42"/>
        <v/>
      </c>
      <c r="H940" s="13" t="str">
        <f t="shared" si="43"/>
        <v/>
      </c>
      <c r="I940" s="16" t="str">
        <f t="shared" si="44"/>
        <v/>
      </c>
      <c r="J940" s="11"/>
      <c r="K940" s="11"/>
      <c r="L940" s="11"/>
      <c r="M940" s="11"/>
      <c r="N940" s="11"/>
    </row>
    <row r="941" spans="1:14" ht="15.75" customHeight="1" x14ac:dyDescent="0.25">
      <c r="A941" s="11"/>
      <c r="B941" s="11"/>
      <c r="C941" s="11"/>
      <c r="D941" s="11"/>
      <c r="E941" s="11"/>
      <c r="F941" s="11"/>
      <c r="G941" s="15" t="str">
        <f t="shared" si="42"/>
        <v/>
      </c>
      <c r="H941" s="13" t="str">
        <f t="shared" si="43"/>
        <v/>
      </c>
      <c r="I941" s="16" t="str">
        <f t="shared" si="44"/>
        <v/>
      </c>
      <c r="J941" s="11"/>
      <c r="K941" s="11"/>
      <c r="L941" s="11"/>
      <c r="M941" s="11"/>
      <c r="N941" s="11"/>
    </row>
    <row r="942" spans="1:14" ht="15.75" customHeight="1" x14ac:dyDescent="0.25">
      <c r="A942" s="11"/>
      <c r="B942" s="11"/>
      <c r="C942" s="11"/>
      <c r="D942" s="11"/>
      <c r="E942" s="11"/>
      <c r="F942" s="11"/>
      <c r="G942" s="15" t="str">
        <f t="shared" si="42"/>
        <v/>
      </c>
      <c r="H942" s="13" t="str">
        <f t="shared" si="43"/>
        <v/>
      </c>
      <c r="I942" s="16" t="str">
        <f t="shared" si="44"/>
        <v/>
      </c>
      <c r="J942" s="11"/>
      <c r="K942" s="11"/>
      <c r="L942" s="11"/>
      <c r="M942" s="11"/>
      <c r="N942" s="11"/>
    </row>
    <row r="943" spans="1:14" ht="15.75" customHeight="1" x14ac:dyDescent="0.25">
      <c r="A943" s="11"/>
      <c r="B943" s="11"/>
      <c r="C943" s="11"/>
      <c r="D943" s="11"/>
      <c r="E943" s="11"/>
      <c r="F943" s="11"/>
      <c r="G943" s="15" t="str">
        <f t="shared" si="42"/>
        <v/>
      </c>
      <c r="H943" s="13" t="str">
        <f t="shared" si="43"/>
        <v/>
      </c>
      <c r="I943" s="16" t="str">
        <f t="shared" si="44"/>
        <v/>
      </c>
      <c r="J943" s="11"/>
      <c r="K943" s="11"/>
      <c r="L943" s="11"/>
      <c r="M943" s="11"/>
      <c r="N943" s="11"/>
    </row>
    <row r="944" spans="1:14" ht="15.75" customHeight="1" x14ac:dyDescent="0.25">
      <c r="A944" s="11"/>
      <c r="B944" s="11"/>
      <c r="C944" s="11"/>
      <c r="D944" s="11"/>
      <c r="E944" s="11"/>
      <c r="F944" s="11"/>
      <c r="G944" s="15" t="str">
        <f t="shared" si="42"/>
        <v/>
      </c>
      <c r="H944" s="13" t="str">
        <f t="shared" si="43"/>
        <v/>
      </c>
      <c r="I944" s="16" t="str">
        <f t="shared" si="44"/>
        <v/>
      </c>
      <c r="J944" s="11"/>
      <c r="K944" s="11"/>
      <c r="L944" s="11"/>
      <c r="M944" s="11"/>
      <c r="N944" s="11"/>
    </row>
    <row r="945" spans="1:14" ht="15.75" customHeight="1" x14ac:dyDescent="0.25">
      <c r="A945" s="11"/>
      <c r="B945" s="11"/>
      <c r="C945" s="11"/>
      <c r="D945" s="11"/>
      <c r="E945" s="11"/>
      <c r="F945" s="11"/>
      <c r="G945" s="15" t="str">
        <f t="shared" si="42"/>
        <v/>
      </c>
      <c r="H945" s="13" t="str">
        <f t="shared" si="43"/>
        <v/>
      </c>
      <c r="I945" s="16" t="str">
        <f t="shared" si="44"/>
        <v/>
      </c>
      <c r="J945" s="11"/>
      <c r="K945" s="11"/>
      <c r="L945" s="11"/>
      <c r="M945" s="11"/>
      <c r="N945" s="11"/>
    </row>
    <row r="946" spans="1:14" ht="15.75" customHeight="1" x14ac:dyDescent="0.25">
      <c r="A946" s="11"/>
      <c r="B946" s="11"/>
      <c r="C946" s="11"/>
      <c r="D946" s="11"/>
      <c r="E946" s="11"/>
      <c r="F946" s="11"/>
      <c r="G946" s="15" t="str">
        <f t="shared" si="42"/>
        <v/>
      </c>
      <c r="H946" s="13" t="str">
        <f t="shared" si="43"/>
        <v/>
      </c>
      <c r="I946" s="16" t="str">
        <f t="shared" si="44"/>
        <v/>
      </c>
      <c r="J946" s="11"/>
      <c r="K946" s="11"/>
      <c r="L946" s="11"/>
      <c r="M946" s="11"/>
      <c r="N946" s="11"/>
    </row>
    <row r="947" spans="1:14" ht="15.75" customHeight="1" x14ac:dyDescent="0.25">
      <c r="A947" s="11"/>
      <c r="B947" s="11"/>
      <c r="C947" s="11"/>
      <c r="D947" s="11"/>
      <c r="E947" s="11"/>
      <c r="F947" s="11"/>
      <c r="G947" s="15" t="str">
        <f t="shared" si="42"/>
        <v/>
      </c>
      <c r="H947" s="13" t="str">
        <f t="shared" si="43"/>
        <v/>
      </c>
      <c r="I947" s="16" t="str">
        <f t="shared" si="44"/>
        <v/>
      </c>
      <c r="J947" s="11"/>
      <c r="K947" s="11"/>
      <c r="L947" s="11"/>
      <c r="M947" s="11"/>
      <c r="N947" s="11"/>
    </row>
    <row r="948" spans="1:14" ht="15.75" customHeight="1" x14ac:dyDescent="0.25">
      <c r="A948" s="11"/>
      <c r="B948" s="11"/>
      <c r="C948" s="11"/>
      <c r="D948" s="11"/>
      <c r="E948" s="11"/>
      <c r="F948" s="11"/>
      <c r="G948" s="15" t="str">
        <f t="shared" si="42"/>
        <v/>
      </c>
      <c r="H948" s="13" t="str">
        <f t="shared" si="43"/>
        <v/>
      </c>
      <c r="I948" s="16" t="str">
        <f t="shared" si="44"/>
        <v/>
      </c>
      <c r="J948" s="11"/>
      <c r="K948" s="11"/>
      <c r="L948" s="11"/>
      <c r="M948" s="11"/>
      <c r="N948" s="11"/>
    </row>
    <row r="949" spans="1:14" ht="15.75" customHeight="1" x14ac:dyDescent="0.25">
      <c r="A949" s="11"/>
      <c r="B949" s="11"/>
      <c r="C949" s="11"/>
      <c r="D949" s="11"/>
      <c r="E949" s="11"/>
      <c r="F949" s="11"/>
      <c r="G949" s="15" t="str">
        <f t="shared" si="42"/>
        <v/>
      </c>
      <c r="H949" s="13" t="str">
        <f t="shared" si="43"/>
        <v/>
      </c>
      <c r="I949" s="16" t="str">
        <f t="shared" si="44"/>
        <v/>
      </c>
      <c r="J949" s="11"/>
      <c r="K949" s="11"/>
      <c r="L949" s="11"/>
      <c r="M949" s="11"/>
      <c r="N949" s="11"/>
    </row>
    <row r="950" spans="1:14" ht="15.75" customHeight="1" x14ac:dyDescent="0.25">
      <c r="A950" s="11"/>
      <c r="B950" s="11"/>
      <c r="C950" s="11"/>
      <c r="D950" s="11"/>
      <c r="E950" s="11"/>
      <c r="F950" s="11"/>
      <c r="G950" s="15" t="str">
        <f t="shared" si="42"/>
        <v/>
      </c>
      <c r="H950" s="13" t="str">
        <f t="shared" si="43"/>
        <v/>
      </c>
      <c r="I950" s="16" t="str">
        <f t="shared" si="44"/>
        <v/>
      </c>
      <c r="J950" s="11"/>
      <c r="K950" s="11"/>
      <c r="L950" s="11"/>
      <c r="M950" s="11"/>
      <c r="N950" s="11"/>
    </row>
    <row r="951" spans="1:14" ht="15.75" customHeight="1" x14ac:dyDescent="0.25">
      <c r="A951" s="11"/>
      <c r="B951" s="11"/>
      <c r="C951" s="11"/>
      <c r="D951" s="11"/>
      <c r="E951" s="11"/>
      <c r="F951" s="11"/>
      <c r="G951" s="15" t="str">
        <f t="shared" si="42"/>
        <v/>
      </c>
      <c r="H951" s="13" t="str">
        <f t="shared" si="43"/>
        <v/>
      </c>
      <c r="I951" s="16" t="str">
        <f t="shared" si="44"/>
        <v/>
      </c>
      <c r="J951" s="11"/>
      <c r="K951" s="11"/>
      <c r="L951" s="11"/>
      <c r="M951" s="11"/>
      <c r="N951" s="11"/>
    </row>
    <row r="952" spans="1:14" ht="15.75" customHeight="1" x14ac:dyDescent="0.25">
      <c r="A952" s="11"/>
      <c r="B952" s="11"/>
      <c r="C952" s="11"/>
      <c r="D952" s="11"/>
      <c r="E952" s="11"/>
      <c r="F952" s="11"/>
      <c r="G952" s="15" t="str">
        <f t="shared" si="42"/>
        <v/>
      </c>
      <c r="H952" s="13" t="str">
        <f t="shared" si="43"/>
        <v/>
      </c>
      <c r="I952" s="16" t="str">
        <f t="shared" si="44"/>
        <v/>
      </c>
      <c r="J952" s="11"/>
      <c r="K952" s="11"/>
      <c r="L952" s="11"/>
      <c r="M952" s="11"/>
      <c r="N952" s="11"/>
    </row>
    <row r="953" spans="1:14" ht="15.75" customHeight="1" x14ac:dyDescent="0.25">
      <c r="A953" s="11"/>
      <c r="B953" s="11"/>
      <c r="C953" s="11"/>
      <c r="D953" s="11"/>
      <c r="E953" s="11"/>
      <c r="F953" s="11"/>
      <c r="G953" s="15" t="str">
        <f t="shared" si="42"/>
        <v/>
      </c>
      <c r="H953" s="13" t="str">
        <f t="shared" si="43"/>
        <v/>
      </c>
      <c r="I953" s="16" t="str">
        <f t="shared" si="44"/>
        <v/>
      </c>
      <c r="J953" s="11"/>
      <c r="K953" s="11"/>
      <c r="L953" s="11"/>
      <c r="M953" s="11"/>
      <c r="N953" s="11"/>
    </row>
    <row r="954" spans="1:14" ht="15.75" customHeight="1" x14ac:dyDescent="0.25">
      <c r="A954" s="11"/>
      <c r="B954" s="11"/>
      <c r="C954" s="11"/>
      <c r="D954" s="11"/>
      <c r="E954" s="11"/>
      <c r="F954" s="11"/>
      <c r="G954" s="15" t="str">
        <f t="shared" si="42"/>
        <v/>
      </c>
      <c r="H954" s="13" t="str">
        <f t="shared" si="43"/>
        <v/>
      </c>
      <c r="I954" s="16" t="str">
        <f t="shared" si="44"/>
        <v/>
      </c>
      <c r="J954" s="11"/>
      <c r="K954" s="11"/>
      <c r="L954" s="11"/>
      <c r="M954" s="11"/>
      <c r="N954" s="11"/>
    </row>
    <row r="955" spans="1:14" ht="15.75" customHeight="1" x14ac:dyDescent="0.25">
      <c r="A955" s="11"/>
      <c r="B955" s="11"/>
      <c r="C955" s="11"/>
      <c r="D955" s="11"/>
      <c r="E955" s="11"/>
      <c r="F955" s="11"/>
      <c r="G955" s="15" t="str">
        <f t="shared" si="42"/>
        <v/>
      </c>
      <c r="H955" s="13" t="str">
        <f t="shared" si="43"/>
        <v/>
      </c>
      <c r="I955" s="16" t="str">
        <f t="shared" si="44"/>
        <v/>
      </c>
      <c r="J955" s="11"/>
      <c r="K955" s="11"/>
      <c r="L955" s="11"/>
      <c r="M955" s="11"/>
      <c r="N955" s="11"/>
    </row>
    <row r="956" spans="1:14" ht="15.75" customHeight="1" x14ac:dyDescent="0.25">
      <c r="A956" s="11"/>
      <c r="B956" s="11"/>
      <c r="C956" s="11"/>
      <c r="D956" s="11"/>
      <c r="E956" s="11"/>
      <c r="F956" s="11"/>
      <c r="G956" s="15" t="str">
        <f t="shared" si="42"/>
        <v/>
      </c>
      <c r="H956" s="13" t="str">
        <f t="shared" si="43"/>
        <v/>
      </c>
      <c r="I956" s="16" t="str">
        <f t="shared" si="44"/>
        <v/>
      </c>
      <c r="J956" s="11"/>
      <c r="K956" s="11"/>
      <c r="L956" s="11"/>
      <c r="M956" s="11"/>
      <c r="N956" s="11"/>
    </row>
    <row r="957" spans="1:14" ht="15.75" customHeight="1" x14ac:dyDescent="0.25">
      <c r="A957" s="11"/>
      <c r="B957" s="11"/>
      <c r="C957" s="11"/>
      <c r="D957" s="11"/>
      <c r="E957" s="11"/>
      <c r="F957" s="11"/>
      <c r="G957" s="15" t="str">
        <f t="shared" si="42"/>
        <v/>
      </c>
      <c r="H957" s="13" t="str">
        <f t="shared" si="43"/>
        <v/>
      </c>
      <c r="I957" s="16" t="str">
        <f t="shared" si="44"/>
        <v/>
      </c>
      <c r="J957" s="11"/>
      <c r="K957" s="11"/>
      <c r="L957" s="11"/>
      <c r="M957" s="11"/>
      <c r="N957" s="11"/>
    </row>
    <row r="958" spans="1:14" ht="15.75" customHeight="1" x14ac:dyDescent="0.25">
      <c r="A958" s="11"/>
      <c r="B958" s="11"/>
      <c r="C958" s="11"/>
      <c r="D958" s="11"/>
      <c r="E958" s="11"/>
      <c r="F958" s="11"/>
      <c r="G958" s="15" t="str">
        <f t="shared" si="42"/>
        <v/>
      </c>
      <c r="H958" s="13" t="str">
        <f t="shared" si="43"/>
        <v/>
      </c>
      <c r="I958" s="16" t="str">
        <f t="shared" si="44"/>
        <v/>
      </c>
      <c r="J958" s="11"/>
      <c r="K958" s="11"/>
      <c r="L958" s="11"/>
      <c r="M958" s="11"/>
      <c r="N958" s="11"/>
    </row>
    <row r="959" spans="1:14" ht="15.75" customHeight="1" x14ac:dyDescent="0.25">
      <c r="A959" s="11"/>
      <c r="B959" s="11"/>
      <c r="C959" s="11"/>
      <c r="D959" s="11"/>
      <c r="E959" s="11"/>
      <c r="F959" s="11"/>
      <c r="G959" s="15" t="str">
        <f t="shared" si="42"/>
        <v/>
      </c>
      <c r="H959" s="13" t="str">
        <f t="shared" si="43"/>
        <v/>
      </c>
      <c r="I959" s="16" t="str">
        <f t="shared" si="44"/>
        <v/>
      </c>
      <c r="J959" s="11"/>
      <c r="K959" s="11"/>
      <c r="L959" s="11"/>
      <c r="M959" s="11"/>
      <c r="N959" s="11"/>
    </row>
    <row r="960" spans="1:14" ht="15.75" customHeight="1" x14ac:dyDescent="0.25">
      <c r="A960" s="11"/>
      <c r="B960" s="11"/>
      <c r="C960" s="11"/>
      <c r="D960" s="11"/>
      <c r="E960" s="11"/>
      <c r="F960" s="11"/>
      <c r="G960" s="15" t="str">
        <f t="shared" si="42"/>
        <v/>
      </c>
      <c r="H960" s="13" t="str">
        <f t="shared" si="43"/>
        <v/>
      </c>
      <c r="I960" s="16" t="str">
        <f t="shared" si="44"/>
        <v/>
      </c>
      <c r="J960" s="11"/>
      <c r="K960" s="11"/>
      <c r="L960" s="11"/>
      <c r="M960" s="11"/>
      <c r="N960" s="11"/>
    </row>
    <row r="961" spans="1:14" ht="15.75" customHeight="1" x14ac:dyDescent="0.25">
      <c r="A961" s="11"/>
      <c r="B961" s="11"/>
      <c r="C961" s="11"/>
      <c r="D961" s="11"/>
      <c r="E961" s="11"/>
      <c r="F961" s="11"/>
      <c r="G961" s="15" t="str">
        <f t="shared" si="42"/>
        <v/>
      </c>
      <c r="H961" s="13" t="str">
        <f t="shared" si="43"/>
        <v/>
      </c>
      <c r="I961" s="16" t="str">
        <f t="shared" si="44"/>
        <v/>
      </c>
      <c r="J961" s="11"/>
      <c r="K961" s="11"/>
      <c r="L961" s="11"/>
      <c r="M961" s="11"/>
      <c r="N961" s="11"/>
    </row>
    <row r="962" spans="1:14" ht="15.75" customHeight="1" x14ac:dyDescent="0.25">
      <c r="A962" s="11"/>
      <c r="B962" s="11"/>
      <c r="C962" s="11"/>
      <c r="D962" s="11"/>
      <c r="E962" s="11"/>
      <c r="F962" s="11"/>
      <c r="G962" s="15" t="str">
        <f t="shared" si="42"/>
        <v/>
      </c>
      <c r="H962" s="13" t="str">
        <f t="shared" si="43"/>
        <v/>
      </c>
      <c r="I962" s="16" t="str">
        <f t="shared" si="44"/>
        <v/>
      </c>
      <c r="J962" s="11"/>
      <c r="K962" s="11"/>
      <c r="L962" s="11"/>
      <c r="M962" s="11"/>
      <c r="N962" s="11"/>
    </row>
    <row r="963" spans="1:14" ht="15.75" customHeight="1" x14ac:dyDescent="0.25">
      <c r="A963" s="11"/>
      <c r="B963" s="11"/>
      <c r="C963" s="11"/>
      <c r="D963" s="11"/>
      <c r="E963" s="11"/>
      <c r="F963" s="11"/>
      <c r="G963" s="15" t="str">
        <f t="shared" si="42"/>
        <v/>
      </c>
      <c r="H963" s="13" t="str">
        <f t="shared" si="43"/>
        <v/>
      </c>
      <c r="I963" s="16" t="str">
        <f t="shared" si="44"/>
        <v/>
      </c>
      <c r="J963" s="11"/>
      <c r="K963" s="11"/>
      <c r="L963" s="11"/>
      <c r="M963" s="11"/>
      <c r="N963" s="11"/>
    </row>
    <row r="964" spans="1:14" ht="15.75" customHeight="1" x14ac:dyDescent="0.25">
      <c r="A964" s="11"/>
      <c r="B964" s="11"/>
      <c r="C964" s="11"/>
      <c r="D964" s="11"/>
      <c r="E964" s="11"/>
      <c r="F964" s="11"/>
      <c r="G964" s="15" t="str">
        <f t="shared" ref="G964:G1027" si="45">IF(E964="","",IF(OR(E964="Withdrawal",E964="Loan Disbursement"),F964,0))</f>
        <v/>
      </c>
      <c r="H964" s="13" t="str">
        <f t="shared" ref="H964:H1003" si="46">IF(E964="","",IF(OR(E964="Savings Deposit",E964="Loan Repayment"),F964,0))</f>
        <v/>
      </c>
      <c r="I964" s="16" t="str">
        <f t="shared" si="44"/>
        <v/>
      </c>
      <c r="J964" s="11"/>
      <c r="K964" s="11"/>
      <c r="L964" s="11"/>
      <c r="M964" s="11"/>
      <c r="N964" s="11"/>
    </row>
    <row r="965" spans="1:14" ht="15.75" customHeight="1" x14ac:dyDescent="0.25">
      <c r="A965" s="11"/>
      <c r="B965" s="11"/>
      <c r="C965" s="11"/>
      <c r="D965" s="11"/>
      <c r="E965" s="11"/>
      <c r="F965" s="11"/>
      <c r="G965" s="15" t="str">
        <f t="shared" si="45"/>
        <v/>
      </c>
      <c r="H965" s="13" t="str">
        <f t="shared" si="46"/>
        <v/>
      </c>
      <c r="I965" s="16" t="str">
        <f t="shared" ref="I965:I1028" si="47">IF(A965="","",I964+H965-G965)</f>
        <v/>
      </c>
      <c r="J965" s="11"/>
      <c r="K965" s="11"/>
      <c r="L965" s="11"/>
      <c r="M965" s="11"/>
      <c r="N965" s="11"/>
    </row>
    <row r="966" spans="1:14" ht="15.75" customHeight="1" x14ac:dyDescent="0.25">
      <c r="A966" s="11"/>
      <c r="B966" s="11"/>
      <c r="C966" s="11"/>
      <c r="D966" s="11"/>
      <c r="E966" s="11"/>
      <c r="F966" s="11"/>
      <c r="G966" s="15" t="str">
        <f t="shared" si="45"/>
        <v/>
      </c>
      <c r="H966" s="13" t="str">
        <f t="shared" si="46"/>
        <v/>
      </c>
      <c r="I966" s="16" t="str">
        <f t="shared" si="47"/>
        <v/>
      </c>
      <c r="J966" s="11"/>
      <c r="K966" s="11"/>
      <c r="L966" s="11"/>
      <c r="M966" s="11"/>
      <c r="N966" s="11"/>
    </row>
    <row r="967" spans="1:14" ht="15.75" customHeight="1" x14ac:dyDescent="0.25">
      <c r="A967" s="11"/>
      <c r="B967" s="11"/>
      <c r="C967" s="11"/>
      <c r="D967" s="11"/>
      <c r="E967" s="11"/>
      <c r="F967" s="11"/>
      <c r="G967" s="15" t="str">
        <f t="shared" si="45"/>
        <v/>
      </c>
      <c r="H967" s="13" t="str">
        <f t="shared" si="46"/>
        <v/>
      </c>
      <c r="I967" s="16" t="str">
        <f t="shared" si="47"/>
        <v/>
      </c>
      <c r="J967" s="11"/>
      <c r="K967" s="11"/>
      <c r="L967" s="11"/>
      <c r="M967" s="11"/>
      <c r="N967" s="11"/>
    </row>
    <row r="968" spans="1:14" ht="15.75" customHeight="1" x14ac:dyDescent="0.25">
      <c r="A968" s="11"/>
      <c r="B968" s="11"/>
      <c r="C968" s="11"/>
      <c r="D968" s="11"/>
      <c r="E968" s="11"/>
      <c r="F968" s="11"/>
      <c r="G968" s="15" t="str">
        <f t="shared" si="45"/>
        <v/>
      </c>
      <c r="H968" s="13" t="str">
        <f t="shared" si="46"/>
        <v/>
      </c>
      <c r="I968" s="16" t="str">
        <f t="shared" si="47"/>
        <v/>
      </c>
      <c r="J968" s="11"/>
      <c r="K968" s="11"/>
      <c r="L968" s="11"/>
      <c r="M968" s="11"/>
      <c r="N968" s="11"/>
    </row>
    <row r="969" spans="1:14" ht="15.75" customHeight="1" x14ac:dyDescent="0.25">
      <c r="A969" s="11"/>
      <c r="B969" s="11"/>
      <c r="C969" s="11"/>
      <c r="D969" s="11"/>
      <c r="E969" s="11"/>
      <c r="F969" s="11"/>
      <c r="G969" s="15" t="str">
        <f t="shared" si="45"/>
        <v/>
      </c>
      <c r="H969" s="13" t="str">
        <f t="shared" si="46"/>
        <v/>
      </c>
      <c r="I969" s="16" t="str">
        <f t="shared" si="47"/>
        <v/>
      </c>
      <c r="J969" s="11"/>
      <c r="K969" s="11"/>
      <c r="L969" s="11"/>
      <c r="M969" s="11"/>
      <c r="N969" s="11"/>
    </row>
    <row r="970" spans="1:14" ht="15.75" customHeight="1" x14ac:dyDescent="0.25">
      <c r="A970" s="11"/>
      <c r="B970" s="11"/>
      <c r="C970" s="11"/>
      <c r="D970" s="11"/>
      <c r="E970" s="11"/>
      <c r="F970" s="11"/>
      <c r="G970" s="15" t="str">
        <f t="shared" si="45"/>
        <v/>
      </c>
      <c r="H970" s="13" t="str">
        <f t="shared" si="46"/>
        <v/>
      </c>
      <c r="I970" s="16" t="str">
        <f t="shared" si="47"/>
        <v/>
      </c>
      <c r="J970" s="11"/>
      <c r="K970" s="11"/>
      <c r="L970" s="11"/>
      <c r="M970" s="11"/>
      <c r="N970" s="11"/>
    </row>
    <row r="971" spans="1:14" ht="15.75" customHeight="1" x14ac:dyDescent="0.25">
      <c r="A971" s="11"/>
      <c r="B971" s="11"/>
      <c r="C971" s="11"/>
      <c r="D971" s="11"/>
      <c r="E971" s="11"/>
      <c r="F971" s="11"/>
      <c r="G971" s="15" t="str">
        <f t="shared" si="45"/>
        <v/>
      </c>
      <c r="H971" s="13" t="str">
        <f t="shared" si="46"/>
        <v/>
      </c>
      <c r="I971" s="16" t="str">
        <f t="shared" si="47"/>
        <v/>
      </c>
      <c r="J971" s="11"/>
      <c r="K971" s="11"/>
      <c r="L971" s="11"/>
      <c r="M971" s="11"/>
      <c r="N971" s="11"/>
    </row>
    <row r="972" spans="1:14" ht="15.75" customHeight="1" x14ac:dyDescent="0.25">
      <c r="A972" s="11"/>
      <c r="B972" s="11"/>
      <c r="C972" s="11"/>
      <c r="D972" s="11"/>
      <c r="E972" s="11"/>
      <c r="F972" s="11"/>
      <c r="G972" s="15" t="str">
        <f t="shared" si="45"/>
        <v/>
      </c>
      <c r="H972" s="13" t="str">
        <f t="shared" si="46"/>
        <v/>
      </c>
      <c r="I972" s="16" t="str">
        <f t="shared" si="47"/>
        <v/>
      </c>
      <c r="J972" s="11"/>
      <c r="K972" s="11"/>
      <c r="L972" s="11"/>
      <c r="M972" s="11"/>
      <c r="N972" s="11"/>
    </row>
    <row r="973" spans="1:14" ht="15.75" customHeight="1" x14ac:dyDescent="0.25">
      <c r="A973" s="11"/>
      <c r="B973" s="11"/>
      <c r="C973" s="11"/>
      <c r="D973" s="11"/>
      <c r="E973" s="11"/>
      <c r="F973" s="11"/>
      <c r="G973" s="15" t="str">
        <f t="shared" si="45"/>
        <v/>
      </c>
      <c r="H973" s="13" t="str">
        <f t="shared" si="46"/>
        <v/>
      </c>
      <c r="I973" s="16" t="str">
        <f t="shared" si="47"/>
        <v/>
      </c>
      <c r="J973" s="11"/>
      <c r="K973" s="11"/>
      <c r="L973" s="11"/>
      <c r="M973" s="11"/>
      <c r="N973" s="11"/>
    </row>
    <row r="974" spans="1:14" ht="15.75" customHeight="1" x14ac:dyDescent="0.25">
      <c r="A974" s="11"/>
      <c r="B974" s="11"/>
      <c r="C974" s="11"/>
      <c r="D974" s="11"/>
      <c r="E974" s="11"/>
      <c r="F974" s="11"/>
      <c r="G974" s="15" t="str">
        <f t="shared" si="45"/>
        <v/>
      </c>
      <c r="H974" s="13" t="str">
        <f t="shared" si="46"/>
        <v/>
      </c>
      <c r="I974" s="16" t="str">
        <f t="shared" si="47"/>
        <v/>
      </c>
      <c r="J974" s="11"/>
      <c r="K974" s="11"/>
      <c r="L974" s="11"/>
      <c r="M974" s="11"/>
      <c r="N974" s="11"/>
    </row>
    <row r="975" spans="1:14" ht="15.75" customHeight="1" x14ac:dyDescent="0.25">
      <c r="A975" s="11"/>
      <c r="B975" s="11"/>
      <c r="C975" s="11"/>
      <c r="D975" s="11"/>
      <c r="E975" s="11"/>
      <c r="F975" s="11"/>
      <c r="G975" s="15" t="str">
        <f t="shared" si="45"/>
        <v/>
      </c>
      <c r="H975" s="13" t="str">
        <f t="shared" si="46"/>
        <v/>
      </c>
      <c r="I975" s="16" t="str">
        <f t="shared" si="47"/>
        <v/>
      </c>
      <c r="J975" s="11"/>
      <c r="K975" s="11"/>
      <c r="L975" s="11"/>
      <c r="M975" s="11"/>
      <c r="N975" s="11"/>
    </row>
    <row r="976" spans="1:14" ht="15.75" customHeight="1" x14ac:dyDescent="0.25">
      <c r="A976" s="11"/>
      <c r="B976" s="11"/>
      <c r="C976" s="11"/>
      <c r="D976" s="11"/>
      <c r="E976" s="11"/>
      <c r="F976" s="11"/>
      <c r="G976" s="15" t="str">
        <f t="shared" si="45"/>
        <v/>
      </c>
      <c r="H976" s="13" t="str">
        <f t="shared" si="46"/>
        <v/>
      </c>
      <c r="I976" s="16" t="str">
        <f t="shared" si="47"/>
        <v/>
      </c>
      <c r="J976" s="11"/>
      <c r="K976" s="11"/>
      <c r="L976" s="11"/>
      <c r="M976" s="11"/>
      <c r="N976" s="11"/>
    </row>
    <row r="977" spans="1:14" ht="15.75" customHeight="1" x14ac:dyDescent="0.25">
      <c r="A977" s="11"/>
      <c r="B977" s="11"/>
      <c r="C977" s="11"/>
      <c r="D977" s="11"/>
      <c r="E977" s="11"/>
      <c r="F977" s="11"/>
      <c r="G977" s="15" t="str">
        <f t="shared" si="45"/>
        <v/>
      </c>
      <c r="H977" s="13" t="str">
        <f t="shared" si="46"/>
        <v/>
      </c>
      <c r="I977" s="16" t="str">
        <f t="shared" si="47"/>
        <v/>
      </c>
      <c r="J977" s="11"/>
      <c r="K977" s="11"/>
      <c r="L977" s="11"/>
      <c r="M977" s="11"/>
      <c r="N977" s="11"/>
    </row>
    <row r="978" spans="1:14" ht="15.75" customHeight="1" x14ac:dyDescent="0.25">
      <c r="A978" s="11"/>
      <c r="B978" s="11"/>
      <c r="C978" s="11"/>
      <c r="D978" s="11"/>
      <c r="E978" s="11"/>
      <c r="F978" s="11"/>
      <c r="G978" s="15" t="str">
        <f t="shared" si="45"/>
        <v/>
      </c>
      <c r="H978" s="13" t="str">
        <f t="shared" si="46"/>
        <v/>
      </c>
      <c r="I978" s="16" t="str">
        <f t="shared" si="47"/>
        <v/>
      </c>
      <c r="J978" s="11"/>
      <c r="K978" s="11"/>
      <c r="L978" s="11"/>
      <c r="M978" s="11"/>
      <c r="N978" s="11"/>
    </row>
    <row r="979" spans="1:14" ht="15.75" customHeight="1" x14ac:dyDescent="0.25">
      <c r="A979" s="11"/>
      <c r="B979" s="11"/>
      <c r="C979" s="11"/>
      <c r="D979" s="11"/>
      <c r="E979" s="11"/>
      <c r="F979" s="11"/>
      <c r="G979" s="15" t="str">
        <f t="shared" si="45"/>
        <v/>
      </c>
      <c r="H979" s="13" t="str">
        <f t="shared" si="46"/>
        <v/>
      </c>
      <c r="I979" s="16" t="str">
        <f t="shared" si="47"/>
        <v/>
      </c>
      <c r="J979" s="11"/>
      <c r="K979" s="11"/>
      <c r="L979" s="11"/>
      <c r="M979" s="11"/>
      <c r="N979" s="11"/>
    </row>
    <row r="980" spans="1:14" ht="15.75" customHeight="1" x14ac:dyDescent="0.25">
      <c r="A980" s="11"/>
      <c r="B980" s="11"/>
      <c r="C980" s="11"/>
      <c r="D980" s="11"/>
      <c r="E980" s="11"/>
      <c r="F980" s="11"/>
      <c r="G980" s="15" t="str">
        <f t="shared" si="45"/>
        <v/>
      </c>
      <c r="H980" s="13" t="str">
        <f t="shared" si="46"/>
        <v/>
      </c>
      <c r="I980" s="16" t="str">
        <f t="shared" si="47"/>
        <v/>
      </c>
      <c r="J980" s="11"/>
      <c r="K980" s="11"/>
      <c r="L980" s="11"/>
      <c r="M980" s="11"/>
      <c r="N980" s="11"/>
    </row>
    <row r="981" spans="1:14" ht="15.75" customHeight="1" x14ac:dyDescent="0.25">
      <c r="A981" s="11"/>
      <c r="B981" s="11"/>
      <c r="C981" s="11"/>
      <c r="D981" s="11"/>
      <c r="E981" s="11"/>
      <c r="F981" s="11"/>
      <c r="G981" s="15" t="str">
        <f t="shared" si="45"/>
        <v/>
      </c>
      <c r="H981" s="13" t="str">
        <f t="shared" si="46"/>
        <v/>
      </c>
      <c r="I981" s="16" t="str">
        <f t="shared" si="47"/>
        <v/>
      </c>
      <c r="J981" s="11"/>
      <c r="K981" s="11"/>
      <c r="L981" s="11"/>
      <c r="M981" s="11"/>
      <c r="N981" s="11"/>
    </row>
    <row r="982" spans="1:14" ht="15.75" customHeight="1" x14ac:dyDescent="0.25">
      <c r="A982" s="11"/>
      <c r="B982" s="11"/>
      <c r="C982" s="11"/>
      <c r="D982" s="11"/>
      <c r="E982" s="11"/>
      <c r="F982" s="11"/>
      <c r="G982" s="15" t="str">
        <f t="shared" si="45"/>
        <v/>
      </c>
      <c r="H982" s="13" t="str">
        <f t="shared" si="46"/>
        <v/>
      </c>
      <c r="I982" s="16" t="str">
        <f t="shared" si="47"/>
        <v/>
      </c>
      <c r="J982" s="11"/>
      <c r="K982" s="11"/>
      <c r="L982" s="11"/>
      <c r="M982" s="11"/>
      <c r="N982" s="11"/>
    </row>
    <row r="983" spans="1:14" ht="15.75" customHeight="1" x14ac:dyDescent="0.25">
      <c r="A983" s="11"/>
      <c r="B983" s="11"/>
      <c r="C983" s="11"/>
      <c r="D983" s="11"/>
      <c r="E983" s="11"/>
      <c r="F983" s="11"/>
      <c r="G983" s="15" t="str">
        <f t="shared" si="45"/>
        <v/>
      </c>
      <c r="H983" s="13" t="str">
        <f t="shared" si="46"/>
        <v/>
      </c>
      <c r="I983" s="16" t="str">
        <f t="shared" si="47"/>
        <v/>
      </c>
      <c r="J983" s="11"/>
      <c r="K983" s="11"/>
      <c r="L983" s="11"/>
      <c r="M983" s="11"/>
      <c r="N983" s="11"/>
    </row>
    <row r="984" spans="1:14" ht="15.75" customHeight="1" x14ac:dyDescent="0.25">
      <c r="A984" s="11"/>
      <c r="B984" s="11"/>
      <c r="C984" s="11"/>
      <c r="D984" s="11"/>
      <c r="E984" s="11"/>
      <c r="F984" s="11"/>
      <c r="G984" s="15" t="str">
        <f t="shared" si="45"/>
        <v/>
      </c>
      <c r="H984" s="13" t="str">
        <f t="shared" si="46"/>
        <v/>
      </c>
      <c r="I984" s="16" t="str">
        <f t="shared" si="47"/>
        <v/>
      </c>
      <c r="J984" s="11"/>
      <c r="K984" s="11"/>
      <c r="L984" s="11"/>
      <c r="M984" s="11"/>
      <c r="N984" s="11"/>
    </row>
    <row r="985" spans="1:14" ht="15.75" customHeight="1" x14ac:dyDescent="0.25">
      <c r="A985" s="11"/>
      <c r="B985" s="11"/>
      <c r="C985" s="11"/>
      <c r="D985" s="11"/>
      <c r="E985" s="11"/>
      <c r="F985" s="11"/>
      <c r="G985" s="15" t="str">
        <f t="shared" si="45"/>
        <v/>
      </c>
      <c r="H985" s="13" t="str">
        <f t="shared" si="46"/>
        <v/>
      </c>
      <c r="I985" s="16" t="str">
        <f t="shared" si="47"/>
        <v/>
      </c>
      <c r="J985" s="11"/>
      <c r="K985" s="11"/>
      <c r="L985" s="11"/>
      <c r="M985" s="11"/>
      <c r="N985" s="11"/>
    </row>
    <row r="986" spans="1:14" ht="15.75" customHeight="1" x14ac:dyDescent="0.25">
      <c r="A986" s="11"/>
      <c r="B986" s="11"/>
      <c r="C986" s="11"/>
      <c r="D986" s="11"/>
      <c r="E986" s="11"/>
      <c r="F986" s="11"/>
      <c r="G986" s="15" t="str">
        <f t="shared" si="45"/>
        <v/>
      </c>
      <c r="H986" s="13" t="str">
        <f t="shared" si="46"/>
        <v/>
      </c>
      <c r="I986" s="16" t="str">
        <f t="shared" si="47"/>
        <v/>
      </c>
      <c r="J986" s="11"/>
      <c r="K986" s="11"/>
      <c r="L986" s="11"/>
      <c r="M986" s="11"/>
      <c r="N986" s="11"/>
    </row>
    <row r="987" spans="1:14" ht="15.75" customHeight="1" x14ac:dyDescent="0.25">
      <c r="A987" s="11"/>
      <c r="B987" s="11"/>
      <c r="C987" s="11"/>
      <c r="D987" s="11"/>
      <c r="E987" s="11"/>
      <c r="F987" s="11"/>
      <c r="G987" s="15" t="str">
        <f t="shared" si="45"/>
        <v/>
      </c>
      <c r="H987" s="13" t="str">
        <f t="shared" si="46"/>
        <v/>
      </c>
      <c r="I987" s="16" t="str">
        <f t="shared" si="47"/>
        <v/>
      </c>
      <c r="J987" s="11"/>
      <c r="K987" s="11"/>
      <c r="L987" s="11"/>
      <c r="M987" s="11"/>
      <c r="N987" s="11"/>
    </row>
    <row r="988" spans="1:14" ht="15.75" customHeight="1" x14ac:dyDescent="0.25">
      <c r="A988" s="11"/>
      <c r="B988" s="11"/>
      <c r="C988" s="11"/>
      <c r="D988" s="11"/>
      <c r="E988" s="11"/>
      <c r="F988" s="11"/>
      <c r="G988" s="15" t="str">
        <f t="shared" si="45"/>
        <v/>
      </c>
      <c r="H988" s="13" t="str">
        <f t="shared" si="46"/>
        <v/>
      </c>
      <c r="I988" s="16" t="str">
        <f t="shared" si="47"/>
        <v/>
      </c>
      <c r="J988" s="11"/>
      <c r="K988" s="11"/>
      <c r="L988" s="11"/>
      <c r="M988" s="11"/>
      <c r="N988" s="11"/>
    </row>
    <row r="989" spans="1:14" ht="15.75" customHeight="1" x14ac:dyDescent="0.25">
      <c r="A989" s="11"/>
      <c r="B989" s="11"/>
      <c r="C989" s="11"/>
      <c r="D989" s="11"/>
      <c r="E989" s="11"/>
      <c r="F989" s="11"/>
      <c r="G989" s="15" t="str">
        <f t="shared" si="45"/>
        <v/>
      </c>
      <c r="H989" s="13" t="str">
        <f t="shared" si="46"/>
        <v/>
      </c>
      <c r="I989" s="16" t="str">
        <f t="shared" si="47"/>
        <v/>
      </c>
      <c r="J989" s="11"/>
      <c r="K989" s="11"/>
      <c r="L989" s="11"/>
      <c r="M989" s="11"/>
      <c r="N989" s="11"/>
    </row>
    <row r="990" spans="1:14" ht="15.75" customHeight="1" x14ac:dyDescent="0.25">
      <c r="A990" s="11"/>
      <c r="B990" s="11"/>
      <c r="C990" s="11"/>
      <c r="D990" s="11"/>
      <c r="E990" s="11"/>
      <c r="F990" s="11"/>
      <c r="G990" s="15" t="str">
        <f t="shared" si="45"/>
        <v/>
      </c>
      <c r="H990" s="13" t="str">
        <f t="shared" si="46"/>
        <v/>
      </c>
      <c r="I990" s="16" t="str">
        <f t="shared" si="47"/>
        <v/>
      </c>
      <c r="J990" s="11"/>
      <c r="K990" s="11"/>
      <c r="L990" s="11"/>
      <c r="M990" s="11"/>
      <c r="N990" s="11"/>
    </row>
    <row r="991" spans="1:14" ht="15.75" customHeight="1" x14ac:dyDescent="0.25">
      <c r="A991" s="11"/>
      <c r="B991" s="11"/>
      <c r="C991" s="11"/>
      <c r="D991" s="11"/>
      <c r="E991" s="11"/>
      <c r="F991" s="11"/>
      <c r="G991" s="15" t="str">
        <f t="shared" si="45"/>
        <v/>
      </c>
      <c r="H991" s="13" t="str">
        <f t="shared" si="46"/>
        <v/>
      </c>
      <c r="I991" s="16" t="str">
        <f t="shared" si="47"/>
        <v/>
      </c>
      <c r="J991" s="11"/>
      <c r="K991" s="11"/>
      <c r="L991" s="11"/>
      <c r="M991" s="11"/>
      <c r="N991" s="11"/>
    </row>
    <row r="992" spans="1:14" ht="15.75" customHeight="1" x14ac:dyDescent="0.25">
      <c r="A992" s="11"/>
      <c r="B992" s="11"/>
      <c r="C992" s="11"/>
      <c r="D992" s="11"/>
      <c r="E992" s="11"/>
      <c r="F992" s="11"/>
      <c r="G992" s="15" t="str">
        <f t="shared" si="45"/>
        <v/>
      </c>
      <c r="H992" s="13" t="str">
        <f t="shared" si="46"/>
        <v/>
      </c>
      <c r="I992" s="16" t="str">
        <f t="shared" si="47"/>
        <v/>
      </c>
      <c r="J992" s="11"/>
      <c r="K992" s="11"/>
      <c r="L992" s="11"/>
      <c r="M992" s="11"/>
      <c r="N992" s="11"/>
    </row>
    <row r="993" spans="1:14" ht="15.75" customHeight="1" x14ac:dyDescent="0.25">
      <c r="A993" s="11"/>
      <c r="B993" s="11"/>
      <c r="C993" s="11"/>
      <c r="D993" s="11"/>
      <c r="E993" s="11"/>
      <c r="F993" s="11"/>
      <c r="G993" s="15" t="str">
        <f t="shared" si="45"/>
        <v/>
      </c>
      <c r="H993" s="13" t="str">
        <f t="shared" si="46"/>
        <v/>
      </c>
      <c r="I993" s="16" t="str">
        <f t="shared" si="47"/>
        <v/>
      </c>
      <c r="J993" s="11"/>
      <c r="K993" s="11"/>
      <c r="L993" s="11"/>
      <c r="M993" s="11"/>
      <c r="N993" s="11"/>
    </row>
    <row r="994" spans="1:14" ht="15.75" customHeight="1" x14ac:dyDescent="0.25">
      <c r="A994" s="11"/>
      <c r="B994" s="11"/>
      <c r="C994" s="11"/>
      <c r="D994" s="11"/>
      <c r="E994" s="11"/>
      <c r="F994" s="11"/>
      <c r="G994" s="15" t="str">
        <f t="shared" si="45"/>
        <v/>
      </c>
      <c r="H994" s="13" t="str">
        <f t="shared" si="46"/>
        <v/>
      </c>
      <c r="I994" s="16" t="str">
        <f t="shared" si="47"/>
        <v/>
      </c>
      <c r="J994" s="11"/>
      <c r="K994" s="11"/>
      <c r="L994" s="11"/>
      <c r="M994" s="11"/>
      <c r="N994" s="11"/>
    </row>
    <row r="995" spans="1:14" ht="15.75" customHeight="1" x14ac:dyDescent="0.25">
      <c r="A995" s="11"/>
      <c r="B995" s="11"/>
      <c r="C995" s="11"/>
      <c r="D995" s="11"/>
      <c r="E995" s="11"/>
      <c r="F995" s="11"/>
      <c r="G995" s="15" t="str">
        <f t="shared" si="45"/>
        <v/>
      </c>
      <c r="H995" s="13" t="str">
        <f t="shared" si="46"/>
        <v/>
      </c>
      <c r="I995" s="16" t="str">
        <f t="shared" si="47"/>
        <v/>
      </c>
      <c r="J995" s="11"/>
      <c r="K995" s="11"/>
      <c r="L995" s="11"/>
      <c r="M995" s="11"/>
      <c r="N995" s="11"/>
    </row>
    <row r="996" spans="1:14" ht="15.75" customHeight="1" x14ac:dyDescent="0.25">
      <c r="A996" s="11"/>
      <c r="B996" s="11"/>
      <c r="C996" s="11"/>
      <c r="D996" s="11"/>
      <c r="E996" s="11"/>
      <c r="F996" s="11"/>
      <c r="G996" s="15" t="str">
        <f t="shared" si="45"/>
        <v/>
      </c>
      <c r="H996" s="13" t="str">
        <f t="shared" si="46"/>
        <v/>
      </c>
      <c r="I996" s="16" t="str">
        <f t="shared" si="47"/>
        <v/>
      </c>
      <c r="J996" s="11"/>
      <c r="K996" s="11"/>
      <c r="L996" s="11"/>
      <c r="M996" s="11"/>
      <c r="N996" s="11"/>
    </row>
    <row r="997" spans="1:14" ht="15.75" customHeight="1" x14ac:dyDescent="0.25">
      <c r="A997" s="11"/>
      <c r="B997" s="11"/>
      <c r="C997" s="11"/>
      <c r="D997" s="11"/>
      <c r="E997" s="11"/>
      <c r="F997" s="11"/>
      <c r="G997" s="15" t="str">
        <f t="shared" si="45"/>
        <v/>
      </c>
      <c r="H997" s="13" t="str">
        <f t="shared" si="46"/>
        <v/>
      </c>
      <c r="I997" s="16" t="str">
        <f t="shared" si="47"/>
        <v/>
      </c>
      <c r="J997" s="11"/>
      <c r="K997" s="11"/>
      <c r="L997" s="11"/>
      <c r="M997" s="11"/>
      <c r="N997" s="11"/>
    </row>
    <row r="998" spans="1:14" ht="15.75" customHeight="1" x14ac:dyDescent="0.25">
      <c r="A998" s="11"/>
      <c r="B998" s="11"/>
      <c r="C998" s="11"/>
      <c r="D998" s="11"/>
      <c r="E998" s="11"/>
      <c r="F998" s="11"/>
      <c r="G998" s="15" t="str">
        <f t="shared" si="45"/>
        <v/>
      </c>
      <c r="H998" s="13" t="str">
        <f t="shared" si="46"/>
        <v/>
      </c>
      <c r="I998" s="16" t="str">
        <f t="shared" si="47"/>
        <v/>
      </c>
      <c r="J998" s="11"/>
      <c r="K998" s="11"/>
      <c r="L998" s="11"/>
      <c r="M998" s="11"/>
      <c r="N998" s="11"/>
    </row>
    <row r="999" spans="1:14" ht="15.75" customHeight="1" x14ac:dyDescent="0.25">
      <c r="A999" s="11"/>
      <c r="B999" s="11"/>
      <c r="C999" s="11"/>
      <c r="D999" s="11"/>
      <c r="E999" s="11"/>
      <c r="F999" s="11"/>
      <c r="G999" s="15" t="str">
        <f t="shared" si="45"/>
        <v/>
      </c>
      <c r="H999" s="13" t="str">
        <f t="shared" si="46"/>
        <v/>
      </c>
      <c r="I999" s="16" t="str">
        <f t="shared" si="47"/>
        <v/>
      </c>
      <c r="J999" s="11"/>
      <c r="K999" s="11"/>
      <c r="L999" s="11"/>
      <c r="M999" s="11"/>
      <c r="N999" s="11"/>
    </row>
    <row r="1000" spans="1:14" ht="15.75" customHeight="1" x14ac:dyDescent="0.25">
      <c r="A1000" s="11"/>
      <c r="B1000" s="11"/>
      <c r="C1000" s="11"/>
      <c r="D1000" s="11"/>
      <c r="E1000" s="11"/>
      <c r="F1000" s="11"/>
      <c r="G1000" s="15" t="str">
        <f t="shared" si="45"/>
        <v/>
      </c>
      <c r="H1000" s="13" t="str">
        <f t="shared" si="46"/>
        <v/>
      </c>
      <c r="I1000" s="16" t="str">
        <f t="shared" si="47"/>
        <v/>
      </c>
      <c r="J1000" s="11"/>
      <c r="K1000" s="11"/>
      <c r="L1000" s="11"/>
      <c r="M1000" s="11"/>
      <c r="N1000" s="11"/>
    </row>
    <row r="1001" spans="1:14" ht="15.75" customHeight="1" x14ac:dyDescent="0.25">
      <c r="A1001" s="11"/>
      <c r="B1001" s="11"/>
      <c r="C1001" s="11"/>
      <c r="D1001" s="11"/>
      <c r="E1001" s="11"/>
      <c r="F1001" s="11"/>
      <c r="G1001" s="15" t="str">
        <f t="shared" si="45"/>
        <v/>
      </c>
      <c r="H1001" s="13" t="str">
        <f t="shared" si="46"/>
        <v/>
      </c>
      <c r="I1001" s="16" t="str">
        <f t="shared" si="47"/>
        <v/>
      </c>
      <c r="J1001" s="11"/>
      <c r="K1001" s="11"/>
      <c r="L1001" s="11"/>
      <c r="M1001" s="11"/>
      <c r="N1001" s="11"/>
    </row>
    <row r="1002" spans="1:14" ht="15.75" customHeight="1" x14ac:dyDescent="0.25">
      <c r="A1002" s="11"/>
      <c r="B1002" s="11"/>
      <c r="C1002" s="11"/>
      <c r="D1002" s="11"/>
      <c r="E1002" s="11"/>
      <c r="F1002" s="11"/>
      <c r="G1002" s="15" t="str">
        <f t="shared" si="45"/>
        <v/>
      </c>
      <c r="H1002" s="13" t="str">
        <f t="shared" si="46"/>
        <v/>
      </c>
      <c r="I1002" s="16" t="str">
        <f t="shared" si="47"/>
        <v/>
      </c>
      <c r="J1002" s="11"/>
      <c r="K1002" s="11"/>
      <c r="L1002" s="11"/>
      <c r="M1002" s="11"/>
      <c r="N1002" s="11"/>
    </row>
    <row r="1003" spans="1:14" ht="15.75" customHeight="1" x14ac:dyDescent="0.25">
      <c r="A1003" s="11"/>
      <c r="B1003" s="11"/>
      <c r="C1003" s="11"/>
      <c r="D1003" s="11"/>
      <c r="E1003" s="11"/>
      <c r="F1003" s="11"/>
      <c r="G1003" s="15" t="str">
        <f t="shared" si="45"/>
        <v/>
      </c>
      <c r="H1003" s="13" t="str">
        <f t="shared" si="46"/>
        <v/>
      </c>
      <c r="I1003" s="16" t="str">
        <f t="shared" si="47"/>
        <v/>
      </c>
      <c r="J1003" s="11"/>
      <c r="K1003" s="11"/>
      <c r="L1003" s="11"/>
      <c r="M1003" s="11"/>
      <c r="N1003" s="11"/>
    </row>
  </sheetData>
  <mergeCells count="1">
    <mergeCell ref="A1:M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N1003"/>
  <sheetViews>
    <sheetView zoomScaleNormal="100" workbookViewId="0">
      <pane ySplit="3" topLeftCell="A4" activePane="bottomLeft" state="frozen"/>
      <selection pane="bottomLeft" sqref="A1:N1"/>
    </sheetView>
  </sheetViews>
  <sheetFormatPr defaultColWidth="8.7109375" defaultRowHeight="15" x14ac:dyDescent="0.25"/>
  <cols>
    <col min="1" max="1" width="14" customWidth="1"/>
    <col min="2" max="2" width="22" customWidth="1"/>
    <col min="3" max="3" width="14" customWidth="1"/>
    <col min="4" max="4" width="13" customWidth="1"/>
    <col min="5" max="7" width="16" customWidth="1"/>
    <col min="8" max="9" width="12" customWidth="1"/>
    <col min="10" max="10" width="18" customWidth="1"/>
    <col min="11" max="11" width="16" customWidth="1"/>
    <col min="12" max="12" width="18" customWidth="1"/>
    <col min="13" max="13" width="14" customWidth="1"/>
    <col min="14" max="14" width="13" customWidth="1"/>
  </cols>
  <sheetData>
    <row r="1" spans="1:14" ht="31.5" customHeight="1" x14ac:dyDescent="0.25">
      <c r="A1" s="161" t="s">
        <v>267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</row>
    <row r="2" spans="1:14" ht="21.75" customHeight="1" x14ac:dyDescent="0.25">
      <c r="A2" s="3" t="s">
        <v>268</v>
      </c>
      <c r="B2" s="8"/>
      <c r="D2" s="8"/>
      <c r="G2" s="8"/>
      <c r="K2" s="8"/>
    </row>
    <row r="3" spans="1:14" ht="24" customHeight="1" x14ac:dyDescent="0.25">
      <c r="A3" s="1" t="s">
        <v>49</v>
      </c>
      <c r="B3" s="1" t="s">
        <v>260</v>
      </c>
      <c r="C3" s="1" t="s">
        <v>43</v>
      </c>
      <c r="D3" s="1" t="s">
        <v>195</v>
      </c>
      <c r="E3" s="1" t="s">
        <v>77</v>
      </c>
      <c r="F3" s="1" t="s">
        <v>269</v>
      </c>
      <c r="G3" s="1" t="s">
        <v>270</v>
      </c>
      <c r="H3" s="1" t="s">
        <v>271</v>
      </c>
      <c r="I3" s="1" t="s">
        <v>272</v>
      </c>
      <c r="J3" s="1" t="s">
        <v>273</v>
      </c>
      <c r="K3" s="1" t="s">
        <v>274</v>
      </c>
      <c r="L3" s="1" t="s">
        <v>275</v>
      </c>
      <c r="M3" s="1" t="s">
        <v>276</v>
      </c>
      <c r="N3" s="1" t="s">
        <v>196</v>
      </c>
    </row>
    <row r="4" spans="1:14" ht="15.75" customHeight="1" x14ac:dyDescent="0.25">
      <c r="A4" s="11"/>
      <c r="B4" s="11"/>
      <c r="C4" s="11"/>
      <c r="D4" s="11"/>
      <c r="E4" s="11"/>
      <c r="F4" s="17" t="str">
        <f>IF(E4=0,"",IFERROR(E4*Config!B18,0))</f>
        <v/>
      </c>
      <c r="G4" s="13" t="str">
        <f t="shared" ref="G4:G67" si="0">IF(E4=0,"",MAX(0,E4-F4))</f>
        <v/>
      </c>
      <c r="H4" s="11"/>
      <c r="I4" s="11"/>
      <c r="J4" s="16" t="str">
        <f t="shared" ref="J4:J67" si="1">IF(E4=0,"",IFERROR(-PMT(H4/100/12,I4,-E4),0))</f>
        <v/>
      </c>
      <c r="K4" s="18" t="str">
        <f>IF(A4="","",IFERROR(SUMIF(Transactions!A$4:A$1003,A4,Transactions!F$4:F$1003),0))</f>
        <v/>
      </c>
      <c r="L4" s="15" t="str">
        <f t="shared" ref="L4:L67" si="2">IF(E4=0,"",MAX(0,E4-K4))</f>
        <v/>
      </c>
      <c r="M4" s="12" t="str">
        <f t="shared" ref="M4:M67" ca="1" si="3">IF(A4="","",IF(L4&lt;=0,"✅ Fully Paid",IF(AND(D4&lt;&gt;"",TODAY()&gt;D4+I4*30),"⚠ Overdue","🟢 Active")))</f>
        <v/>
      </c>
      <c r="N4" s="19" t="str">
        <f t="shared" ref="N4:N67" ca="1" si="4">IF(L4&lt;=0,TODAY(),"")</f>
        <v/>
      </c>
    </row>
    <row r="5" spans="1:14" ht="15.75" customHeight="1" x14ac:dyDescent="0.25">
      <c r="A5" s="11"/>
      <c r="B5" s="11"/>
      <c r="C5" s="11"/>
      <c r="D5" s="11"/>
      <c r="E5" s="11"/>
      <c r="F5" s="17" t="str">
        <f>IF(E5=0,"",IFERROR(E5*Config!B18,0))</f>
        <v/>
      </c>
      <c r="G5" s="13" t="str">
        <f t="shared" si="0"/>
        <v/>
      </c>
      <c r="H5" s="11"/>
      <c r="I5" s="11"/>
      <c r="J5" s="16" t="str">
        <f t="shared" si="1"/>
        <v/>
      </c>
      <c r="K5" s="18" t="str">
        <f>IF(A5="","",IFERROR(SUMIF(Transactions!A$4:A$1003,A5,Transactions!F$4:F$1003),0))</f>
        <v/>
      </c>
      <c r="L5" s="15" t="str">
        <f t="shared" si="2"/>
        <v/>
      </c>
      <c r="M5" s="12" t="str">
        <f t="shared" ca="1" si="3"/>
        <v/>
      </c>
      <c r="N5" s="19" t="str">
        <f t="shared" ca="1" si="4"/>
        <v/>
      </c>
    </row>
    <row r="6" spans="1:14" ht="15.75" customHeight="1" x14ac:dyDescent="0.25">
      <c r="A6" s="11"/>
      <c r="B6" s="11"/>
      <c r="C6" s="11"/>
      <c r="D6" s="11"/>
      <c r="E6" s="11"/>
      <c r="F6" s="17" t="str">
        <f>IF(E6=0,"",IFERROR(E6*Config!B18,0))</f>
        <v/>
      </c>
      <c r="G6" s="13" t="str">
        <f t="shared" si="0"/>
        <v/>
      </c>
      <c r="H6" s="11"/>
      <c r="I6" s="11"/>
      <c r="J6" s="16" t="str">
        <f t="shared" si="1"/>
        <v/>
      </c>
      <c r="K6" s="18" t="str">
        <f>IF(A6="","",IFERROR(SUMIF(Transactions!A$4:A$1003,A6,Transactions!F$4:F$1003),0))</f>
        <v/>
      </c>
      <c r="L6" s="15" t="str">
        <f t="shared" si="2"/>
        <v/>
      </c>
      <c r="M6" s="12" t="str">
        <f t="shared" ca="1" si="3"/>
        <v/>
      </c>
      <c r="N6" s="19" t="str">
        <f t="shared" ca="1" si="4"/>
        <v/>
      </c>
    </row>
    <row r="7" spans="1:14" ht="15.75" customHeight="1" x14ac:dyDescent="0.25">
      <c r="A7" s="11"/>
      <c r="B7" s="11"/>
      <c r="C7" s="11"/>
      <c r="D7" s="11"/>
      <c r="E7" s="11"/>
      <c r="F7" s="17" t="str">
        <f>IF(E7=0,"",IFERROR(E7*Config!B18,0))</f>
        <v/>
      </c>
      <c r="G7" s="13" t="str">
        <f t="shared" si="0"/>
        <v/>
      </c>
      <c r="H7" s="11"/>
      <c r="I7" s="11"/>
      <c r="J7" s="16" t="str">
        <f t="shared" si="1"/>
        <v/>
      </c>
      <c r="K7" s="18" t="str">
        <f>IF(A7="","",IFERROR(SUMIF(Transactions!A$4:A$1003,A7,Transactions!F$4:F$1003),0))</f>
        <v/>
      </c>
      <c r="L7" s="15" t="str">
        <f t="shared" si="2"/>
        <v/>
      </c>
      <c r="M7" s="12" t="str">
        <f t="shared" ca="1" si="3"/>
        <v/>
      </c>
      <c r="N7" s="19" t="str">
        <f t="shared" ca="1" si="4"/>
        <v/>
      </c>
    </row>
    <row r="8" spans="1:14" ht="15.75" customHeight="1" x14ac:dyDescent="0.25">
      <c r="A8" s="11"/>
      <c r="B8" s="11"/>
      <c r="C8" s="11"/>
      <c r="D8" s="11"/>
      <c r="E8" s="11"/>
      <c r="F8" s="17" t="str">
        <f>IF(E8=0,"",IFERROR(E8*Config!B18,0))</f>
        <v/>
      </c>
      <c r="G8" s="13" t="str">
        <f t="shared" si="0"/>
        <v/>
      </c>
      <c r="H8" s="11"/>
      <c r="I8" s="11"/>
      <c r="J8" s="16" t="str">
        <f t="shared" si="1"/>
        <v/>
      </c>
      <c r="K8" s="18" t="str">
        <f>IF(A8="","",IFERROR(SUMIF(Transactions!A$4:A$1003,A8,Transactions!F$4:F$1003),0))</f>
        <v/>
      </c>
      <c r="L8" s="15" t="str">
        <f t="shared" si="2"/>
        <v/>
      </c>
      <c r="M8" s="12" t="str">
        <f t="shared" ca="1" si="3"/>
        <v/>
      </c>
      <c r="N8" s="19" t="str">
        <f t="shared" ca="1" si="4"/>
        <v/>
      </c>
    </row>
    <row r="9" spans="1:14" ht="15.75" customHeight="1" x14ac:dyDescent="0.25">
      <c r="A9" s="11"/>
      <c r="B9" s="11"/>
      <c r="C9" s="11"/>
      <c r="D9" s="11"/>
      <c r="E9" s="11"/>
      <c r="F9" s="17" t="str">
        <f>IF(E9=0,"",IFERROR(E9*Config!B18,0))</f>
        <v/>
      </c>
      <c r="G9" s="13" t="str">
        <f t="shared" si="0"/>
        <v/>
      </c>
      <c r="H9" s="11"/>
      <c r="I9" s="11"/>
      <c r="J9" s="16" t="str">
        <f t="shared" si="1"/>
        <v/>
      </c>
      <c r="K9" s="18" t="str">
        <f>IF(A9="","",IFERROR(SUMIF(Transactions!A$4:A$1003,A9,Transactions!F$4:F$1003),0))</f>
        <v/>
      </c>
      <c r="L9" s="15" t="str">
        <f t="shared" si="2"/>
        <v/>
      </c>
      <c r="M9" s="12" t="str">
        <f t="shared" ca="1" si="3"/>
        <v/>
      </c>
      <c r="N9" s="19" t="str">
        <f t="shared" ca="1" si="4"/>
        <v/>
      </c>
    </row>
    <row r="10" spans="1:14" ht="15.75" customHeight="1" x14ac:dyDescent="0.25">
      <c r="A10" s="11"/>
      <c r="B10" s="11"/>
      <c r="C10" s="11"/>
      <c r="D10" s="11"/>
      <c r="E10" s="11"/>
      <c r="F10" s="17" t="str">
        <f>IF(E10=0,"",IFERROR(E10*Config!B18,0))</f>
        <v/>
      </c>
      <c r="G10" s="13" t="str">
        <f t="shared" si="0"/>
        <v/>
      </c>
      <c r="H10" s="11"/>
      <c r="I10" s="11"/>
      <c r="J10" s="16" t="str">
        <f t="shared" si="1"/>
        <v/>
      </c>
      <c r="K10" s="18" t="str">
        <f>IF(A10="","",IFERROR(SUMIF(Transactions!A$4:A$1003,A10,Transactions!F$4:F$1003),0))</f>
        <v/>
      </c>
      <c r="L10" s="15" t="str">
        <f t="shared" si="2"/>
        <v/>
      </c>
      <c r="M10" s="12" t="str">
        <f t="shared" ca="1" si="3"/>
        <v/>
      </c>
      <c r="N10" s="19" t="str">
        <f t="shared" ca="1" si="4"/>
        <v/>
      </c>
    </row>
    <row r="11" spans="1:14" ht="15.75" customHeight="1" x14ac:dyDescent="0.25">
      <c r="A11" s="11"/>
      <c r="B11" s="11"/>
      <c r="C11" s="11"/>
      <c r="D11" s="11"/>
      <c r="E11" s="11"/>
      <c r="F11" s="17" t="str">
        <f>IF(E11=0,"",IFERROR(E11*Config!B18,0))</f>
        <v/>
      </c>
      <c r="G11" s="13" t="str">
        <f t="shared" si="0"/>
        <v/>
      </c>
      <c r="H11" s="11"/>
      <c r="I11" s="11"/>
      <c r="J11" s="16" t="str">
        <f t="shared" si="1"/>
        <v/>
      </c>
      <c r="K11" s="18" t="str">
        <f>IF(A11="","",IFERROR(SUMIF(Transactions!A$4:A$1003,A11,Transactions!F$4:F$1003),0))</f>
        <v/>
      </c>
      <c r="L11" s="15" t="str">
        <f t="shared" si="2"/>
        <v/>
      </c>
      <c r="M11" s="12" t="str">
        <f t="shared" ca="1" si="3"/>
        <v/>
      </c>
      <c r="N11" s="19" t="str">
        <f t="shared" ca="1" si="4"/>
        <v/>
      </c>
    </row>
    <row r="12" spans="1:14" ht="15.75" customHeight="1" x14ac:dyDescent="0.25">
      <c r="A12" s="11"/>
      <c r="B12" s="11"/>
      <c r="C12" s="11"/>
      <c r="D12" s="11"/>
      <c r="E12" s="11"/>
      <c r="F12" s="17" t="str">
        <f>IF(E12=0,"",IFERROR(E12*Config!B18,0))</f>
        <v/>
      </c>
      <c r="G12" s="13" t="str">
        <f t="shared" si="0"/>
        <v/>
      </c>
      <c r="H12" s="11"/>
      <c r="I12" s="11"/>
      <c r="J12" s="16" t="str">
        <f t="shared" si="1"/>
        <v/>
      </c>
      <c r="K12" s="18" t="str">
        <f>IF(A12="","",IFERROR(SUMIF(Transactions!A$4:A$1003,A12,Transactions!F$4:F$1003),0))</f>
        <v/>
      </c>
      <c r="L12" s="15" t="str">
        <f t="shared" si="2"/>
        <v/>
      </c>
      <c r="M12" s="12" t="str">
        <f t="shared" ca="1" si="3"/>
        <v/>
      </c>
      <c r="N12" s="19" t="str">
        <f t="shared" ca="1" si="4"/>
        <v/>
      </c>
    </row>
    <row r="13" spans="1:14" ht="15.75" customHeight="1" x14ac:dyDescent="0.25">
      <c r="A13" s="11"/>
      <c r="B13" s="11"/>
      <c r="C13" s="11"/>
      <c r="D13" s="11"/>
      <c r="E13" s="11"/>
      <c r="F13" s="17" t="str">
        <f>IF(E13=0,"",IFERROR(E13*Config!B18,0))</f>
        <v/>
      </c>
      <c r="G13" s="13" t="str">
        <f t="shared" si="0"/>
        <v/>
      </c>
      <c r="H13" s="11"/>
      <c r="I13" s="11"/>
      <c r="J13" s="16" t="str">
        <f t="shared" si="1"/>
        <v/>
      </c>
      <c r="K13" s="18" t="str">
        <f>IF(A13="","",IFERROR(SUMIF(Transactions!A$4:A$1003,A13,Transactions!F$4:F$1003),0))</f>
        <v/>
      </c>
      <c r="L13" s="15" t="str">
        <f t="shared" si="2"/>
        <v/>
      </c>
      <c r="M13" s="12" t="str">
        <f t="shared" ca="1" si="3"/>
        <v/>
      </c>
      <c r="N13" s="19" t="str">
        <f t="shared" ca="1" si="4"/>
        <v/>
      </c>
    </row>
    <row r="14" spans="1:14" ht="15.75" customHeight="1" x14ac:dyDescent="0.25">
      <c r="A14" s="11"/>
      <c r="B14" s="11"/>
      <c r="C14" s="11"/>
      <c r="D14" s="11"/>
      <c r="E14" s="11"/>
      <c r="F14" s="17" t="str">
        <f>IF(E14=0,"",IFERROR(E14*Config!B18,0))</f>
        <v/>
      </c>
      <c r="G14" s="13" t="str">
        <f t="shared" si="0"/>
        <v/>
      </c>
      <c r="H14" s="11"/>
      <c r="I14" s="11"/>
      <c r="J14" s="16" t="str">
        <f t="shared" si="1"/>
        <v/>
      </c>
      <c r="K14" s="18" t="str">
        <f>IF(A14="","",IFERROR(SUMIF(Transactions!A$4:A$1003,A14,Transactions!F$4:F$1003),0))</f>
        <v/>
      </c>
      <c r="L14" s="15" t="str">
        <f t="shared" si="2"/>
        <v/>
      </c>
      <c r="M14" s="12" t="str">
        <f t="shared" ca="1" si="3"/>
        <v/>
      </c>
      <c r="N14" s="19" t="str">
        <f t="shared" ca="1" si="4"/>
        <v/>
      </c>
    </row>
    <row r="15" spans="1:14" ht="15.75" customHeight="1" x14ac:dyDescent="0.25">
      <c r="A15" s="11"/>
      <c r="B15" s="11"/>
      <c r="C15" s="11"/>
      <c r="D15" s="11"/>
      <c r="E15" s="11"/>
      <c r="F15" s="17" t="str">
        <f>IF(E15=0,"",IFERROR(E15*Config!B18,0))</f>
        <v/>
      </c>
      <c r="G15" s="13" t="str">
        <f t="shared" si="0"/>
        <v/>
      </c>
      <c r="H15" s="11"/>
      <c r="I15" s="11"/>
      <c r="J15" s="16" t="str">
        <f t="shared" si="1"/>
        <v/>
      </c>
      <c r="K15" s="18" t="str">
        <f>IF(A15="","",IFERROR(SUMIF(Transactions!A$4:A$1003,A15,Transactions!F$4:F$1003),0))</f>
        <v/>
      </c>
      <c r="L15" s="15" t="str">
        <f t="shared" si="2"/>
        <v/>
      </c>
      <c r="M15" s="12" t="str">
        <f t="shared" ca="1" si="3"/>
        <v/>
      </c>
      <c r="N15" s="19" t="str">
        <f t="shared" ca="1" si="4"/>
        <v/>
      </c>
    </row>
    <row r="16" spans="1:14" ht="15.75" customHeight="1" x14ac:dyDescent="0.25">
      <c r="A16" s="11"/>
      <c r="B16" s="11"/>
      <c r="C16" s="11"/>
      <c r="D16" s="11"/>
      <c r="E16" s="11"/>
      <c r="F16" s="17" t="str">
        <f>IF(E16=0,"",IFERROR(E16*Config!B18,0))</f>
        <v/>
      </c>
      <c r="G16" s="13" t="str">
        <f t="shared" si="0"/>
        <v/>
      </c>
      <c r="H16" s="11"/>
      <c r="I16" s="11"/>
      <c r="J16" s="16" t="str">
        <f t="shared" si="1"/>
        <v/>
      </c>
      <c r="K16" s="18" t="str">
        <f>IF(A16="","",IFERROR(SUMIF(Transactions!A$4:A$1003,A16,Transactions!F$4:F$1003),0))</f>
        <v/>
      </c>
      <c r="L16" s="15" t="str">
        <f t="shared" si="2"/>
        <v/>
      </c>
      <c r="M16" s="12" t="str">
        <f t="shared" ca="1" si="3"/>
        <v/>
      </c>
      <c r="N16" s="19" t="str">
        <f t="shared" ca="1" si="4"/>
        <v/>
      </c>
    </row>
    <row r="17" spans="1:14" ht="15.75" customHeight="1" x14ac:dyDescent="0.25">
      <c r="A17" s="11"/>
      <c r="B17" s="11"/>
      <c r="C17" s="11"/>
      <c r="D17" s="11"/>
      <c r="E17" s="11"/>
      <c r="F17" s="17" t="str">
        <f>IF(E17=0,"",IFERROR(E17*Config!B18,0))</f>
        <v/>
      </c>
      <c r="G17" s="13" t="str">
        <f t="shared" si="0"/>
        <v/>
      </c>
      <c r="H17" s="11"/>
      <c r="I17" s="11"/>
      <c r="J17" s="16" t="str">
        <f t="shared" si="1"/>
        <v/>
      </c>
      <c r="K17" s="18" t="str">
        <f>IF(A17="","",IFERROR(SUMIF(Transactions!A$4:A$1003,A17,Transactions!F$4:F$1003),0))</f>
        <v/>
      </c>
      <c r="L17" s="15" t="str">
        <f t="shared" si="2"/>
        <v/>
      </c>
      <c r="M17" s="12" t="str">
        <f t="shared" ca="1" si="3"/>
        <v/>
      </c>
      <c r="N17" s="19" t="str">
        <f t="shared" ca="1" si="4"/>
        <v/>
      </c>
    </row>
    <row r="18" spans="1:14" ht="15.75" customHeight="1" x14ac:dyDescent="0.25">
      <c r="A18" s="11"/>
      <c r="B18" s="11"/>
      <c r="C18" s="11"/>
      <c r="D18" s="11"/>
      <c r="E18" s="11"/>
      <c r="F18" s="17" t="str">
        <f>IF(E18=0,"",IFERROR(E18*Config!B18,0))</f>
        <v/>
      </c>
      <c r="G18" s="13" t="str">
        <f t="shared" si="0"/>
        <v/>
      </c>
      <c r="H18" s="11"/>
      <c r="I18" s="11"/>
      <c r="J18" s="16" t="str">
        <f t="shared" si="1"/>
        <v/>
      </c>
      <c r="K18" s="18" t="str">
        <f>IF(A18="","",IFERROR(SUMIF(Transactions!A$4:A$1003,A18,Transactions!F$4:F$1003),0))</f>
        <v/>
      </c>
      <c r="L18" s="15" t="str">
        <f t="shared" si="2"/>
        <v/>
      </c>
      <c r="M18" s="12" t="str">
        <f t="shared" ca="1" si="3"/>
        <v/>
      </c>
      <c r="N18" s="19" t="str">
        <f t="shared" ca="1" si="4"/>
        <v/>
      </c>
    </row>
    <row r="19" spans="1:14" ht="15.75" customHeight="1" x14ac:dyDescent="0.25">
      <c r="A19" s="11"/>
      <c r="B19" s="11"/>
      <c r="C19" s="11"/>
      <c r="D19" s="11"/>
      <c r="E19" s="11"/>
      <c r="F19" s="17" t="str">
        <f>IF(E19=0,"",IFERROR(E19*Config!B18,0))</f>
        <v/>
      </c>
      <c r="G19" s="13" t="str">
        <f t="shared" si="0"/>
        <v/>
      </c>
      <c r="H19" s="11"/>
      <c r="I19" s="11"/>
      <c r="J19" s="16" t="str">
        <f t="shared" si="1"/>
        <v/>
      </c>
      <c r="K19" s="18" t="str">
        <f>IF(A19="","",IFERROR(SUMIF(Transactions!A$4:A$1003,A19,Transactions!F$4:F$1003),0))</f>
        <v/>
      </c>
      <c r="L19" s="15" t="str">
        <f t="shared" si="2"/>
        <v/>
      </c>
      <c r="M19" s="12" t="str">
        <f t="shared" ca="1" si="3"/>
        <v/>
      </c>
      <c r="N19" s="19" t="str">
        <f t="shared" ca="1" si="4"/>
        <v/>
      </c>
    </row>
    <row r="20" spans="1:14" ht="15.75" customHeight="1" x14ac:dyDescent="0.25">
      <c r="A20" s="11"/>
      <c r="B20" s="11"/>
      <c r="C20" s="11"/>
      <c r="D20" s="11"/>
      <c r="E20" s="11"/>
      <c r="F20" s="17" t="str">
        <f>IF(E20=0,"",IFERROR(E20*Config!B18,0))</f>
        <v/>
      </c>
      <c r="G20" s="13" t="str">
        <f t="shared" si="0"/>
        <v/>
      </c>
      <c r="H20" s="11"/>
      <c r="I20" s="11"/>
      <c r="J20" s="16" t="str">
        <f t="shared" si="1"/>
        <v/>
      </c>
      <c r="K20" s="18" t="str">
        <f>IF(A20="","",IFERROR(SUMIF(Transactions!A$4:A$1003,A20,Transactions!F$4:F$1003),0))</f>
        <v/>
      </c>
      <c r="L20" s="15" t="str">
        <f t="shared" si="2"/>
        <v/>
      </c>
      <c r="M20" s="12" t="str">
        <f t="shared" ca="1" si="3"/>
        <v/>
      </c>
      <c r="N20" s="19" t="str">
        <f t="shared" ca="1" si="4"/>
        <v/>
      </c>
    </row>
    <row r="21" spans="1:14" ht="15.75" customHeight="1" x14ac:dyDescent="0.25">
      <c r="A21" s="11"/>
      <c r="B21" s="11"/>
      <c r="C21" s="11"/>
      <c r="D21" s="11"/>
      <c r="E21" s="11"/>
      <c r="F21" s="17" t="str">
        <f>IF(E21=0,"",IFERROR(E21*Config!B18,0))</f>
        <v/>
      </c>
      <c r="G21" s="13" t="str">
        <f t="shared" si="0"/>
        <v/>
      </c>
      <c r="H21" s="11"/>
      <c r="I21" s="11"/>
      <c r="J21" s="16" t="str">
        <f t="shared" si="1"/>
        <v/>
      </c>
      <c r="K21" s="18" t="str">
        <f>IF(A21="","",IFERROR(SUMIF(Transactions!A$4:A$1003,A21,Transactions!F$4:F$1003),0))</f>
        <v/>
      </c>
      <c r="L21" s="15" t="str">
        <f t="shared" si="2"/>
        <v/>
      </c>
      <c r="M21" s="12" t="str">
        <f t="shared" ca="1" si="3"/>
        <v/>
      </c>
      <c r="N21" s="19" t="str">
        <f t="shared" ca="1" si="4"/>
        <v/>
      </c>
    </row>
    <row r="22" spans="1:14" ht="15.75" customHeight="1" x14ac:dyDescent="0.25">
      <c r="A22" s="11"/>
      <c r="B22" s="11"/>
      <c r="C22" s="11"/>
      <c r="D22" s="11"/>
      <c r="E22" s="11"/>
      <c r="F22" s="17" t="str">
        <f>IF(E22=0,"",IFERROR(E22*Config!B18,0))</f>
        <v/>
      </c>
      <c r="G22" s="13" t="str">
        <f t="shared" si="0"/>
        <v/>
      </c>
      <c r="H22" s="11"/>
      <c r="I22" s="11"/>
      <c r="J22" s="16" t="str">
        <f t="shared" si="1"/>
        <v/>
      </c>
      <c r="K22" s="18" t="str">
        <f>IF(A22="","",IFERROR(SUMIF(Transactions!A$4:A$1003,A22,Transactions!F$4:F$1003),0))</f>
        <v/>
      </c>
      <c r="L22" s="15" t="str">
        <f t="shared" si="2"/>
        <v/>
      </c>
      <c r="M22" s="12" t="str">
        <f t="shared" ca="1" si="3"/>
        <v/>
      </c>
      <c r="N22" s="19" t="str">
        <f t="shared" ca="1" si="4"/>
        <v/>
      </c>
    </row>
    <row r="23" spans="1:14" ht="15.75" customHeight="1" x14ac:dyDescent="0.25">
      <c r="A23" s="11"/>
      <c r="B23" s="11"/>
      <c r="C23" s="11"/>
      <c r="D23" s="11"/>
      <c r="E23" s="11"/>
      <c r="F23" s="17" t="str">
        <f>IF(E23=0,"",IFERROR(E23*Config!B18,0))</f>
        <v/>
      </c>
      <c r="G23" s="13" t="str">
        <f t="shared" si="0"/>
        <v/>
      </c>
      <c r="H23" s="11"/>
      <c r="I23" s="11"/>
      <c r="J23" s="16" t="str">
        <f t="shared" si="1"/>
        <v/>
      </c>
      <c r="K23" s="18" t="str">
        <f>IF(A23="","",IFERROR(SUMIF(Transactions!A$4:A$1003,A23,Transactions!F$4:F$1003),0))</f>
        <v/>
      </c>
      <c r="L23" s="15" t="str">
        <f t="shared" si="2"/>
        <v/>
      </c>
      <c r="M23" s="12" t="str">
        <f t="shared" ca="1" si="3"/>
        <v/>
      </c>
      <c r="N23" s="19" t="str">
        <f t="shared" ca="1" si="4"/>
        <v/>
      </c>
    </row>
    <row r="24" spans="1:14" ht="15.75" customHeight="1" x14ac:dyDescent="0.25">
      <c r="A24" s="11"/>
      <c r="B24" s="11"/>
      <c r="C24" s="11"/>
      <c r="D24" s="11"/>
      <c r="E24" s="11"/>
      <c r="F24" s="17" t="str">
        <f>IF(E24=0,"",IFERROR(E24*Config!B18,0))</f>
        <v/>
      </c>
      <c r="G24" s="13" t="str">
        <f t="shared" si="0"/>
        <v/>
      </c>
      <c r="H24" s="11"/>
      <c r="I24" s="11"/>
      <c r="J24" s="16" t="str">
        <f t="shared" si="1"/>
        <v/>
      </c>
      <c r="K24" s="18" t="str">
        <f>IF(A24="","",IFERROR(SUMIF(Transactions!A$4:A$1003,A24,Transactions!F$4:F$1003),0))</f>
        <v/>
      </c>
      <c r="L24" s="15" t="str">
        <f t="shared" si="2"/>
        <v/>
      </c>
      <c r="M24" s="12" t="str">
        <f t="shared" ca="1" si="3"/>
        <v/>
      </c>
      <c r="N24" s="19" t="str">
        <f t="shared" ca="1" si="4"/>
        <v/>
      </c>
    </row>
    <row r="25" spans="1:14" ht="15.75" customHeight="1" x14ac:dyDescent="0.25">
      <c r="A25" s="11"/>
      <c r="B25" s="11"/>
      <c r="C25" s="11"/>
      <c r="D25" s="11"/>
      <c r="E25" s="11"/>
      <c r="F25" s="17" t="str">
        <f>IF(E25=0,"",IFERROR(E25*Config!B18,0))</f>
        <v/>
      </c>
      <c r="G25" s="13" t="str">
        <f t="shared" si="0"/>
        <v/>
      </c>
      <c r="H25" s="11"/>
      <c r="I25" s="11"/>
      <c r="J25" s="16" t="str">
        <f t="shared" si="1"/>
        <v/>
      </c>
      <c r="K25" s="18" t="str">
        <f>IF(A25="","",IFERROR(SUMIF(Transactions!A$4:A$1003,A25,Transactions!F$4:F$1003),0))</f>
        <v/>
      </c>
      <c r="L25" s="15" t="str">
        <f t="shared" si="2"/>
        <v/>
      </c>
      <c r="M25" s="12" t="str">
        <f t="shared" ca="1" si="3"/>
        <v/>
      </c>
      <c r="N25" s="19" t="str">
        <f t="shared" ca="1" si="4"/>
        <v/>
      </c>
    </row>
    <row r="26" spans="1:14" ht="15.75" customHeight="1" x14ac:dyDescent="0.25">
      <c r="A26" s="11"/>
      <c r="B26" s="11"/>
      <c r="C26" s="11"/>
      <c r="D26" s="11"/>
      <c r="E26" s="11"/>
      <c r="F26" s="17" t="str">
        <f>IF(E26=0,"",IFERROR(E26*Config!B18,0))</f>
        <v/>
      </c>
      <c r="G26" s="13" t="str">
        <f t="shared" si="0"/>
        <v/>
      </c>
      <c r="H26" s="11"/>
      <c r="I26" s="11"/>
      <c r="J26" s="16" t="str">
        <f t="shared" si="1"/>
        <v/>
      </c>
      <c r="K26" s="18" t="str">
        <f>IF(A26="","",IFERROR(SUMIF(Transactions!A$4:A$1003,A26,Transactions!F$4:F$1003),0))</f>
        <v/>
      </c>
      <c r="L26" s="15" t="str">
        <f t="shared" si="2"/>
        <v/>
      </c>
      <c r="M26" s="12" t="str">
        <f t="shared" ca="1" si="3"/>
        <v/>
      </c>
      <c r="N26" s="19" t="str">
        <f t="shared" ca="1" si="4"/>
        <v/>
      </c>
    </row>
    <row r="27" spans="1:14" ht="15.75" customHeight="1" x14ac:dyDescent="0.25">
      <c r="A27" s="11"/>
      <c r="B27" s="11"/>
      <c r="C27" s="11"/>
      <c r="D27" s="11"/>
      <c r="E27" s="11"/>
      <c r="F27" s="17" t="str">
        <f>IF(E27=0,"",IFERROR(E27*Config!B18,0))</f>
        <v/>
      </c>
      <c r="G27" s="13" t="str">
        <f t="shared" si="0"/>
        <v/>
      </c>
      <c r="H27" s="11"/>
      <c r="I27" s="11"/>
      <c r="J27" s="16" t="str">
        <f t="shared" si="1"/>
        <v/>
      </c>
      <c r="K27" s="18" t="str">
        <f>IF(A27="","",IFERROR(SUMIF(Transactions!A$4:A$1003,A27,Transactions!F$4:F$1003),0))</f>
        <v/>
      </c>
      <c r="L27" s="15" t="str">
        <f t="shared" si="2"/>
        <v/>
      </c>
      <c r="M27" s="12" t="str">
        <f t="shared" ca="1" si="3"/>
        <v/>
      </c>
      <c r="N27" s="19" t="str">
        <f t="shared" ca="1" si="4"/>
        <v/>
      </c>
    </row>
    <row r="28" spans="1:14" ht="15.75" customHeight="1" x14ac:dyDescent="0.25">
      <c r="A28" s="11"/>
      <c r="B28" s="11"/>
      <c r="C28" s="11"/>
      <c r="D28" s="11"/>
      <c r="E28" s="11"/>
      <c r="F28" s="17" t="str">
        <f>IF(E28=0,"",IFERROR(E28*Config!B18,0))</f>
        <v/>
      </c>
      <c r="G28" s="13" t="str">
        <f t="shared" si="0"/>
        <v/>
      </c>
      <c r="H28" s="11"/>
      <c r="I28" s="11"/>
      <c r="J28" s="16" t="str">
        <f t="shared" si="1"/>
        <v/>
      </c>
      <c r="K28" s="18" t="str">
        <f>IF(A28="","",IFERROR(SUMIF(Transactions!A$4:A$1003,A28,Transactions!F$4:F$1003),0))</f>
        <v/>
      </c>
      <c r="L28" s="15" t="str">
        <f t="shared" si="2"/>
        <v/>
      </c>
      <c r="M28" s="12" t="str">
        <f t="shared" ca="1" si="3"/>
        <v/>
      </c>
      <c r="N28" s="19" t="str">
        <f t="shared" ca="1" si="4"/>
        <v/>
      </c>
    </row>
    <row r="29" spans="1:14" ht="15.75" customHeight="1" x14ac:dyDescent="0.25">
      <c r="A29" s="11"/>
      <c r="B29" s="11"/>
      <c r="C29" s="11"/>
      <c r="D29" s="11"/>
      <c r="E29" s="11"/>
      <c r="F29" s="17" t="str">
        <f>IF(E29=0,"",IFERROR(E29*Config!B18,0))</f>
        <v/>
      </c>
      <c r="G29" s="13" t="str">
        <f t="shared" si="0"/>
        <v/>
      </c>
      <c r="H29" s="11"/>
      <c r="I29" s="11"/>
      <c r="J29" s="16" t="str">
        <f t="shared" si="1"/>
        <v/>
      </c>
      <c r="K29" s="18" t="str">
        <f>IF(A29="","",IFERROR(SUMIF(Transactions!A$4:A$1003,A29,Transactions!F$4:F$1003),0))</f>
        <v/>
      </c>
      <c r="L29" s="15" t="str">
        <f t="shared" si="2"/>
        <v/>
      </c>
      <c r="M29" s="12" t="str">
        <f t="shared" ca="1" si="3"/>
        <v/>
      </c>
      <c r="N29" s="19" t="str">
        <f t="shared" ca="1" si="4"/>
        <v/>
      </c>
    </row>
    <row r="30" spans="1:14" ht="15.75" customHeight="1" x14ac:dyDescent="0.25">
      <c r="A30" s="11"/>
      <c r="B30" s="11"/>
      <c r="C30" s="11"/>
      <c r="D30" s="11"/>
      <c r="E30" s="11"/>
      <c r="F30" s="17" t="str">
        <f>IF(E30=0,"",IFERROR(E30*Config!B18,0))</f>
        <v/>
      </c>
      <c r="G30" s="13" t="str">
        <f t="shared" si="0"/>
        <v/>
      </c>
      <c r="H30" s="11"/>
      <c r="I30" s="11"/>
      <c r="J30" s="16" t="str">
        <f t="shared" si="1"/>
        <v/>
      </c>
      <c r="K30" s="18" t="str">
        <f>IF(A30="","",IFERROR(SUMIF(Transactions!A$4:A$1003,A30,Transactions!F$4:F$1003),0))</f>
        <v/>
      </c>
      <c r="L30" s="15" t="str">
        <f t="shared" si="2"/>
        <v/>
      </c>
      <c r="M30" s="12" t="str">
        <f t="shared" ca="1" si="3"/>
        <v/>
      </c>
      <c r="N30" s="19" t="str">
        <f t="shared" ca="1" si="4"/>
        <v/>
      </c>
    </row>
    <row r="31" spans="1:14" ht="15.75" customHeight="1" x14ac:dyDescent="0.25">
      <c r="A31" s="11"/>
      <c r="B31" s="11"/>
      <c r="C31" s="11"/>
      <c r="D31" s="11"/>
      <c r="E31" s="11"/>
      <c r="F31" s="17" t="str">
        <f>IF(E31=0,"",IFERROR(E31*Config!B18,0))</f>
        <v/>
      </c>
      <c r="G31" s="13" t="str">
        <f t="shared" si="0"/>
        <v/>
      </c>
      <c r="H31" s="11"/>
      <c r="I31" s="11"/>
      <c r="J31" s="16" t="str">
        <f t="shared" si="1"/>
        <v/>
      </c>
      <c r="K31" s="18" t="str">
        <f>IF(A31="","",IFERROR(SUMIF(Transactions!A$4:A$1003,A31,Transactions!F$4:F$1003),0))</f>
        <v/>
      </c>
      <c r="L31" s="15" t="str">
        <f t="shared" si="2"/>
        <v/>
      </c>
      <c r="M31" s="12" t="str">
        <f t="shared" ca="1" si="3"/>
        <v/>
      </c>
      <c r="N31" s="19" t="str">
        <f t="shared" ca="1" si="4"/>
        <v/>
      </c>
    </row>
    <row r="32" spans="1:14" ht="15.75" customHeight="1" x14ac:dyDescent="0.25">
      <c r="A32" s="11"/>
      <c r="B32" s="11"/>
      <c r="C32" s="11"/>
      <c r="D32" s="11"/>
      <c r="E32" s="11"/>
      <c r="F32" s="17" t="str">
        <f>IF(E32=0,"",IFERROR(E32*Config!B18,0))</f>
        <v/>
      </c>
      <c r="G32" s="13" t="str">
        <f t="shared" si="0"/>
        <v/>
      </c>
      <c r="H32" s="11"/>
      <c r="I32" s="11"/>
      <c r="J32" s="16" t="str">
        <f t="shared" si="1"/>
        <v/>
      </c>
      <c r="K32" s="18" t="str">
        <f>IF(A32="","",IFERROR(SUMIF(Transactions!A$4:A$1003,A32,Transactions!F$4:F$1003),0))</f>
        <v/>
      </c>
      <c r="L32" s="15" t="str">
        <f t="shared" si="2"/>
        <v/>
      </c>
      <c r="M32" s="12" t="str">
        <f t="shared" ca="1" si="3"/>
        <v/>
      </c>
      <c r="N32" s="19" t="str">
        <f t="shared" ca="1" si="4"/>
        <v/>
      </c>
    </row>
    <row r="33" spans="1:14" ht="15.75" customHeight="1" x14ac:dyDescent="0.25">
      <c r="A33" s="11"/>
      <c r="B33" s="11"/>
      <c r="C33" s="11"/>
      <c r="D33" s="11"/>
      <c r="E33" s="11"/>
      <c r="F33" s="17" t="str">
        <f>IF(E33=0,"",IFERROR(E33*Config!B18,0))</f>
        <v/>
      </c>
      <c r="G33" s="13" t="str">
        <f t="shared" si="0"/>
        <v/>
      </c>
      <c r="H33" s="11"/>
      <c r="I33" s="11"/>
      <c r="J33" s="16" t="str">
        <f t="shared" si="1"/>
        <v/>
      </c>
      <c r="K33" s="18" t="str">
        <f>IF(A33="","",IFERROR(SUMIF(Transactions!A$4:A$1003,A33,Transactions!F$4:F$1003),0))</f>
        <v/>
      </c>
      <c r="L33" s="15" t="str">
        <f t="shared" si="2"/>
        <v/>
      </c>
      <c r="M33" s="12" t="str">
        <f t="shared" ca="1" si="3"/>
        <v/>
      </c>
      <c r="N33" s="19" t="str">
        <f t="shared" ca="1" si="4"/>
        <v/>
      </c>
    </row>
    <row r="34" spans="1:14" ht="15.75" customHeight="1" x14ac:dyDescent="0.25">
      <c r="A34" s="11"/>
      <c r="B34" s="11"/>
      <c r="C34" s="11"/>
      <c r="D34" s="11"/>
      <c r="E34" s="11"/>
      <c r="F34" s="17" t="str">
        <f>IF(E34=0,"",IFERROR(E34*Config!B18,0))</f>
        <v/>
      </c>
      <c r="G34" s="13" t="str">
        <f t="shared" si="0"/>
        <v/>
      </c>
      <c r="H34" s="11"/>
      <c r="I34" s="11"/>
      <c r="J34" s="16" t="str">
        <f t="shared" si="1"/>
        <v/>
      </c>
      <c r="K34" s="18" t="str">
        <f>IF(A34="","",IFERROR(SUMIF(Transactions!A$4:A$1003,A34,Transactions!F$4:F$1003),0))</f>
        <v/>
      </c>
      <c r="L34" s="15" t="str">
        <f t="shared" si="2"/>
        <v/>
      </c>
      <c r="M34" s="12" t="str">
        <f t="shared" ca="1" si="3"/>
        <v/>
      </c>
      <c r="N34" s="19" t="str">
        <f t="shared" ca="1" si="4"/>
        <v/>
      </c>
    </row>
    <row r="35" spans="1:14" ht="15.75" customHeight="1" x14ac:dyDescent="0.25">
      <c r="A35" s="11"/>
      <c r="B35" s="11"/>
      <c r="C35" s="11"/>
      <c r="D35" s="11"/>
      <c r="E35" s="11"/>
      <c r="F35" s="17" t="str">
        <f>IF(E35=0,"",IFERROR(E35*Config!B18,0))</f>
        <v/>
      </c>
      <c r="G35" s="13" t="str">
        <f t="shared" si="0"/>
        <v/>
      </c>
      <c r="H35" s="11"/>
      <c r="I35" s="11"/>
      <c r="J35" s="16" t="str">
        <f t="shared" si="1"/>
        <v/>
      </c>
      <c r="K35" s="18" t="str">
        <f>IF(A35="","",IFERROR(SUMIF(Transactions!A$4:A$1003,A35,Transactions!F$4:F$1003),0))</f>
        <v/>
      </c>
      <c r="L35" s="15" t="str">
        <f t="shared" si="2"/>
        <v/>
      </c>
      <c r="M35" s="12" t="str">
        <f t="shared" ca="1" si="3"/>
        <v/>
      </c>
      <c r="N35" s="19" t="str">
        <f t="shared" ca="1" si="4"/>
        <v/>
      </c>
    </row>
    <row r="36" spans="1:14" ht="15.75" customHeight="1" x14ac:dyDescent="0.25">
      <c r="A36" s="11"/>
      <c r="B36" s="11"/>
      <c r="C36" s="11"/>
      <c r="D36" s="11"/>
      <c r="E36" s="11"/>
      <c r="F36" s="17" t="str">
        <f>IF(E36=0,"",IFERROR(E36*Config!B18,0))</f>
        <v/>
      </c>
      <c r="G36" s="13" t="str">
        <f t="shared" si="0"/>
        <v/>
      </c>
      <c r="H36" s="11"/>
      <c r="I36" s="11"/>
      <c r="J36" s="16" t="str">
        <f t="shared" si="1"/>
        <v/>
      </c>
      <c r="K36" s="18" t="str">
        <f>IF(A36="","",IFERROR(SUMIF(Transactions!A$4:A$1003,A36,Transactions!F$4:F$1003),0))</f>
        <v/>
      </c>
      <c r="L36" s="15" t="str">
        <f t="shared" si="2"/>
        <v/>
      </c>
      <c r="M36" s="12" t="str">
        <f t="shared" ca="1" si="3"/>
        <v/>
      </c>
      <c r="N36" s="19" t="str">
        <f t="shared" ca="1" si="4"/>
        <v/>
      </c>
    </row>
    <row r="37" spans="1:14" ht="15.75" customHeight="1" x14ac:dyDescent="0.25">
      <c r="A37" s="11"/>
      <c r="B37" s="11"/>
      <c r="C37" s="11"/>
      <c r="D37" s="11"/>
      <c r="E37" s="11"/>
      <c r="F37" s="17" t="str">
        <f>IF(E37=0,"",IFERROR(E37*Config!B18,0))</f>
        <v/>
      </c>
      <c r="G37" s="13" t="str">
        <f t="shared" si="0"/>
        <v/>
      </c>
      <c r="H37" s="11"/>
      <c r="I37" s="11"/>
      <c r="J37" s="16" t="str">
        <f t="shared" si="1"/>
        <v/>
      </c>
      <c r="K37" s="18" t="str">
        <f>IF(A37="","",IFERROR(SUMIF(Transactions!A$4:A$1003,A37,Transactions!F$4:F$1003),0))</f>
        <v/>
      </c>
      <c r="L37" s="15" t="str">
        <f t="shared" si="2"/>
        <v/>
      </c>
      <c r="M37" s="12" t="str">
        <f t="shared" ca="1" si="3"/>
        <v/>
      </c>
      <c r="N37" s="19" t="str">
        <f t="shared" ca="1" si="4"/>
        <v/>
      </c>
    </row>
    <row r="38" spans="1:14" ht="15.75" customHeight="1" x14ac:dyDescent="0.25">
      <c r="A38" s="11"/>
      <c r="B38" s="11"/>
      <c r="C38" s="11"/>
      <c r="D38" s="11"/>
      <c r="E38" s="11"/>
      <c r="F38" s="17" t="str">
        <f>IF(E38=0,"",IFERROR(E38*Config!B18,0))</f>
        <v/>
      </c>
      <c r="G38" s="13" t="str">
        <f t="shared" si="0"/>
        <v/>
      </c>
      <c r="H38" s="11"/>
      <c r="I38" s="11"/>
      <c r="J38" s="16" t="str">
        <f t="shared" si="1"/>
        <v/>
      </c>
      <c r="K38" s="18" t="str">
        <f>IF(A38="","",IFERROR(SUMIF(Transactions!A$4:A$1003,A38,Transactions!F$4:F$1003),0))</f>
        <v/>
      </c>
      <c r="L38" s="15" t="str">
        <f t="shared" si="2"/>
        <v/>
      </c>
      <c r="M38" s="12" t="str">
        <f t="shared" ca="1" si="3"/>
        <v/>
      </c>
      <c r="N38" s="19" t="str">
        <f t="shared" ca="1" si="4"/>
        <v/>
      </c>
    </row>
    <row r="39" spans="1:14" ht="15.75" customHeight="1" x14ac:dyDescent="0.25">
      <c r="A39" s="11"/>
      <c r="B39" s="11"/>
      <c r="C39" s="11"/>
      <c r="D39" s="11"/>
      <c r="E39" s="11"/>
      <c r="F39" s="17" t="str">
        <f>IF(E39=0,"",IFERROR(E39*Config!B18,0))</f>
        <v/>
      </c>
      <c r="G39" s="13" t="str">
        <f t="shared" si="0"/>
        <v/>
      </c>
      <c r="H39" s="11"/>
      <c r="I39" s="11"/>
      <c r="J39" s="16" t="str">
        <f t="shared" si="1"/>
        <v/>
      </c>
      <c r="K39" s="18" t="str">
        <f>IF(A39="","",IFERROR(SUMIF(Transactions!A$4:A$1003,A39,Transactions!F$4:F$1003),0))</f>
        <v/>
      </c>
      <c r="L39" s="15" t="str">
        <f t="shared" si="2"/>
        <v/>
      </c>
      <c r="M39" s="12" t="str">
        <f t="shared" ca="1" si="3"/>
        <v/>
      </c>
      <c r="N39" s="19" t="str">
        <f t="shared" ca="1" si="4"/>
        <v/>
      </c>
    </row>
    <row r="40" spans="1:14" ht="15.75" customHeight="1" x14ac:dyDescent="0.25">
      <c r="A40" s="11"/>
      <c r="B40" s="11"/>
      <c r="C40" s="11"/>
      <c r="D40" s="11"/>
      <c r="E40" s="11"/>
      <c r="F40" s="17" t="str">
        <f>IF(E40=0,"",IFERROR(E40*Config!B18,0))</f>
        <v/>
      </c>
      <c r="G40" s="13" t="str">
        <f t="shared" si="0"/>
        <v/>
      </c>
      <c r="H40" s="11"/>
      <c r="I40" s="11"/>
      <c r="J40" s="16" t="str">
        <f t="shared" si="1"/>
        <v/>
      </c>
      <c r="K40" s="18" t="str">
        <f>IF(A40="","",IFERROR(SUMIF(Transactions!A$4:A$1003,A40,Transactions!F$4:F$1003),0))</f>
        <v/>
      </c>
      <c r="L40" s="15" t="str">
        <f t="shared" si="2"/>
        <v/>
      </c>
      <c r="M40" s="12" t="str">
        <f t="shared" ca="1" si="3"/>
        <v/>
      </c>
      <c r="N40" s="19" t="str">
        <f t="shared" ca="1" si="4"/>
        <v/>
      </c>
    </row>
    <row r="41" spans="1:14" ht="15.75" customHeight="1" x14ac:dyDescent="0.25">
      <c r="A41" s="11"/>
      <c r="B41" s="11"/>
      <c r="C41" s="11"/>
      <c r="D41" s="11"/>
      <c r="E41" s="11"/>
      <c r="F41" s="17" t="str">
        <f>IF(E41=0,"",IFERROR(E41*Config!B18,0))</f>
        <v/>
      </c>
      <c r="G41" s="13" t="str">
        <f t="shared" si="0"/>
        <v/>
      </c>
      <c r="H41" s="11"/>
      <c r="I41" s="11"/>
      <c r="J41" s="16" t="str">
        <f t="shared" si="1"/>
        <v/>
      </c>
      <c r="K41" s="18" t="str">
        <f>IF(A41="","",IFERROR(SUMIF(Transactions!A$4:A$1003,A41,Transactions!F$4:F$1003),0))</f>
        <v/>
      </c>
      <c r="L41" s="15" t="str">
        <f t="shared" si="2"/>
        <v/>
      </c>
      <c r="M41" s="12" t="str">
        <f t="shared" ca="1" si="3"/>
        <v/>
      </c>
      <c r="N41" s="19" t="str">
        <f t="shared" ca="1" si="4"/>
        <v/>
      </c>
    </row>
    <row r="42" spans="1:14" ht="15.75" customHeight="1" x14ac:dyDescent="0.25">
      <c r="A42" s="11"/>
      <c r="B42" s="11"/>
      <c r="C42" s="11"/>
      <c r="D42" s="11"/>
      <c r="E42" s="11"/>
      <c r="F42" s="17" t="str">
        <f>IF(E42=0,"",IFERROR(E42*Config!B18,0))</f>
        <v/>
      </c>
      <c r="G42" s="13" t="str">
        <f t="shared" si="0"/>
        <v/>
      </c>
      <c r="H42" s="11"/>
      <c r="I42" s="11"/>
      <c r="J42" s="16" t="str">
        <f t="shared" si="1"/>
        <v/>
      </c>
      <c r="K42" s="18" t="str">
        <f>IF(A42="","",IFERROR(SUMIF(Transactions!A$4:A$1003,A42,Transactions!F$4:F$1003),0))</f>
        <v/>
      </c>
      <c r="L42" s="15" t="str">
        <f t="shared" si="2"/>
        <v/>
      </c>
      <c r="M42" s="12" t="str">
        <f t="shared" ca="1" si="3"/>
        <v/>
      </c>
      <c r="N42" s="19" t="str">
        <f t="shared" ca="1" si="4"/>
        <v/>
      </c>
    </row>
    <row r="43" spans="1:14" ht="15.75" customHeight="1" x14ac:dyDescent="0.25">
      <c r="A43" s="11"/>
      <c r="B43" s="11"/>
      <c r="C43" s="11"/>
      <c r="D43" s="11"/>
      <c r="E43" s="11"/>
      <c r="F43" s="17" t="str">
        <f>IF(E43=0,"",IFERROR(E43*Config!B18,0))</f>
        <v/>
      </c>
      <c r="G43" s="13" t="str">
        <f t="shared" si="0"/>
        <v/>
      </c>
      <c r="H43" s="11"/>
      <c r="I43" s="11"/>
      <c r="J43" s="16" t="str">
        <f t="shared" si="1"/>
        <v/>
      </c>
      <c r="K43" s="18" t="str">
        <f>IF(A43="","",IFERROR(SUMIF(Transactions!A$4:A$1003,A43,Transactions!F$4:F$1003),0))</f>
        <v/>
      </c>
      <c r="L43" s="15" t="str">
        <f t="shared" si="2"/>
        <v/>
      </c>
      <c r="M43" s="12" t="str">
        <f t="shared" ca="1" si="3"/>
        <v/>
      </c>
      <c r="N43" s="19" t="str">
        <f t="shared" ca="1" si="4"/>
        <v/>
      </c>
    </row>
    <row r="44" spans="1:14" ht="15.75" customHeight="1" x14ac:dyDescent="0.25">
      <c r="A44" s="11"/>
      <c r="B44" s="11"/>
      <c r="C44" s="11"/>
      <c r="D44" s="11"/>
      <c r="E44" s="11"/>
      <c r="F44" s="17" t="str">
        <f>IF(E44=0,"",IFERROR(E44*Config!B18,0))</f>
        <v/>
      </c>
      <c r="G44" s="13" t="str">
        <f t="shared" si="0"/>
        <v/>
      </c>
      <c r="H44" s="11"/>
      <c r="I44" s="11"/>
      <c r="J44" s="16" t="str">
        <f t="shared" si="1"/>
        <v/>
      </c>
      <c r="K44" s="18" t="str">
        <f>IF(A44="","",IFERROR(SUMIF(Transactions!A$4:A$1003,A44,Transactions!F$4:F$1003),0))</f>
        <v/>
      </c>
      <c r="L44" s="15" t="str">
        <f t="shared" si="2"/>
        <v/>
      </c>
      <c r="M44" s="12" t="str">
        <f t="shared" ca="1" si="3"/>
        <v/>
      </c>
      <c r="N44" s="19" t="str">
        <f t="shared" ca="1" si="4"/>
        <v/>
      </c>
    </row>
    <row r="45" spans="1:14" ht="15.75" customHeight="1" x14ac:dyDescent="0.25">
      <c r="A45" s="11"/>
      <c r="B45" s="11"/>
      <c r="C45" s="11"/>
      <c r="D45" s="11"/>
      <c r="E45" s="11"/>
      <c r="F45" s="17" t="str">
        <f>IF(E45=0,"",IFERROR(E45*Config!B18,0))</f>
        <v/>
      </c>
      <c r="G45" s="13" t="str">
        <f t="shared" si="0"/>
        <v/>
      </c>
      <c r="H45" s="11"/>
      <c r="I45" s="11"/>
      <c r="J45" s="16" t="str">
        <f t="shared" si="1"/>
        <v/>
      </c>
      <c r="K45" s="18" t="str">
        <f>IF(A45="","",IFERROR(SUMIF(Transactions!A$4:A$1003,A45,Transactions!F$4:F$1003),0))</f>
        <v/>
      </c>
      <c r="L45" s="15" t="str">
        <f t="shared" si="2"/>
        <v/>
      </c>
      <c r="M45" s="12" t="str">
        <f t="shared" ca="1" si="3"/>
        <v/>
      </c>
      <c r="N45" s="19" t="str">
        <f t="shared" ca="1" si="4"/>
        <v/>
      </c>
    </row>
    <row r="46" spans="1:14" ht="15.75" customHeight="1" x14ac:dyDescent="0.25">
      <c r="A46" s="11"/>
      <c r="B46" s="11"/>
      <c r="C46" s="11"/>
      <c r="D46" s="11"/>
      <c r="E46" s="11"/>
      <c r="F46" s="17" t="str">
        <f>IF(E46=0,"",IFERROR(E46*Config!B18,0))</f>
        <v/>
      </c>
      <c r="G46" s="13" t="str">
        <f t="shared" si="0"/>
        <v/>
      </c>
      <c r="H46" s="11"/>
      <c r="I46" s="11"/>
      <c r="J46" s="16" t="str">
        <f t="shared" si="1"/>
        <v/>
      </c>
      <c r="K46" s="18" t="str">
        <f>IF(A46="","",IFERROR(SUMIF(Transactions!A$4:A$1003,A46,Transactions!F$4:F$1003),0))</f>
        <v/>
      </c>
      <c r="L46" s="15" t="str">
        <f t="shared" si="2"/>
        <v/>
      </c>
      <c r="M46" s="12" t="str">
        <f t="shared" ca="1" si="3"/>
        <v/>
      </c>
      <c r="N46" s="19" t="str">
        <f t="shared" ca="1" si="4"/>
        <v/>
      </c>
    </row>
    <row r="47" spans="1:14" ht="15.75" customHeight="1" x14ac:dyDescent="0.25">
      <c r="A47" s="11"/>
      <c r="B47" s="11"/>
      <c r="C47" s="11"/>
      <c r="D47" s="11"/>
      <c r="E47" s="11"/>
      <c r="F47" s="17" t="str">
        <f>IF(E47=0,"",IFERROR(E47*Config!B18,0))</f>
        <v/>
      </c>
      <c r="G47" s="13" t="str">
        <f t="shared" si="0"/>
        <v/>
      </c>
      <c r="H47" s="11"/>
      <c r="I47" s="11"/>
      <c r="J47" s="16" t="str">
        <f t="shared" si="1"/>
        <v/>
      </c>
      <c r="K47" s="18" t="str">
        <f>IF(A47="","",IFERROR(SUMIF(Transactions!A$4:A$1003,A47,Transactions!F$4:F$1003),0))</f>
        <v/>
      </c>
      <c r="L47" s="15" t="str">
        <f t="shared" si="2"/>
        <v/>
      </c>
      <c r="M47" s="12" t="str">
        <f t="shared" ca="1" si="3"/>
        <v/>
      </c>
      <c r="N47" s="19" t="str">
        <f t="shared" ca="1" si="4"/>
        <v/>
      </c>
    </row>
    <row r="48" spans="1:14" ht="15.75" customHeight="1" x14ac:dyDescent="0.25">
      <c r="A48" s="11"/>
      <c r="B48" s="11"/>
      <c r="C48" s="11"/>
      <c r="D48" s="11"/>
      <c r="E48" s="11"/>
      <c r="F48" s="17" t="str">
        <f>IF(E48=0,"",IFERROR(E48*Config!B18,0))</f>
        <v/>
      </c>
      <c r="G48" s="13" t="str">
        <f t="shared" si="0"/>
        <v/>
      </c>
      <c r="H48" s="11"/>
      <c r="I48" s="11"/>
      <c r="J48" s="16" t="str">
        <f t="shared" si="1"/>
        <v/>
      </c>
      <c r="K48" s="18" t="str">
        <f>IF(A48="","",IFERROR(SUMIF(Transactions!A$4:A$1003,A48,Transactions!F$4:F$1003),0))</f>
        <v/>
      </c>
      <c r="L48" s="15" t="str">
        <f t="shared" si="2"/>
        <v/>
      </c>
      <c r="M48" s="12" t="str">
        <f t="shared" ca="1" si="3"/>
        <v/>
      </c>
      <c r="N48" s="19" t="str">
        <f t="shared" ca="1" si="4"/>
        <v/>
      </c>
    </row>
    <row r="49" spans="1:14" ht="15.75" customHeight="1" x14ac:dyDescent="0.25">
      <c r="A49" s="11"/>
      <c r="B49" s="11"/>
      <c r="C49" s="11"/>
      <c r="D49" s="11"/>
      <c r="E49" s="11"/>
      <c r="F49" s="17" t="str">
        <f>IF(E49=0,"",IFERROR(E49*Config!B18,0))</f>
        <v/>
      </c>
      <c r="G49" s="13" t="str">
        <f t="shared" si="0"/>
        <v/>
      </c>
      <c r="H49" s="11"/>
      <c r="I49" s="11"/>
      <c r="J49" s="16" t="str">
        <f t="shared" si="1"/>
        <v/>
      </c>
      <c r="K49" s="18" t="str">
        <f>IF(A49="","",IFERROR(SUMIF(Transactions!A$4:A$1003,A49,Transactions!F$4:F$1003),0))</f>
        <v/>
      </c>
      <c r="L49" s="15" t="str">
        <f t="shared" si="2"/>
        <v/>
      </c>
      <c r="M49" s="12" t="str">
        <f t="shared" ca="1" si="3"/>
        <v/>
      </c>
      <c r="N49" s="19" t="str">
        <f t="shared" ca="1" si="4"/>
        <v/>
      </c>
    </row>
    <row r="50" spans="1:14" ht="15.75" customHeight="1" x14ac:dyDescent="0.25">
      <c r="A50" s="11"/>
      <c r="B50" s="11"/>
      <c r="C50" s="11"/>
      <c r="D50" s="11"/>
      <c r="E50" s="11"/>
      <c r="F50" s="17" t="str">
        <f>IF(E50=0,"",IFERROR(E50*Config!B18,0))</f>
        <v/>
      </c>
      <c r="G50" s="13" t="str">
        <f t="shared" si="0"/>
        <v/>
      </c>
      <c r="H50" s="11"/>
      <c r="I50" s="11"/>
      <c r="J50" s="16" t="str">
        <f t="shared" si="1"/>
        <v/>
      </c>
      <c r="K50" s="18" t="str">
        <f>IF(A50="","",IFERROR(SUMIF(Transactions!A$4:A$1003,A50,Transactions!F$4:F$1003),0))</f>
        <v/>
      </c>
      <c r="L50" s="15" t="str">
        <f t="shared" si="2"/>
        <v/>
      </c>
      <c r="M50" s="12" t="str">
        <f t="shared" ca="1" si="3"/>
        <v/>
      </c>
      <c r="N50" s="19" t="str">
        <f t="shared" ca="1" si="4"/>
        <v/>
      </c>
    </row>
    <row r="51" spans="1:14" ht="15.75" customHeight="1" x14ac:dyDescent="0.25">
      <c r="A51" s="11"/>
      <c r="B51" s="11"/>
      <c r="C51" s="11"/>
      <c r="D51" s="11"/>
      <c r="E51" s="11"/>
      <c r="F51" s="17" t="str">
        <f>IF(E51=0,"",IFERROR(E51*Config!B18,0))</f>
        <v/>
      </c>
      <c r="G51" s="13" t="str">
        <f t="shared" si="0"/>
        <v/>
      </c>
      <c r="H51" s="11"/>
      <c r="I51" s="11"/>
      <c r="J51" s="16" t="str">
        <f t="shared" si="1"/>
        <v/>
      </c>
      <c r="K51" s="18" t="str">
        <f>IF(A51="","",IFERROR(SUMIF(Transactions!A$4:A$1003,A51,Transactions!F$4:F$1003),0))</f>
        <v/>
      </c>
      <c r="L51" s="15" t="str">
        <f t="shared" si="2"/>
        <v/>
      </c>
      <c r="M51" s="12" t="str">
        <f t="shared" ca="1" si="3"/>
        <v/>
      </c>
      <c r="N51" s="19" t="str">
        <f t="shared" ca="1" si="4"/>
        <v/>
      </c>
    </row>
    <row r="52" spans="1:14" ht="15.75" customHeight="1" x14ac:dyDescent="0.25">
      <c r="A52" s="11"/>
      <c r="B52" s="11"/>
      <c r="C52" s="11"/>
      <c r="D52" s="11"/>
      <c r="E52" s="11"/>
      <c r="F52" s="17" t="str">
        <f>IF(E52=0,"",IFERROR(E52*Config!B18,0))</f>
        <v/>
      </c>
      <c r="G52" s="13" t="str">
        <f t="shared" si="0"/>
        <v/>
      </c>
      <c r="H52" s="11"/>
      <c r="I52" s="11"/>
      <c r="J52" s="16" t="str">
        <f t="shared" si="1"/>
        <v/>
      </c>
      <c r="K52" s="18" t="str">
        <f>IF(A52="","",IFERROR(SUMIF(Transactions!A$4:A$1003,A52,Transactions!F$4:F$1003),0))</f>
        <v/>
      </c>
      <c r="L52" s="15" t="str">
        <f t="shared" si="2"/>
        <v/>
      </c>
      <c r="M52" s="12" t="str">
        <f t="shared" ca="1" si="3"/>
        <v/>
      </c>
      <c r="N52" s="19" t="str">
        <f t="shared" ca="1" si="4"/>
        <v/>
      </c>
    </row>
    <row r="53" spans="1:14" ht="15.75" customHeight="1" x14ac:dyDescent="0.25">
      <c r="A53" s="11"/>
      <c r="B53" s="11"/>
      <c r="C53" s="11"/>
      <c r="D53" s="11"/>
      <c r="E53" s="11"/>
      <c r="F53" s="17" t="str">
        <f>IF(E53=0,"",IFERROR(E53*Config!B18,0))</f>
        <v/>
      </c>
      <c r="G53" s="13" t="str">
        <f t="shared" si="0"/>
        <v/>
      </c>
      <c r="H53" s="11"/>
      <c r="I53" s="11"/>
      <c r="J53" s="16" t="str">
        <f t="shared" si="1"/>
        <v/>
      </c>
      <c r="K53" s="18" t="str">
        <f>IF(A53="","",IFERROR(SUMIF(Transactions!A$4:A$1003,A53,Transactions!F$4:F$1003),0))</f>
        <v/>
      </c>
      <c r="L53" s="15" t="str">
        <f t="shared" si="2"/>
        <v/>
      </c>
      <c r="M53" s="12" t="str">
        <f t="shared" ca="1" si="3"/>
        <v/>
      </c>
      <c r="N53" s="19" t="str">
        <f t="shared" ca="1" si="4"/>
        <v/>
      </c>
    </row>
    <row r="54" spans="1:14" ht="15.75" customHeight="1" x14ac:dyDescent="0.25">
      <c r="A54" s="11"/>
      <c r="B54" s="11"/>
      <c r="C54" s="11"/>
      <c r="D54" s="11"/>
      <c r="E54" s="11"/>
      <c r="F54" s="17" t="str">
        <f>IF(E54=0,"",IFERROR(E54*Config!B18,0))</f>
        <v/>
      </c>
      <c r="G54" s="13" t="str">
        <f t="shared" si="0"/>
        <v/>
      </c>
      <c r="H54" s="11"/>
      <c r="I54" s="11"/>
      <c r="J54" s="16" t="str">
        <f t="shared" si="1"/>
        <v/>
      </c>
      <c r="K54" s="18" t="str">
        <f>IF(A54="","",IFERROR(SUMIF(Transactions!A$4:A$1003,A54,Transactions!F$4:F$1003),0))</f>
        <v/>
      </c>
      <c r="L54" s="15" t="str">
        <f t="shared" si="2"/>
        <v/>
      </c>
      <c r="M54" s="12" t="str">
        <f t="shared" ca="1" si="3"/>
        <v/>
      </c>
      <c r="N54" s="19" t="str">
        <f t="shared" ca="1" si="4"/>
        <v/>
      </c>
    </row>
    <row r="55" spans="1:14" ht="15.75" customHeight="1" x14ac:dyDescent="0.25">
      <c r="A55" s="11"/>
      <c r="B55" s="11"/>
      <c r="C55" s="11"/>
      <c r="D55" s="11"/>
      <c r="E55" s="11"/>
      <c r="F55" s="17" t="str">
        <f>IF(E55=0,"",IFERROR(E55*Config!B18,0))</f>
        <v/>
      </c>
      <c r="G55" s="13" t="str">
        <f t="shared" si="0"/>
        <v/>
      </c>
      <c r="H55" s="11"/>
      <c r="I55" s="11"/>
      <c r="J55" s="16" t="str">
        <f t="shared" si="1"/>
        <v/>
      </c>
      <c r="K55" s="18" t="str">
        <f>IF(A55="","",IFERROR(SUMIF(Transactions!A$4:A$1003,A55,Transactions!F$4:F$1003),0))</f>
        <v/>
      </c>
      <c r="L55" s="15" t="str">
        <f t="shared" si="2"/>
        <v/>
      </c>
      <c r="M55" s="12" t="str">
        <f t="shared" ca="1" si="3"/>
        <v/>
      </c>
      <c r="N55" s="19" t="str">
        <f t="shared" ca="1" si="4"/>
        <v/>
      </c>
    </row>
    <row r="56" spans="1:14" ht="15.75" customHeight="1" x14ac:dyDescent="0.25">
      <c r="A56" s="11"/>
      <c r="B56" s="11"/>
      <c r="C56" s="11"/>
      <c r="D56" s="11"/>
      <c r="E56" s="11"/>
      <c r="F56" s="17" t="str">
        <f>IF(E56=0,"",IFERROR(E56*Config!B18,0))</f>
        <v/>
      </c>
      <c r="G56" s="13" t="str">
        <f t="shared" si="0"/>
        <v/>
      </c>
      <c r="H56" s="11"/>
      <c r="I56" s="11"/>
      <c r="J56" s="16" t="str">
        <f t="shared" si="1"/>
        <v/>
      </c>
      <c r="K56" s="18" t="str">
        <f>IF(A56="","",IFERROR(SUMIF(Transactions!A$4:A$1003,A56,Transactions!F$4:F$1003),0))</f>
        <v/>
      </c>
      <c r="L56" s="15" t="str">
        <f t="shared" si="2"/>
        <v/>
      </c>
      <c r="M56" s="12" t="str">
        <f t="shared" ca="1" si="3"/>
        <v/>
      </c>
      <c r="N56" s="19" t="str">
        <f t="shared" ca="1" si="4"/>
        <v/>
      </c>
    </row>
    <row r="57" spans="1:14" ht="15.75" customHeight="1" x14ac:dyDescent="0.25">
      <c r="A57" s="11"/>
      <c r="B57" s="11"/>
      <c r="C57" s="11"/>
      <c r="D57" s="11"/>
      <c r="E57" s="11"/>
      <c r="F57" s="17" t="str">
        <f>IF(E57=0,"",IFERROR(E57*Config!B18,0))</f>
        <v/>
      </c>
      <c r="G57" s="13" t="str">
        <f t="shared" si="0"/>
        <v/>
      </c>
      <c r="H57" s="11"/>
      <c r="I57" s="11"/>
      <c r="J57" s="16" t="str">
        <f t="shared" si="1"/>
        <v/>
      </c>
      <c r="K57" s="18" t="str">
        <f>IF(A57="","",IFERROR(SUMIF(Transactions!A$4:A$1003,A57,Transactions!F$4:F$1003),0))</f>
        <v/>
      </c>
      <c r="L57" s="15" t="str">
        <f t="shared" si="2"/>
        <v/>
      </c>
      <c r="M57" s="12" t="str">
        <f t="shared" ca="1" si="3"/>
        <v/>
      </c>
      <c r="N57" s="19" t="str">
        <f t="shared" ca="1" si="4"/>
        <v/>
      </c>
    </row>
    <row r="58" spans="1:14" ht="15.75" customHeight="1" x14ac:dyDescent="0.25">
      <c r="A58" s="11"/>
      <c r="B58" s="11"/>
      <c r="C58" s="11"/>
      <c r="D58" s="11"/>
      <c r="E58" s="11"/>
      <c r="F58" s="17" t="str">
        <f>IF(E58=0,"",IFERROR(E58*Config!B18,0))</f>
        <v/>
      </c>
      <c r="G58" s="13" t="str">
        <f t="shared" si="0"/>
        <v/>
      </c>
      <c r="H58" s="11"/>
      <c r="I58" s="11"/>
      <c r="J58" s="16" t="str">
        <f t="shared" si="1"/>
        <v/>
      </c>
      <c r="K58" s="18" t="str">
        <f>IF(A58="","",IFERROR(SUMIF(Transactions!A$4:A$1003,A58,Transactions!F$4:F$1003),0))</f>
        <v/>
      </c>
      <c r="L58" s="15" t="str">
        <f t="shared" si="2"/>
        <v/>
      </c>
      <c r="M58" s="12" t="str">
        <f t="shared" ca="1" si="3"/>
        <v/>
      </c>
      <c r="N58" s="19" t="str">
        <f t="shared" ca="1" si="4"/>
        <v/>
      </c>
    </row>
    <row r="59" spans="1:14" ht="15.75" customHeight="1" x14ac:dyDescent="0.25">
      <c r="A59" s="11"/>
      <c r="B59" s="11"/>
      <c r="C59" s="11"/>
      <c r="D59" s="11"/>
      <c r="E59" s="11"/>
      <c r="F59" s="17" t="str">
        <f>IF(E59=0,"",IFERROR(E59*Config!B18,0))</f>
        <v/>
      </c>
      <c r="G59" s="13" t="str">
        <f t="shared" si="0"/>
        <v/>
      </c>
      <c r="H59" s="11"/>
      <c r="I59" s="11"/>
      <c r="J59" s="16" t="str">
        <f t="shared" si="1"/>
        <v/>
      </c>
      <c r="K59" s="18" t="str">
        <f>IF(A59="","",IFERROR(SUMIF(Transactions!A$4:A$1003,A59,Transactions!F$4:F$1003),0))</f>
        <v/>
      </c>
      <c r="L59" s="15" t="str">
        <f t="shared" si="2"/>
        <v/>
      </c>
      <c r="M59" s="12" t="str">
        <f t="shared" ca="1" si="3"/>
        <v/>
      </c>
      <c r="N59" s="19" t="str">
        <f t="shared" ca="1" si="4"/>
        <v/>
      </c>
    </row>
    <row r="60" spans="1:14" ht="15.75" customHeight="1" x14ac:dyDescent="0.25">
      <c r="A60" s="11"/>
      <c r="B60" s="11"/>
      <c r="C60" s="11"/>
      <c r="D60" s="11"/>
      <c r="E60" s="11"/>
      <c r="F60" s="17" t="str">
        <f>IF(E60=0,"",IFERROR(E60*Config!B18,0))</f>
        <v/>
      </c>
      <c r="G60" s="13" t="str">
        <f t="shared" si="0"/>
        <v/>
      </c>
      <c r="H60" s="11"/>
      <c r="I60" s="11"/>
      <c r="J60" s="16" t="str">
        <f t="shared" si="1"/>
        <v/>
      </c>
      <c r="K60" s="18" t="str">
        <f>IF(A60="","",IFERROR(SUMIF(Transactions!A$4:A$1003,A60,Transactions!F$4:F$1003),0))</f>
        <v/>
      </c>
      <c r="L60" s="15" t="str">
        <f t="shared" si="2"/>
        <v/>
      </c>
      <c r="M60" s="12" t="str">
        <f t="shared" ca="1" si="3"/>
        <v/>
      </c>
      <c r="N60" s="19" t="str">
        <f t="shared" ca="1" si="4"/>
        <v/>
      </c>
    </row>
    <row r="61" spans="1:14" ht="15.75" customHeight="1" x14ac:dyDescent="0.25">
      <c r="A61" s="11"/>
      <c r="B61" s="11"/>
      <c r="C61" s="11"/>
      <c r="D61" s="11"/>
      <c r="E61" s="11"/>
      <c r="F61" s="17" t="str">
        <f>IF(E61=0,"",IFERROR(E61*Config!B18,0))</f>
        <v/>
      </c>
      <c r="G61" s="13" t="str">
        <f t="shared" si="0"/>
        <v/>
      </c>
      <c r="H61" s="11"/>
      <c r="I61" s="11"/>
      <c r="J61" s="16" t="str">
        <f t="shared" si="1"/>
        <v/>
      </c>
      <c r="K61" s="18" t="str">
        <f>IF(A61="","",IFERROR(SUMIF(Transactions!A$4:A$1003,A61,Transactions!F$4:F$1003),0))</f>
        <v/>
      </c>
      <c r="L61" s="15" t="str">
        <f t="shared" si="2"/>
        <v/>
      </c>
      <c r="M61" s="12" t="str">
        <f t="shared" ca="1" si="3"/>
        <v/>
      </c>
      <c r="N61" s="19" t="str">
        <f t="shared" ca="1" si="4"/>
        <v/>
      </c>
    </row>
    <row r="62" spans="1:14" ht="15.75" customHeight="1" x14ac:dyDescent="0.25">
      <c r="A62" s="11"/>
      <c r="B62" s="11"/>
      <c r="C62" s="11"/>
      <c r="D62" s="11"/>
      <c r="E62" s="11"/>
      <c r="F62" s="17" t="str">
        <f>IF(E62=0,"",IFERROR(E62*Config!B18,0))</f>
        <v/>
      </c>
      <c r="G62" s="13" t="str">
        <f t="shared" si="0"/>
        <v/>
      </c>
      <c r="H62" s="11"/>
      <c r="I62" s="11"/>
      <c r="J62" s="16" t="str">
        <f t="shared" si="1"/>
        <v/>
      </c>
      <c r="K62" s="18" t="str">
        <f>IF(A62="","",IFERROR(SUMIF(Transactions!A$4:A$1003,A62,Transactions!F$4:F$1003),0))</f>
        <v/>
      </c>
      <c r="L62" s="15" t="str">
        <f t="shared" si="2"/>
        <v/>
      </c>
      <c r="M62" s="12" t="str">
        <f t="shared" ca="1" si="3"/>
        <v/>
      </c>
      <c r="N62" s="19" t="str">
        <f t="shared" ca="1" si="4"/>
        <v/>
      </c>
    </row>
    <row r="63" spans="1:14" ht="15.75" customHeight="1" x14ac:dyDescent="0.25">
      <c r="A63" s="11"/>
      <c r="B63" s="11"/>
      <c r="C63" s="11"/>
      <c r="D63" s="11"/>
      <c r="E63" s="11"/>
      <c r="F63" s="17" t="str">
        <f>IF(E63=0,"",IFERROR(E63*Config!B18,0))</f>
        <v/>
      </c>
      <c r="G63" s="13" t="str">
        <f t="shared" si="0"/>
        <v/>
      </c>
      <c r="H63" s="11"/>
      <c r="I63" s="11"/>
      <c r="J63" s="16" t="str">
        <f t="shared" si="1"/>
        <v/>
      </c>
      <c r="K63" s="18" t="str">
        <f>IF(A63="","",IFERROR(SUMIF(Transactions!A$4:A$1003,A63,Transactions!F$4:F$1003),0))</f>
        <v/>
      </c>
      <c r="L63" s="15" t="str">
        <f t="shared" si="2"/>
        <v/>
      </c>
      <c r="M63" s="12" t="str">
        <f t="shared" ca="1" si="3"/>
        <v/>
      </c>
      <c r="N63" s="19" t="str">
        <f t="shared" ca="1" si="4"/>
        <v/>
      </c>
    </row>
    <row r="64" spans="1:14" ht="15.75" customHeight="1" x14ac:dyDescent="0.25">
      <c r="A64" s="11"/>
      <c r="B64" s="11"/>
      <c r="C64" s="11"/>
      <c r="D64" s="11"/>
      <c r="E64" s="11"/>
      <c r="F64" s="17" t="str">
        <f>IF(E64=0,"",IFERROR(E64*Config!B18,0))</f>
        <v/>
      </c>
      <c r="G64" s="13" t="str">
        <f t="shared" si="0"/>
        <v/>
      </c>
      <c r="H64" s="11"/>
      <c r="I64" s="11"/>
      <c r="J64" s="16" t="str">
        <f t="shared" si="1"/>
        <v/>
      </c>
      <c r="K64" s="18" t="str">
        <f>IF(A64="","",IFERROR(SUMIF(Transactions!A$4:A$1003,A64,Transactions!F$4:F$1003),0))</f>
        <v/>
      </c>
      <c r="L64" s="15" t="str">
        <f t="shared" si="2"/>
        <v/>
      </c>
      <c r="M64" s="12" t="str">
        <f t="shared" ca="1" si="3"/>
        <v/>
      </c>
      <c r="N64" s="19" t="str">
        <f t="shared" ca="1" si="4"/>
        <v/>
      </c>
    </row>
    <row r="65" spans="1:14" ht="15.75" customHeight="1" x14ac:dyDescent="0.25">
      <c r="A65" s="11"/>
      <c r="B65" s="11"/>
      <c r="C65" s="11"/>
      <c r="D65" s="11"/>
      <c r="E65" s="11"/>
      <c r="F65" s="17" t="str">
        <f>IF(E65=0,"",IFERROR(E65*Config!B18,0))</f>
        <v/>
      </c>
      <c r="G65" s="13" t="str">
        <f t="shared" si="0"/>
        <v/>
      </c>
      <c r="H65" s="11"/>
      <c r="I65" s="11"/>
      <c r="J65" s="16" t="str">
        <f t="shared" si="1"/>
        <v/>
      </c>
      <c r="K65" s="18" t="str">
        <f>IF(A65="","",IFERROR(SUMIF(Transactions!A$4:A$1003,A65,Transactions!F$4:F$1003),0))</f>
        <v/>
      </c>
      <c r="L65" s="15" t="str">
        <f t="shared" si="2"/>
        <v/>
      </c>
      <c r="M65" s="12" t="str">
        <f t="shared" ca="1" si="3"/>
        <v/>
      </c>
      <c r="N65" s="19" t="str">
        <f t="shared" ca="1" si="4"/>
        <v/>
      </c>
    </row>
    <row r="66" spans="1:14" ht="15.75" customHeight="1" x14ac:dyDescent="0.25">
      <c r="A66" s="11"/>
      <c r="B66" s="11"/>
      <c r="C66" s="11"/>
      <c r="D66" s="11"/>
      <c r="E66" s="11"/>
      <c r="F66" s="17" t="str">
        <f>IF(E66=0,"",IFERROR(E66*Config!B18,0))</f>
        <v/>
      </c>
      <c r="G66" s="13" t="str">
        <f t="shared" si="0"/>
        <v/>
      </c>
      <c r="H66" s="11"/>
      <c r="I66" s="11"/>
      <c r="J66" s="16" t="str">
        <f t="shared" si="1"/>
        <v/>
      </c>
      <c r="K66" s="18" t="str">
        <f>IF(A66="","",IFERROR(SUMIF(Transactions!A$4:A$1003,A66,Transactions!F$4:F$1003),0))</f>
        <v/>
      </c>
      <c r="L66" s="15" t="str">
        <f t="shared" si="2"/>
        <v/>
      </c>
      <c r="M66" s="12" t="str">
        <f t="shared" ca="1" si="3"/>
        <v/>
      </c>
      <c r="N66" s="19" t="str">
        <f t="shared" ca="1" si="4"/>
        <v/>
      </c>
    </row>
    <row r="67" spans="1:14" ht="15.75" customHeight="1" x14ac:dyDescent="0.25">
      <c r="A67" s="11"/>
      <c r="B67" s="11"/>
      <c r="C67" s="11"/>
      <c r="D67" s="11"/>
      <c r="E67" s="11"/>
      <c r="F67" s="17" t="str">
        <f>IF(E67=0,"",IFERROR(E67*Config!B18,0))</f>
        <v/>
      </c>
      <c r="G67" s="13" t="str">
        <f t="shared" si="0"/>
        <v/>
      </c>
      <c r="H67" s="11"/>
      <c r="I67" s="11"/>
      <c r="J67" s="16" t="str">
        <f t="shared" si="1"/>
        <v/>
      </c>
      <c r="K67" s="18" t="str">
        <f>IF(A67="","",IFERROR(SUMIF(Transactions!A$4:A$1003,A67,Transactions!F$4:F$1003),0))</f>
        <v/>
      </c>
      <c r="L67" s="15" t="str">
        <f t="shared" si="2"/>
        <v/>
      </c>
      <c r="M67" s="12" t="str">
        <f t="shared" ca="1" si="3"/>
        <v/>
      </c>
      <c r="N67" s="19" t="str">
        <f t="shared" ca="1" si="4"/>
        <v/>
      </c>
    </row>
    <row r="68" spans="1:14" ht="15.75" customHeight="1" x14ac:dyDescent="0.25">
      <c r="A68" s="11"/>
      <c r="B68" s="11"/>
      <c r="C68" s="11"/>
      <c r="D68" s="11"/>
      <c r="E68" s="11"/>
      <c r="F68" s="17" t="str">
        <f>IF(E68=0,"",IFERROR(E68*Config!B18,0))</f>
        <v/>
      </c>
      <c r="G68" s="13" t="str">
        <f t="shared" ref="G68:G131" si="5">IF(E68=0,"",MAX(0,E68-F68))</f>
        <v/>
      </c>
      <c r="H68" s="11"/>
      <c r="I68" s="11"/>
      <c r="J68" s="16" t="str">
        <f t="shared" ref="J68:J131" si="6">IF(E68=0,"",IFERROR(-PMT(H68/100/12,I68,-E68),0))</f>
        <v/>
      </c>
      <c r="K68" s="18" t="str">
        <f>IF(A68="","",IFERROR(SUMIF(Transactions!A$4:A$1003,A68,Transactions!F$4:F$1003),0))</f>
        <v/>
      </c>
      <c r="L68" s="15" t="str">
        <f t="shared" ref="L68:L131" si="7">IF(E68=0,"",MAX(0,E68-K68))</f>
        <v/>
      </c>
      <c r="M68" s="12" t="str">
        <f t="shared" ref="M68:M131" ca="1" si="8">IF(A68="","",IF(L68&lt;=0,"✅ Fully Paid",IF(AND(D68&lt;&gt;"",TODAY()&gt;D68+I68*30),"⚠ Overdue","🟢 Active")))</f>
        <v/>
      </c>
      <c r="N68" s="19" t="str">
        <f t="shared" ref="N68:N131" ca="1" si="9">IF(L68&lt;=0,TODAY(),"")</f>
        <v/>
      </c>
    </row>
    <row r="69" spans="1:14" ht="15.75" customHeight="1" x14ac:dyDescent="0.25">
      <c r="A69" s="11"/>
      <c r="B69" s="11"/>
      <c r="C69" s="11"/>
      <c r="D69" s="11"/>
      <c r="E69" s="11"/>
      <c r="F69" s="17" t="str">
        <f>IF(E69=0,"",IFERROR(E69*Config!B18,0))</f>
        <v/>
      </c>
      <c r="G69" s="13" t="str">
        <f t="shared" si="5"/>
        <v/>
      </c>
      <c r="H69" s="11"/>
      <c r="I69" s="11"/>
      <c r="J69" s="16" t="str">
        <f t="shared" si="6"/>
        <v/>
      </c>
      <c r="K69" s="18" t="str">
        <f>IF(A69="","",IFERROR(SUMIF(Transactions!A$4:A$1003,A69,Transactions!F$4:F$1003),0))</f>
        <v/>
      </c>
      <c r="L69" s="15" t="str">
        <f t="shared" si="7"/>
        <v/>
      </c>
      <c r="M69" s="12" t="str">
        <f t="shared" ca="1" si="8"/>
        <v/>
      </c>
      <c r="N69" s="19" t="str">
        <f t="shared" ca="1" si="9"/>
        <v/>
      </c>
    </row>
    <row r="70" spans="1:14" ht="15.75" customHeight="1" x14ac:dyDescent="0.25">
      <c r="A70" s="11"/>
      <c r="B70" s="11"/>
      <c r="C70" s="11"/>
      <c r="D70" s="11"/>
      <c r="E70" s="11"/>
      <c r="F70" s="17" t="str">
        <f>IF(E70=0,"",IFERROR(E70*Config!B18,0))</f>
        <v/>
      </c>
      <c r="G70" s="13" t="str">
        <f t="shared" si="5"/>
        <v/>
      </c>
      <c r="H70" s="11"/>
      <c r="I70" s="11"/>
      <c r="J70" s="16" t="str">
        <f t="shared" si="6"/>
        <v/>
      </c>
      <c r="K70" s="18" t="str">
        <f>IF(A70="","",IFERROR(SUMIF(Transactions!A$4:A$1003,A70,Transactions!F$4:F$1003),0))</f>
        <v/>
      </c>
      <c r="L70" s="15" t="str">
        <f t="shared" si="7"/>
        <v/>
      </c>
      <c r="M70" s="12" t="str">
        <f t="shared" ca="1" si="8"/>
        <v/>
      </c>
      <c r="N70" s="19" t="str">
        <f t="shared" ca="1" si="9"/>
        <v/>
      </c>
    </row>
    <row r="71" spans="1:14" ht="15.75" customHeight="1" x14ac:dyDescent="0.25">
      <c r="A71" s="11"/>
      <c r="B71" s="11"/>
      <c r="C71" s="11"/>
      <c r="D71" s="11"/>
      <c r="E71" s="11"/>
      <c r="F71" s="17" t="str">
        <f>IF(E71=0,"",IFERROR(E71*Config!B18,0))</f>
        <v/>
      </c>
      <c r="G71" s="13" t="str">
        <f t="shared" si="5"/>
        <v/>
      </c>
      <c r="H71" s="11"/>
      <c r="I71" s="11"/>
      <c r="J71" s="16" t="str">
        <f t="shared" si="6"/>
        <v/>
      </c>
      <c r="K71" s="18" t="str">
        <f>IF(A71="","",IFERROR(SUMIF(Transactions!A$4:A$1003,A71,Transactions!F$4:F$1003),0))</f>
        <v/>
      </c>
      <c r="L71" s="15" t="str">
        <f t="shared" si="7"/>
        <v/>
      </c>
      <c r="M71" s="12" t="str">
        <f t="shared" ca="1" si="8"/>
        <v/>
      </c>
      <c r="N71" s="19" t="str">
        <f t="shared" ca="1" si="9"/>
        <v/>
      </c>
    </row>
    <row r="72" spans="1:14" ht="15.75" customHeight="1" x14ac:dyDescent="0.25">
      <c r="A72" s="11"/>
      <c r="B72" s="11"/>
      <c r="C72" s="11"/>
      <c r="D72" s="11"/>
      <c r="E72" s="11"/>
      <c r="F72" s="17" t="str">
        <f>IF(E72=0,"",IFERROR(E72*Config!B18,0))</f>
        <v/>
      </c>
      <c r="G72" s="13" t="str">
        <f t="shared" si="5"/>
        <v/>
      </c>
      <c r="H72" s="11"/>
      <c r="I72" s="11"/>
      <c r="J72" s="16" t="str">
        <f t="shared" si="6"/>
        <v/>
      </c>
      <c r="K72" s="18" t="str">
        <f>IF(A72="","",IFERROR(SUMIF(Transactions!A$4:A$1003,A72,Transactions!F$4:F$1003),0))</f>
        <v/>
      </c>
      <c r="L72" s="15" t="str">
        <f t="shared" si="7"/>
        <v/>
      </c>
      <c r="M72" s="12" t="str">
        <f t="shared" ca="1" si="8"/>
        <v/>
      </c>
      <c r="N72" s="19" t="str">
        <f t="shared" ca="1" si="9"/>
        <v/>
      </c>
    </row>
    <row r="73" spans="1:14" ht="15.75" customHeight="1" x14ac:dyDescent="0.25">
      <c r="A73" s="11"/>
      <c r="B73" s="11"/>
      <c r="C73" s="11"/>
      <c r="D73" s="11"/>
      <c r="E73" s="11"/>
      <c r="F73" s="17" t="str">
        <f>IF(E73=0,"",IFERROR(E73*Config!B18,0))</f>
        <v/>
      </c>
      <c r="G73" s="13" t="str">
        <f t="shared" si="5"/>
        <v/>
      </c>
      <c r="H73" s="11"/>
      <c r="I73" s="11"/>
      <c r="J73" s="16" t="str">
        <f t="shared" si="6"/>
        <v/>
      </c>
      <c r="K73" s="18" t="str">
        <f>IF(A73="","",IFERROR(SUMIF(Transactions!A$4:A$1003,A73,Transactions!F$4:F$1003),0))</f>
        <v/>
      </c>
      <c r="L73" s="15" t="str">
        <f t="shared" si="7"/>
        <v/>
      </c>
      <c r="M73" s="12" t="str">
        <f t="shared" ca="1" si="8"/>
        <v/>
      </c>
      <c r="N73" s="19" t="str">
        <f t="shared" ca="1" si="9"/>
        <v/>
      </c>
    </row>
    <row r="74" spans="1:14" ht="15.75" customHeight="1" x14ac:dyDescent="0.25">
      <c r="A74" s="11"/>
      <c r="B74" s="11"/>
      <c r="C74" s="11"/>
      <c r="D74" s="11"/>
      <c r="E74" s="11"/>
      <c r="F74" s="17" t="str">
        <f>IF(E74=0,"",IFERROR(E74*Config!B18,0))</f>
        <v/>
      </c>
      <c r="G74" s="13" t="str">
        <f t="shared" si="5"/>
        <v/>
      </c>
      <c r="H74" s="11"/>
      <c r="I74" s="11"/>
      <c r="J74" s="16" t="str">
        <f t="shared" si="6"/>
        <v/>
      </c>
      <c r="K74" s="18" t="str">
        <f>IF(A74="","",IFERROR(SUMIF(Transactions!A$4:A$1003,A74,Transactions!F$4:F$1003),0))</f>
        <v/>
      </c>
      <c r="L74" s="15" t="str">
        <f t="shared" si="7"/>
        <v/>
      </c>
      <c r="M74" s="12" t="str">
        <f t="shared" ca="1" si="8"/>
        <v/>
      </c>
      <c r="N74" s="19" t="str">
        <f t="shared" ca="1" si="9"/>
        <v/>
      </c>
    </row>
    <row r="75" spans="1:14" ht="15.75" customHeight="1" x14ac:dyDescent="0.25">
      <c r="A75" s="11"/>
      <c r="B75" s="11"/>
      <c r="C75" s="11"/>
      <c r="D75" s="11"/>
      <c r="E75" s="11"/>
      <c r="F75" s="17" t="str">
        <f>IF(E75=0,"",IFERROR(E75*Config!B18,0))</f>
        <v/>
      </c>
      <c r="G75" s="13" t="str">
        <f t="shared" si="5"/>
        <v/>
      </c>
      <c r="H75" s="11"/>
      <c r="I75" s="11"/>
      <c r="J75" s="16" t="str">
        <f t="shared" si="6"/>
        <v/>
      </c>
      <c r="K75" s="18" t="str">
        <f>IF(A75="","",IFERROR(SUMIF(Transactions!A$4:A$1003,A75,Transactions!F$4:F$1003),0))</f>
        <v/>
      </c>
      <c r="L75" s="15" t="str">
        <f t="shared" si="7"/>
        <v/>
      </c>
      <c r="M75" s="12" t="str">
        <f t="shared" ca="1" si="8"/>
        <v/>
      </c>
      <c r="N75" s="19" t="str">
        <f t="shared" ca="1" si="9"/>
        <v/>
      </c>
    </row>
    <row r="76" spans="1:14" ht="15.75" customHeight="1" x14ac:dyDescent="0.25">
      <c r="A76" s="11"/>
      <c r="B76" s="11"/>
      <c r="C76" s="11"/>
      <c r="D76" s="11"/>
      <c r="E76" s="11"/>
      <c r="F76" s="17" t="str">
        <f>IF(E76=0,"",IFERROR(E76*Config!B18,0))</f>
        <v/>
      </c>
      <c r="G76" s="13" t="str">
        <f t="shared" si="5"/>
        <v/>
      </c>
      <c r="H76" s="11"/>
      <c r="I76" s="11"/>
      <c r="J76" s="16" t="str">
        <f t="shared" si="6"/>
        <v/>
      </c>
      <c r="K76" s="18" t="str">
        <f>IF(A76="","",IFERROR(SUMIF(Transactions!A$4:A$1003,A76,Transactions!F$4:F$1003),0))</f>
        <v/>
      </c>
      <c r="L76" s="15" t="str">
        <f t="shared" si="7"/>
        <v/>
      </c>
      <c r="M76" s="12" t="str">
        <f t="shared" ca="1" si="8"/>
        <v/>
      </c>
      <c r="N76" s="19" t="str">
        <f t="shared" ca="1" si="9"/>
        <v/>
      </c>
    </row>
    <row r="77" spans="1:14" ht="15.75" customHeight="1" x14ac:dyDescent="0.25">
      <c r="A77" s="11"/>
      <c r="B77" s="11"/>
      <c r="C77" s="11"/>
      <c r="D77" s="11"/>
      <c r="E77" s="11"/>
      <c r="F77" s="17" t="str">
        <f>IF(E77=0,"",IFERROR(E77*Config!B18,0))</f>
        <v/>
      </c>
      <c r="G77" s="13" t="str">
        <f t="shared" si="5"/>
        <v/>
      </c>
      <c r="H77" s="11"/>
      <c r="I77" s="11"/>
      <c r="J77" s="16" t="str">
        <f t="shared" si="6"/>
        <v/>
      </c>
      <c r="K77" s="18" t="str">
        <f>IF(A77="","",IFERROR(SUMIF(Transactions!A$4:A$1003,A77,Transactions!F$4:F$1003),0))</f>
        <v/>
      </c>
      <c r="L77" s="15" t="str">
        <f t="shared" si="7"/>
        <v/>
      </c>
      <c r="M77" s="12" t="str">
        <f t="shared" ca="1" si="8"/>
        <v/>
      </c>
      <c r="N77" s="19" t="str">
        <f t="shared" ca="1" si="9"/>
        <v/>
      </c>
    </row>
    <row r="78" spans="1:14" ht="15.75" customHeight="1" x14ac:dyDescent="0.25">
      <c r="A78" s="11"/>
      <c r="B78" s="11"/>
      <c r="C78" s="11"/>
      <c r="D78" s="11"/>
      <c r="E78" s="11"/>
      <c r="F78" s="17" t="str">
        <f>IF(E78=0,"",IFERROR(E78*Config!B18,0))</f>
        <v/>
      </c>
      <c r="G78" s="13" t="str">
        <f t="shared" si="5"/>
        <v/>
      </c>
      <c r="H78" s="11"/>
      <c r="I78" s="11"/>
      <c r="J78" s="16" t="str">
        <f t="shared" si="6"/>
        <v/>
      </c>
      <c r="K78" s="18" t="str">
        <f>IF(A78="","",IFERROR(SUMIF(Transactions!A$4:A$1003,A78,Transactions!F$4:F$1003),0))</f>
        <v/>
      </c>
      <c r="L78" s="15" t="str">
        <f t="shared" si="7"/>
        <v/>
      </c>
      <c r="M78" s="12" t="str">
        <f t="shared" ca="1" si="8"/>
        <v/>
      </c>
      <c r="N78" s="19" t="str">
        <f t="shared" ca="1" si="9"/>
        <v/>
      </c>
    </row>
    <row r="79" spans="1:14" ht="15.75" customHeight="1" x14ac:dyDescent="0.25">
      <c r="A79" s="11"/>
      <c r="B79" s="11"/>
      <c r="C79" s="11"/>
      <c r="D79" s="11"/>
      <c r="E79" s="11"/>
      <c r="F79" s="17" t="str">
        <f>IF(E79=0,"",IFERROR(E79*Config!B18,0))</f>
        <v/>
      </c>
      <c r="G79" s="13" t="str">
        <f t="shared" si="5"/>
        <v/>
      </c>
      <c r="H79" s="11"/>
      <c r="I79" s="11"/>
      <c r="J79" s="16" t="str">
        <f t="shared" si="6"/>
        <v/>
      </c>
      <c r="K79" s="18" t="str">
        <f>IF(A79="","",IFERROR(SUMIF(Transactions!A$4:A$1003,A79,Transactions!F$4:F$1003),0))</f>
        <v/>
      </c>
      <c r="L79" s="15" t="str">
        <f t="shared" si="7"/>
        <v/>
      </c>
      <c r="M79" s="12" t="str">
        <f t="shared" ca="1" si="8"/>
        <v/>
      </c>
      <c r="N79" s="19" t="str">
        <f t="shared" ca="1" si="9"/>
        <v/>
      </c>
    </row>
    <row r="80" spans="1:14" ht="15.75" customHeight="1" x14ac:dyDescent="0.25">
      <c r="A80" s="11"/>
      <c r="B80" s="11"/>
      <c r="C80" s="11"/>
      <c r="D80" s="11"/>
      <c r="E80" s="11"/>
      <c r="F80" s="17" t="str">
        <f>IF(E80=0,"",IFERROR(E80*Config!B18,0))</f>
        <v/>
      </c>
      <c r="G80" s="13" t="str">
        <f t="shared" si="5"/>
        <v/>
      </c>
      <c r="H80" s="11"/>
      <c r="I80" s="11"/>
      <c r="J80" s="16" t="str">
        <f t="shared" si="6"/>
        <v/>
      </c>
      <c r="K80" s="18" t="str">
        <f>IF(A80="","",IFERROR(SUMIF(Transactions!A$4:A$1003,A80,Transactions!F$4:F$1003),0))</f>
        <v/>
      </c>
      <c r="L80" s="15" t="str">
        <f t="shared" si="7"/>
        <v/>
      </c>
      <c r="M80" s="12" t="str">
        <f t="shared" ca="1" si="8"/>
        <v/>
      </c>
      <c r="N80" s="19" t="str">
        <f t="shared" ca="1" si="9"/>
        <v/>
      </c>
    </row>
    <row r="81" spans="1:14" ht="15.75" customHeight="1" x14ac:dyDescent="0.25">
      <c r="A81" s="11"/>
      <c r="B81" s="11"/>
      <c r="C81" s="11"/>
      <c r="D81" s="11"/>
      <c r="E81" s="11"/>
      <c r="F81" s="17" t="str">
        <f>IF(E81=0,"",IFERROR(E81*Config!B18,0))</f>
        <v/>
      </c>
      <c r="G81" s="13" t="str">
        <f t="shared" si="5"/>
        <v/>
      </c>
      <c r="H81" s="11"/>
      <c r="I81" s="11"/>
      <c r="J81" s="16" t="str">
        <f t="shared" si="6"/>
        <v/>
      </c>
      <c r="K81" s="18" t="str">
        <f>IF(A81="","",IFERROR(SUMIF(Transactions!A$4:A$1003,A81,Transactions!F$4:F$1003),0))</f>
        <v/>
      </c>
      <c r="L81" s="15" t="str">
        <f t="shared" si="7"/>
        <v/>
      </c>
      <c r="M81" s="12" t="str">
        <f t="shared" ca="1" si="8"/>
        <v/>
      </c>
      <c r="N81" s="19" t="str">
        <f t="shared" ca="1" si="9"/>
        <v/>
      </c>
    </row>
    <row r="82" spans="1:14" ht="15.75" customHeight="1" x14ac:dyDescent="0.25">
      <c r="A82" s="11"/>
      <c r="B82" s="11"/>
      <c r="C82" s="11"/>
      <c r="D82" s="11"/>
      <c r="E82" s="11"/>
      <c r="F82" s="17" t="str">
        <f>IF(E82=0,"",IFERROR(E82*Config!B18,0))</f>
        <v/>
      </c>
      <c r="G82" s="13" t="str">
        <f t="shared" si="5"/>
        <v/>
      </c>
      <c r="H82" s="11"/>
      <c r="I82" s="11"/>
      <c r="J82" s="16" t="str">
        <f t="shared" si="6"/>
        <v/>
      </c>
      <c r="K82" s="18" t="str">
        <f>IF(A82="","",IFERROR(SUMIF(Transactions!A$4:A$1003,A82,Transactions!F$4:F$1003),0))</f>
        <v/>
      </c>
      <c r="L82" s="15" t="str">
        <f t="shared" si="7"/>
        <v/>
      </c>
      <c r="M82" s="12" t="str">
        <f t="shared" ca="1" si="8"/>
        <v/>
      </c>
      <c r="N82" s="19" t="str">
        <f t="shared" ca="1" si="9"/>
        <v/>
      </c>
    </row>
    <row r="83" spans="1:14" ht="15.75" customHeight="1" x14ac:dyDescent="0.25">
      <c r="A83" s="11"/>
      <c r="B83" s="11"/>
      <c r="C83" s="11"/>
      <c r="D83" s="11"/>
      <c r="E83" s="11"/>
      <c r="F83" s="17" t="str">
        <f>IF(E83=0,"",IFERROR(E83*Config!B18,0))</f>
        <v/>
      </c>
      <c r="G83" s="13" t="str">
        <f t="shared" si="5"/>
        <v/>
      </c>
      <c r="H83" s="11"/>
      <c r="I83" s="11"/>
      <c r="J83" s="16" t="str">
        <f t="shared" si="6"/>
        <v/>
      </c>
      <c r="K83" s="18" t="str">
        <f>IF(A83="","",IFERROR(SUMIF(Transactions!A$4:A$1003,A83,Transactions!F$4:F$1003),0))</f>
        <v/>
      </c>
      <c r="L83" s="15" t="str">
        <f t="shared" si="7"/>
        <v/>
      </c>
      <c r="M83" s="12" t="str">
        <f t="shared" ca="1" si="8"/>
        <v/>
      </c>
      <c r="N83" s="19" t="str">
        <f t="shared" ca="1" si="9"/>
        <v/>
      </c>
    </row>
    <row r="84" spans="1:14" ht="15.75" customHeight="1" x14ac:dyDescent="0.25">
      <c r="A84" s="11"/>
      <c r="B84" s="11"/>
      <c r="C84" s="11"/>
      <c r="D84" s="11"/>
      <c r="E84" s="11"/>
      <c r="F84" s="17" t="str">
        <f>IF(E84=0,"",IFERROR(E84*Config!B18,0))</f>
        <v/>
      </c>
      <c r="G84" s="13" t="str">
        <f t="shared" si="5"/>
        <v/>
      </c>
      <c r="H84" s="11"/>
      <c r="I84" s="11"/>
      <c r="J84" s="16" t="str">
        <f t="shared" si="6"/>
        <v/>
      </c>
      <c r="K84" s="18" t="str">
        <f>IF(A84="","",IFERROR(SUMIF(Transactions!A$4:A$1003,A84,Transactions!F$4:F$1003),0))</f>
        <v/>
      </c>
      <c r="L84" s="15" t="str">
        <f t="shared" si="7"/>
        <v/>
      </c>
      <c r="M84" s="12" t="str">
        <f t="shared" ca="1" si="8"/>
        <v/>
      </c>
      <c r="N84" s="19" t="str">
        <f t="shared" ca="1" si="9"/>
        <v/>
      </c>
    </row>
    <row r="85" spans="1:14" ht="15.75" customHeight="1" x14ac:dyDescent="0.25">
      <c r="A85" s="11"/>
      <c r="B85" s="11"/>
      <c r="C85" s="11"/>
      <c r="D85" s="11"/>
      <c r="E85" s="11"/>
      <c r="F85" s="17" t="str">
        <f>IF(E85=0,"",IFERROR(E85*Config!B18,0))</f>
        <v/>
      </c>
      <c r="G85" s="13" t="str">
        <f t="shared" si="5"/>
        <v/>
      </c>
      <c r="H85" s="11"/>
      <c r="I85" s="11"/>
      <c r="J85" s="16" t="str">
        <f t="shared" si="6"/>
        <v/>
      </c>
      <c r="K85" s="18" t="str">
        <f>IF(A85="","",IFERROR(SUMIF(Transactions!A$4:A$1003,A85,Transactions!F$4:F$1003),0))</f>
        <v/>
      </c>
      <c r="L85" s="15" t="str">
        <f t="shared" si="7"/>
        <v/>
      </c>
      <c r="M85" s="12" t="str">
        <f t="shared" ca="1" si="8"/>
        <v/>
      </c>
      <c r="N85" s="19" t="str">
        <f t="shared" ca="1" si="9"/>
        <v/>
      </c>
    </row>
    <row r="86" spans="1:14" ht="15.75" customHeight="1" x14ac:dyDescent="0.25">
      <c r="A86" s="11"/>
      <c r="B86" s="11"/>
      <c r="C86" s="11"/>
      <c r="D86" s="11"/>
      <c r="E86" s="11"/>
      <c r="F86" s="17" t="str">
        <f>IF(E86=0,"",IFERROR(E86*Config!B18,0))</f>
        <v/>
      </c>
      <c r="G86" s="13" t="str">
        <f t="shared" si="5"/>
        <v/>
      </c>
      <c r="H86" s="11"/>
      <c r="I86" s="11"/>
      <c r="J86" s="16" t="str">
        <f t="shared" si="6"/>
        <v/>
      </c>
      <c r="K86" s="18" t="str">
        <f>IF(A86="","",IFERROR(SUMIF(Transactions!A$4:A$1003,A86,Transactions!F$4:F$1003),0))</f>
        <v/>
      </c>
      <c r="L86" s="15" t="str">
        <f t="shared" si="7"/>
        <v/>
      </c>
      <c r="M86" s="12" t="str">
        <f t="shared" ca="1" si="8"/>
        <v/>
      </c>
      <c r="N86" s="19" t="str">
        <f t="shared" ca="1" si="9"/>
        <v/>
      </c>
    </row>
    <row r="87" spans="1:14" ht="15.75" customHeight="1" x14ac:dyDescent="0.25">
      <c r="A87" s="11"/>
      <c r="B87" s="11"/>
      <c r="C87" s="11"/>
      <c r="D87" s="11"/>
      <c r="E87" s="11"/>
      <c r="F87" s="17" t="str">
        <f>IF(E87=0,"",IFERROR(E87*Config!B18,0))</f>
        <v/>
      </c>
      <c r="G87" s="13" t="str">
        <f t="shared" si="5"/>
        <v/>
      </c>
      <c r="H87" s="11"/>
      <c r="I87" s="11"/>
      <c r="J87" s="16" t="str">
        <f t="shared" si="6"/>
        <v/>
      </c>
      <c r="K87" s="18" t="str">
        <f>IF(A87="","",IFERROR(SUMIF(Transactions!A$4:A$1003,A87,Transactions!F$4:F$1003),0))</f>
        <v/>
      </c>
      <c r="L87" s="15" t="str">
        <f t="shared" si="7"/>
        <v/>
      </c>
      <c r="M87" s="12" t="str">
        <f t="shared" ca="1" si="8"/>
        <v/>
      </c>
      <c r="N87" s="19" t="str">
        <f t="shared" ca="1" si="9"/>
        <v/>
      </c>
    </row>
    <row r="88" spans="1:14" ht="15.75" customHeight="1" x14ac:dyDescent="0.25">
      <c r="A88" s="11"/>
      <c r="B88" s="11"/>
      <c r="C88" s="11"/>
      <c r="D88" s="11"/>
      <c r="E88" s="11"/>
      <c r="F88" s="17" t="str">
        <f>IF(E88=0,"",IFERROR(E88*Config!B18,0))</f>
        <v/>
      </c>
      <c r="G88" s="13" t="str">
        <f t="shared" si="5"/>
        <v/>
      </c>
      <c r="H88" s="11"/>
      <c r="I88" s="11"/>
      <c r="J88" s="16" t="str">
        <f t="shared" si="6"/>
        <v/>
      </c>
      <c r="K88" s="18" t="str">
        <f>IF(A88="","",IFERROR(SUMIF(Transactions!A$4:A$1003,A88,Transactions!F$4:F$1003),0))</f>
        <v/>
      </c>
      <c r="L88" s="15" t="str">
        <f t="shared" si="7"/>
        <v/>
      </c>
      <c r="M88" s="12" t="str">
        <f t="shared" ca="1" si="8"/>
        <v/>
      </c>
      <c r="N88" s="19" t="str">
        <f t="shared" ca="1" si="9"/>
        <v/>
      </c>
    </row>
    <row r="89" spans="1:14" ht="15.75" customHeight="1" x14ac:dyDescent="0.25">
      <c r="A89" s="11"/>
      <c r="B89" s="11"/>
      <c r="C89" s="11"/>
      <c r="D89" s="11"/>
      <c r="E89" s="11"/>
      <c r="F89" s="17" t="str">
        <f>IF(E89=0,"",IFERROR(E89*Config!B18,0))</f>
        <v/>
      </c>
      <c r="G89" s="13" t="str">
        <f t="shared" si="5"/>
        <v/>
      </c>
      <c r="H89" s="11"/>
      <c r="I89" s="11"/>
      <c r="J89" s="16" t="str">
        <f t="shared" si="6"/>
        <v/>
      </c>
      <c r="K89" s="18" t="str">
        <f>IF(A89="","",IFERROR(SUMIF(Transactions!A$4:A$1003,A89,Transactions!F$4:F$1003),0))</f>
        <v/>
      </c>
      <c r="L89" s="15" t="str">
        <f t="shared" si="7"/>
        <v/>
      </c>
      <c r="M89" s="12" t="str">
        <f t="shared" ca="1" si="8"/>
        <v/>
      </c>
      <c r="N89" s="19" t="str">
        <f t="shared" ca="1" si="9"/>
        <v/>
      </c>
    </row>
    <row r="90" spans="1:14" ht="15.75" customHeight="1" x14ac:dyDescent="0.25">
      <c r="A90" s="11"/>
      <c r="B90" s="11"/>
      <c r="C90" s="11"/>
      <c r="D90" s="11"/>
      <c r="E90" s="11"/>
      <c r="F90" s="17" t="str">
        <f>IF(E90=0,"",IFERROR(E90*Config!B18,0))</f>
        <v/>
      </c>
      <c r="G90" s="13" t="str">
        <f t="shared" si="5"/>
        <v/>
      </c>
      <c r="H90" s="11"/>
      <c r="I90" s="11"/>
      <c r="J90" s="16" t="str">
        <f t="shared" si="6"/>
        <v/>
      </c>
      <c r="K90" s="18" t="str">
        <f>IF(A90="","",IFERROR(SUMIF(Transactions!A$4:A$1003,A90,Transactions!F$4:F$1003),0))</f>
        <v/>
      </c>
      <c r="L90" s="15" t="str">
        <f t="shared" si="7"/>
        <v/>
      </c>
      <c r="M90" s="12" t="str">
        <f t="shared" ca="1" si="8"/>
        <v/>
      </c>
      <c r="N90" s="19" t="str">
        <f t="shared" ca="1" si="9"/>
        <v/>
      </c>
    </row>
    <row r="91" spans="1:14" ht="15.75" customHeight="1" x14ac:dyDescent="0.25">
      <c r="A91" s="11"/>
      <c r="B91" s="11"/>
      <c r="C91" s="11"/>
      <c r="D91" s="11"/>
      <c r="E91" s="11"/>
      <c r="F91" s="17" t="str">
        <f>IF(E91=0,"",IFERROR(E91*Config!B18,0))</f>
        <v/>
      </c>
      <c r="G91" s="13" t="str">
        <f t="shared" si="5"/>
        <v/>
      </c>
      <c r="H91" s="11"/>
      <c r="I91" s="11"/>
      <c r="J91" s="16" t="str">
        <f t="shared" si="6"/>
        <v/>
      </c>
      <c r="K91" s="18" t="str">
        <f>IF(A91="","",IFERROR(SUMIF(Transactions!A$4:A$1003,A91,Transactions!F$4:F$1003),0))</f>
        <v/>
      </c>
      <c r="L91" s="15" t="str">
        <f t="shared" si="7"/>
        <v/>
      </c>
      <c r="M91" s="12" t="str">
        <f t="shared" ca="1" si="8"/>
        <v/>
      </c>
      <c r="N91" s="19" t="str">
        <f t="shared" ca="1" si="9"/>
        <v/>
      </c>
    </row>
    <row r="92" spans="1:14" ht="15.75" customHeight="1" x14ac:dyDescent="0.25">
      <c r="A92" s="11"/>
      <c r="B92" s="11"/>
      <c r="C92" s="11"/>
      <c r="D92" s="11"/>
      <c r="E92" s="11"/>
      <c r="F92" s="17" t="str">
        <f>IF(E92=0,"",IFERROR(E92*Config!B18,0))</f>
        <v/>
      </c>
      <c r="G92" s="13" t="str">
        <f t="shared" si="5"/>
        <v/>
      </c>
      <c r="H92" s="11"/>
      <c r="I92" s="11"/>
      <c r="J92" s="16" t="str">
        <f t="shared" si="6"/>
        <v/>
      </c>
      <c r="K92" s="18" t="str">
        <f>IF(A92="","",IFERROR(SUMIF(Transactions!A$4:A$1003,A92,Transactions!F$4:F$1003),0))</f>
        <v/>
      </c>
      <c r="L92" s="15" t="str">
        <f t="shared" si="7"/>
        <v/>
      </c>
      <c r="M92" s="12" t="str">
        <f t="shared" ca="1" si="8"/>
        <v/>
      </c>
      <c r="N92" s="19" t="str">
        <f t="shared" ca="1" si="9"/>
        <v/>
      </c>
    </row>
    <row r="93" spans="1:14" ht="15.75" customHeight="1" x14ac:dyDescent="0.25">
      <c r="A93" s="11"/>
      <c r="B93" s="11"/>
      <c r="C93" s="11"/>
      <c r="D93" s="11"/>
      <c r="E93" s="11"/>
      <c r="F93" s="17" t="str">
        <f>IF(E93=0,"",IFERROR(E93*Config!B18,0))</f>
        <v/>
      </c>
      <c r="G93" s="13" t="str">
        <f t="shared" si="5"/>
        <v/>
      </c>
      <c r="H93" s="11"/>
      <c r="I93" s="11"/>
      <c r="J93" s="16" t="str">
        <f t="shared" si="6"/>
        <v/>
      </c>
      <c r="K93" s="18" t="str">
        <f>IF(A93="","",IFERROR(SUMIF(Transactions!A$4:A$1003,A93,Transactions!F$4:F$1003),0))</f>
        <v/>
      </c>
      <c r="L93" s="15" t="str">
        <f t="shared" si="7"/>
        <v/>
      </c>
      <c r="M93" s="12" t="str">
        <f t="shared" ca="1" si="8"/>
        <v/>
      </c>
      <c r="N93" s="19" t="str">
        <f t="shared" ca="1" si="9"/>
        <v/>
      </c>
    </row>
    <row r="94" spans="1:14" ht="15.75" customHeight="1" x14ac:dyDescent="0.25">
      <c r="A94" s="11"/>
      <c r="B94" s="11"/>
      <c r="C94" s="11"/>
      <c r="D94" s="11"/>
      <c r="E94" s="11"/>
      <c r="F94" s="17" t="str">
        <f>IF(E94=0,"",IFERROR(E94*Config!B18,0))</f>
        <v/>
      </c>
      <c r="G94" s="13" t="str">
        <f t="shared" si="5"/>
        <v/>
      </c>
      <c r="H94" s="11"/>
      <c r="I94" s="11"/>
      <c r="J94" s="16" t="str">
        <f t="shared" si="6"/>
        <v/>
      </c>
      <c r="K94" s="18" t="str">
        <f>IF(A94="","",IFERROR(SUMIF(Transactions!A$4:A$1003,A94,Transactions!F$4:F$1003),0))</f>
        <v/>
      </c>
      <c r="L94" s="15" t="str">
        <f t="shared" si="7"/>
        <v/>
      </c>
      <c r="M94" s="12" t="str">
        <f t="shared" ca="1" si="8"/>
        <v/>
      </c>
      <c r="N94" s="19" t="str">
        <f t="shared" ca="1" si="9"/>
        <v/>
      </c>
    </row>
    <row r="95" spans="1:14" ht="15.75" customHeight="1" x14ac:dyDescent="0.25">
      <c r="A95" s="11"/>
      <c r="B95" s="11"/>
      <c r="C95" s="11"/>
      <c r="D95" s="11"/>
      <c r="E95" s="11"/>
      <c r="F95" s="17" t="str">
        <f>IF(E95=0,"",IFERROR(E95*Config!B18,0))</f>
        <v/>
      </c>
      <c r="G95" s="13" t="str">
        <f t="shared" si="5"/>
        <v/>
      </c>
      <c r="H95" s="11"/>
      <c r="I95" s="11"/>
      <c r="J95" s="16" t="str">
        <f t="shared" si="6"/>
        <v/>
      </c>
      <c r="K95" s="18" t="str">
        <f>IF(A95="","",IFERROR(SUMIF(Transactions!A$4:A$1003,A95,Transactions!F$4:F$1003),0))</f>
        <v/>
      </c>
      <c r="L95" s="15" t="str">
        <f t="shared" si="7"/>
        <v/>
      </c>
      <c r="M95" s="12" t="str">
        <f t="shared" ca="1" si="8"/>
        <v/>
      </c>
      <c r="N95" s="19" t="str">
        <f t="shared" ca="1" si="9"/>
        <v/>
      </c>
    </row>
    <row r="96" spans="1:14" ht="15.75" customHeight="1" x14ac:dyDescent="0.25">
      <c r="A96" s="11"/>
      <c r="B96" s="11"/>
      <c r="C96" s="11"/>
      <c r="D96" s="11"/>
      <c r="E96" s="11"/>
      <c r="F96" s="17" t="str">
        <f>IF(E96=0,"",IFERROR(E96*Config!B18,0))</f>
        <v/>
      </c>
      <c r="G96" s="13" t="str">
        <f t="shared" si="5"/>
        <v/>
      </c>
      <c r="H96" s="11"/>
      <c r="I96" s="11"/>
      <c r="J96" s="16" t="str">
        <f t="shared" si="6"/>
        <v/>
      </c>
      <c r="K96" s="18" t="str">
        <f>IF(A96="","",IFERROR(SUMIF(Transactions!A$4:A$1003,A96,Transactions!F$4:F$1003),0))</f>
        <v/>
      </c>
      <c r="L96" s="15" t="str">
        <f t="shared" si="7"/>
        <v/>
      </c>
      <c r="M96" s="12" t="str">
        <f t="shared" ca="1" si="8"/>
        <v/>
      </c>
      <c r="N96" s="19" t="str">
        <f t="shared" ca="1" si="9"/>
        <v/>
      </c>
    </row>
    <row r="97" spans="1:14" ht="15.75" customHeight="1" x14ac:dyDescent="0.25">
      <c r="A97" s="11"/>
      <c r="B97" s="11"/>
      <c r="C97" s="11"/>
      <c r="D97" s="11"/>
      <c r="E97" s="11"/>
      <c r="F97" s="17" t="str">
        <f>IF(E97=0,"",IFERROR(E97*Config!B18,0))</f>
        <v/>
      </c>
      <c r="G97" s="13" t="str">
        <f t="shared" si="5"/>
        <v/>
      </c>
      <c r="H97" s="11"/>
      <c r="I97" s="11"/>
      <c r="J97" s="16" t="str">
        <f t="shared" si="6"/>
        <v/>
      </c>
      <c r="K97" s="18" t="str">
        <f>IF(A97="","",IFERROR(SUMIF(Transactions!A$4:A$1003,A97,Transactions!F$4:F$1003),0))</f>
        <v/>
      </c>
      <c r="L97" s="15" t="str">
        <f t="shared" si="7"/>
        <v/>
      </c>
      <c r="M97" s="12" t="str">
        <f t="shared" ca="1" si="8"/>
        <v/>
      </c>
      <c r="N97" s="19" t="str">
        <f t="shared" ca="1" si="9"/>
        <v/>
      </c>
    </row>
    <row r="98" spans="1:14" ht="15.75" customHeight="1" x14ac:dyDescent="0.25">
      <c r="A98" s="11"/>
      <c r="B98" s="11"/>
      <c r="C98" s="11"/>
      <c r="D98" s="11"/>
      <c r="E98" s="11"/>
      <c r="F98" s="17" t="str">
        <f>IF(E98=0,"",IFERROR(E98*Config!B18,0))</f>
        <v/>
      </c>
      <c r="G98" s="13" t="str">
        <f t="shared" si="5"/>
        <v/>
      </c>
      <c r="H98" s="11"/>
      <c r="I98" s="11"/>
      <c r="J98" s="16" t="str">
        <f t="shared" si="6"/>
        <v/>
      </c>
      <c r="K98" s="18" t="str">
        <f>IF(A98="","",IFERROR(SUMIF(Transactions!A$4:A$1003,A98,Transactions!F$4:F$1003),0))</f>
        <v/>
      </c>
      <c r="L98" s="15" t="str">
        <f t="shared" si="7"/>
        <v/>
      </c>
      <c r="M98" s="12" t="str">
        <f t="shared" ca="1" si="8"/>
        <v/>
      </c>
      <c r="N98" s="19" t="str">
        <f t="shared" ca="1" si="9"/>
        <v/>
      </c>
    </row>
    <row r="99" spans="1:14" ht="15.75" customHeight="1" x14ac:dyDescent="0.25">
      <c r="A99" s="11"/>
      <c r="B99" s="11"/>
      <c r="C99" s="11"/>
      <c r="D99" s="11"/>
      <c r="E99" s="11"/>
      <c r="F99" s="17" t="str">
        <f>IF(E99=0,"",IFERROR(E99*Config!B18,0))</f>
        <v/>
      </c>
      <c r="G99" s="13" t="str">
        <f t="shared" si="5"/>
        <v/>
      </c>
      <c r="H99" s="11"/>
      <c r="I99" s="11"/>
      <c r="J99" s="16" t="str">
        <f t="shared" si="6"/>
        <v/>
      </c>
      <c r="K99" s="18" t="str">
        <f>IF(A99="","",IFERROR(SUMIF(Transactions!A$4:A$1003,A99,Transactions!F$4:F$1003),0))</f>
        <v/>
      </c>
      <c r="L99" s="15" t="str">
        <f t="shared" si="7"/>
        <v/>
      </c>
      <c r="M99" s="12" t="str">
        <f t="shared" ca="1" si="8"/>
        <v/>
      </c>
      <c r="N99" s="19" t="str">
        <f t="shared" ca="1" si="9"/>
        <v/>
      </c>
    </row>
    <row r="100" spans="1:14" ht="15.75" customHeight="1" x14ac:dyDescent="0.25">
      <c r="A100" s="11"/>
      <c r="B100" s="11"/>
      <c r="C100" s="11"/>
      <c r="D100" s="11"/>
      <c r="E100" s="11"/>
      <c r="F100" s="17" t="str">
        <f>IF(E100=0,"",IFERROR(E100*Config!B18,0))</f>
        <v/>
      </c>
      <c r="G100" s="13" t="str">
        <f t="shared" si="5"/>
        <v/>
      </c>
      <c r="H100" s="11"/>
      <c r="I100" s="11"/>
      <c r="J100" s="16" t="str">
        <f t="shared" si="6"/>
        <v/>
      </c>
      <c r="K100" s="18" t="str">
        <f>IF(A100="","",IFERROR(SUMIF(Transactions!A$4:A$1003,A100,Transactions!F$4:F$1003),0))</f>
        <v/>
      </c>
      <c r="L100" s="15" t="str">
        <f t="shared" si="7"/>
        <v/>
      </c>
      <c r="M100" s="12" t="str">
        <f t="shared" ca="1" si="8"/>
        <v/>
      </c>
      <c r="N100" s="19" t="str">
        <f t="shared" ca="1" si="9"/>
        <v/>
      </c>
    </row>
    <row r="101" spans="1:14" ht="15.75" customHeight="1" x14ac:dyDescent="0.25">
      <c r="A101" s="11"/>
      <c r="B101" s="11"/>
      <c r="C101" s="11"/>
      <c r="D101" s="11"/>
      <c r="E101" s="11"/>
      <c r="F101" s="17" t="str">
        <f>IF(E101=0,"",IFERROR(E101*Config!B18,0))</f>
        <v/>
      </c>
      <c r="G101" s="13" t="str">
        <f t="shared" si="5"/>
        <v/>
      </c>
      <c r="H101" s="11"/>
      <c r="I101" s="11"/>
      <c r="J101" s="16" t="str">
        <f t="shared" si="6"/>
        <v/>
      </c>
      <c r="K101" s="18" t="str">
        <f>IF(A101="","",IFERROR(SUMIF(Transactions!A$4:A$1003,A101,Transactions!F$4:F$1003),0))</f>
        <v/>
      </c>
      <c r="L101" s="15" t="str">
        <f t="shared" si="7"/>
        <v/>
      </c>
      <c r="M101" s="12" t="str">
        <f t="shared" ca="1" si="8"/>
        <v/>
      </c>
      <c r="N101" s="19" t="str">
        <f t="shared" ca="1" si="9"/>
        <v/>
      </c>
    </row>
    <row r="102" spans="1:14" ht="15.75" customHeight="1" x14ac:dyDescent="0.25">
      <c r="A102" s="11"/>
      <c r="B102" s="11"/>
      <c r="C102" s="11"/>
      <c r="D102" s="11"/>
      <c r="E102" s="11"/>
      <c r="F102" s="17" t="str">
        <f>IF(E102=0,"",IFERROR(E102*Config!B18,0))</f>
        <v/>
      </c>
      <c r="G102" s="13" t="str">
        <f t="shared" si="5"/>
        <v/>
      </c>
      <c r="H102" s="11"/>
      <c r="I102" s="11"/>
      <c r="J102" s="16" t="str">
        <f t="shared" si="6"/>
        <v/>
      </c>
      <c r="K102" s="18" t="str">
        <f>IF(A102="","",IFERROR(SUMIF(Transactions!A$4:A$1003,A102,Transactions!F$4:F$1003),0))</f>
        <v/>
      </c>
      <c r="L102" s="15" t="str">
        <f t="shared" si="7"/>
        <v/>
      </c>
      <c r="M102" s="12" t="str">
        <f t="shared" ca="1" si="8"/>
        <v/>
      </c>
      <c r="N102" s="19" t="str">
        <f t="shared" ca="1" si="9"/>
        <v/>
      </c>
    </row>
    <row r="103" spans="1:14" ht="15.75" customHeight="1" x14ac:dyDescent="0.25">
      <c r="A103" s="11"/>
      <c r="B103" s="11"/>
      <c r="C103" s="11"/>
      <c r="D103" s="11"/>
      <c r="E103" s="11"/>
      <c r="F103" s="17" t="str">
        <f>IF(E103=0,"",IFERROR(E103*Config!B18,0))</f>
        <v/>
      </c>
      <c r="G103" s="13" t="str">
        <f t="shared" si="5"/>
        <v/>
      </c>
      <c r="H103" s="11"/>
      <c r="I103" s="11"/>
      <c r="J103" s="16" t="str">
        <f t="shared" si="6"/>
        <v/>
      </c>
      <c r="K103" s="18" t="str">
        <f>IF(A103="","",IFERROR(SUMIF(Transactions!A$4:A$1003,A103,Transactions!F$4:F$1003),0))</f>
        <v/>
      </c>
      <c r="L103" s="15" t="str">
        <f t="shared" si="7"/>
        <v/>
      </c>
      <c r="M103" s="12" t="str">
        <f t="shared" ca="1" si="8"/>
        <v/>
      </c>
      <c r="N103" s="19" t="str">
        <f t="shared" ca="1" si="9"/>
        <v/>
      </c>
    </row>
    <row r="104" spans="1:14" ht="15.75" customHeight="1" x14ac:dyDescent="0.25">
      <c r="A104" s="11"/>
      <c r="B104" s="11"/>
      <c r="C104" s="11"/>
      <c r="D104" s="11"/>
      <c r="E104" s="11"/>
      <c r="F104" s="17" t="str">
        <f>IF(E104=0,"",IFERROR(E104*Config!B18,0))</f>
        <v/>
      </c>
      <c r="G104" s="13" t="str">
        <f t="shared" si="5"/>
        <v/>
      </c>
      <c r="H104" s="11"/>
      <c r="I104" s="11"/>
      <c r="J104" s="16" t="str">
        <f t="shared" si="6"/>
        <v/>
      </c>
      <c r="K104" s="18" t="str">
        <f>IF(A104="","",IFERROR(SUMIF(Transactions!A$4:A$1003,A104,Transactions!F$4:F$1003),0))</f>
        <v/>
      </c>
      <c r="L104" s="15" t="str">
        <f t="shared" si="7"/>
        <v/>
      </c>
      <c r="M104" s="12" t="str">
        <f t="shared" ca="1" si="8"/>
        <v/>
      </c>
      <c r="N104" s="19" t="str">
        <f t="shared" ca="1" si="9"/>
        <v/>
      </c>
    </row>
    <row r="105" spans="1:14" ht="15.75" customHeight="1" x14ac:dyDescent="0.25">
      <c r="A105" s="11"/>
      <c r="B105" s="11"/>
      <c r="C105" s="11"/>
      <c r="D105" s="11"/>
      <c r="E105" s="11"/>
      <c r="F105" s="17" t="str">
        <f>IF(E105=0,"",IFERROR(E105*Config!B18,0))</f>
        <v/>
      </c>
      <c r="G105" s="13" t="str">
        <f t="shared" si="5"/>
        <v/>
      </c>
      <c r="H105" s="11"/>
      <c r="I105" s="11"/>
      <c r="J105" s="16" t="str">
        <f t="shared" si="6"/>
        <v/>
      </c>
      <c r="K105" s="18" t="str">
        <f>IF(A105="","",IFERROR(SUMIF(Transactions!A$4:A$1003,A105,Transactions!F$4:F$1003),0))</f>
        <v/>
      </c>
      <c r="L105" s="15" t="str">
        <f t="shared" si="7"/>
        <v/>
      </c>
      <c r="M105" s="12" t="str">
        <f t="shared" ca="1" si="8"/>
        <v/>
      </c>
      <c r="N105" s="19" t="str">
        <f t="shared" ca="1" si="9"/>
        <v/>
      </c>
    </row>
    <row r="106" spans="1:14" ht="15.75" customHeight="1" x14ac:dyDescent="0.25">
      <c r="A106" s="11"/>
      <c r="B106" s="11"/>
      <c r="C106" s="11"/>
      <c r="D106" s="11"/>
      <c r="E106" s="11"/>
      <c r="F106" s="17" t="str">
        <f>IF(E106=0,"",IFERROR(E106*Config!B18,0))</f>
        <v/>
      </c>
      <c r="G106" s="13" t="str">
        <f t="shared" si="5"/>
        <v/>
      </c>
      <c r="H106" s="11"/>
      <c r="I106" s="11"/>
      <c r="J106" s="16" t="str">
        <f t="shared" si="6"/>
        <v/>
      </c>
      <c r="K106" s="18" t="str">
        <f>IF(A106="","",IFERROR(SUMIF(Transactions!A$4:A$1003,A106,Transactions!F$4:F$1003),0))</f>
        <v/>
      </c>
      <c r="L106" s="15" t="str">
        <f t="shared" si="7"/>
        <v/>
      </c>
      <c r="M106" s="12" t="str">
        <f t="shared" ca="1" si="8"/>
        <v/>
      </c>
      <c r="N106" s="19" t="str">
        <f t="shared" ca="1" si="9"/>
        <v/>
      </c>
    </row>
    <row r="107" spans="1:14" ht="15.75" customHeight="1" x14ac:dyDescent="0.25">
      <c r="A107" s="11"/>
      <c r="B107" s="11"/>
      <c r="C107" s="11"/>
      <c r="D107" s="11"/>
      <c r="E107" s="11"/>
      <c r="F107" s="17" t="str">
        <f>IF(E107=0,"",IFERROR(E107*Config!B18,0))</f>
        <v/>
      </c>
      <c r="G107" s="13" t="str">
        <f t="shared" si="5"/>
        <v/>
      </c>
      <c r="H107" s="11"/>
      <c r="I107" s="11"/>
      <c r="J107" s="16" t="str">
        <f t="shared" si="6"/>
        <v/>
      </c>
      <c r="K107" s="18" t="str">
        <f>IF(A107="","",IFERROR(SUMIF(Transactions!A$4:A$1003,A107,Transactions!F$4:F$1003),0))</f>
        <v/>
      </c>
      <c r="L107" s="15" t="str">
        <f t="shared" si="7"/>
        <v/>
      </c>
      <c r="M107" s="12" t="str">
        <f t="shared" ca="1" si="8"/>
        <v/>
      </c>
      <c r="N107" s="19" t="str">
        <f t="shared" ca="1" si="9"/>
        <v/>
      </c>
    </row>
    <row r="108" spans="1:14" ht="15.75" customHeight="1" x14ac:dyDescent="0.25">
      <c r="A108" s="11"/>
      <c r="B108" s="11"/>
      <c r="C108" s="11"/>
      <c r="D108" s="11"/>
      <c r="E108" s="11"/>
      <c r="F108" s="17" t="str">
        <f>IF(E108=0,"",IFERROR(E108*Config!B18,0))</f>
        <v/>
      </c>
      <c r="G108" s="13" t="str">
        <f t="shared" si="5"/>
        <v/>
      </c>
      <c r="H108" s="11"/>
      <c r="I108" s="11"/>
      <c r="J108" s="16" t="str">
        <f t="shared" si="6"/>
        <v/>
      </c>
      <c r="K108" s="18" t="str">
        <f>IF(A108="","",IFERROR(SUMIF(Transactions!A$4:A$1003,A108,Transactions!F$4:F$1003),0))</f>
        <v/>
      </c>
      <c r="L108" s="15" t="str">
        <f t="shared" si="7"/>
        <v/>
      </c>
      <c r="M108" s="12" t="str">
        <f t="shared" ca="1" si="8"/>
        <v/>
      </c>
      <c r="N108" s="19" t="str">
        <f t="shared" ca="1" si="9"/>
        <v/>
      </c>
    </row>
    <row r="109" spans="1:14" ht="15.75" customHeight="1" x14ac:dyDescent="0.25">
      <c r="A109" s="11"/>
      <c r="B109" s="11"/>
      <c r="C109" s="11"/>
      <c r="D109" s="11"/>
      <c r="E109" s="11"/>
      <c r="F109" s="17" t="str">
        <f>IF(E109=0,"",IFERROR(E109*Config!B18,0))</f>
        <v/>
      </c>
      <c r="G109" s="13" t="str">
        <f t="shared" si="5"/>
        <v/>
      </c>
      <c r="H109" s="11"/>
      <c r="I109" s="11"/>
      <c r="J109" s="16" t="str">
        <f t="shared" si="6"/>
        <v/>
      </c>
      <c r="K109" s="18" t="str">
        <f>IF(A109="","",IFERROR(SUMIF(Transactions!A$4:A$1003,A109,Transactions!F$4:F$1003),0))</f>
        <v/>
      </c>
      <c r="L109" s="15" t="str">
        <f t="shared" si="7"/>
        <v/>
      </c>
      <c r="M109" s="12" t="str">
        <f t="shared" ca="1" si="8"/>
        <v/>
      </c>
      <c r="N109" s="19" t="str">
        <f t="shared" ca="1" si="9"/>
        <v/>
      </c>
    </row>
    <row r="110" spans="1:14" ht="15.75" customHeight="1" x14ac:dyDescent="0.25">
      <c r="A110" s="11"/>
      <c r="B110" s="11"/>
      <c r="C110" s="11"/>
      <c r="D110" s="11"/>
      <c r="E110" s="11"/>
      <c r="F110" s="17" t="str">
        <f>IF(E110=0,"",IFERROR(E110*Config!B18,0))</f>
        <v/>
      </c>
      <c r="G110" s="13" t="str">
        <f t="shared" si="5"/>
        <v/>
      </c>
      <c r="H110" s="11"/>
      <c r="I110" s="11"/>
      <c r="J110" s="16" t="str">
        <f t="shared" si="6"/>
        <v/>
      </c>
      <c r="K110" s="18" t="str">
        <f>IF(A110="","",IFERROR(SUMIF(Transactions!A$4:A$1003,A110,Transactions!F$4:F$1003),0))</f>
        <v/>
      </c>
      <c r="L110" s="15" t="str">
        <f t="shared" si="7"/>
        <v/>
      </c>
      <c r="M110" s="12" t="str">
        <f t="shared" ca="1" si="8"/>
        <v/>
      </c>
      <c r="N110" s="19" t="str">
        <f t="shared" ca="1" si="9"/>
        <v/>
      </c>
    </row>
    <row r="111" spans="1:14" ht="15.75" customHeight="1" x14ac:dyDescent="0.25">
      <c r="A111" s="11"/>
      <c r="B111" s="11"/>
      <c r="C111" s="11"/>
      <c r="D111" s="11"/>
      <c r="E111" s="11"/>
      <c r="F111" s="17" t="str">
        <f>IF(E111=0,"",IFERROR(E111*Config!B18,0))</f>
        <v/>
      </c>
      <c r="G111" s="13" t="str">
        <f t="shared" si="5"/>
        <v/>
      </c>
      <c r="H111" s="11"/>
      <c r="I111" s="11"/>
      <c r="J111" s="16" t="str">
        <f t="shared" si="6"/>
        <v/>
      </c>
      <c r="K111" s="18" t="str">
        <f>IF(A111="","",IFERROR(SUMIF(Transactions!A$4:A$1003,A111,Transactions!F$4:F$1003),0))</f>
        <v/>
      </c>
      <c r="L111" s="15" t="str">
        <f t="shared" si="7"/>
        <v/>
      </c>
      <c r="M111" s="12" t="str">
        <f t="shared" ca="1" si="8"/>
        <v/>
      </c>
      <c r="N111" s="19" t="str">
        <f t="shared" ca="1" si="9"/>
        <v/>
      </c>
    </row>
    <row r="112" spans="1:14" ht="15.75" customHeight="1" x14ac:dyDescent="0.25">
      <c r="A112" s="11"/>
      <c r="B112" s="11"/>
      <c r="C112" s="11"/>
      <c r="D112" s="11"/>
      <c r="E112" s="11"/>
      <c r="F112" s="17" t="str">
        <f>IF(E112=0,"",IFERROR(E112*Config!B18,0))</f>
        <v/>
      </c>
      <c r="G112" s="13" t="str">
        <f t="shared" si="5"/>
        <v/>
      </c>
      <c r="H112" s="11"/>
      <c r="I112" s="11"/>
      <c r="J112" s="16" t="str">
        <f t="shared" si="6"/>
        <v/>
      </c>
      <c r="K112" s="18" t="str">
        <f>IF(A112="","",IFERROR(SUMIF(Transactions!A$4:A$1003,A112,Transactions!F$4:F$1003),0))</f>
        <v/>
      </c>
      <c r="L112" s="15" t="str">
        <f t="shared" si="7"/>
        <v/>
      </c>
      <c r="M112" s="12" t="str">
        <f t="shared" ca="1" si="8"/>
        <v/>
      </c>
      <c r="N112" s="19" t="str">
        <f t="shared" ca="1" si="9"/>
        <v/>
      </c>
    </row>
    <row r="113" spans="1:14" ht="15.75" customHeight="1" x14ac:dyDescent="0.25">
      <c r="A113" s="11"/>
      <c r="B113" s="11"/>
      <c r="C113" s="11"/>
      <c r="D113" s="11"/>
      <c r="E113" s="11"/>
      <c r="F113" s="17" t="str">
        <f>IF(E113=0,"",IFERROR(E113*Config!B18,0))</f>
        <v/>
      </c>
      <c r="G113" s="13" t="str">
        <f t="shared" si="5"/>
        <v/>
      </c>
      <c r="H113" s="11"/>
      <c r="I113" s="11"/>
      <c r="J113" s="16" t="str">
        <f t="shared" si="6"/>
        <v/>
      </c>
      <c r="K113" s="18" t="str">
        <f>IF(A113="","",IFERROR(SUMIF(Transactions!A$4:A$1003,A113,Transactions!F$4:F$1003),0))</f>
        <v/>
      </c>
      <c r="L113" s="15" t="str">
        <f t="shared" si="7"/>
        <v/>
      </c>
      <c r="M113" s="12" t="str">
        <f t="shared" ca="1" si="8"/>
        <v/>
      </c>
      <c r="N113" s="19" t="str">
        <f t="shared" ca="1" si="9"/>
        <v/>
      </c>
    </row>
    <row r="114" spans="1:14" ht="15.75" customHeight="1" x14ac:dyDescent="0.25">
      <c r="A114" s="11"/>
      <c r="B114" s="11"/>
      <c r="C114" s="11"/>
      <c r="D114" s="11"/>
      <c r="E114" s="11"/>
      <c r="F114" s="17" t="str">
        <f>IF(E114=0,"",IFERROR(E114*Config!B18,0))</f>
        <v/>
      </c>
      <c r="G114" s="13" t="str">
        <f t="shared" si="5"/>
        <v/>
      </c>
      <c r="H114" s="11"/>
      <c r="I114" s="11"/>
      <c r="J114" s="16" t="str">
        <f t="shared" si="6"/>
        <v/>
      </c>
      <c r="K114" s="18" t="str">
        <f>IF(A114="","",IFERROR(SUMIF(Transactions!A$4:A$1003,A114,Transactions!F$4:F$1003),0))</f>
        <v/>
      </c>
      <c r="L114" s="15" t="str">
        <f t="shared" si="7"/>
        <v/>
      </c>
      <c r="M114" s="12" t="str">
        <f t="shared" ca="1" si="8"/>
        <v/>
      </c>
      <c r="N114" s="19" t="str">
        <f t="shared" ca="1" si="9"/>
        <v/>
      </c>
    </row>
    <row r="115" spans="1:14" ht="15.75" customHeight="1" x14ac:dyDescent="0.25">
      <c r="A115" s="11"/>
      <c r="B115" s="11"/>
      <c r="C115" s="11"/>
      <c r="D115" s="11"/>
      <c r="E115" s="11"/>
      <c r="F115" s="17" t="str">
        <f>IF(E115=0,"",IFERROR(E115*Config!B18,0))</f>
        <v/>
      </c>
      <c r="G115" s="13" t="str">
        <f t="shared" si="5"/>
        <v/>
      </c>
      <c r="H115" s="11"/>
      <c r="I115" s="11"/>
      <c r="J115" s="16" t="str">
        <f t="shared" si="6"/>
        <v/>
      </c>
      <c r="K115" s="18" t="str">
        <f>IF(A115="","",IFERROR(SUMIF(Transactions!A$4:A$1003,A115,Transactions!F$4:F$1003),0))</f>
        <v/>
      </c>
      <c r="L115" s="15" t="str">
        <f t="shared" si="7"/>
        <v/>
      </c>
      <c r="M115" s="12" t="str">
        <f t="shared" ca="1" si="8"/>
        <v/>
      </c>
      <c r="N115" s="19" t="str">
        <f t="shared" ca="1" si="9"/>
        <v/>
      </c>
    </row>
    <row r="116" spans="1:14" ht="15.75" customHeight="1" x14ac:dyDescent="0.25">
      <c r="A116" s="11"/>
      <c r="B116" s="11"/>
      <c r="C116" s="11"/>
      <c r="D116" s="11"/>
      <c r="E116" s="11"/>
      <c r="F116" s="17" t="str">
        <f>IF(E116=0,"",IFERROR(E116*Config!B18,0))</f>
        <v/>
      </c>
      <c r="G116" s="13" t="str">
        <f t="shared" si="5"/>
        <v/>
      </c>
      <c r="H116" s="11"/>
      <c r="I116" s="11"/>
      <c r="J116" s="16" t="str">
        <f t="shared" si="6"/>
        <v/>
      </c>
      <c r="K116" s="18" t="str">
        <f>IF(A116="","",IFERROR(SUMIF(Transactions!A$4:A$1003,A116,Transactions!F$4:F$1003),0))</f>
        <v/>
      </c>
      <c r="L116" s="15" t="str">
        <f t="shared" si="7"/>
        <v/>
      </c>
      <c r="M116" s="12" t="str">
        <f t="shared" ca="1" si="8"/>
        <v/>
      </c>
      <c r="N116" s="19" t="str">
        <f t="shared" ca="1" si="9"/>
        <v/>
      </c>
    </row>
    <row r="117" spans="1:14" ht="15.75" customHeight="1" x14ac:dyDescent="0.25">
      <c r="A117" s="11"/>
      <c r="B117" s="11"/>
      <c r="C117" s="11"/>
      <c r="D117" s="11"/>
      <c r="E117" s="11"/>
      <c r="F117" s="17" t="str">
        <f>IF(E117=0,"",IFERROR(E117*Config!B18,0))</f>
        <v/>
      </c>
      <c r="G117" s="13" t="str">
        <f t="shared" si="5"/>
        <v/>
      </c>
      <c r="H117" s="11"/>
      <c r="I117" s="11"/>
      <c r="J117" s="16" t="str">
        <f t="shared" si="6"/>
        <v/>
      </c>
      <c r="K117" s="18" t="str">
        <f>IF(A117="","",IFERROR(SUMIF(Transactions!A$4:A$1003,A117,Transactions!F$4:F$1003),0))</f>
        <v/>
      </c>
      <c r="L117" s="15" t="str">
        <f t="shared" si="7"/>
        <v/>
      </c>
      <c r="M117" s="12" t="str">
        <f t="shared" ca="1" si="8"/>
        <v/>
      </c>
      <c r="N117" s="19" t="str">
        <f t="shared" ca="1" si="9"/>
        <v/>
      </c>
    </row>
    <row r="118" spans="1:14" ht="15.75" customHeight="1" x14ac:dyDescent="0.25">
      <c r="A118" s="11"/>
      <c r="B118" s="11"/>
      <c r="C118" s="11"/>
      <c r="D118" s="11"/>
      <c r="E118" s="11"/>
      <c r="F118" s="17" t="str">
        <f>IF(E118=0,"",IFERROR(E118*Config!B18,0))</f>
        <v/>
      </c>
      <c r="G118" s="13" t="str">
        <f t="shared" si="5"/>
        <v/>
      </c>
      <c r="H118" s="11"/>
      <c r="I118" s="11"/>
      <c r="J118" s="16" t="str">
        <f t="shared" si="6"/>
        <v/>
      </c>
      <c r="K118" s="18" t="str">
        <f>IF(A118="","",IFERROR(SUMIF(Transactions!A$4:A$1003,A118,Transactions!F$4:F$1003),0))</f>
        <v/>
      </c>
      <c r="L118" s="15" t="str">
        <f t="shared" si="7"/>
        <v/>
      </c>
      <c r="M118" s="12" t="str">
        <f t="shared" ca="1" si="8"/>
        <v/>
      </c>
      <c r="N118" s="19" t="str">
        <f t="shared" ca="1" si="9"/>
        <v/>
      </c>
    </row>
    <row r="119" spans="1:14" ht="15.75" customHeight="1" x14ac:dyDescent="0.25">
      <c r="A119" s="11"/>
      <c r="B119" s="11"/>
      <c r="C119" s="11"/>
      <c r="D119" s="11"/>
      <c r="E119" s="11"/>
      <c r="F119" s="17" t="str">
        <f>IF(E119=0,"",IFERROR(E119*Config!B18,0))</f>
        <v/>
      </c>
      <c r="G119" s="13" t="str">
        <f t="shared" si="5"/>
        <v/>
      </c>
      <c r="H119" s="11"/>
      <c r="I119" s="11"/>
      <c r="J119" s="16" t="str">
        <f t="shared" si="6"/>
        <v/>
      </c>
      <c r="K119" s="18" t="str">
        <f>IF(A119="","",IFERROR(SUMIF(Transactions!A$4:A$1003,A119,Transactions!F$4:F$1003),0))</f>
        <v/>
      </c>
      <c r="L119" s="15" t="str">
        <f t="shared" si="7"/>
        <v/>
      </c>
      <c r="M119" s="12" t="str">
        <f t="shared" ca="1" si="8"/>
        <v/>
      </c>
      <c r="N119" s="19" t="str">
        <f t="shared" ca="1" si="9"/>
        <v/>
      </c>
    </row>
    <row r="120" spans="1:14" ht="15.75" customHeight="1" x14ac:dyDescent="0.25">
      <c r="A120" s="11"/>
      <c r="B120" s="11"/>
      <c r="C120" s="11"/>
      <c r="D120" s="11"/>
      <c r="E120" s="11"/>
      <c r="F120" s="17" t="str">
        <f>IF(E120=0,"",IFERROR(E120*Config!B18,0))</f>
        <v/>
      </c>
      <c r="G120" s="13" t="str">
        <f t="shared" si="5"/>
        <v/>
      </c>
      <c r="H120" s="11"/>
      <c r="I120" s="11"/>
      <c r="J120" s="16" t="str">
        <f t="shared" si="6"/>
        <v/>
      </c>
      <c r="K120" s="18" t="str">
        <f>IF(A120="","",IFERROR(SUMIF(Transactions!A$4:A$1003,A120,Transactions!F$4:F$1003),0))</f>
        <v/>
      </c>
      <c r="L120" s="15" t="str">
        <f t="shared" si="7"/>
        <v/>
      </c>
      <c r="M120" s="12" t="str">
        <f t="shared" ca="1" si="8"/>
        <v/>
      </c>
      <c r="N120" s="19" t="str">
        <f t="shared" ca="1" si="9"/>
        <v/>
      </c>
    </row>
    <row r="121" spans="1:14" ht="15.75" customHeight="1" x14ac:dyDescent="0.25">
      <c r="A121" s="11"/>
      <c r="B121" s="11"/>
      <c r="C121" s="11"/>
      <c r="D121" s="11"/>
      <c r="E121" s="11"/>
      <c r="F121" s="17" t="str">
        <f>IF(E121=0,"",IFERROR(E121*Config!B18,0))</f>
        <v/>
      </c>
      <c r="G121" s="13" t="str">
        <f t="shared" si="5"/>
        <v/>
      </c>
      <c r="H121" s="11"/>
      <c r="I121" s="11"/>
      <c r="J121" s="16" t="str">
        <f t="shared" si="6"/>
        <v/>
      </c>
      <c r="K121" s="18" t="str">
        <f>IF(A121="","",IFERROR(SUMIF(Transactions!A$4:A$1003,A121,Transactions!F$4:F$1003),0))</f>
        <v/>
      </c>
      <c r="L121" s="15" t="str">
        <f t="shared" si="7"/>
        <v/>
      </c>
      <c r="M121" s="12" t="str">
        <f t="shared" ca="1" si="8"/>
        <v/>
      </c>
      <c r="N121" s="19" t="str">
        <f t="shared" ca="1" si="9"/>
        <v/>
      </c>
    </row>
    <row r="122" spans="1:14" ht="15.75" customHeight="1" x14ac:dyDescent="0.25">
      <c r="A122" s="11"/>
      <c r="B122" s="11"/>
      <c r="C122" s="11"/>
      <c r="D122" s="11"/>
      <c r="E122" s="11"/>
      <c r="F122" s="17" t="str">
        <f>IF(E122=0,"",IFERROR(E122*Config!B18,0))</f>
        <v/>
      </c>
      <c r="G122" s="13" t="str">
        <f t="shared" si="5"/>
        <v/>
      </c>
      <c r="H122" s="11"/>
      <c r="I122" s="11"/>
      <c r="J122" s="16" t="str">
        <f t="shared" si="6"/>
        <v/>
      </c>
      <c r="K122" s="18" t="str">
        <f>IF(A122="","",IFERROR(SUMIF(Transactions!A$4:A$1003,A122,Transactions!F$4:F$1003),0))</f>
        <v/>
      </c>
      <c r="L122" s="15" t="str">
        <f t="shared" si="7"/>
        <v/>
      </c>
      <c r="M122" s="12" t="str">
        <f t="shared" ca="1" si="8"/>
        <v/>
      </c>
      <c r="N122" s="19" t="str">
        <f t="shared" ca="1" si="9"/>
        <v/>
      </c>
    </row>
    <row r="123" spans="1:14" ht="15.75" customHeight="1" x14ac:dyDescent="0.25">
      <c r="A123" s="11"/>
      <c r="B123" s="11"/>
      <c r="C123" s="11"/>
      <c r="D123" s="11"/>
      <c r="E123" s="11"/>
      <c r="F123" s="17" t="str">
        <f>IF(E123=0,"",IFERROR(E123*Config!B18,0))</f>
        <v/>
      </c>
      <c r="G123" s="13" t="str">
        <f t="shared" si="5"/>
        <v/>
      </c>
      <c r="H123" s="11"/>
      <c r="I123" s="11"/>
      <c r="J123" s="16" t="str">
        <f t="shared" si="6"/>
        <v/>
      </c>
      <c r="K123" s="18" t="str">
        <f>IF(A123="","",IFERROR(SUMIF(Transactions!A$4:A$1003,A123,Transactions!F$4:F$1003),0))</f>
        <v/>
      </c>
      <c r="L123" s="15" t="str">
        <f t="shared" si="7"/>
        <v/>
      </c>
      <c r="M123" s="12" t="str">
        <f t="shared" ca="1" si="8"/>
        <v/>
      </c>
      <c r="N123" s="19" t="str">
        <f t="shared" ca="1" si="9"/>
        <v/>
      </c>
    </row>
    <row r="124" spans="1:14" ht="15.75" customHeight="1" x14ac:dyDescent="0.25">
      <c r="A124" s="11"/>
      <c r="B124" s="11"/>
      <c r="C124" s="11"/>
      <c r="D124" s="11"/>
      <c r="E124" s="11"/>
      <c r="F124" s="17" t="str">
        <f>IF(E124=0,"",IFERROR(E124*Config!B18,0))</f>
        <v/>
      </c>
      <c r="G124" s="13" t="str">
        <f t="shared" si="5"/>
        <v/>
      </c>
      <c r="H124" s="11"/>
      <c r="I124" s="11"/>
      <c r="J124" s="16" t="str">
        <f t="shared" si="6"/>
        <v/>
      </c>
      <c r="K124" s="18" t="str">
        <f>IF(A124="","",IFERROR(SUMIF(Transactions!A$4:A$1003,A124,Transactions!F$4:F$1003),0))</f>
        <v/>
      </c>
      <c r="L124" s="15" t="str">
        <f t="shared" si="7"/>
        <v/>
      </c>
      <c r="M124" s="12" t="str">
        <f t="shared" ca="1" si="8"/>
        <v/>
      </c>
      <c r="N124" s="19" t="str">
        <f t="shared" ca="1" si="9"/>
        <v/>
      </c>
    </row>
    <row r="125" spans="1:14" ht="15.75" customHeight="1" x14ac:dyDescent="0.25">
      <c r="A125" s="11"/>
      <c r="B125" s="11"/>
      <c r="C125" s="11"/>
      <c r="D125" s="11"/>
      <c r="E125" s="11"/>
      <c r="F125" s="17" t="str">
        <f>IF(E125=0,"",IFERROR(E125*Config!B18,0))</f>
        <v/>
      </c>
      <c r="G125" s="13" t="str">
        <f t="shared" si="5"/>
        <v/>
      </c>
      <c r="H125" s="11"/>
      <c r="I125" s="11"/>
      <c r="J125" s="16" t="str">
        <f t="shared" si="6"/>
        <v/>
      </c>
      <c r="K125" s="18" t="str">
        <f>IF(A125="","",IFERROR(SUMIF(Transactions!A$4:A$1003,A125,Transactions!F$4:F$1003),0))</f>
        <v/>
      </c>
      <c r="L125" s="15" t="str">
        <f t="shared" si="7"/>
        <v/>
      </c>
      <c r="M125" s="12" t="str">
        <f t="shared" ca="1" si="8"/>
        <v/>
      </c>
      <c r="N125" s="19" t="str">
        <f t="shared" ca="1" si="9"/>
        <v/>
      </c>
    </row>
    <row r="126" spans="1:14" ht="15.75" customHeight="1" x14ac:dyDescent="0.25">
      <c r="A126" s="11"/>
      <c r="B126" s="11"/>
      <c r="C126" s="11"/>
      <c r="D126" s="11"/>
      <c r="E126" s="11"/>
      <c r="F126" s="17" t="str">
        <f>IF(E126=0,"",IFERROR(E126*Config!B18,0))</f>
        <v/>
      </c>
      <c r="G126" s="13" t="str">
        <f t="shared" si="5"/>
        <v/>
      </c>
      <c r="H126" s="11"/>
      <c r="I126" s="11"/>
      <c r="J126" s="16" t="str">
        <f t="shared" si="6"/>
        <v/>
      </c>
      <c r="K126" s="18" t="str">
        <f>IF(A126="","",IFERROR(SUMIF(Transactions!A$4:A$1003,A126,Transactions!F$4:F$1003),0))</f>
        <v/>
      </c>
      <c r="L126" s="15" t="str">
        <f t="shared" si="7"/>
        <v/>
      </c>
      <c r="M126" s="12" t="str">
        <f t="shared" ca="1" si="8"/>
        <v/>
      </c>
      <c r="N126" s="19" t="str">
        <f t="shared" ca="1" si="9"/>
        <v/>
      </c>
    </row>
    <row r="127" spans="1:14" ht="15.75" customHeight="1" x14ac:dyDescent="0.25">
      <c r="A127" s="11"/>
      <c r="B127" s="11"/>
      <c r="C127" s="11"/>
      <c r="D127" s="11"/>
      <c r="E127" s="11"/>
      <c r="F127" s="17" t="str">
        <f>IF(E127=0,"",IFERROR(E127*Config!B18,0))</f>
        <v/>
      </c>
      <c r="G127" s="13" t="str">
        <f t="shared" si="5"/>
        <v/>
      </c>
      <c r="H127" s="11"/>
      <c r="I127" s="11"/>
      <c r="J127" s="16" t="str">
        <f t="shared" si="6"/>
        <v/>
      </c>
      <c r="K127" s="18" t="str">
        <f>IF(A127="","",IFERROR(SUMIF(Transactions!A$4:A$1003,A127,Transactions!F$4:F$1003),0))</f>
        <v/>
      </c>
      <c r="L127" s="15" t="str">
        <f t="shared" si="7"/>
        <v/>
      </c>
      <c r="M127" s="12" t="str">
        <f t="shared" ca="1" si="8"/>
        <v/>
      </c>
      <c r="N127" s="19" t="str">
        <f t="shared" ca="1" si="9"/>
        <v/>
      </c>
    </row>
    <row r="128" spans="1:14" ht="15.75" customHeight="1" x14ac:dyDescent="0.25">
      <c r="A128" s="11"/>
      <c r="B128" s="11"/>
      <c r="C128" s="11"/>
      <c r="D128" s="11"/>
      <c r="E128" s="11"/>
      <c r="F128" s="17" t="str">
        <f>IF(E128=0,"",IFERROR(E128*Config!B18,0))</f>
        <v/>
      </c>
      <c r="G128" s="13" t="str">
        <f t="shared" si="5"/>
        <v/>
      </c>
      <c r="H128" s="11"/>
      <c r="I128" s="11"/>
      <c r="J128" s="16" t="str">
        <f t="shared" si="6"/>
        <v/>
      </c>
      <c r="K128" s="18" t="str">
        <f>IF(A128="","",IFERROR(SUMIF(Transactions!A$4:A$1003,A128,Transactions!F$4:F$1003),0))</f>
        <v/>
      </c>
      <c r="L128" s="15" t="str">
        <f t="shared" si="7"/>
        <v/>
      </c>
      <c r="M128" s="12" t="str">
        <f t="shared" ca="1" si="8"/>
        <v/>
      </c>
      <c r="N128" s="19" t="str">
        <f t="shared" ca="1" si="9"/>
        <v/>
      </c>
    </row>
    <row r="129" spans="1:14" ht="15.75" customHeight="1" x14ac:dyDescent="0.25">
      <c r="A129" s="11"/>
      <c r="B129" s="11"/>
      <c r="C129" s="11"/>
      <c r="D129" s="11"/>
      <c r="E129" s="11"/>
      <c r="F129" s="17" t="str">
        <f>IF(E129=0,"",IFERROR(E129*Config!B18,0))</f>
        <v/>
      </c>
      <c r="G129" s="13" t="str">
        <f t="shared" si="5"/>
        <v/>
      </c>
      <c r="H129" s="11"/>
      <c r="I129" s="11"/>
      <c r="J129" s="16" t="str">
        <f t="shared" si="6"/>
        <v/>
      </c>
      <c r="K129" s="18" t="str">
        <f>IF(A129="","",IFERROR(SUMIF(Transactions!A$4:A$1003,A129,Transactions!F$4:F$1003),0))</f>
        <v/>
      </c>
      <c r="L129" s="15" t="str">
        <f t="shared" si="7"/>
        <v/>
      </c>
      <c r="M129" s="12" t="str">
        <f t="shared" ca="1" si="8"/>
        <v/>
      </c>
      <c r="N129" s="19" t="str">
        <f t="shared" ca="1" si="9"/>
        <v/>
      </c>
    </row>
    <row r="130" spans="1:14" ht="15.75" customHeight="1" x14ac:dyDescent="0.25">
      <c r="A130" s="11"/>
      <c r="B130" s="11"/>
      <c r="C130" s="11"/>
      <c r="D130" s="11"/>
      <c r="E130" s="11"/>
      <c r="F130" s="17" t="str">
        <f>IF(E130=0,"",IFERROR(E130*Config!B18,0))</f>
        <v/>
      </c>
      <c r="G130" s="13" t="str">
        <f t="shared" si="5"/>
        <v/>
      </c>
      <c r="H130" s="11"/>
      <c r="I130" s="11"/>
      <c r="J130" s="16" t="str">
        <f t="shared" si="6"/>
        <v/>
      </c>
      <c r="K130" s="18" t="str">
        <f>IF(A130="","",IFERROR(SUMIF(Transactions!A$4:A$1003,A130,Transactions!F$4:F$1003),0))</f>
        <v/>
      </c>
      <c r="L130" s="15" t="str">
        <f t="shared" si="7"/>
        <v/>
      </c>
      <c r="M130" s="12" t="str">
        <f t="shared" ca="1" si="8"/>
        <v/>
      </c>
      <c r="N130" s="19" t="str">
        <f t="shared" ca="1" si="9"/>
        <v/>
      </c>
    </row>
    <row r="131" spans="1:14" ht="15.75" customHeight="1" x14ac:dyDescent="0.25">
      <c r="A131" s="11"/>
      <c r="B131" s="11"/>
      <c r="C131" s="11"/>
      <c r="D131" s="11"/>
      <c r="E131" s="11"/>
      <c r="F131" s="17" t="str">
        <f>IF(E131=0,"",IFERROR(E131*Config!B18,0))</f>
        <v/>
      </c>
      <c r="G131" s="13" t="str">
        <f t="shared" si="5"/>
        <v/>
      </c>
      <c r="H131" s="11"/>
      <c r="I131" s="11"/>
      <c r="J131" s="16" t="str">
        <f t="shared" si="6"/>
        <v/>
      </c>
      <c r="K131" s="18" t="str">
        <f>IF(A131="","",IFERROR(SUMIF(Transactions!A$4:A$1003,A131,Transactions!F$4:F$1003),0))</f>
        <v/>
      </c>
      <c r="L131" s="15" t="str">
        <f t="shared" si="7"/>
        <v/>
      </c>
      <c r="M131" s="12" t="str">
        <f t="shared" ca="1" si="8"/>
        <v/>
      </c>
      <c r="N131" s="19" t="str">
        <f t="shared" ca="1" si="9"/>
        <v/>
      </c>
    </row>
    <row r="132" spans="1:14" ht="15.75" customHeight="1" x14ac:dyDescent="0.25">
      <c r="A132" s="11"/>
      <c r="B132" s="11"/>
      <c r="C132" s="11"/>
      <c r="D132" s="11"/>
      <c r="E132" s="11"/>
      <c r="F132" s="17" t="str">
        <f>IF(E132=0,"",IFERROR(E132*Config!B18,0))</f>
        <v/>
      </c>
      <c r="G132" s="13" t="str">
        <f t="shared" ref="G132:G195" si="10">IF(E132=0,"",MAX(0,E132-F132))</f>
        <v/>
      </c>
      <c r="H132" s="11"/>
      <c r="I132" s="11"/>
      <c r="J132" s="16" t="str">
        <f t="shared" ref="J132:J195" si="11">IF(E132=0,"",IFERROR(-PMT(H132/100/12,I132,-E132),0))</f>
        <v/>
      </c>
      <c r="K132" s="18" t="str">
        <f>IF(A132="","",IFERROR(SUMIF(Transactions!A$4:A$1003,A132,Transactions!F$4:F$1003),0))</f>
        <v/>
      </c>
      <c r="L132" s="15" t="str">
        <f t="shared" ref="L132:L195" si="12">IF(E132=0,"",MAX(0,E132-K132))</f>
        <v/>
      </c>
      <c r="M132" s="12" t="str">
        <f t="shared" ref="M132:M195" ca="1" si="13">IF(A132="","",IF(L132&lt;=0,"✅ Fully Paid",IF(AND(D132&lt;&gt;"",TODAY()&gt;D132+I132*30),"⚠ Overdue","🟢 Active")))</f>
        <v/>
      </c>
      <c r="N132" s="19" t="str">
        <f t="shared" ref="N132:N195" ca="1" si="14">IF(L132&lt;=0,TODAY(),"")</f>
        <v/>
      </c>
    </row>
    <row r="133" spans="1:14" ht="15.75" customHeight="1" x14ac:dyDescent="0.25">
      <c r="A133" s="11"/>
      <c r="B133" s="11"/>
      <c r="C133" s="11"/>
      <c r="D133" s="11"/>
      <c r="E133" s="11"/>
      <c r="F133" s="17" t="str">
        <f>IF(E133=0,"",IFERROR(E133*Config!B18,0))</f>
        <v/>
      </c>
      <c r="G133" s="13" t="str">
        <f t="shared" si="10"/>
        <v/>
      </c>
      <c r="H133" s="11"/>
      <c r="I133" s="11"/>
      <c r="J133" s="16" t="str">
        <f t="shared" si="11"/>
        <v/>
      </c>
      <c r="K133" s="18" t="str">
        <f>IF(A133="","",IFERROR(SUMIF(Transactions!A$4:A$1003,A133,Transactions!F$4:F$1003),0))</f>
        <v/>
      </c>
      <c r="L133" s="15" t="str">
        <f t="shared" si="12"/>
        <v/>
      </c>
      <c r="M133" s="12" t="str">
        <f t="shared" ca="1" si="13"/>
        <v/>
      </c>
      <c r="N133" s="19" t="str">
        <f t="shared" ca="1" si="14"/>
        <v/>
      </c>
    </row>
    <row r="134" spans="1:14" ht="15.75" customHeight="1" x14ac:dyDescent="0.25">
      <c r="A134" s="11"/>
      <c r="B134" s="11"/>
      <c r="C134" s="11"/>
      <c r="D134" s="11"/>
      <c r="E134" s="11"/>
      <c r="F134" s="17" t="str">
        <f>IF(E134=0,"",IFERROR(E134*Config!B18,0))</f>
        <v/>
      </c>
      <c r="G134" s="13" t="str">
        <f t="shared" si="10"/>
        <v/>
      </c>
      <c r="H134" s="11"/>
      <c r="I134" s="11"/>
      <c r="J134" s="16" t="str">
        <f t="shared" si="11"/>
        <v/>
      </c>
      <c r="K134" s="18" t="str">
        <f>IF(A134="","",IFERROR(SUMIF(Transactions!A$4:A$1003,A134,Transactions!F$4:F$1003),0))</f>
        <v/>
      </c>
      <c r="L134" s="15" t="str">
        <f t="shared" si="12"/>
        <v/>
      </c>
      <c r="M134" s="12" t="str">
        <f t="shared" ca="1" si="13"/>
        <v/>
      </c>
      <c r="N134" s="19" t="str">
        <f t="shared" ca="1" si="14"/>
        <v/>
      </c>
    </row>
    <row r="135" spans="1:14" ht="15.75" customHeight="1" x14ac:dyDescent="0.25">
      <c r="A135" s="11"/>
      <c r="B135" s="11"/>
      <c r="C135" s="11"/>
      <c r="D135" s="11"/>
      <c r="E135" s="11"/>
      <c r="F135" s="17" t="str">
        <f>IF(E135=0,"",IFERROR(E135*Config!B18,0))</f>
        <v/>
      </c>
      <c r="G135" s="13" t="str">
        <f t="shared" si="10"/>
        <v/>
      </c>
      <c r="H135" s="11"/>
      <c r="I135" s="11"/>
      <c r="J135" s="16" t="str">
        <f t="shared" si="11"/>
        <v/>
      </c>
      <c r="K135" s="18" t="str">
        <f>IF(A135="","",IFERROR(SUMIF(Transactions!A$4:A$1003,A135,Transactions!F$4:F$1003),0))</f>
        <v/>
      </c>
      <c r="L135" s="15" t="str">
        <f t="shared" si="12"/>
        <v/>
      </c>
      <c r="M135" s="12" t="str">
        <f t="shared" ca="1" si="13"/>
        <v/>
      </c>
      <c r="N135" s="19" t="str">
        <f t="shared" ca="1" si="14"/>
        <v/>
      </c>
    </row>
    <row r="136" spans="1:14" ht="15.75" customHeight="1" x14ac:dyDescent="0.25">
      <c r="A136" s="11"/>
      <c r="B136" s="11"/>
      <c r="C136" s="11"/>
      <c r="D136" s="11"/>
      <c r="E136" s="11"/>
      <c r="F136" s="17" t="str">
        <f>IF(E136=0,"",IFERROR(E136*Config!B18,0))</f>
        <v/>
      </c>
      <c r="G136" s="13" t="str">
        <f t="shared" si="10"/>
        <v/>
      </c>
      <c r="H136" s="11"/>
      <c r="I136" s="11"/>
      <c r="J136" s="16" t="str">
        <f t="shared" si="11"/>
        <v/>
      </c>
      <c r="K136" s="18" t="str">
        <f>IF(A136="","",IFERROR(SUMIF(Transactions!A$4:A$1003,A136,Transactions!F$4:F$1003),0))</f>
        <v/>
      </c>
      <c r="L136" s="15" t="str">
        <f t="shared" si="12"/>
        <v/>
      </c>
      <c r="M136" s="12" t="str">
        <f t="shared" ca="1" si="13"/>
        <v/>
      </c>
      <c r="N136" s="19" t="str">
        <f t="shared" ca="1" si="14"/>
        <v/>
      </c>
    </row>
    <row r="137" spans="1:14" ht="15.75" customHeight="1" x14ac:dyDescent="0.25">
      <c r="A137" s="11"/>
      <c r="B137" s="11"/>
      <c r="C137" s="11"/>
      <c r="D137" s="11"/>
      <c r="E137" s="11"/>
      <c r="F137" s="17" t="str">
        <f>IF(E137=0,"",IFERROR(E137*Config!B18,0))</f>
        <v/>
      </c>
      <c r="G137" s="13" t="str">
        <f t="shared" si="10"/>
        <v/>
      </c>
      <c r="H137" s="11"/>
      <c r="I137" s="11"/>
      <c r="J137" s="16" t="str">
        <f t="shared" si="11"/>
        <v/>
      </c>
      <c r="K137" s="18" t="str">
        <f>IF(A137="","",IFERROR(SUMIF(Transactions!A$4:A$1003,A137,Transactions!F$4:F$1003),0))</f>
        <v/>
      </c>
      <c r="L137" s="15" t="str">
        <f t="shared" si="12"/>
        <v/>
      </c>
      <c r="M137" s="12" t="str">
        <f t="shared" ca="1" si="13"/>
        <v/>
      </c>
      <c r="N137" s="19" t="str">
        <f t="shared" ca="1" si="14"/>
        <v/>
      </c>
    </row>
    <row r="138" spans="1:14" ht="15.75" customHeight="1" x14ac:dyDescent="0.25">
      <c r="A138" s="11"/>
      <c r="B138" s="11"/>
      <c r="C138" s="11"/>
      <c r="D138" s="11"/>
      <c r="E138" s="11"/>
      <c r="F138" s="17" t="str">
        <f>IF(E138=0,"",IFERROR(E138*Config!B18,0))</f>
        <v/>
      </c>
      <c r="G138" s="13" t="str">
        <f t="shared" si="10"/>
        <v/>
      </c>
      <c r="H138" s="11"/>
      <c r="I138" s="11"/>
      <c r="J138" s="16" t="str">
        <f t="shared" si="11"/>
        <v/>
      </c>
      <c r="K138" s="18" t="str">
        <f>IF(A138="","",IFERROR(SUMIF(Transactions!A$4:A$1003,A138,Transactions!F$4:F$1003),0))</f>
        <v/>
      </c>
      <c r="L138" s="15" t="str">
        <f t="shared" si="12"/>
        <v/>
      </c>
      <c r="M138" s="12" t="str">
        <f t="shared" ca="1" si="13"/>
        <v/>
      </c>
      <c r="N138" s="19" t="str">
        <f t="shared" ca="1" si="14"/>
        <v/>
      </c>
    </row>
    <row r="139" spans="1:14" ht="15.75" customHeight="1" x14ac:dyDescent="0.25">
      <c r="A139" s="11"/>
      <c r="B139" s="11"/>
      <c r="C139" s="11"/>
      <c r="D139" s="11"/>
      <c r="E139" s="11"/>
      <c r="F139" s="17" t="str">
        <f>IF(E139=0,"",IFERROR(E139*Config!B18,0))</f>
        <v/>
      </c>
      <c r="G139" s="13" t="str">
        <f t="shared" si="10"/>
        <v/>
      </c>
      <c r="H139" s="11"/>
      <c r="I139" s="11"/>
      <c r="J139" s="16" t="str">
        <f t="shared" si="11"/>
        <v/>
      </c>
      <c r="K139" s="18" t="str">
        <f>IF(A139="","",IFERROR(SUMIF(Transactions!A$4:A$1003,A139,Transactions!F$4:F$1003),0))</f>
        <v/>
      </c>
      <c r="L139" s="15" t="str">
        <f t="shared" si="12"/>
        <v/>
      </c>
      <c r="M139" s="12" t="str">
        <f t="shared" ca="1" si="13"/>
        <v/>
      </c>
      <c r="N139" s="19" t="str">
        <f t="shared" ca="1" si="14"/>
        <v/>
      </c>
    </row>
    <row r="140" spans="1:14" ht="15.75" customHeight="1" x14ac:dyDescent="0.25">
      <c r="A140" s="11"/>
      <c r="B140" s="11"/>
      <c r="C140" s="11"/>
      <c r="D140" s="11"/>
      <c r="E140" s="11"/>
      <c r="F140" s="17" t="str">
        <f>IF(E140=0,"",IFERROR(E140*Config!B18,0))</f>
        <v/>
      </c>
      <c r="G140" s="13" t="str">
        <f t="shared" si="10"/>
        <v/>
      </c>
      <c r="H140" s="11"/>
      <c r="I140" s="11"/>
      <c r="J140" s="16" t="str">
        <f t="shared" si="11"/>
        <v/>
      </c>
      <c r="K140" s="18" t="str">
        <f>IF(A140="","",IFERROR(SUMIF(Transactions!A$4:A$1003,A140,Transactions!F$4:F$1003),0))</f>
        <v/>
      </c>
      <c r="L140" s="15" t="str">
        <f t="shared" si="12"/>
        <v/>
      </c>
      <c r="M140" s="12" t="str">
        <f t="shared" ca="1" si="13"/>
        <v/>
      </c>
      <c r="N140" s="19" t="str">
        <f t="shared" ca="1" si="14"/>
        <v/>
      </c>
    </row>
    <row r="141" spans="1:14" ht="15.75" customHeight="1" x14ac:dyDescent="0.25">
      <c r="A141" s="11"/>
      <c r="B141" s="11"/>
      <c r="C141" s="11"/>
      <c r="D141" s="11"/>
      <c r="E141" s="11"/>
      <c r="F141" s="17" t="str">
        <f>IF(E141=0,"",IFERROR(E141*Config!B18,0))</f>
        <v/>
      </c>
      <c r="G141" s="13" t="str">
        <f t="shared" si="10"/>
        <v/>
      </c>
      <c r="H141" s="11"/>
      <c r="I141" s="11"/>
      <c r="J141" s="16" t="str">
        <f t="shared" si="11"/>
        <v/>
      </c>
      <c r="K141" s="18" t="str">
        <f>IF(A141="","",IFERROR(SUMIF(Transactions!A$4:A$1003,A141,Transactions!F$4:F$1003),0))</f>
        <v/>
      </c>
      <c r="L141" s="15" t="str">
        <f t="shared" si="12"/>
        <v/>
      </c>
      <c r="M141" s="12" t="str">
        <f t="shared" ca="1" si="13"/>
        <v/>
      </c>
      <c r="N141" s="19" t="str">
        <f t="shared" ca="1" si="14"/>
        <v/>
      </c>
    </row>
    <row r="142" spans="1:14" ht="15.75" customHeight="1" x14ac:dyDescent="0.25">
      <c r="A142" s="11"/>
      <c r="B142" s="11"/>
      <c r="C142" s="11"/>
      <c r="D142" s="11"/>
      <c r="E142" s="11"/>
      <c r="F142" s="17" t="str">
        <f>IF(E142=0,"",IFERROR(E142*Config!B18,0))</f>
        <v/>
      </c>
      <c r="G142" s="13" t="str">
        <f t="shared" si="10"/>
        <v/>
      </c>
      <c r="H142" s="11"/>
      <c r="I142" s="11"/>
      <c r="J142" s="16" t="str">
        <f t="shared" si="11"/>
        <v/>
      </c>
      <c r="K142" s="18" t="str">
        <f>IF(A142="","",IFERROR(SUMIF(Transactions!A$4:A$1003,A142,Transactions!F$4:F$1003),0))</f>
        <v/>
      </c>
      <c r="L142" s="15" t="str">
        <f t="shared" si="12"/>
        <v/>
      </c>
      <c r="M142" s="12" t="str">
        <f t="shared" ca="1" si="13"/>
        <v/>
      </c>
      <c r="N142" s="19" t="str">
        <f t="shared" ca="1" si="14"/>
        <v/>
      </c>
    </row>
    <row r="143" spans="1:14" ht="15.75" customHeight="1" x14ac:dyDescent="0.25">
      <c r="A143" s="11"/>
      <c r="B143" s="11"/>
      <c r="C143" s="11"/>
      <c r="D143" s="11"/>
      <c r="E143" s="11"/>
      <c r="F143" s="17" t="str">
        <f>IF(E143=0,"",IFERROR(E143*Config!B18,0))</f>
        <v/>
      </c>
      <c r="G143" s="13" t="str">
        <f t="shared" si="10"/>
        <v/>
      </c>
      <c r="H143" s="11"/>
      <c r="I143" s="11"/>
      <c r="J143" s="16" t="str">
        <f t="shared" si="11"/>
        <v/>
      </c>
      <c r="K143" s="18" t="str">
        <f>IF(A143="","",IFERROR(SUMIF(Transactions!A$4:A$1003,A143,Transactions!F$4:F$1003),0))</f>
        <v/>
      </c>
      <c r="L143" s="15" t="str">
        <f t="shared" si="12"/>
        <v/>
      </c>
      <c r="M143" s="12" t="str">
        <f t="shared" ca="1" si="13"/>
        <v/>
      </c>
      <c r="N143" s="19" t="str">
        <f t="shared" ca="1" si="14"/>
        <v/>
      </c>
    </row>
    <row r="144" spans="1:14" ht="15.75" customHeight="1" x14ac:dyDescent="0.25">
      <c r="A144" s="11"/>
      <c r="B144" s="11"/>
      <c r="C144" s="11"/>
      <c r="D144" s="11"/>
      <c r="E144" s="11"/>
      <c r="F144" s="17" t="str">
        <f>IF(E144=0,"",IFERROR(E144*Config!B18,0))</f>
        <v/>
      </c>
      <c r="G144" s="13" t="str">
        <f t="shared" si="10"/>
        <v/>
      </c>
      <c r="H144" s="11"/>
      <c r="I144" s="11"/>
      <c r="J144" s="16" t="str">
        <f t="shared" si="11"/>
        <v/>
      </c>
      <c r="K144" s="18" t="str">
        <f>IF(A144="","",IFERROR(SUMIF(Transactions!A$4:A$1003,A144,Transactions!F$4:F$1003),0))</f>
        <v/>
      </c>
      <c r="L144" s="15" t="str">
        <f t="shared" si="12"/>
        <v/>
      </c>
      <c r="M144" s="12" t="str">
        <f t="shared" ca="1" si="13"/>
        <v/>
      </c>
      <c r="N144" s="19" t="str">
        <f t="shared" ca="1" si="14"/>
        <v/>
      </c>
    </row>
    <row r="145" spans="1:14" ht="15.75" customHeight="1" x14ac:dyDescent="0.25">
      <c r="A145" s="11"/>
      <c r="B145" s="11"/>
      <c r="C145" s="11"/>
      <c r="D145" s="11"/>
      <c r="E145" s="11"/>
      <c r="F145" s="17" t="str">
        <f>IF(E145=0,"",IFERROR(E145*Config!B18,0))</f>
        <v/>
      </c>
      <c r="G145" s="13" t="str">
        <f t="shared" si="10"/>
        <v/>
      </c>
      <c r="H145" s="11"/>
      <c r="I145" s="11"/>
      <c r="J145" s="16" t="str">
        <f t="shared" si="11"/>
        <v/>
      </c>
      <c r="K145" s="18" t="str">
        <f>IF(A145="","",IFERROR(SUMIF(Transactions!A$4:A$1003,A145,Transactions!F$4:F$1003),0))</f>
        <v/>
      </c>
      <c r="L145" s="15" t="str">
        <f t="shared" si="12"/>
        <v/>
      </c>
      <c r="M145" s="12" t="str">
        <f t="shared" ca="1" si="13"/>
        <v/>
      </c>
      <c r="N145" s="19" t="str">
        <f t="shared" ca="1" si="14"/>
        <v/>
      </c>
    </row>
    <row r="146" spans="1:14" ht="15.75" customHeight="1" x14ac:dyDescent="0.25">
      <c r="A146" s="11"/>
      <c r="B146" s="11"/>
      <c r="C146" s="11"/>
      <c r="D146" s="11"/>
      <c r="E146" s="11"/>
      <c r="F146" s="17" t="str">
        <f>IF(E146=0,"",IFERROR(E146*Config!B18,0))</f>
        <v/>
      </c>
      <c r="G146" s="13" t="str">
        <f t="shared" si="10"/>
        <v/>
      </c>
      <c r="H146" s="11"/>
      <c r="I146" s="11"/>
      <c r="J146" s="16" t="str">
        <f t="shared" si="11"/>
        <v/>
      </c>
      <c r="K146" s="18" t="str">
        <f>IF(A146="","",IFERROR(SUMIF(Transactions!A$4:A$1003,A146,Transactions!F$4:F$1003),0))</f>
        <v/>
      </c>
      <c r="L146" s="15" t="str">
        <f t="shared" si="12"/>
        <v/>
      </c>
      <c r="M146" s="12" t="str">
        <f t="shared" ca="1" si="13"/>
        <v/>
      </c>
      <c r="N146" s="19" t="str">
        <f t="shared" ca="1" si="14"/>
        <v/>
      </c>
    </row>
    <row r="147" spans="1:14" ht="15.75" customHeight="1" x14ac:dyDescent="0.25">
      <c r="A147" s="11"/>
      <c r="B147" s="11"/>
      <c r="C147" s="11"/>
      <c r="D147" s="11"/>
      <c r="E147" s="11"/>
      <c r="F147" s="17" t="str">
        <f>IF(E147=0,"",IFERROR(E147*Config!B18,0))</f>
        <v/>
      </c>
      <c r="G147" s="13" t="str">
        <f t="shared" si="10"/>
        <v/>
      </c>
      <c r="H147" s="11"/>
      <c r="I147" s="11"/>
      <c r="J147" s="16" t="str">
        <f t="shared" si="11"/>
        <v/>
      </c>
      <c r="K147" s="18" t="str">
        <f>IF(A147="","",IFERROR(SUMIF(Transactions!A$4:A$1003,A147,Transactions!F$4:F$1003),0))</f>
        <v/>
      </c>
      <c r="L147" s="15" t="str">
        <f t="shared" si="12"/>
        <v/>
      </c>
      <c r="M147" s="12" t="str">
        <f t="shared" ca="1" si="13"/>
        <v/>
      </c>
      <c r="N147" s="19" t="str">
        <f t="shared" ca="1" si="14"/>
        <v/>
      </c>
    </row>
    <row r="148" spans="1:14" ht="15.75" customHeight="1" x14ac:dyDescent="0.25">
      <c r="A148" s="11"/>
      <c r="B148" s="11"/>
      <c r="C148" s="11"/>
      <c r="D148" s="11"/>
      <c r="E148" s="11"/>
      <c r="F148" s="17" t="str">
        <f>IF(E148=0,"",IFERROR(E148*Config!B18,0))</f>
        <v/>
      </c>
      <c r="G148" s="13" t="str">
        <f t="shared" si="10"/>
        <v/>
      </c>
      <c r="H148" s="11"/>
      <c r="I148" s="11"/>
      <c r="J148" s="16" t="str">
        <f t="shared" si="11"/>
        <v/>
      </c>
      <c r="K148" s="18" t="str">
        <f>IF(A148="","",IFERROR(SUMIF(Transactions!A$4:A$1003,A148,Transactions!F$4:F$1003),0))</f>
        <v/>
      </c>
      <c r="L148" s="15" t="str">
        <f t="shared" si="12"/>
        <v/>
      </c>
      <c r="M148" s="12" t="str">
        <f t="shared" ca="1" si="13"/>
        <v/>
      </c>
      <c r="N148" s="19" t="str">
        <f t="shared" ca="1" si="14"/>
        <v/>
      </c>
    </row>
    <row r="149" spans="1:14" ht="15.75" customHeight="1" x14ac:dyDescent="0.25">
      <c r="A149" s="11"/>
      <c r="B149" s="11"/>
      <c r="C149" s="11"/>
      <c r="D149" s="11"/>
      <c r="E149" s="11"/>
      <c r="F149" s="17" t="str">
        <f>IF(E149=0,"",IFERROR(E149*Config!B18,0))</f>
        <v/>
      </c>
      <c r="G149" s="13" t="str">
        <f t="shared" si="10"/>
        <v/>
      </c>
      <c r="H149" s="11"/>
      <c r="I149" s="11"/>
      <c r="J149" s="16" t="str">
        <f t="shared" si="11"/>
        <v/>
      </c>
      <c r="K149" s="18" t="str">
        <f>IF(A149="","",IFERROR(SUMIF(Transactions!A$4:A$1003,A149,Transactions!F$4:F$1003),0))</f>
        <v/>
      </c>
      <c r="L149" s="15" t="str">
        <f t="shared" si="12"/>
        <v/>
      </c>
      <c r="M149" s="12" t="str">
        <f t="shared" ca="1" si="13"/>
        <v/>
      </c>
      <c r="N149" s="19" t="str">
        <f t="shared" ca="1" si="14"/>
        <v/>
      </c>
    </row>
    <row r="150" spans="1:14" ht="15.75" customHeight="1" x14ac:dyDescent="0.25">
      <c r="A150" s="11"/>
      <c r="B150" s="11"/>
      <c r="C150" s="11"/>
      <c r="D150" s="11"/>
      <c r="E150" s="11"/>
      <c r="F150" s="17" t="str">
        <f>IF(E150=0,"",IFERROR(E150*Config!B18,0))</f>
        <v/>
      </c>
      <c r="G150" s="13" t="str">
        <f t="shared" si="10"/>
        <v/>
      </c>
      <c r="H150" s="11"/>
      <c r="I150" s="11"/>
      <c r="J150" s="16" t="str">
        <f t="shared" si="11"/>
        <v/>
      </c>
      <c r="K150" s="18" t="str">
        <f>IF(A150="","",IFERROR(SUMIF(Transactions!A$4:A$1003,A150,Transactions!F$4:F$1003),0))</f>
        <v/>
      </c>
      <c r="L150" s="15" t="str">
        <f t="shared" si="12"/>
        <v/>
      </c>
      <c r="M150" s="12" t="str">
        <f t="shared" ca="1" si="13"/>
        <v/>
      </c>
      <c r="N150" s="19" t="str">
        <f t="shared" ca="1" si="14"/>
        <v/>
      </c>
    </row>
    <row r="151" spans="1:14" ht="15.75" customHeight="1" x14ac:dyDescent="0.25">
      <c r="A151" s="11"/>
      <c r="B151" s="11"/>
      <c r="C151" s="11"/>
      <c r="D151" s="11"/>
      <c r="E151" s="11"/>
      <c r="F151" s="17" t="str">
        <f>IF(E151=0,"",IFERROR(E151*Config!B18,0))</f>
        <v/>
      </c>
      <c r="G151" s="13" t="str">
        <f t="shared" si="10"/>
        <v/>
      </c>
      <c r="H151" s="11"/>
      <c r="I151" s="11"/>
      <c r="J151" s="16" t="str">
        <f t="shared" si="11"/>
        <v/>
      </c>
      <c r="K151" s="18" t="str">
        <f>IF(A151="","",IFERROR(SUMIF(Transactions!A$4:A$1003,A151,Transactions!F$4:F$1003),0))</f>
        <v/>
      </c>
      <c r="L151" s="15" t="str">
        <f t="shared" si="12"/>
        <v/>
      </c>
      <c r="M151" s="12" t="str">
        <f t="shared" ca="1" si="13"/>
        <v/>
      </c>
      <c r="N151" s="19" t="str">
        <f t="shared" ca="1" si="14"/>
        <v/>
      </c>
    </row>
    <row r="152" spans="1:14" ht="15.75" customHeight="1" x14ac:dyDescent="0.25">
      <c r="A152" s="11"/>
      <c r="B152" s="11"/>
      <c r="C152" s="11"/>
      <c r="D152" s="11"/>
      <c r="E152" s="11"/>
      <c r="F152" s="17" t="str">
        <f>IF(E152=0,"",IFERROR(E152*Config!B18,0))</f>
        <v/>
      </c>
      <c r="G152" s="13" t="str">
        <f t="shared" si="10"/>
        <v/>
      </c>
      <c r="H152" s="11"/>
      <c r="I152" s="11"/>
      <c r="J152" s="16" t="str">
        <f t="shared" si="11"/>
        <v/>
      </c>
      <c r="K152" s="18" t="str">
        <f>IF(A152="","",IFERROR(SUMIF(Transactions!A$4:A$1003,A152,Transactions!F$4:F$1003),0))</f>
        <v/>
      </c>
      <c r="L152" s="15" t="str">
        <f t="shared" si="12"/>
        <v/>
      </c>
      <c r="M152" s="12" t="str">
        <f t="shared" ca="1" si="13"/>
        <v/>
      </c>
      <c r="N152" s="19" t="str">
        <f t="shared" ca="1" si="14"/>
        <v/>
      </c>
    </row>
    <row r="153" spans="1:14" ht="15.75" customHeight="1" x14ac:dyDescent="0.25">
      <c r="A153" s="11"/>
      <c r="B153" s="11"/>
      <c r="C153" s="11"/>
      <c r="D153" s="11"/>
      <c r="E153" s="11"/>
      <c r="F153" s="17" t="str">
        <f>IF(E153=0,"",IFERROR(E153*Config!B18,0))</f>
        <v/>
      </c>
      <c r="G153" s="13" t="str">
        <f t="shared" si="10"/>
        <v/>
      </c>
      <c r="H153" s="11"/>
      <c r="I153" s="11"/>
      <c r="J153" s="16" t="str">
        <f t="shared" si="11"/>
        <v/>
      </c>
      <c r="K153" s="18" t="str">
        <f>IF(A153="","",IFERROR(SUMIF(Transactions!A$4:A$1003,A153,Transactions!F$4:F$1003),0))</f>
        <v/>
      </c>
      <c r="L153" s="15" t="str">
        <f t="shared" si="12"/>
        <v/>
      </c>
      <c r="M153" s="12" t="str">
        <f t="shared" ca="1" si="13"/>
        <v/>
      </c>
      <c r="N153" s="19" t="str">
        <f t="shared" ca="1" si="14"/>
        <v/>
      </c>
    </row>
    <row r="154" spans="1:14" ht="15.75" customHeight="1" x14ac:dyDescent="0.25">
      <c r="A154" s="11"/>
      <c r="B154" s="11"/>
      <c r="C154" s="11"/>
      <c r="D154" s="11"/>
      <c r="E154" s="11"/>
      <c r="F154" s="17" t="str">
        <f>IF(E154=0,"",IFERROR(E154*Config!B18,0))</f>
        <v/>
      </c>
      <c r="G154" s="13" t="str">
        <f t="shared" si="10"/>
        <v/>
      </c>
      <c r="H154" s="11"/>
      <c r="I154" s="11"/>
      <c r="J154" s="16" t="str">
        <f t="shared" si="11"/>
        <v/>
      </c>
      <c r="K154" s="18" t="str">
        <f>IF(A154="","",IFERROR(SUMIF(Transactions!A$4:A$1003,A154,Transactions!F$4:F$1003),0))</f>
        <v/>
      </c>
      <c r="L154" s="15" t="str">
        <f t="shared" si="12"/>
        <v/>
      </c>
      <c r="M154" s="12" t="str">
        <f t="shared" ca="1" si="13"/>
        <v/>
      </c>
      <c r="N154" s="19" t="str">
        <f t="shared" ca="1" si="14"/>
        <v/>
      </c>
    </row>
    <row r="155" spans="1:14" ht="15.75" customHeight="1" x14ac:dyDescent="0.25">
      <c r="A155" s="11"/>
      <c r="B155" s="11"/>
      <c r="C155" s="11"/>
      <c r="D155" s="11"/>
      <c r="E155" s="11"/>
      <c r="F155" s="17" t="str">
        <f>IF(E155=0,"",IFERROR(E155*Config!B18,0))</f>
        <v/>
      </c>
      <c r="G155" s="13" t="str">
        <f t="shared" si="10"/>
        <v/>
      </c>
      <c r="H155" s="11"/>
      <c r="I155" s="11"/>
      <c r="J155" s="16" t="str">
        <f t="shared" si="11"/>
        <v/>
      </c>
      <c r="K155" s="18" t="str">
        <f>IF(A155="","",IFERROR(SUMIF(Transactions!A$4:A$1003,A155,Transactions!F$4:F$1003),0))</f>
        <v/>
      </c>
      <c r="L155" s="15" t="str">
        <f t="shared" si="12"/>
        <v/>
      </c>
      <c r="M155" s="12" t="str">
        <f t="shared" ca="1" si="13"/>
        <v/>
      </c>
      <c r="N155" s="19" t="str">
        <f t="shared" ca="1" si="14"/>
        <v/>
      </c>
    </row>
    <row r="156" spans="1:14" ht="15.75" customHeight="1" x14ac:dyDescent="0.25">
      <c r="A156" s="11"/>
      <c r="B156" s="11"/>
      <c r="C156" s="11"/>
      <c r="D156" s="11"/>
      <c r="E156" s="11"/>
      <c r="F156" s="17" t="str">
        <f>IF(E156=0,"",IFERROR(E156*Config!B18,0))</f>
        <v/>
      </c>
      <c r="G156" s="13" t="str">
        <f t="shared" si="10"/>
        <v/>
      </c>
      <c r="H156" s="11"/>
      <c r="I156" s="11"/>
      <c r="J156" s="16" t="str">
        <f t="shared" si="11"/>
        <v/>
      </c>
      <c r="K156" s="18" t="str">
        <f>IF(A156="","",IFERROR(SUMIF(Transactions!A$4:A$1003,A156,Transactions!F$4:F$1003),0))</f>
        <v/>
      </c>
      <c r="L156" s="15" t="str">
        <f t="shared" si="12"/>
        <v/>
      </c>
      <c r="M156" s="12" t="str">
        <f t="shared" ca="1" si="13"/>
        <v/>
      </c>
      <c r="N156" s="19" t="str">
        <f t="shared" ca="1" si="14"/>
        <v/>
      </c>
    </row>
    <row r="157" spans="1:14" ht="15.75" customHeight="1" x14ac:dyDescent="0.25">
      <c r="A157" s="11"/>
      <c r="B157" s="11"/>
      <c r="C157" s="11"/>
      <c r="D157" s="11"/>
      <c r="E157" s="11"/>
      <c r="F157" s="17" t="str">
        <f>IF(E157=0,"",IFERROR(E157*Config!B18,0))</f>
        <v/>
      </c>
      <c r="G157" s="13" t="str">
        <f t="shared" si="10"/>
        <v/>
      </c>
      <c r="H157" s="11"/>
      <c r="I157" s="11"/>
      <c r="J157" s="16" t="str">
        <f t="shared" si="11"/>
        <v/>
      </c>
      <c r="K157" s="18" t="str">
        <f>IF(A157="","",IFERROR(SUMIF(Transactions!A$4:A$1003,A157,Transactions!F$4:F$1003),0))</f>
        <v/>
      </c>
      <c r="L157" s="15" t="str">
        <f t="shared" si="12"/>
        <v/>
      </c>
      <c r="M157" s="12" t="str">
        <f t="shared" ca="1" si="13"/>
        <v/>
      </c>
      <c r="N157" s="19" t="str">
        <f t="shared" ca="1" si="14"/>
        <v/>
      </c>
    </row>
    <row r="158" spans="1:14" ht="15.75" customHeight="1" x14ac:dyDescent="0.25">
      <c r="A158" s="11"/>
      <c r="B158" s="11"/>
      <c r="C158" s="11"/>
      <c r="D158" s="11"/>
      <c r="E158" s="11"/>
      <c r="F158" s="17" t="str">
        <f>IF(E158=0,"",IFERROR(E158*Config!B18,0))</f>
        <v/>
      </c>
      <c r="G158" s="13" t="str">
        <f t="shared" si="10"/>
        <v/>
      </c>
      <c r="H158" s="11"/>
      <c r="I158" s="11"/>
      <c r="J158" s="16" t="str">
        <f t="shared" si="11"/>
        <v/>
      </c>
      <c r="K158" s="18" t="str">
        <f>IF(A158="","",IFERROR(SUMIF(Transactions!A$4:A$1003,A158,Transactions!F$4:F$1003),0))</f>
        <v/>
      </c>
      <c r="L158" s="15" t="str">
        <f t="shared" si="12"/>
        <v/>
      </c>
      <c r="M158" s="12" t="str">
        <f t="shared" ca="1" si="13"/>
        <v/>
      </c>
      <c r="N158" s="19" t="str">
        <f t="shared" ca="1" si="14"/>
        <v/>
      </c>
    </row>
    <row r="159" spans="1:14" ht="15.75" customHeight="1" x14ac:dyDescent="0.25">
      <c r="A159" s="11"/>
      <c r="B159" s="11"/>
      <c r="C159" s="11"/>
      <c r="D159" s="11"/>
      <c r="E159" s="11"/>
      <c r="F159" s="17" t="str">
        <f>IF(E159=0,"",IFERROR(E159*Config!B18,0))</f>
        <v/>
      </c>
      <c r="G159" s="13" t="str">
        <f t="shared" si="10"/>
        <v/>
      </c>
      <c r="H159" s="11"/>
      <c r="I159" s="11"/>
      <c r="J159" s="16" t="str">
        <f t="shared" si="11"/>
        <v/>
      </c>
      <c r="K159" s="18" t="str">
        <f>IF(A159="","",IFERROR(SUMIF(Transactions!A$4:A$1003,A159,Transactions!F$4:F$1003),0))</f>
        <v/>
      </c>
      <c r="L159" s="15" t="str">
        <f t="shared" si="12"/>
        <v/>
      </c>
      <c r="M159" s="12" t="str">
        <f t="shared" ca="1" si="13"/>
        <v/>
      </c>
      <c r="N159" s="19" t="str">
        <f t="shared" ca="1" si="14"/>
        <v/>
      </c>
    </row>
    <row r="160" spans="1:14" ht="15.75" customHeight="1" x14ac:dyDescent="0.25">
      <c r="A160" s="11"/>
      <c r="B160" s="11"/>
      <c r="C160" s="11"/>
      <c r="D160" s="11"/>
      <c r="E160" s="11"/>
      <c r="F160" s="17" t="str">
        <f>IF(E160=0,"",IFERROR(E160*Config!B18,0))</f>
        <v/>
      </c>
      <c r="G160" s="13" t="str">
        <f t="shared" si="10"/>
        <v/>
      </c>
      <c r="H160" s="11"/>
      <c r="I160" s="11"/>
      <c r="J160" s="16" t="str">
        <f t="shared" si="11"/>
        <v/>
      </c>
      <c r="K160" s="18" t="str">
        <f>IF(A160="","",IFERROR(SUMIF(Transactions!A$4:A$1003,A160,Transactions!F$4:F$1003),0))</f>
        <v/>
      </c>
      <c r="L160" s="15" t="str">
        <f t="shared" si="12"/>
        <v/>
      </c>
      <c r="M160" s="12" t="str">
        <f t="shared" ca="1" si="13"/>
        <v/>
      </c>
      <c r="N160" s="19" t="str">
        <f t="shared" ca="1" si="14"/>
        <v/>
      </c>
    </row>
    <row r="161" spans="1:14" ht="15.75" customHeight="1" x14ac:dyDescent="0.25">
      <c r="A161" s="11"/>
      <c r="B161" s="11"/>
      <c r="C161" s="11"/>
      <c r="D161" s="11"/>
      <c r="E161" s="11"/>
      <c r="F161" s="17" t="str">
        <f>IF(E161=0,"",IFERROR(E161*Config!B18,0))</f>
        <v/>
      </c>
      <c r="G161" s="13" t="str">
        <f t="shared" si="10"/>
        <v/>
      </c>
      <c r="H161" s="11"/>
      <c r="I161" s="11"/>
      <c r="J161" s="16" t="str">
        <f t="shared" si="11"/>
        <v/>
      </c>
      <c r="K161" s="18" t="str">
        <f>IF(A161="","",IFERROR(SUMIF(Transactions!A$4:A$1003,A161,Transactions!F$4:F$1003),0))</f>
        <v/>
      </c>
      <c r="L161" s="15" t="str">
        <f t="shared" si="12"/>
        <v/>
      </c>
      <c r="M161" s="12" t="str">
        <f t="shared" ca="1" si="13"/>
        <v/>
      </c>
      <c r="N161" s="19" t="str">
        <f t="shared" ca="1" si="14"/>
        <v/>
      </c>
    </row>
    <row r="162" spans="1:14" ht="15.75" customHeight="1" x14ac:dyDescent="0.25">
      <c r="A162" s="11"/>
      <c r="B162" s="11"/>
      <c r="C162" s="11"/>
      <c r="D162" s="11"/>
      <c r="E162" s="11"/>
      <c r="F162" s="17" t="str">
        <f>IF(E162=0,"",IFERROR(E162*Config!B18,0))</f>
        <v/>
      </c>
      <c r="G162" s="13" t="str">
        <f t="shared" si="10"/>
        <v/>
      </c>
      <c r="H162" s="11"/>
      <c r="I162" s="11"/>
      <c r="J162" s="16" t="str">
        <f t="shared" si="11"/>
        <v/>
      </c>
      <c r="K162" s="18" t="str">
        <f>IF(A162="","",IFERROR(SUMIF(Transactions!A$4:A$1003,A162,Transactions!F$4:F$1003),0))</f>
        <v/>
      </c>
      <c r="L162" s="15" t="str">
        <f t="shared" si="12"/>
        <v/>
      </c>
      <c r="M162" s="12" t="str">
        <f t="shared" ca="1" si="13"/>
        <v/>
      </c>
      <c r="N162" s="19" t="str">
        <f t="shared" ca="1" si="14"/>
        <v/>
      </c>
    </row>
    <row r="163" spans="1:14" ht="15.75" customHeight="1" x14ac:dyDescent="0.25">
      <c r="A163" s="11"/>
      <c r="B163" s="11"/>
      <c r="C163" s="11"/>
      <c r="D163" s="11"/>
      <c r="E163" s="11"/>
      <c r="F163" s="17" t="str">
        <f>IF(E163=0,"",IFERROR(E163*Config!B18,0))</f>
        <v/>
      </c>
      <c r="G163" s="13" t="str">
        <f t="shared" si="10"/>
        <v/>
      </c>
      <c r="H163" s="11"/>
      <c r="I163" s="11"/>
      <c r="J163" s="16" t="str">
        <f t="shared" si="11"/>
        <v/>
      </c>
      <c r="K163" s="18" t="str">
        <f>IF(A163="","",IFERROR(SUMIF(Transactions!A$4:A$1003,A163,Transactions!F$4:F$1003),0))</f>
        <v/>
      </c>
      <c r="L163" s="15" t="str">
        <f t="shared" si="12"/>
        <v/>
      </c>
      <c r="M163" s="12" t="str">
        <f t="shared" ca="1" si="13"/>
        <v/>
      </c>
      <c r="N163" s="19" t="str">
        <f t="shared" ca="1" si="14"/>
        <v/>
      </c>
    </row>
    <row r="164" spans="1:14" ht="15.75" customHeight="1" x14ac:dyDescent="0.25">
      <c r="A164" s="11"/>
      <c r="B164" s="11"/>
      <c r="C164" s="11"/>
      <c r="D164" s="11"/>
      <c r="E164" s="11"/>
      <c r="F164" s="17" t="str">
        <f>IF(E164=0,"",IFERROR(E164*Config!B18,0))</f>
        <v/>
      </c>
      <c r="G164" s="13" t="str">
        <f t="shared" si="10"/>
        <v/>
      </c>
      <c r="H164" s="11"/>
      <c r="I164" s="11"/>
      <c r="J164" s="16" t="str">
        <f t="shared" si="11"/>
        <v/>
      </c>
      <c r="K164" s="18" t="str">
        <f>IF(A164="","",IFERROR(SUMIF(Transactions!A$4:A$1003,A164,Transactions!F$4:F$1003),0))</f>
        <v/>
      </c>
      <c r="L164" s="15" t="str">
        <f t="shared" si="12"/>
        <v/>
      </c>
      <c r="M164" s="12" t="str">
        <f t="shared" ca="1" si="13"/>
        <v/>
      </c>
      <c r="N164" s="19" t="str">
        <f t="shared" ca="1" si="14"/>
        <v/>
      </c>
    </row>
    <row r="165" spans="1:14" ht="15.75" customHeight="1" x14ac:dyDescent="0.25">
      <c r="A165" s="11"/>
      <c r="B165" s="11"/>
      <c r="C165" s="11"/>
      <c r="D165" s="11"/>
      <c r="E165" s="11"/>
      <c r="F165" s="17" t="str">
        <f>IF(E165=0,"",IFERROR(E165*Config!B18,0))</f>
        <v/>
      </c>
      <c r="G165" s="13" t="str">
        <f t="shared" si="10"/>
        <v/>
      </c>
      <c r="H165" s="11"/>
      <c r="I165" s="11"/>
      <c r="J165" s="16" t="str">
        <f t="shared" si="11"/>
        <v/>
      </c>
      <c r="K165" s="18" t="str">
        <f>IF(A165="","",IFERROR(SUMIF(Transactions!A$4:A$1003,A165,Transactions!F$4:F$1003),0))</f>
        <v/>
      </c>
      <c r="L165" s="15" t="str">
        <f t="shared" si="12"/>
        <v/>
      </c>
      <c r="M165" s="12" t="str">
        <f t="shared" ca="1" si="13"/>
        <v/>
      </c>
      <c r="N165" s="19" t="str">
        <f t="shared" ca="1" si="14"/>
        <v/>
      </c>
    </row>
    <row r="166" spans="1:14" ht="15.75" customHeight="1" x14ac:dyDescent="0.25">
      <c r="A166" s="11"/>
      <c r="B166" s="11"/>
      <c r="C166" s="11"/>
      <c r="D166" s="11"/>
      <c r="E166" s="11"/>
      <c r="F166" s="17" t="str">
        <f>IF(E166=0,"",IFERROR(E166*Config!B18,0))</f>
        <v/>
      </c>
      <c r="G166" s="13" t="str">
        <f t="shared" si="10"/>
        <v/>
      </c>
      <c r="H166" s="11"/>
      <c r="I166" s="11"/>
      <c r="J166" s="16" t="str">
        <f t="shared" si="11"/>
        <v/>
      </c>
      <c r="K166" s="18" t="str">
        <f>IF(A166="","",IFERROR(SUMIF(Transactions!A$4:A$1003,A166,Transactions!F$4:F$1003),0))</f>
        <v/>
      </c>
      <c r="L166" s="15" t="str">
        <f t="shared" si="12"/>
        <v/>
      </c>
      <c r="M166" s="12" t="str">
        <f t="shared" ca="1" si="13"/>
        <v/>
      </c>
      <c r="N166" s="19" t="str">
        <f t="shared" ca="1" si="14"/>
        <v/>
      </c>
    </row>
    <row r="167" spans="1:14" ht="15.75" customHeight="1" x14ac:dyDescent="0.25">
      <c r="A167" s="11"/>
      <c r="B167" s="11"/>
      <c r="C167" s="11"/>
      <c r="D167" s="11"/>
      <c r="E167" s="11"/>
      <c r="F167" s="17" t="str">
        <f>IF(E167=0,"",IFERROR(E167*Config!B18,0))</f>
        <v/>
      </c>
      <c r="G167" s="13" t="str">
        <f t="shared" si="10"/>
        <v/>
      </c>
      <c r="H167" s="11"/>
      <c r="I167" s="11"/>
      <c r="J167" s="16" t="str">
        <f t="shared" si="11"/>
        <v/>
      </c>
      <c r="K167" s="18" t="str">
        <f>IF(A167="","",IFERROR(SUMIF(Transactions!A$4:A$1003,A167,Transactions!F$4:F$1003),0))</f>
        <v/>
      </c>
      <c r="L167" s="15" t="str">
        <f t="shared" si="12"/>
        <v/>
      </c>
      <c r="M167" s="12" t="str">
        <f t="shared" ca="1" si="13"/>
        <v/>
      </c>
      <c r="N167" s="19" t="str">
        <f t="shared" ca="1" si="14"/>
        <v/>
      </c>
    </row>
    <row r="168" spans="1:14" ht="15.75" customHeight="1" x14ac:dyDescent="0.25">
      <c r="A168" s="11"/>
      <c r="B168" s="11"/>
      <c r="C168" s="11"/>
      <c r="D168" s="11"/>
      <c r="E168" s="11"/>
      <c r="F168" s="17" t="str">
        <f>IF(E168=0,"",IFERROR(E168*Config!B18,0))</f>
        <v/>
      </c>
      <c r="G168" s="13" t="str">
        <f t="shared" si="10"/>
        <v/>
      </c>
      <c r="H168" s="11"/>
      <c r="I168" s="11"/>
      <c r="J168" s="16" t="str">
        <f t="shared" si="11"/>
        <v/>
      </c>
      <c r="K168" s="18" t="str">
        <f>IF(A168="","",IFERROR(SUMIF(Transactions!A$4:A$1003,A168,Transactions!F$4:F$1003),0))</f>
        <v/>
      </c>
      <c r="L168" s="15" t="str">
        <f t="shared" si="12"/>
        <v/>
      </c>
      <c r="M168" s="12" t="str">
        <f t="shared" ca="1" si="13"/>
        <v/>
      </c>
      <c r="N168" s="19" t="str">
        <f t="shared" ca="1" si="14"/>
        <v/>
      </c>
    </row>
    <row r="169" spans="1:14" ht="15.75" customHeight="1" x14ac:dyDescent="0.25">
      <c r="A169" s="11"/>
      <c r="B169" s="11"/>
      <c r="C169" s="11"/>
      <c r="D169" s="11"/>
      <c r="E169" s="11"/>
      <c r="F169" s="17" t="str">
        <f>IF(E169=0,"",IFERROR(E169*Config!B18,0))</f>
        <v/>
      </c>
      <c r="G169" s="13" t="str">
        <f t="shared" si="10"/>
        <v/>
      </c>
      <c r="H169" s="11"/>
      <c r="I169" s="11"/>
      <c r="J169" s="16" t="str">
        <f t="shared" si="11"/>
        <v/>
      </c>
      <c r="K169" s="18" t="str">
        <f>IF(A169="","",IFERROR(SUMIF(Transactions!A$4:A$1003,A169,Transactions!F$4:F$1003),0))</f>
        <v/>
      </c>
      <c r="L169" s="15" t="str">
        <f t="shared" si="12"/>
        <v/>
      </c>
      <c r="M169" s="12" t="str">
        <f t="shared" ca="1" si="13"/>
        <v/>
      </c>
      <c r="N169" s="19" t="str">
        <f t="shared" ca="1" si="14"/>
        <v/>
      </c>
    </row>
    <row r="170" spans="1:14" ht="15.75" customHeight="1" x14ac:dyDescent="0.25">
      <c r="A170" s="11"/>
      <c r="B170" s="11"/>
      <c r="C170" s="11"/>
      <c r="D170" s="11"/>
      <c r="E170" s="11"/>
      <c r="F170" s="17" t="str">
        <f>IF(E170=0,"",IFERROR(E170*Config!B18,0))</f>
        <v/>
      </c>
      <c r="G170" s="13" t="str">
        <f t="shared" si="10"/>
        <v/>
      </c>
      <c r="H170" s="11"/>
      <c r="I170" s="11"/>
      <c r="J170" s="16" t="str">
        <f t="shared" si="11"/>
        <v/>
      </c>
      <c r="K170" s="18" t="str">
        <f>IF(A170="","",IFERROR(SUMIF(Transactions!A$4:A$1003,A170,Transactions!F$4:F$1003),0))</f>
        <v/>
      </c>
      <c r="L170" s="15" t="str">
        <f t="shared" si="12"/>
        <v/>
      </c>
      <c r="M170" s="12" t="str">
        <f t="shared" ca="1" si="13"/>
        <v/>
      </c>
      <c r="N170" s="19" t="str">
        <f t="shared" ca="1" si="14"/>
        <v/>
      </c>
    </row>
    <row r="171" spans="1:14" ht="15.75" customHeight="1" x14ac:dyDescent="0.25">
      <c r="A171" s="11"/>
      <c r="B171" s="11"/>
      <c r="C171" s="11"/>
      <c r="D171" s="11"/>
      <c r="E171" s="11"/>
      <c r="F171" s="17" t="str">
        <f>IF(E171=0,"",IFERROR(E171*Config!B18,0))</f>
        <v/>
      </c>
      <c r="G171" s="13" t="str">
        <f t="shared" si="10"/>
        <v/>
      </c>
      <c r="H171" s="11"/>
      <c r="I171" s="11"/>
      <c r="J171" s="16" t="str">
        <f t="shared" si="11"/>
        <v/>
      </c>
      <c r="K171" s="18" t="str">
        <f>IF(A171="","",IFERROR(SUMIF(Transactions!A$4:A$1003,A171,Transactions!F$4:F$1003),0))</f>
        <v/>
      </c>
      <c r="L171" s="15" t="str">
        <f t="shared" si="12"/>
        <v/>
      </c>
      <c r="M171" s="12" t="str">
        <f t="shared" ca="1" si="13"/>
        <v/>
      </c>
      <c r="N171" s="19" t="str">
        <f t="shared" ca="1" si="14"/>
        <v/>
      </c>
    </row>
    <row r="172" spans="1:14" ht="15.75" customHeight="1" x14ac:dyDescent="0.25">
      <c r="A172" s="11"/>
      <c r="B172" s="11"/>
      <c r="C172" s="11"/>
      <c r="D172" s="11"/>
      <c r="E172" s="11"/>
      <c r="F172" s="17" t="str">
        <f>IF(E172=0,"",IFERROR(E172*Config!B18,0))</f>
        <v/>
      </c>
      <c r="G172" s="13" t="str">
        <f t="shared" si="10"/>
        <v/>
      </c>
      <c r="H172" s="11"/>
      <c r="I172" s="11"/>
      <c r="J172" s="16" t="str">
        <f t="shared" si="11"/>
        <v/>
      </c>
      <c r="K172" s="18" t="str">
        <f>IF(A172="","",IFERROR(SUMIF(Transactions!A$4:A$1003,A172,Transactions!F$4:F$1003),0))</f>
        <v/>
      </c>
      <c r="L172" s="15" t="str">
        <f t="shared" si="12"/>
        <v/>
      </c>
      <c r="M172" s="12" t="str">
        <f t="shared" ca="1" si="13"/>
        <v/>
      </c>
      <c r="N172" s="19" t="str">
        <f t="shared" ca="1" si="14"/>
        <v/>
      </c>
    </row>
    <row r="173" spans="1:14" ht="15.75" customHeight="1" x14ac:dyDescent="0.25">
      <c r="A173" s="11"/>
      <c r="B173" s="11"/>
      <c r="C173" s="11"/>
      <c r="D173" s="11"/>
      <c r="E173" s="11"/>
      <c r="F173" s="17" t="str">
        <f>IF(E173=0,"",IFERROR(E173*Config!B18,0))</f>
        <v/>
      </c>
      <c r="G173" s="13" t="str">
        <f t="shared" si="10"/>
        <v/>
      </c>
      <c r="H173" s="11"/>
      <c r="I173" s="11"/>
      <c r="J173" s="16" t="str">
        <f t="shared" si="11"/>
        <v/>
      </c>
      <c r="K173" s="18" t="str">
        <f>IF(A173="","",IFERROR(SUMIF(Transactions!A$4:A$1003,A173,Transactions!F$4:F$1003),0))</f>
        <v/>
      </c>
      <c r="L173" s="15" t="str">
        <f t="shared" si="12"/>
        <v/>
      </c>
      <c r="M173" s="12" t="str">
        <f t="shared" ca="1" si="13"/>
        <v/>
      </c>
      <c r="N173" s="19" t="str">
        <f t="shared" ca="1" si="14"/>
        <v/>
      </c>
    </row>
    <row r="174" spans="1:14" ht="15.75" customHeight="1" x14ac:dyDescent="0.25">
      <c r="A174" s="11"/>
      <c r="B174" s="11"/>
      <c r="C174" s="11"/>
      <c r="D174" s="11"/>
      <c r="E174" s="11"/>
      <c r="F174" s="17" t="str">
        <f>IF(E174=0,"",IFERROR(E174*Config!B18,0))</f>
        <v/>
      </c>
      <c r="G174" s="13" t="str">
        <f t="shared" si="10"/>
        <v/>
      </c>
      <c r="H174" s="11"/>
      <c r="I174" s="11"/>
      <c r="J174" s="16" t="str">
        <f t="shared" si="11"/>
        <v/>
      </c>
      <c r="K174" s="18" t="str">
        <f>IF(A174="","",IFERROR(SUMIF(Transactions!A$4:A$1003,A174,Transactions!F$4:F$1003),0))</f>
        <v/>
      </c>
      <c r="L174" s="15" t="str">
        <f t="shared" si="12"/>
        <v/>
      </c>
      <c r="M174" s="12" t="str">
        <f t="shared" ca="1" si="13"/>
        <v/>
      </c>
      <c r="N174" s="19" t="str">
        <f t="shared" ca="1" si="14"/>
        <v/>
      </c>
    </row>
    <row r="175" spans="1:14" ht="15.75" customHeight="1" x14ac:dyDescent="0.25">
      <c r="A175" s="11"/>
      <c r="B175" s="11"/>
      <c r="C175" s="11"/>
      <c r="D175" s="11"/>
      <c r="E175" s="11"/>
      <c r="F175" s="17" t="str">
        <f>IF(E175=0,"",IFERROR(E175*Config!B18,0))</f>
        <v/>
      </c>
      <c r="G175" s="13" t="str">
        <f t="shared" si="10"/>
        <v/>
      </c>
      <c r="H175" s="11"/>
      <c r="I175" s="11"/>
      <c r="J175" s="16" t="str">
        <f t="shared" si="11"/>
        <v/>
      </c>
      <c r="K175" s="18" t="str">
        <f>IF(A175="","",IFERROR(SUMIF(Transactions!A$4:A$1003,A175,Transactions!F$4:F$1003),0))</f>
        <v/>
      </c>
      <c r="L175" s="15" t="str">
        <f t="shared" si="12"/>
        <v/>
      </c>
      <c r="M175" s="12" t="str">
        <f t="shared" ca="1" si="13"/>
        <v/>
      </c>
      <c r="N175" s="19" t="str">
        <f t="shared" ca="1" si="14"/>
        <v/>
      </c>
    </row>
    <row r="176" spans="1:14" ht="15.75" customHeight="1" x14ac:dyDescent="0.25">
      <c r="A176" s="11"/>
      <c r="B176" s="11"/>
      <c r="C176" s="11"/>
      <c r="D176" s="11"/>
      <c r="E176" s="11"/>
      <c r="F176" s="17" t="str">
        <f>IF(E176=0,"",IFERROR(E176*Config!B18,0))</f>
        <v/>
      </c>
      <c r="G176" s="13" t="str">
        <f t="shared" si="10"/>
        <v/>
      </c>
      <c r="H176" s="11"/>
      <c r="I176" s="11"/>
      <c r="J176" s="16" t="str">
        <f t="shared" si="11"/>
        <v/>
      </c>
      <c r="K176" s="18" t="str">
        <f>IF(A176="","",IFERROR(SUMIF(Transactions!A$4:A$1003,A176,Transactions!F$4:F$1003),0))</f>
        <v/>
      </c>
      <c r="L176" s="15" t="str">
        <f t="shared" si="12"/>
        <v/>
      </c>
      <c r="M176" s="12" t="str">
        <f t="shared" ca="1" si="13"/>
        <v/>
      </c>
      <c r="N176" s="19" t="str">
        <f t="shared" ca="1" si="14"/>
        <v/>
      </c>
    </row>
    <row r="177" spans="1:14" ht="15.75" customHeight="1" x14ac:dyDescent="0.25">
      <c r="A177" s="11"/>
      <c r="B177" s="11"/>
      <c r="C177" s="11"/>
      <c r="D177" s="11"/>
      <c r="E177" s="11"/>
      <c r="F177" s="17" t="str">
        <f>IF(E177=0,"",IFERROR(E177*Config!B18,0))</f>
        <v/>
      </c>
      <c r="G177" s="13" t="str">
        <f t="shared" si="10"/>
        <v/>
      </c>
      <c r="H177" s="11"/>
      <c r="I177" s="11"/>
      <c r="J177" s="16" t="str">
        <f t="shared" si="11"/>
        <v/>
      </c>
      <c r="K177" s="18" t="str">
        <f>IF(A177="","",IFERROR(SUMIF(Transactions!A$4:A$1003,A177,Transactions!F$4:F$1003),0))</f>
        <v/>
      </c>
      <c r="L177" s="15" t="str">
        <f t="shared" si="12"/>
        <v/>
      </c>
      <c r="M177" s="12" t="str">
        <f t="shared" ca="1" si="13"/>
        <v/>
      </c>
      <c r="N177" s="19" t="str">
        <f t="shared" ca="1" si="14"/>
        <v/>
      </c>
    </row>
    <row r="178" spans="1:14" ht="15.75" customHeight="1" x14ac:dyDescent="0.25">
      <c r="A178" s="11"/>
      <c r="B178" s="11"/>
      <c r="C178" s="11"/>
      <c r="D178" s="11"/>
      <c r="E178" s="11"/>
      <c r="F178" s="17" t="str">
        <f>IF(E178=0,"",IFERROR(E178*Config!B18,0))</f>
        <v/>
      </c>
      <c r="G178" s="13" t="str">
        <f t="shared" si="10"/>
        <v/>
      </c>
      <c r="H178" s="11"/>
      <c r="I178" s="11"/>
      <c r="J178" s="16" t="str">
        <f t="shared" si="11"/>
        <v/>
      </c>
      <c r="K178" s="18" t="str">
        <f>IF(A178="","",IFERROR(SUMIF(Transactions!A$4:A$1003,A178,Transactions!F$4:F$1003),0))</f>
        <v/>
      </c>
      <c r="L178" s="15" t="str">
        <f t="shared" si="12"/>
        <v/>
      </c>
      <c r="M178" s="12" t="str">
        <f t="shared" ca="1" si="13"/>
        <v/>
      </c>
      <c r="N178" s="19" t="str">
        <f t="shared" ca="1" si="14"/>
        <v/>
      </c>
    </row>
    <row r="179" spans="1:14" ht="15.75" customHeight="1" x14ac:dyDescent="0.25">
      <c r="A179" s="11"/>
      <c r="B179" s="11"/>
      <c r="C179" s="11"/>
      <c r="D179" s="11"/>
      <c r="E179" s="11"/>
      <c r="F179" s="17" t="str">
        <f>IF(E179=0,"",IFERROR(E179*Config!B18,0))</f>
        <v/>
      </c>
      <c r="G179" s="13" t="str">
        <f t="shared" si="10"/>
        <v/>
      </c>
      <c r="H179" s="11"/>
      <c r="I179" s="11"/>
      <c r="J179" s="16" t="str">
        <f t="shared" si="11"/>
        <v/>
      </c>
      <c r="K179" s="18" t="str">
        <f>IF(A179="","",IFERROR(SUMIF(Transactions!A$4:A$1003,A179,Transactions!F$4:F$1003),0))</f>
        <v/>
      </c>
      <c r="L179" s="15" t="str">
        <f t="shared" si="12"/>
        <v/>
      </c>
      <c r="M179" s="12" t="str">
        <f t="shared" ca="1" si="13"/>
        <v/>
      </c>
      <c r="N179" s="19" t="str">
        <f t="shared" ca="1" si="14"/>
        <v/>
      </c>
    </row>
    <row r="180" spans="1:14" ht="15.75" customHeight="1" x14ac:dyDescent="0.25">
      <c r="A180" s="11"/>
      <c r="B180" s="11"/>
      <c r="C180" s="11"/>
      <c r="D180" s="11"/>
      <c r="E180" s="11"/>
      <c r="F180" s="17" t="str">
        <f>IF(E180=0,"",IFERROR(E180*Config!B18,0))</f>
        <v/>
      </c>
      <c r="G180" s="13" t="str">
        <f t="shared" si="10"/>
        <v/>
      </c>
      <c r="H180" s="11"/>
      <c r="I180" s="11"/>
      <c r="J180" s="16" t="str">
        <f t="shared" si="11"/>
        <v/>
      </c>
      <c r="K180" s="18" t="str">
        <f>IF(A180="","",IFERROR(SUMIF(Transactions!A$4:A$1003,A180,Transactions!F$4:F$1003),0))</f>
        <v/>
      </c>
      <c r="L180" s="15" t="str">
        <f t="shared" si="12"/>
        <v/>
      </c>
      <c r="M180" s="12" t="str">
        <f t="shared" ca="1" si="13"/>
        <v/>
      </c>
      <c r="N180" s="19" t="str">
        <f t="shared" ca="1" si="14"/>
        <v/>
      </c>
    </row>
    <row r="181" spans="1:14" ht="15.75" customHeight="1" x14ac:dyDescent="0.25">
      <c r="A181" s="11"/>
      <c r="B181" s="11"/>
      <c r="C181" s="11"/>
      <c r="D181" s="11"/>
      <c r="E181" s="11"/>
      <c r="F181" s="17" t="str">
        <f>IF(E181=0,"",IFERROR(E181*Config!B18,0))</f>
        <v/>
      </c>
      <c r="G181" s="13" t="str">
        <f t="shared" si="10"/>
        <v/>
      </c>
      <c r="H181" s="11"/>
      <c r="I181" s="11"/>
      <c r="J181" s="16" t="str">
        <f t="shared" si="11"/>
        <v/>
      </c>
      <c r="K181" s="18" t="str">
        <f>IF(A181="","",IFERROR(SUMIF(Transactions!A$4:A$1003,A181,Transactions!F$4:F$1003),0))</f>
        <v/>
      </c>
      <c r="L181" s="15" t="str">
        <f t="shared" si="12"/>
        <v/>
      </c>
      <c r="M181" s="12" t="str">
        <f t="shared" ca="1" si="13"/>
        <v/>
      </c>
      <c r="N181" s="19" t="str">
        <f t="shared" ca="1" si="14"/>
        <v/>
      </c>
    </row>
    <row r="182" spans="1:14" ht="15.75" customHeight="1" x14ac:dyDescent="0.25">
      <c r="A182" s="11"/>
      <c r="B182" s="11"/>
      <c r="C182" s="11"/>
      <c r="D182" s="11"/>
      <c r="E182" s="11"/>
      <c r="F182" s="17" t="str">
        <f>IF(E182=0,"",IFERROR(E182*Config!B18,0))</f>
        <v/>
      </c>
      <c r="G182" s="13" t="str">
        <f t="shared" si="10"/>
        <v/>
      </c>
      <c r="H182" s="11"/>
      <c r="I182" s="11"/>
      <c r="J182" s="16" t="str">
        <f t="shared" si="11"/>
        <v/>
      </c>
      <c r="K182" s="18" t="str">
        <f>IF(A182="","",IFERROR(SUMIF(Transactions!A$4:A$1003,A182,Transactions!F$4:F$1003),0))</f>
        <v/>
      </c>
      <c r="L182" s="15" t="str">
        <f t="shared" si="12"/>
        <v/>
      </c>
      <c r="M182" s="12" t="str">
        <f t="shared" ca="1" si="13"/>
        <v/>
      </c>
      <c r="N182" s="19" t="str">
        <f t="shared" ca="1" si="14"/>
        <v/>
      </c>
    </row>
    <row r="183" spans="1:14" ht="15.75" customHeight="1" x14ac:dyDescent="0.25">
      <c r="A183" s="11"/>
      <c r="B183" s="11"/>
      <c r="C183" s="11"/>
      <c r="D183" s="11"/>
      <c r="E183" s="11"/>
      <c r="F183" s="17" t="str">
        <f>IF(E183=0,"",IFERROR(E183*Config!B18,0))</f>
        <v/>
      </c>
      <c r="G183" s="13" t="str">
        <f t="shared" si="10"/>
        <v/>
      </c>
      <c r="H183" s="11"/>
      <c r="I183" s="11"/>
      <c r="J183" s="16" t="str">
        <f t="shared" si="11"/>
        <v/>
      </c>
      <c r="K183" s="18" t="str">
        <f>IF(A183="","",IFERROR(SUMIF(Transactions!A$4:A$1003,A183,Transactions!F$4:F$1003),0))</f>
        <v/>
      </c>
      <c r="L183" s="15" t="str">
        <f t="shared" si="12"/>
        <v/>
      </c>
      <c r="M183" s="12" t="str">
        <f t="shared" ca="1" si="13"/>
        <v/>
      </c>
      <c r="N183" s="19" t="str">
        <f t="shared" ca="1" si="14"/>
        <v/>
      </c>
    </row>
    <row r="184" spans="1:14" ht="15.75" customHeight="1" x14ac:dyDescent="0.25">
      <c r="A184" s="11"/>
      <c r="B184" s="11"/>
      <c r="C184" s="11"/>
      <c r="D184" s="11"/>
      <c r="E184" s="11"/>
      <c r="F184" s="17" t="str">
        <f>IF(E184=0,"",IFERROR(E184*Config!B18,0))</f>
        <v/>
      </c>
      <c r="G184" s="13" t="str">
        <f t="shared" si="10"/>
        <v/>
      </c>
      <c r="H184" s="11"/>
      <c r="I184" s="11"/>
      <c r="J184" s="16" t="str">
        <f t="shared" si="11"/>
        <v/>
      </c>
      <c r="K184" s="18" t="str">
        <f>IF(A184="","",IFERROR(SUMIF(Transactions!A$4:A$1003,A184,Transactions!F$4:F$1003),0))</f>
        <v/>
      </c>
      <c r="L184" s="15" t="str">
        <f t="shared" si="12"/>
        <v/>
      </c>
      <c r="M184" s="12" t="str">
        <f t="shared" ca="1" si="13"/>
        <v/>
      </c>
      <c r="N184" s="19" t="str">
        <f t="shared" ca="1" si="14"/>
        <v/>
      </c>
    </row>
    <row r="185" spans="1:14" ht="15.75" customHeight="1" x14ac:dyDescent="0.25">
      <c r="A185" s="11"/>
      <c r="B185" s="11"/>
      <c r="C185" s="11"/>
      <c r="D185" s="11"/>
      <c r="E185" s="11"/>
      <c r="F185" s="17" t="str">
        <f>IF(E185=0,"",IFERROR(E185*Config!B18,0))</f>
        <v/>
      </c>
      <c r="G185" s="13" t="str">
        <f t="shared" si="10"/>
        <v/>
      </c>
      <c r="H185" s="11"/>
      <c r="I185" s="11"/>
      <c r="J185" s="16" t="str">
        <f t="shared" si="11"/>
        <v/>
      </c>
      <c r="K185" s="18" t="str">
        <f>IF(A185="","",IFERROR(SUMIF(Transactions!A$4:A$1003,A185,Transactions!F$4:F$1003),0))</f>
        <v/>
      </c>
      <c r="L185" s="15" t="str">
        <f t="shared" si="12"/>
        <v/>
      </c>
      <c r="M185" s="12" t="str">
        <f t="shared" ca="1" si="13"/>
        <v/>
      </c>
      <c r="N185" s="19" t="str">
        <f t="shared" ca="1" si="14"/>
        <v/>
      </c>
    </row>
    <row r="186" spans="1:14" ht="15.75" customHeight="1" x14ac:dyDescent="0.25">
      <c r="A186" s="11"/>
      <c r="B186" s="11"/>
      <c r="C186" s="11"/>
      <c r="D186" s="11"/>
      <c r="E186" s="11"/>
      <c r="F186" s="17" t="str">
        <f>IF(E186=0,"",IFERROR(E186*Config!B18,0))</f>
        <v/>
      </c>
      <c r="G186" s="13" t="str">
        <f t="shared" si="10"/>
        <v/>
      </c>
      <c r="H186" s="11"/>
      <c r="I186" s="11"/>
      <c r="J186" s="16" t="str">
        <f t="shared" si="11"/>
        <v/>
      </c>
      <c r="K186" s="18" t="str">
        <f>IF(A186="","",IFERROR(SUMIF(Transactions!A$4:A$1003,A186,Transactions!F$4:F$1003),0))</f>
        <v/>
      </c>
      <c r="L186" s="15" t="str">
        <f t="shared" si="12"/>
        <v/>
      </c>
      <c r="M186" s="12" t="str">
        <f t="shared" ca="1" si="13"/>
        <v/>
      </c>
      <c r="N186" s="19" t="str">
        <f t="shared" ca="1" si="14"/>
        <v/>
      </c>
    </row>
    <row r="187" spans="1:14" ht="15.75" customHeight="1" x14ac:dyDescent="0.25">
      <c r="A187" s="11"/>
      <c r="B187" s="11"/>
      <c r="C187" s="11"/>
      <c r="D187" s="11"/>
      <c r="E187" s="11"/>
      <c r="F187" s="17" t="str">
        <f>IF(E187=0,"",IFERROR(E187*Config!B18,0))</f>
        <v/>
      </c>
      <c r="G187" s="13" t="str">
        <f t="shared" si="10"/>
        <v/>
      </c>
      <c r="H187" s="11"/>
      <c r="I187" s="11"/>
      <c r="J187" s="16" t="str">
        <f t="shared" si="11"/>
        <v/>
      </c>
      <c r="K187" s="18" t="str">
        <f>IF(A187="","",IFERROR(SUMIF(Transactions!A$4:A$1003,A187,Transactions!F$4:F$1003),0))</f>
        <v/>
      </c>
      <c r="L187" s="15" t="str">
        <f t="shared" si="12"/>
        <v/>
      </c>
      <c r="M187" s="12" t="str">
        <f t="shared" ca="1" si="13"/>
        <v/>
      </c>
      <c r="N187" s="19" t="str">
        <f t="shared" ca="1" si="14"/>
        <v/>
      </c>
    </row>
    <row r="188" spans="1:14" ht="15.75" customHeight="1" x14ac:dyDescent="0.25">
      <c r="A188" s="11"/>
      <c r="B188" s="11"/>
      <c r="C188" s="11"/>
      <c r="D188" s="11"/>
      <c r="E188" s="11"/>
      <c r="F188" s="17" t="str">
        <f>IF(E188=0,"",IFERROR(E188*Config!B18,0))</f>
        <v/>
      </c>
      <c r="G188" s="13" t="str">
        <f t="shared" si="10"/>
        <v/>
      </c>
      <c r="H188" s="11"/>
      <c r="I188" s="11"/>
      <c r="J188" s="16" t="str">
        <f t="shared" si="11"/>
        <v/>
      </c>
      <c r="K188" s="18" t="str">
        <f>IF(A188="","",IFERROR(SUMIF(Transactions!A$4:A$1003,A188,Transactions!F$4:F$1003),0))</f>
        <v/>
      </c>
      <c r="L188" s="15" t="str">
        <f t="shared" si="12"/>
        <v/>
      </c>
      <c r="M188" s="12" t="str">
        <f t="shared" ca="1" si="13"/>
        <v/>
      </c>
      <c r="N188" s="19" t="str">
        <f t="shared" ca="1" si="14"/>
        <v/>
      </c>
    </row>
    <row r="189" spans="1:14" ht="15.75" customHeight="1" x14ac:dyDescent="0.25">
      <c r="A189" s="11"/>
      <c r="B189" s="11"/>
      <c r="C189" s="11"/>
      <c r="D189" s="11"/>
      <c r="E189" s="11"/>
      <c r="F189" s="17" t="str">
        <f>IF(E189=0,"",IFERROR(E189*Config!B18,0))</f>
        <v/>
      </c>
      <c r="G189" s="13" t="str">
        <f t="shared" si="10"/>
        <v/>
      </c>
      <c r="H189" s="11"/>
      <c r="I189" s="11"/>
      <c r="J189" s="16" t="str">
        <f t="shared" si="11"/>
        <v/>
      </c>
      <c r="K189" s="18" t="str">
        <f>IF(A189="","",IFERROR(SUMIF(Transactions!A$4:A$1003,A189,Transactions!F$4:F$1003),0))</f>
        <v/>
      </c>
      <c r="L189" s="15" t="str">
        <f t="shared" si="12"/>
        <v/>
      </c>
      <c r="M189" s="12" t="str">
        <f t="shared" ca="1" si="13"/>
        <v/>
      </c>
      <c r="N189" s="19" t="str">
        <f t="shared" ca="1" si="14"/>
        <v/>
      </c>
    </row>
    <row r="190" spans="1:14" ht="15.75" customHeight="1" x14ac:dyDescent="0.25">
      <c r="A190" s="11"/>
      <c r="B190" s="11"/>
      <c r="C190" s="11"/>
      <c r="D190" s="11"/>
      <c r="E190" s="11"/>
      <c r="F190" s="17" t="str">
        <f>IF(E190=0,"",IFERROR(E190*Config!B18,0))</f>
        <v/>
      </c>
      <c r="G190" s="13" t="str">
        <f t="shared" si="10"/>
        <v/>
      </c>
      <c r="H190" s="11"/>
      <c r="I190" s="11"/>
      <c r="J190" s="16" t="str">
        <f t="shared" si="11"/>
        <v/>
      </c>
      <c r="K190" s="18" t="str">
        <f>IF(A190="","",IFERROR(SUMIF(Transactions!A$4:A$1003,A190,Transactions!F$4:F$1003),0))</f>
        <v/>
      </c>
      <c r="L190" s="15" t="str">
        <f t="shared" si="12"/>
        <v/>
      </c>
      <c r="M190" s="12" t="str">
        <f t="shared" ca="1" si="13"/>
        <v/>
      </c>
      <c r="N190" s="19" t="str">
        <f t="shared" ca="1" si="14"/>
        <v/>
      </c>
    </row>
    <row r="191" spans="1:14" ht="15.75" customHeight="1" x14ac:dyDescent="0.25">
      <c r="A191" s="11"/>
      <c r="B191" s="11"/>
      <c r="C191" s="11"/>
      <c r="D191" s="11"/>
      <c r="E191" s="11"/>
      <c r="F191" s="17" t="str">
        <f>IF(E191=0,"",IFERROR(E191*Config!B18,0))</f>
        <v/>
      </c>
      <c r="G191" s="13" t="str">
        <f t="shared" si="10"/>
        <v/>
      </c>
      <c r="H191" s="11"/>
      <c r="I191" s="11"/>
      <c r="J191" s="16" t="str">
        <f t="shared" si="11"/>
        <v/>
      </c>
      <c r="K191" s="18" t="str">
        <f>IF(A191="","",IFERROR(SUMIF(Transactions!A$4:A$1003,A191,Transactions!F$4:F$1003),0))</f>
        <v/>
      </c>
      <c r="L191" s="15" t="str">
        <f t="shared" si="12"/>
        <v/>
      </c>
      <c r="M191" s="12" t="str">
        <f t="shared" ca="1" si="13"/>
        <v/>
      </c>
      <c r="N191" s="19" t="str">
        <f t="shared" ca="1" si="14"/>
        <v/>
      </c>
    </row>
    <row r="192" spans="1:14" ht="15.75" customHeight="1" x14ac:dyDescent="0.25">
      <c r="A192" s="11"/>
      <c r="B192" s="11"/>
      <c r="C192" s="11"/>
      <c r="D192" s="11"/>
      <c r="E192" s="11"/>
      <c r="F192" s="17" t="str">
        <f>IF(E192=0,"",IFERROR(E192*Config!B18,0))</f>
        <v/>
      </c>
      <c r="G192" s="13" t="str">
        <f t="shared" si="10"/>
        <v/>
      </c>
      <c r="H192" s="11"/>
      <c r="I192" s="11"/>
      <c r="J192" s="16" t="str">
        <f t="shared" si="11"/>
        <v/>
      </c>
      <c r="K192" s="18" t="str">
        <f>IF(A192="","",IFERROR(SUMIF(Transactions!A$4:A$1003,A192,Transactions!F$4:F$1003),0))</f>
        <v/>
      </c>
      <c r="L192" s="15" t="str">
        <f t="shared" si="12"/>
        <v/>
      </c>
      <c r="M192" s="12" t="str">
        <f t="shared" ca="1" si="13"/>
        <v/>
      </c>
      <c r="N192" s="19" t="str">
        <f t="shared" ca="1" si="14"/>
        <v/>
      </c>
    </row>
    <row r="193" spans="1:14" ht="15.75" customHeight="1" x14ac:dyDescent="0.25">
      <c r="A193" s="11"/>
      <c r="B193" s="11"/>
      <c r="C193" s="11"/>
      <c r="D193" s="11"/>
      <c r="E193" s="11"/>
      <c r="F193" s="17" t="str">
        <f>IF(E193=0,"",IFERROR(E193*Config!B18,0))</f>
        <v/>
      </c>
      <c r="G193" s="13" t="str">
        <f t="shared" si="10"/>
        <v/>
      </c>
      <c r="H193" s="11"/>
      <c r="I193" s="11"/>
      <c r="J193" s="16" t="str">
        <f t="shared" si="11"/>
        <v/>
      </c>
      <c r="K193" s="18" t="str">
        <f>IF(A193="","",IFERROR(SUMIF(Transactions!A$4:A$1003,A193,Transactions!F$4:F$1003),0))</f>
        <v/>
      </c>
      <c r="L193" s="15" t="str">
        <f t="shared" si="12"/>
        <v/>
      </c>
      <c r="M193" s="12" t="str">
        <f t="shared" ca="1" si="13"/>
        <v/>
      </c>
      <c r="N193" s="19" t="str">
        <f t="shared" ca="1" si="14"/>
        <v/>
      </c>
    </row>
    <row r="194" spans="1:14" ht="15.75" customHeight="1" x14ac:dyDescent="0.25">
      <c r="A194" s="11"/>
      <c r="B194" s="11"/>
      <c r="C194" s="11"/>
      <c r="D194" s="11"/>
      <c r="E194" s="11"/>
      <c r="F194" s="17" t="str">
        <f>IF(E194=0,"",IFERROR(E194*Config!B18,0))</f>
        <v/>
      </c>
      <c r="G194" s="13" t="str">
        <f t="shared" si="10"/>
        <v/>
      </c>
      <c r="H194" s="11"/>
      <c r="I194" s="11"/>
      <c r="J194" s="16" t="str">
        <f t="shared" si="11"/>
        <v/>
      </c>
      <c r="K194" s="18" t="str">
        <f>IF(A194="","",IFERROR(SUMIF(Transactions!A$4:A$1003,A194,Transactions!F$4:F$1003),0))</f>
        <v/>
      </c>
      <c r="L194" s="15" t="str">
        <f t="shared" si="12"/>
        <v/>
      </c>
      <c r="M194" s="12" t="str">
        <f t="shared" ca="1" si="13"/>
        <v/>
      </c>
      <c r="N194" s="19" t="str">
        <f t="shared" ca="1" si="14"/>
        <v/>
      </c>
    </row>
    <row r="195" spans="1:14" ht="15.75" customHeight="1" x14ac:dyDescent="0.25">
      <c r="A195" s="11"/>
      <c r="B195" s="11"/>
      <c r="C195" s="11"/>
      <c r="D195" s="11"/>
      <c r="E195" s="11"/>
      <c r="F195" s="17" t="str">
        <f>IF(E195=0,"",IFERROR(E195*Config!B18,0))</f>
        <v/>
      </c>
      <c r="G195" s="13" t="str">
        <f t="shared" si="10"/>
        <v/>
      </c>
      <c r="H195" s="11"/>
      <c r="I195" s="11"/>
      <c r="J195" s="16" t="str">
        <f t="shared" si="11"/>
        <v/>
      </c>
      <c r="K195" s="18" t="str">
        <f>IF(A195="","",IFERROR(SUMIF(Transactions!A$4:A$1003,A195,Transactions!F$4:F$1003),0))</f>
        <v/>
      </c>
      <c r="L195" s="15" t="str">
        <f t="shared" si="12"/>
        <v/>
      </c>
      <c r="M195" s="12" t="str">
        <f t="shared" ca="1" si="13"/>
        <v/>
      </c>
      <c r="N195" s="19" t="str">
        <f t="shared" ca="1" si="14"/>
        <v/>
      </c>
    </row>
    <row r="196" spans="1:14" ht="15.75" customHeight="1" x14ac:dyDescent="0.25">
      <c r="A196" s="11"/>
      <c r="B196" s="11"/>
      <c r="C196" s="11"/>
      <c r="D196" s="11"/>
      <c r="E196" s="11"/>
      <c r="F196" s="17" t="str">
        <f>IF(E196=0,"",IFERROR(E196*Config!B18,0))</f>
        <v/>
      </c>
      <c r="G196" s="13" t="str">
        <f t="shared" ref="G196:G259" si="15">IF(E196=0,"",MAX(0,E196-F196))</f>
        <v/>
      </c>
      <c r="H196" s="11"/>
      <c r="I196" s="11"/>
      <c r="J196" s="16" t="str">
        <f t="shared" ref="J196:J259" si="16">IF(E196=0,"",IFERROR(-PMT(H196/100/12,I196,-E196),0))</f>
        <v/>
      </c>
      <c r="K196" s="18" t="str">
        <f>IF(A196="","",IFERROR(SUMIF(Transactions!A$4:A$1003,A196,Transactions!F$4:F$1003),0))</f>
        <v/>
      </c>
      <c r="L196" s="15" t="str">
        <f t="shared" ref="L196:L259" si="17">IF(E196=0,"",MAX(0,E196-K196))</f>
        <v/>
      </c>
      <c r="M196" s="12" t="str">
        <f t="shared" ref="M196:M259" ca="1" si="18">IF(A196="","",IF(L196&lt;=0,"✅ Fully Paid",IF(AND(D196&lt;&gt;"",TODAY()&gt;D196+I196*30),"⚠ Overdue","🟢 Active")))</f>
        <v/>
      </c>
      <c r="N196" s="19" t="str">
        <f t="shared" ref="N196:N259" ca="1" si="19">IF(L196&lt;=0,TODAY(),"")</f>
        <v/>
      </c>
    </row>
    <row r="197" spans="1:14" ht="15.75" customHeight="1" x14ac:dyDescent="0.25">
      <c r="A197" s="11"/>
      <c r="B197" s="11"/>
      <c r="C197" s="11"/>
      <c r="D197" s="11"/>
      <c r="E197" s="11"/>
      <c r="F197" s="17" t="str">
        <f>IF(E197=0,"",IFERROR(E197*Config!B18,0))</f>
        <v/>
      </c>
      <c r="G197" s="13" t="str">
        <f t="shared" si="15"/>
        <v/>
      </c>
      <c r="H197" s="11"/>
      <c r="I197" s="11"/>
      <c r="J197" s="16" t="str">
        <f t="shared" si="16"/>
        <v/>
      </c>
      <c r="K197" s="18" t="str">
        <f>IF(A197="","",IFERROR(SUMIF(Transactions!A$4:A$1003,A197,Transactions!F$4:F$1003),0))</f>
        <v/>
      </c>
      <c r="L197" s="15" t="str">
        <f t="shared" si="17"/>
        <v/>
      </c>
      <c r="M197" s="12" t="str">
        <f t="shared" ca="1" si="18"/>
        <v/>
      </c>
      <c r="N197" s="19" t="str">
        <f t="shared" ca="1" si="19"/>
        <v/>
      </c>
    </row>
    <row r="198" spans="1:14" ht="15.75" customHeight="1" x14ac:dyDescent="0.25">
      <c r="A198" s="11"/>
      <c r="B198" s="11"/>
      <c r="C198" s="11"/>
      <c r="D198" s="11"/>
      <c r="E198" s="11"/>
      <c r="F198" s="17" t="str">
        <f>IF(E198=0,"",IFERROR(E198*Config!B18,0))</f>
        <v/>
      </c>
      <c r="G198" s="13" t="str">
        <f t="shared" si="15"/>
        <v/>
      </c>
      <c r="H198" s="11"/>
      <c r="I198" s="11"/>
      <c r="J198" s="16" t="str">
        <f t="shared" si="16"/>
        <v/>
      </c>
      <c r="K198" s="18" t="str">
        <f>IF(A198="","",IFERROR(SUMIF(Transactions!A$4:A$1003,A198,Transactions!F$4:F$1003),0))</f>
        <v/>
      </c>
      <c r="L198" s="15" t="str">
        <f t="shared" si="17"/>
        <v/>
      </c>
      <c r="M198" s="12" t="str">
        <f t="shared" ca="1" si="18"/>
        <v/>
      </c>
      <c r="N198" s="19" t="str">
        <f t="shared" ca="1" si="19"/>
        <v/>
      </c>
    </row>
    <row r="199" spans="1:14" ht="15.75" customHeight="1" x14ac:dyDescent="0.25">
      <c r="A199" s="11"/>
      <c r="B199" s="11"/>
      <c r="C199" s="11"/>
      <c r="D199" s="11"/>
      <c r="E199" s="11"/>
      <c r="F199" s="17" t="str">
        <f>IF(E199=0,"",IFERROR(E199*Config!B18,0))</f>
        <v/>
      </c>
      <c r="G199" s="13" t="str">
        <f t="shared" si="15"/>
        <v/>
      </c>
      <c r="H199" s="11"/>
      <c r="I199" s="11"/>
      <c r="J199" s="16" t="str">
        <f t="shared" si="16"/>
        <v/>
      </c>
      <c r="K199" s="18" t="str">
        <f>IF(A199="","",IFERROR(SUMIF(Transactions!A$4:A$1003,A199,Transactions!F$4:F$1003),0))</f>
        <v/>
      </c>
      <c r="L199" s="15" t="str">
        <f t="shared" si="17"/>
        <v/>
      </c>
      <c r="M199" s="12" t="str">
        <f t="shared" ca="1" si="18"/>
        <v/>
      </c>
      <c r="N199" s="19" t="str">
        <f t="shared" ca="1" si="19"/>
        <v/>
      </c>
    </row>
    <row r="200" spans="1:14" ht="15.75" customHeight="1" x14ac:dyDescent="0.25">
      <c r="A200" s="11"/>
      <c r="B200" s="11"/>
      <c r="C200" s="11"/>
      <c r="D200" s="11"/>
      <c r="E200" s="11"/>
      <c r="F200" s="17" t="str">
        <f>IF(E200=0,"",IFERROR(E200*Config!B18,0))</f>
        <v/>
      </c>
      <c r="G200" s="13" t="str">
        <f t="shared" si="15"/>
        <v/>
      </c>
      <c r="H200" s="11"/>
      <c r="I200" s="11"/>
      <c r="J200" s="16" t="str">
        <f t="shared" si="16"/>
        <v/>
      </c>
      <c r="K200" s="18" t="str">
        <f>IF(A200="","",IFERROR(SUMIF(Transactions!A$4:A$1003,A200,Transactions!F$4:F$1003),0))</f>
        <v/>
      </c>
      <c r="L200" s="15" t="str">
        <f t="shared" si="17"/>
        <v/>
      </c>
      <c r="M200" s="12" t="str">
        <f t="shared" ca="1" si="18"/>
        <v/>
      </c>
      <c r="N200" s="19" t="str">
        <f t="shared" ca="1" si="19"/>
        <v/>
      </c>
    </row>
    <row r="201" spans="1:14" ht="15.75" customHeight="1" x14ac:dyDescent="0.25">
      <c r="A201" s="11"/>
      <c r="B201" s="11"/>
      <c r="C201" s="11"/>
      <c r="D201" s="11"/>
      <c r="E201" s="11"/>
      <c r="F201" s="17" t="str">
        <f>IF(E201=0,"",IFERROR(E201*Config!B18,0))</f>
        <v/>
      </c>
      <c r="G201" s="13" t="str">
        <f t="shared" si="15"/>
        <v/>
      </c>
      <c r="H201" s="11"/>
      <c r="I201" s="11"/>
      <c r="J201" s="16" t="str">
        <f t="shared" si="16"/>
        <v/>
      </c>
      <c r="K201" s="18" t="str">
        <f>IF(A201="","",IFERROR(SUMIF(Transactions!A$4:A$1003,A201,Transactions!F$4:F$1003),0))</f>
        <v/>
      </c>
      <c r="L201" s="15" t="str">
        <f t="shared" si="17"/>
        <v/>
      </c>
      <c r="M201" s="12" t="str">
        <f t="shared" ca="1" si="18"/>
        <v/>
      </c>
      <c r="N201" s="19" t="str">
        <f t="shared" ca="1" si="19"/>
        <v/>
      </c>
    </row>
    <row r="202" spans="1:14" ht="15.75" customHeight="1" x14ac:dyDescent="0.25">
      <c r="A202" s="11"/>
      <c r="B202" s="11"/>
      <c r="C202" s="11"/>
      <c r="D202" s="11"/>
      <c r="E202" s="11"/>
      <c r="F202" s="17" t="str">
        <f>IF(E202=0,"",IFERROR(E202*Config!B18,0))</f>
        <v/>
      </c>
      <c r="G202" s="13" t="str">
        <f t="shared" si="15"/>
        <v/>
      </c>
      <c r="H202" s="11"/>
      <c r="I202" s="11"/>
      <c r="J202" s="16" t="str">
        <f t="shared" si="16"/>
        <v/>
      </c>
      <c r="K202" s="18" t="str">
        <f>IF(A202="","",IFERROR(SUMIF(Transactions!A$4:A$1003,A202,Transactions!F$4:F$1003),0))</f>
        <v/>
      </c>
      <c r="L202" s="15" t="str">
        <f t="shared" si="17"/>
        <v/>
      </c>
      <c r="M202" s="12" t="str">
        <f t="shared" ca="1" si="18"/>
        <v/>
      </c>
      <c r="N202" s="19" t="str">
        <f t="shared" ca="1" si="19"/>
        <v/>
      </c>
    </row>
    <row r="203" spans="1:14" ht="15.75" customHeight="1" x14ac:dyDescent="0.25">
      <c r="A203" s="11"/>
      <c r="B203" s="11"/>
      <c r="C203" s="11"/>
      <c r="D203" s="11"/>
      <c r="E203" s="11"/>
      <c r="F203" s="17" t="str">
        <f>IF(E203=0,"",IFERROR(E203*Config!B18,0))</f>
        <v/>
      </c>
      <c r="G203" s="13" t="str">
        <f t="shared" si="15"/>
        <v/>
      </c>
      <c r="H203" s="11"/>
      <c r="I203" s="11"/>
      <c r="J203" s="16" t="str">
        <f t="shared" si="16"/>
        <v/>
      </c>
      <c r="K203" s="18" t="str">
        <f>IF(A203="","",IFERROR(SUMIF(Transactions!A$4:A$1003,A203,Transactions!F$4:F$1003),0))</f>
        <v/>
      </c>
      <c r="L203" s="15" t="str">
        <f t="shared" si="17"/>
        <v/>
      </c>
      <c r="M203" s="12" t="str">
        <f t="shared" ca="1" si="18"/>
        <v/>
      </c>
      <c r="N203" s="19" t="str">
        <f t="shared" ca="1" si="19"/>
        <v/>
      </c>
    </row>
    <row r="204" spans="1:14" ht="15.75" customHeight="1" x14ac:dyDescent="0.25">
      <c r="A204" s="11"/>
      <c r="B204" s="11"/>
      <c r="C204" s="11"/>
      <c r="D204" s="11"/>
      <c r="E204" s="11"/>
      <c r="F204" s="17" t="str">
        <f>IF(E204=0,"",IFERROR(E204*Config!B18,0))</f>
        <v/>
      </c>
      <c r="G204" s="13" t="str">
        <f t="shared" si="15"/>
        <v/>
      </c>
      <c r="H204" s="11"/>
      <c r="I204" s="11"/>
      <c r="J204" s="16" t="str">
        <f t="shared" si="16"/>
        <v/>
      </c>
      <c r="K204" s="18" t="str">
        <f>IF(A204="","",IFERROR(SUMIF(Transactions!A$4:A$1003,A204,Transactions!F$4:F$1003),0))</f>
        <v/>
      </c>
      <c r="L204" s="15" t="str">
        <f t="shared" si="17"/>
        <v/>
      </c>
      <c r="M204" s="12" t="str">
        <f t="shared" ca="1" si="18"/>
        <v/>
      </c>
      <c r="N204" s="19" t="str">
        <f t="shared" ca="1" si="19"/>
        <v/>
      </c>
    </row>
    <row r="205" spans="1:14" ht="15.75" customHeight="1" x14ac:dyDescent="0.25">
      <c r="A205" s="11"/>
      <c r="B205" s="11"/>
      <c r="C205" s="11"/>
      <c r="D205" s="11"/>
      <c r="E205" s="11"/>
      <c r="F205" s="17" t="str">
        <f>IF(E205=0,"",IFERROR(E205*Config!B18,0))</f>
        <v/>
      </c>
      <c r="G205" s="13" t="str">
        <f t="shared" si="15"/>
        <v/>
      </c>
      <c r="H205" s="11"/>
      <c r="I205" s="11"/>
      <c r="J205" s="16" t="str">
        <f t="shared" si="16"/>
        <v/>
      </c>
      <c r="K205" s="18" t="str">
        <f>IF(A205="","",IFERROR(SUMIF(Transactions!A$4:A$1003,A205,Transactions!F$4:F$1003),0))</f>
        <v/>
      </c>
      <c r="L205" s="15" t="str">
        <f t="shared" si="17"/>
        <v/>
      </c>
      <c r="M205" s="12" t="str">
        <f t="shared" ca="1" si="18"/>
        <v/>
      </c>
      <c r="N205" s="19" t="str">
        <f t="shared" ca="1" si="19"/>
        <v/>
      </c>
    </row>
    <row r="206" spans="1:14" ht="15.75" customHeight="1" x14ac:dyDescent="0.25">
      <c r="A206" s="11"/>
      <c r="B206" s="11"/>
      <c r="C206" s="11"/>
      <c r="D206" s="11"/>
      <c r="E206" s="11"/>
      <c r="F206" s="17" t="str">
        <f>IF(E206=0,"",IFERROR(E206*Config!B18,0))</f>
        <v/>
      </c>
      <c r="G206" s="13" t="str">
        <f t="shared" si="15"/>
        <v/>
      </c>
      <c r="H206" s="11"/>
      <c r="I206" s="11"/>
      <c r="J206" s="16" t="str">
        <f t="shared" si="16"/>
        <v/>
      </c>
      <c r="K206" s="18" t="str">
        <f>IF(A206="","",IFERROR(SUMIF(Transactions!A$4:A$1003,A206,Transactions!F$4:F$1003),0))</f>
        <v/>
      </c>
      <c r="L206" s="15" t="str">
        <f t="shared" si="17"/>
        <v/>
      </c>
      <c r="M206" s="12" t="str">
        <f t="shared" ca="1" si="18"/>
        <v/>
      </c>
      <c r="N206" s="19" t="str">
        <f t="shared" ca="1" si="19"/>
        <v/>
      </c>
    </row>
    <row r="207" spans="1:14" ht="15.75" customHeight="1" x14ac:dyDescent="0.25">
      <c r="A207" s="11"/>
      <c r="B207" s="11"/>
      <c r="C207" s="11"/>
      <c r="D207" s="11"/>
      <c r="E207" s="11"/>
      <c r="F207" s="17" t="str">
        <f>IF(E207=0,"",IFERROR(E207*Config!B18,0))</f>
        <v/>
      </c>
      <c r="G207" s="13" t="str">
        <f t="shared" si="15"/>
        <v/>
      </c>
      <c r="H207" s="11"/>
      <c r="I207" s="11"/>
      <c r="J207" s="16" t="str">
        <f t="shared" si="16"/>
        <v/>
      </c>
      <c r="K207" s="18" t="str">
        <f>IF(A207="","",IFERROR(SUMIF(Transactions!A$4:A$1003,A207,Transactions!F$4:F$1003),0))</f>
        <v/>
      </c>
      <c r="L207" s="15" t="str">
        <f t="shared" si="17"/>
        <v/>
      </c>
      <c r="M207" s="12" t="str">
        <f t="shared" ca="1" si="18"/>
        <v/>
      </c>
      <c r="N207" s="19" t="str">
        <f t="shared" ca="1" si="19"/>
        <v/>
      </c>
    </row>
    <row r="208" spans="1:14" ht="15.75" customHeight="1" x14ac:dyDescent="0.25">
      <c r="A208" s="11"/>
      <c r="B208" s="11"/>
      <c r="C208" s="11"/>
      <c r="D208" s="11"/>
      <c r="E208" s="11"/>
      <c r="F208" s="17" t="str">
        <f>IF(E208=0,"",IFERROR(E208*Config!B18,0))</f>
        <v/>
      </c>
      <c r="G208" s="13" t="str">
        <f t="shared" si="15"/>
        <v/>
      </c>
      <c r="H208" s="11"/>
      <c r="I208" s="11"/>
      <c r="J208" s="16" t="str">
        <f t="shared" si="16"/>
        <v/>
      </c>
      <c r="K208" s="18" t="str">
        <f>IF(A208="","",IFERROR(SUMIF(Transactions!A$4:A$1003,A208,Transactions!F$4:F$1003),0))</f>
        <v/>
      </c>
      <c r="L208" s="15" t="str">
        <f t="shared" si="17"/>
        <v/>
      </c>
      <c r="M208" s="12" t="str">
        <f t="shared" ca="1" si="18"/>
        <v/>
      </c>
      <c r="N208" s="19" t="str">
        <f t="shared" ca="1" si="19"/>
        <v/>
      </c>
    </row>
    <row r="209" spans="1:14" ht="15.75" customHeight="1" x14ac:dyDescent="0.25">
      <c r="A209" s="11"/>
      <c r="B209" s="11"/>
      <c r="C209" s="11"/>
      <c r="D209" s="11"/>
      <c r="E209" s="11"/>
      <c r="F209" s="17" t="str">
        <f>IF(E209=0,"",IFERROR(E209*Config!B18,0))</f>
        <v/>
      </c>
      <c r="G209" s="13" t="str">
        <f t="shared" si="15"/>
        <v/>
      </c>
      <c r="H209" s="11"/>
      <c r="I209" s="11"/>
      <c r="J209" s="16" t="str">
        <f t="shared" si="16"/>
        <v/>
      </c>
      <c r="K209" s="18" t="str">
        <f>IF(A209="","",IFERROR(SUMIF(Transactions!A$4:A$1003,A209,Transactions!F$4:F$1003),0))</f>
        <v/>
      </c>
      <c r="L209" s="15" t="str">
        <f t="shared" si="17"/>
        <v/>
      </c>
      <c r="M209" s="12" t="str">
        <f t="shared" ca="1" si="18"/>
        <v/>
      </c>
      <c r="N209" s="19" t="str">
        <f t="shared" ca="1" si="19"/>
        <v/>
      </c>
    </row>
    <row r="210" spans="1:14" ht="15.75" customHeight="1" x14ac:dyDescent="0.25">
      <c r="A210" s="11"/>
      <c r="B210" s="11"/>
      <c r="C210" s="11"/>
      <c r="D210" s="11"/>
      <c r="E210" s="11"/>
      <c r="F210" s="17" t="str">
        <f>IF(E210=0,"",IFERROR(E210*Config!B18,0))</f>
        <v/>
      </c>
      <c r="G210" s="13" t="str">
        <f t="shared" si="15"/>
        <v/>
      </c>
      <c r="H210" s="11"/>
      <c r="I210" s="11"/>
      <c r="J210" s="16" t="str">
        <f t="shared" si="16"/>
        <v/>
      </c>
      <c r="K210" s="18" t="str">
        <f>IF(A210="","",IFERROR(SUMIF(Transactions!A$4:A$1003,A210,Transactions!F$4:F$1003),0))</f>
        <v/>
      </c>
      <c r="L210" s="15" t="str">
        <f t="shared" si="17"/>
        <v/>
      </c>
      <c r="M210" s="12" t="str">
        <f t="shared" ca="1" si="18"/>
        <v/>
      </c>
      <c r="N210" s="19" t="str">
        <f t="shared" ca="1" si="19"/>
        <v/>
      </c>
    </row>
    <row r="211" spans="1:14" ht="15.75" customHeight="1" x14ac:dyDescent="0.25">
      <c r="A211" s="11"/>
      <c r="B211" s="11"/>
      <c r="C211" s="11"/>
      <c r="D211" s="11"/>
      <c r="E211" s="11"/>
      <c r="F211" s="17" t="str">
        <f>IF(E211=0,"",IFERROR(E211*Config!B18,0))</f>
        <v/>
      </c>
      <c r="G211" s="13" t="str">
        <f t="shared" si="15"/>
        <v/>
      </c>
      <c r="H211" s="11"/>
      <c r="I211" s="11"/>
      <c r="J211" s="16" t="str">
        <f t="shared" si="16"/>
        <v/>
      </c>
      <c r="K211" s="18" t="str">
        <f>IF(A211="","",IFERROR(SUMIF(Transactions!A$4:A$1003,A211,Transactions!F$4:F$1003),0))</f>
        <v/>
      </c>
      <c r="L211" s="15" t="str">
        <f t="shared" si="17"/>
        <v/>
      </c>
      <c r="M211" s="12" t="str">
        <f t="shared" ca="1" si="18"/>
        <v/>
      </c>
      <c r="N211" s="19" t="str">
        <f t="shared" ca="1" si="19"/>
        <v/>
      </c>
    </row>
    <row r="212" spans="1:14" ht="15.75" customHeight="1" x14ac:dyDescent="0.25">
      <c r="A212" s="11"/>
      <c r="B212" s="11"/>
      <c r="C212" s="11"/>
      <c r="D212" s="11"/>
      <c r="E212" s="11"/>
      <c r="F212" s="17" t="str">
        <f>IF(E212=0,"",IFERROR(E212*Config!B18,0))</f>
        <v/>
      </c>
      <c r="G212" s="13" t="str">
        <f t="shared" si="15"/>
        <v/>
      </c>
      <c r="H212" s="11"/>
      <c r="I212" s="11"/>
      <c r="J212" s="16" t="str">
        <f t="shared" si="16"/>
        <v/>
      </c>
      <c r="K212" s="18" t="str">
        <f>IF(A212="","",IFERROR(SUMIF(Transactions!A$4:A$1003,A212,Transactions!F$4:F$1003),0))</f>
        <v/>
      </c>
      <c r="L212" s="15" t="str">
        <f t="shared" si="17"/>
        <v/>
      </c>
      <c r="M212" s="12" t="str">
        <f t="shared" ca="1" si="18"/>
        <v/>
      </c>
      <c r="N212" s="19" t="str">
        <f t="shared" ca="1" si="19"/>
        <v/>
      </c>
    </row>
    <row r="213" spans="1:14" ht="15.75" customHeight="1" x14ac:dyDescent="0.25">
      <c r="A213" s="11"/>
      <c r="B213" s="11"/>
      <c r="C213" s="11"/>
      <c r="D213" s="11"/>
      <c r="E213" s="11"/>
      <c r="F213" s="17" t="str">
        <f>IF(E213=0,"",IFERROR(E213*Config!B18,0))</f>
        <v/>
      </c>
      <c r="G213" s="13" t="str">
        <f t="shared" si="15"/>
        <v/>
      </c>
      <c r="H213" s="11"/>
      <c r="I213" s="11"/>
      <c r="J213" s="16" t="str">
        <f t="shared" si="16"/>
        <v/>
      </c>
      <c r="K213" s="18" t="str">
        <f>IF(A213="","",IFERROR(SUMIF(Transactions!A$4:A$1003,A213,Transactions!F$4:F$1003),0))</f>
        <v/>
      </c>
      <c r="L213" s="15" t="str">
        <f t="shared" si="17"/>
        <v/>
      </c>
      <c r="M213" s="12" t="str">
        <f t="shared" ca="1" si="18"/>
        <v/>
      </c>
      <c r="N213" s="19" t="str">
        <f t="shared" ca="1" si="19"/>
        <v/>
      </c>
    </row>
    <row r="214" spans="1:14" ht="15.75" customHeight="1" x14ac:dyDescent="0.25">
      <c r="A214" s="11"/>
      <c r="B214" s="11"/>
      <c r="C214" s="11"/>
      <c r="D214" s="11"/>
      <c r="E214" s="11"/>
      <c r="F214" s="17" t="str">
        <f>IF(E214=0,"",IFERROR(E214*Config!B18,0))</f>
        <v/>
      </c>
      <c r="G214" s="13" t="str">
        <f t="shared" si="15"/>
        <v/>
      </c>
      <c r="H214" s="11"/>
      <c r="I214" s="11"/>
      <c r="J214" s="16" t="str">
        <f t="shared" si="16"/>
        <v/>
      </c>
      <c r="K214" s="18" t="str">
        <f>IF(A214="","",IFERROR(SUMIF(Transactions!A$4:A$1003,A214,Transactions!F$4:F$1003),0))</f>
        <v/>
      </c>
      <c r="L214" s="15" t="str">
        <f t="shared" si="17"/>
        <v/>
      </c>
      <c r="M214" s="12" t="str">
        <f t="shared" ca="1" si="18"/>
        <v/>
      </c>
      <c r="N214" s="19" t="str">
        <f t="shared" ca="1" si="19"/>
        <v/>
      </c>
    </row>
    <row r="215" spans="1:14" ht="15.75" customHeight="1" x14ac:dyDescent="0.25">
      <c r="A215" s="11"/>
      <c r="B215" s="11"/>
      <c r="C215" s="11"/>
      <c r="D215" s="11"/>
      <c r="E215" s="11"/>
      <c r="F215" s="17" t="str">
        <f>IF(E215=0,"",IFERROR(E215*Config!B18,0))</f>
        <v/>
      </c>
      <c r="G215" s="13" t="str">
        <f t="shared" si="15"/>
        <v/>
      </c>
      <c r="H215" s="11"/>
      <c r="I215" s="11"/>
      <c r="J215" s="16" t="str">
        <f t="shared" si="16"/>
        <v/>
      </c>
      <c r="K215" s="18" t="str">
        <f>IF(A215="","",IFERROR(SUMIF(Transactions!A$4:A$1003,A215,Transactions!F$4:F$1003),0))</f>
        <v/>
      </c>
      <c r="L215" s="15" t="str">
        <f t="shared" si="17"/>
        <v/>
      </c>
      <c r="M215" s="12" t="str">
        <f t="shared" ca="1" si="18"/>
        <v/>
      </c>
      <c r="N215" s="19" t="str">
        <f t="shared" ca="1" si="19"/>
        <v/>
      </c>
    </row>
    <row r="216" spans="1:14" ht="15.75" customHeight="1" x14ac:dyDescent="0.25">
      <c r="A216" s="11"/>
      <c r="B216" s="11"/>
      <c r="C216" s="11"/>
      <c r="D216" s="11"/>
      <c r="E216" s="11"/>
      <c r="F216" s="17" t="str">
        <f>IF(E216=0,"",IFERROR(E216*Config!B18,0))</f>
        <v/>
      </c>
      <c r="G216" s="13" t="str">
        <f t="shared" si="15"/>
        <v/>
      </c>
      <c r="H216" s="11"/>
      <c r="I216" s="11"/>
      <c r="J216" s="16" t="str">
        <f t="shared" si="16"/>
        <v/>
      </c>
      <c r="K216" s="18" t="str">
        <f>IF(A216="","",IFERROR(SUMIF(Transactions!A$4:A$1003,A216,Transactions!F$4:F$1003),0))</f>
        <v/>
      </c>
      <c r="L216" s="15" t="str">
        <f t="shared" si="17"/>
        <v/>
      </c>
      <c r="M216" s="12" t="str">
        <f t="shared" ca="1" si="18"/>
        <v/>
      </c>
      <c r="N216" s="19" t="str">
        <f t="shared" ca="1" si="19"/>
        <v/>
      </c>
    </row>
    <row r="217" spans="1:14" ht="15.75" customHeight="1" x14ac:dyDescent="0.25">
      <c r="A217" s="11"/>
      <c r="B217" s="11"/>
      <c r="C217" s="11"/>
      <c r="D217" s="11"/>
      <c r="E217" s="11"/>
      <c r="F217" s="17" t="str">
        <f>IF(E217=0,"",IFERROR(E217*Config!B18,0))</f>
        <v/>
      </c>
      <c r="G217" s="13" t="str">
        <f t="shared" si="15"/>
        <v/>
      </c>
      <c r="H217" s="11"/>
      <c r="I217" s="11"/>
      <c r="J217" s="16" t="str">
        <f t="shared" si="16"/>
        <v/>
      </c>
      <c r="K217" s="18" t="str">
        <f>IF(A217="","",IFERROR(SUMIF(Transactions!A$4:A$1003,A217,Transactions!F$4:F$1003),0))</f>
        <v/>
      </c>
      <c r="L217" s="15" t="str">
        <f t="shared" si="17"/>
        <v/>
      </c>
      <c r="M217" s="12" t="str">
        <f t="shared" ca="1" si="18"/>
        <v/>
      </c>
      <c r="N217" s="19" t="str">
        <f t="shared" ca="1" si="19"/>
        <v/>
      </c>
    </row>
    <row r="218" spans="1:14" ht="15.75" customHeight="1" x14ac:dyDescent="0.25">
      <c r="A218" s="11"/>
      <c r="B218" s="11"/>
      <c r="C218" s="11"/>
      <c r="D218" s="11"/>
      <c r="E218" s="11"/>
      <c r="F218" s="17" t="str">
        <f>IF(E218=0,"",IFERROR(E218*Config!B18,0))</f>
        <v/>
      </c>
      <c r="G218" s="13" t="str">
        <f t="shared" si="15"/>
        <v/>
      </c>
      <c r="H218" s="11"/>
      <c r="I218" s="11"/>
      <c r="J218" s="16" t="str">
        <f t="shared" si="16"/>
        <v/>
      </c>
      <c r="K218" s="18" t="str">
        <f>IF(A218="","",IFERROR(SUMIF(Transactions!A$4:A$1003,A218,Transactions!F$4:F$1003),0))</f>
        <v/>
      </c>
      <c r="L218" s="15" t="str">
        <f t="shared" si="17"/>
        <v/>
      </c>
      <c r="M218" s="12" t="str">
        <f t="shared" ca="1" si="18"/>
        <v/>
      </c>
      <c r="N218" s="19" t="str">
        <f t="shared" ca="1" si="19"/>
        <v/>
      </c>
    </row>
    <row r="219" spans="1:14" ht="15.75" customHeight="1" x14ac:dyDescent="0.25">
      <c r="A219" s="11"/>
      <c r="B219" s="11"/>
      <c r="C219" s="11"/>
      <c r="D219" s="11"/>
      <c r="E219" s="11"/>
      <c r="F219" s="17" t="str">
        <f>IF(E219=0,"",IFERROR(E219*Config!B18,0))</f>
        <v/>
      </c>
      <c r="G219" s="13" t="str">
        <f t="shared" si="15"/>
        <v/>
      </c>
      <c r="H219" s="11"/>
      <c r="I219" s="11"/>
      <c r="J219" s="16" t="str">
        <f t="shared" si="16"/>
        <v/>
      </c>
      <c r="K219" s="18" t="str">
        <f>IF(A219="","",IFERROR(SUMIF(Transactions!A$4:A$1003,A219,Transactions!F$4:F$1003),0))</f>
        <v/>
      </c>
      <c r="L219" s="15" t="str">
        <f t="shared" si="17"/>
        <v/>
      </c>
      <c r="M219" s="12" t="str">
        <f t="shared" ca="1" si="18"/>
        <v/>
      </c>
      <c r="N219" s="19" t="str">
        <f t="shared" ca="1" si="19"/>
        <v/>
      </c>
    </row>
    <row r="220" spans="1:14" ht="15.75" customHeight="1" x14ac:dyDescent="0.25">
      <c r="A220" s="11"/>
      <c r="B220" s="11"/>
      <c r="C220" s="11"/>
      <c r="D220" s="11"/>
      <c r="E220" s="11"/>
      <c r="F220" s="17" t="str">
        <f>IF(E220=0,"",IFERROR(E220*Config!B18,0))</f>
        <v/>
      </c>
      <c r="G220" s="13" t="str">
        <f t="shared" si="15"/>
        <v/>
      </c>
      <c r="H220" s="11"/>
      <c r="I220" s="11"/>
      <c r="J220" s="16" t="str">
        <f t="shared" si="16"/>
        <v/>
      </c>
      <c r="K220" s="18" t="str">
        <f>IF(A220="","",IFERROR(SUMIF(Transactions!A$4:A$1003,A220,Transactions!F$4:F$1003),0))</f>
        <v/>
      </c>
      <c r="L220" s="15" t="str">
        <f t="shared" si="17"/>
        <v/>
      </c>
      <c r="M220" s="12" t="str">
        <f t="shared" ca="1" si="18"/>
        <v/>
      </c>
      <c r="N220" s="19" t="str">
        <f t="shared" ca="1" si="19"/>
        <v/>
      </c>
    </row>
    <row r="221" spans="1:14" ht="15.75" customHeight="1" x14ac:dyDescent="0.25">
      <c r="A221" s="11"/>
      <c r="B221" s="11"/>
      <c r="C221" s="11"/>
      <c r="D221" s="11"/>
      <c r="E221" s="11"/>
      <c r="F221" s="17" t="str">
        <f>IF(E221=0,"",IFERROR(E221*Config!B18,0))</f>
        <v/>
      </c>
      <c r="G221" s="13" t="str">
        <f t="shared" si="15"/>
        <v/>
      </c>
      <c r="H221" s="11"/>
      <c r="I221" s="11"/>
      <c r="J221" s="16" t="str">
        <f t="shared" si="16"/>
        <v/>
      </c>
      <c r="K221" s="18" t="str">
        <f>IF(A221="","",IFERROR(SUMIF(Transactions!A$4:A$1003,A221,Transactions!F$4:F$1003),0))</f>
        <v/>
      </c>
      <c r="L221" s="15" t="str">
        <f t="shared" si="17"/>
        <v/>
      </c>
      <c r="M221" s="12" t="str">
        <f t="shared" ca="1" si="18"/>
        <v/>
      </c>
      <c r="N221" s="19" t="str">
        <f t="shared" ca="1" si="19"/>
        <v/>
      </c>
    </row>
    <row r="222" spans="1:14" ht="15.75" customHeight="1" x14ac:dyDescent="0.25">
      <c r="A222" s="11"/>
      <c r="B222" s="11"/>
      <c r="C222" s="11"/>
      <c r="D222" s="11"/>
      <c r="E222" s="11"/>
      <c r="F222" s="17" t="str">
        <f>IF(E222=0,"",IFERROR(E222*Config!B18,0))</f>
        <v/>
      </c>
      <c r="G222" s="13" t="str">
        <f t="shared" si="15"/>
        <v/>
      </c>
      <c r="H222" s="11"/>
      <c r="I222" s="11"/>
      <c r="J222" s="16" t="str">
        <f t="shared" si="16"/>
        <v/>
      </c>
      <c r="K222" s="18" t="str">
        <f>IF(A222="","",IFERROR(SUMIF(Transactions!A$4:A$1003,A222,Transactions!F$4:F$1003),0))</f>
        <v/>
      </c>
      <c r="L222" s="15" t="str">
        <f t="shared" si="17"/>
        <v/>
      </c>
      <c r="M222" s="12" t="str">
        <f t="shared" ca="1" si="18"/>
        <v/>
      </c>
      <c r="N222" s="19" t="str">
        <f t="shared" ca="1" si="19"/>
        <v/>
      </c>
    </row>
    <row r="223" spans="1:14" ht="15.75" customHeight="1" x14ac:dyDescent="0.25">
      <c r="A223" s="11"/>
      <c r="B223" s="11"/>
      <c r="C223" s="11"/>
      <c r="D223" s="11"/>
      <c r="E223" s="11"/>
      <c r="F223" s="17" t="str">
        <f>IF(E223=0,"",IFERROR(E223*Config!B18,0))</f>
        <v/>
      </c>
      <c r="G223" s="13" t="str">
        <f t="shared" si="15"/>
        <v/>
      </c>
      <c r="H223" s="11"/>
      <c r="I223" s="11"/>
      <c r="J223" s="16" t="str">
        <f t="shared" si="16"/>
        <v/>
      </c>
      <c r="K223" s="18" t="str">
        <f>IF(A223="","",IFERROR(SUMIF(Transactions!A$4:A$1003,A223,Transactions!F$4:F$1003),0))</f>
        <v/>
      </c>
      <c r="L223" s="15" t="str">
        <f t="shared" si="17"/>
        <v/>
      </c>
      <c r="M223" s="12" t="str">
        <f t="shared" ca="1" si="18"/>
        <v/>
      </c>
      <c r="N223" s="19" t="str">
        <f t="shared" ca="1" si="19"/>
        <v/>
      </c>
    </row>
    <row r="224" spans="1:14" ht="15.75" customHeight="1" x14ac:dyDescent="0.25">
      <c r="A224" s="11"/>
      <c r="B224" s="11"/>
      <c r="C224" s="11"/>
      <c r="D224" s="11"/>
      <c r="E224" s="11"/>
      <c r="F224" s="17" t="str">
        <f>IF(E224=0,"",IFERROR(E224*Config!B18,0))</f>
        <v/>
      </c>
      <c r="G224" s="13" t="str">
        <f t="shared" si="15"/>
        <v/>
      </c>
      <c r="H224" s="11"/>
      <c r="I224" s="11"/>
      <c r="J224" s="16" t="str">
        <f t="shared" si="16"/>
        <v/>
      </c>
      <c r="K224" s="18" t="str">
        <f>IF(A224="","",IFERROR(SUMIF(Transactions!A$4:A$1003,A224,Transactions!F$4:F$1003),0))</f>
        <v/>
      </c>
      <c r="L224" s="15" t="str">
        <f t="shared" si="17"/>
        <v/>
      </c>
      <c r="M224" s="12" t="str">
        <f t="shared" ca="1" si="18"/>
        <v/>
      </c>
      <c r="N224" s="19" t="str">
        <f t="shared" ca="1" si="19"/>
        <v/>
      </c>
    </row>
    <row r="225" spans="1:14" ht="15.75" customHeight="1" x14ac:dyDescent="0.25">
      <c r="A225" s="11"/>
      <c r="B225" s="11"/>
      <c r="C225" s="11"/>
      <c r="D225" s="11"/>
      <c r="E225" s="11"/>
      <c r="F225" s="17" t="str">
        <f>IF(E225=0,"",IFERROR(E225*Config!B18,0))</f>
        <v/>
      </c>
      <c r="G225" s="13" t="str">
        <f t="shared" si="15"/>
        <v/>
      </c>
      <c r="H225" s="11"/>
      <c r="I225" s="11"/>
      <c r="J225" s="16" t="str">
        <f t="shared" si="16"/>
        <v/>
      </c>
      <c r="K225" s="18" t="str">
        <f>IF(A225="","",IFERROR(SUMIF(Transactions!A$4:A$1003,A225,Transactions!F$4:F$1003),0))</f>
        <v/>
      </c>
      <c r="L225" s="15" t="str">
        <f t="shared" si="17"/>
        <v/>
      </c>
      <c r="M225" s="12" t="str">
        <f t="shared" ca="1" si="18"/>
        <v/>
      </c>
      <c r="N225" s="19" t="str">
        <f t="shared" ca="1" si="19"/>
        <v/>
      </c>
    </row>
    <row r="226" spans="1:14" ht="15.75" customHeight="1" x14ac:dyDescent="0.25">
      <c r="A226" s="11"/>
      <c r="B226" s="11"/>
      <c r="C226" s="11"/>
      <c r="D226" s="11"/>
      <c r="E226" s="11"/>
      <c r="F226" s="17" t="str">
        <f>IF(E226=0,"",IFERROR(E226*Config!B18,0))</f>
        <v/>
      </c>
      <c r="G226" s="13" t="str">
        <f t="shared" si="15"/>
        <v/>
      </c>
      <c r="H226" s="11"/>
      <c r="I226" s="11"/>
      <c r="J226" s="16" t="str">
        <f t="shared" si="16"/>
        <v/>
      </c>
      <c r="K226" s="18" t="str">
        <f>IF(A226="","",IFERROR(SUMIF(Transactions!A$4:A$1003,A226,Transactions!F$4:F$1003),0))</f>
        <v/>
      </c>
      <c r="L226" s="15" t="str">
        <f t="shared" si="17"/>
        <v/>
      </c>
      <c r="M226" s="12" t="str">
        <f t="shared" ca="1" si="18"/>
        <v/>
      </c>
      <c r="N226" s="19" t="str">
        <f t="shared" ca="1" si="19"/>
        <v/>
      </c>
    </row>
    <row r="227" spans="1:14" ht="15.75" customHeight="1" x14ac:dyDescent="0.25">
      <c r="A227" s="11"/>
      <c r="B227" s="11"/>
      <c r="C227" s="11"/>
      <c r="D227" s="11"/>
      <c r="E227" s="11"/>
      <c r="F227" s="17" t="str">
        <f>IF(E227=0,"",IFERROR(E227*Config!B18,0))</f>
        <v/>
      </c>
      <c r="G227" s="13" t="str">
        <f t="shared" si="15"/>
        <v/>
      </c>
      <c r="H227" s="11"/>
      <c r="I227" s="11"/>
      <c r="J227" s="16" t="str">
        <f t="shared" si="16"/>
        <v/>
      </c>
      <c r="K227" s="18" t="str">
        <f>IF(A227="","",IFERROR(SUMIF(Transactions!A$4:A$1003,A227,Transactions!F$4:F$1003),0))</f>
        <v/>
      </c>
      <c r="L227" s="15" t="str">
        <f t="shared" si="17"/>
        <v/>
      </c>
      <c r="M227" s="12" t="str">
        <f t="shared" ca="1" si="18"/>
        <v/>
      </c>
      <c r="N227" s="19" t="str">
        <f t="shared" ca="1" si="19"/>
        <v/>
      </c>
    </row>
    <row r="228" spans="1:14" ht="15.75" customHeight="1" x14ac:dyDescent="0.25">
      <c r="A228" s="11"/>
      <c r="B228" s="11"/>
      <c r="C228" s="11"/>
      <c r="D228" s="11"/>
      <c r="E228" s="11"/>
      <c r="F228" s="17" t="str">
        <f>IF(E228=0,"",IFERROR(E228*Config!B18,0))</f>
        <v/>
      </c>
      <c r="G228" s="13" t="str">
        <f t="shared" si="15"/>
        <v/>
      </c>
      <c r="H228" s="11"/>
      <c r="I228" s="11"/>
      <c r="J228" s="16" t="str">
        <f t="shared" si="16"/>
        <v/>
      </c>
      <c r="K228" s="18" t="str">
        <f>IF(A228="","",IFERROR(SUMIF(Transactions!A$4:A$1003,A228,Transactions!F$4:F$1003),0))</f>
        <v/>
      </c>
      <c r="L228" s="15" t="str">
        <f t="shared" si="17"/>
        <v/>
      </c>
      <c r="M228" s="12" t="str">
        <f t="shared" ca="1" si="18"/>
        <v/>
      </c>
      <c r="N228" s="19" t="str">
        <f t="shared" ca="1" si="19"/>
        <v/>
      </c>
    </row>
    <row r="229" spans="1:14" ht="15.75" customHeight="1" x14ac:dyDescent="0.25">
      <c r="A229" s="11"/>
      <c r="B229" s="11"/>
      <c r="C229" s="11"/>
      <c r="D229" s="11"/>
      <c r="E229" s="11"/>
      <c r="F229" s="17" t="str">
        <f>IF(E229=0,"",IFERROR(E229*Config!B18,0))</f>
        <v/>
      </c>
      <c r="G229" s="13" t="str">
        <f t="shared" si="15"/>
        <v/>
      </c>
      <c r="H229" s="11"/>
      <c r="I229" s="11"/>
      <c r="J229" s="16" t="str">
        <f t="shared" si="16"/>
        <v/>
      </c>
      <c r="K229" s="18" t="str">
        <f>IF(A229="","",IFERROR(SUMIF(Transactions!A$4:A$1003,A229,Transactions!F$4:F$1003),0))</f>
        <v/>
      </c>
      <c r="L229" s="15" t="str">
        <f t="shared" si="17"/>
        <v/>
      </c>
      <c r="M229" s="12" t="str">
        <f t="shared" ca="1" si="18"/>
        <v/>
      </c>
      <c r="N229" s="19" t="str">
        <f t="shared" ca="1" si="19"/>
        <v/>
      </c>
    </row>
    <row r="230" spans="1:14" ht="15.75" customHeight="1" x14ac:dyDescent="0.25">
      <c r="A230" s="11"/>
      <c r="B230" s="11"/>
      <c r="C230" s="11"/>
      <c r="D230" s="11"/>
      <c r="E230" s="11"/>
      <c r="F230" s="17" t="str">
        <f>IF(E230=0,"",IFERROR(E230*Config!B18,0))</f>
        <v/>
      </c>
      <c r="G230" s="13" t="str">
        <f t="shared" si="15"/>
        <v/>
      </c>
      <c r="H230" s="11"/>
      <c r="I230" s="11"/>
      <c r="J230" s="16" t="str">
        <f t="shared" si="16"/>
        <v/>
      </c>
      <c r="K230" s="18" t="str">
        <f>IF(A230="","",IFERROR(SUMIF(Transactions!A$4:A$1003,A230,Transactions!F$4:F$1003),0))</f>
        <v/>
      </c>
      <c r="L230" s="15" t="str">
        <f t="shared" si="17"/>
        <v/>
      </c>
      <c r="M230" s="12" t="str">
        <f t="shared" ca="1" si="18"/>
        <v/>
      </c>
      <c r="N230" s="19" t="str">
        <f t="shared" ca="1" si="19"/>
        <v/>
      </c>
    </row>
    <row r="231" spans="1:14" ht="15.75" customHeight="1" x14ac:dyDescent="0.25">
      <c r="A231" s="11"/>
      <c r="B231" s="11"/>
      <c r="C231" s="11"/>
      <c r="D231" s="11"/>
      <c r="E231" s="11"/>
      <c r="F231" s="17" t="str">
        <f>IF(E231=0,"",IFERROR(E231*Config!B18,0))</f>
        <v/>
      </c>
      <c r="G231" s="13" t="str">
        <f t="shared" si="15"/>
        <v/>
      </c>
      <c r="H231" s="11"/>
      <c r="I231" s="11"/>
      <c r="J231" s="16" t="str">
        <f t="shared" si="16"/>
        <v/>
      </c>
      <c r="K231" s="18" t="str">
        <f>IF(A231="","",IFERROR(SUMIF(Transactions!A$4:A$1003,A231,Transactions!F$4:F$1003),0))</f>
        <v/>
      </c>
      <c r="L231" s="15" t="str">
        <f t="shared" si="17"/>
        <v/>
      </c>
      <c r="M231" s="12" t="str">
        <f t="shared" ca="1" si="18"/>
        <v/>
      </c>
      <c r="N231" s="19" t="str">
        <f t="shared" ca="1" si="19"/>
        <v/>
      </c>
    </row>
    <row r="232" spans="1:14" ht="15.75" customHeight="1" x14ac:dyDescent="0.25">
      <c r="A232" s="11"/>
      <c r="B232" s="11"/>
      <c r="C232" s="11"/>
      <c r="D232" s="11"/>
      <c r="E232" s="11"/>
      <c r="F232" s="17" t="str">
        <f>IF(E232=0,"",IFERROR(E232*Config!B18,0))</f>
        <v/>
      </c>
      <c r="G232" s="13" t="str">
        <f t="shared" si="15"/>
        <v/>
      </c>
      <c r="H232" s="11"/>
      <c r="I232" s="11"/>
      <c r="J232" s="16" t="str">
        <f t="shared" si="16"/>
        <v/>
      </c>
      <c r="K232" s="18" t="str">
        <f>IF(A232="","",IFERROR(SUMIF(Transactions!A$4:A$1003,A232,Transactions!F$4:F$1003),0))</f>
        <v/>
      </c>
      <c r="L232" s="15" t="str">
        <f t="shared" si="17"/>
        <v/>
      </c>
      <c r="M232" s="12" t="str">
        <f t="shared" ca="1" si="18"/>
        <v/>
      </c>
      <c r="N232" s="19" t="str">
        <f t="shared" ca="1" si="19"/>
        <v/>
      </c>
    </row>
    <row r="233" spans="1:14" ht="15.75" customHeight="1" x14ac:dyDescent="0.25">
      <c r="A233" s="11"/>
      <c r="B233" s="11"/>
      <c r="C233" s="11"/>
      <c r="D233" s="11"/>
      <c r="E233" s="11"/>
      <c r="F233" s="17" t="str">
        <f>IF(E233=0,"",IFERROR(E233*Config!B18,0))</f>
        <v/>
      </c>
      <c r="G233" s="13" t="str">
        <f t="shared" si="15"/>
        <v/>
      </c>
      <c r="H233" s="11"/>
      <c r="I233" s="11"/>
      <c r="J233" s="16" t="str">
        <f t="shared" si="16"/>
        <v/>
      </c>
      <c r="K233" s="18" t="str">
        <f>IF(A233="","",IFERROR(SUMIF(Transactions!A$4:A$1003,A233,Transactions!F$4:F$1003),0))</f>
        <v/>
      </c>
      <c r="L233" s="15" t="str">
        <f t="shared" si="17"/>
        <v/>
      </c>
      <c r="M233" s="12" t="str">
        <f t="shared" ca="1" si="18"/>
        <v/>
      </c>
      <c r="N233" s="19" t="str">
        <f t="shared" ca="1" si="19"/>
        <v/>
      </c>
    </row>
    <row r="234" spans="1:14" ht="15.75" customHeight="1" x14ac:dyDescent="0.25">
      <c r="A234" s="11"/>
      <c r="B234" s="11"/>
      <c r="C234" s="11"/>
      <c r="D234" s="11"/>
      <c r="E234" s="11"/>
      <c r="F234" s="17" t="str">
        <f>IF(E234=0,"",IFERROR(E234*Config!B18,0))</f>
        <v/>
      </c>
      <c r="G234" s="13" t="str">
        <f t="shared" si="15"/>
        <v/>
      </c>
      <c r="H234" s="11"/>
      <c r="I234" s="11"/>
      <c r="J234" s="16" t="str">
        <f t="shared" si="16"/>
        <v/>
      </c>
      <c r="K234" s="18" t="str">
        <f>IF(A234="","",IFERROR(SUMIF(Transactions!A$4:A$1003,A234,Transactions!F$4:F$1003),0))</f>
        <v/>
      </c>
      <c r="L234" s="15" t="str">
        <f t="shared" si="17"/>
        <v/>
      </c>
      <c r="M234" s="12" t="str">
        <f t="shared" ca="1" si="18"/>
        <v/>
      </c>
      <c r="N234" s="19" t="str">
        <f t="shared" ca="1" si="19"/>
        <v/>
      </c>
    </row>
    <row r="235" spans="1:14" ht="15.75" customHeight="1" x14ac:dyDescent="0.25">
      <c r="A235" s="11"/>
      <c r="B235" s="11"/>
      <c r="C235" s="11"/>
      <c r="D235" s="11"/>
      <c r="E235" s="11"/>
      <c r="F235" s="17" t="str">
        <f>IF(E235=0,"",IFERROR(E235*Config!B18,0))</f>
        <v/>
      </c>
      <c r="G235" s="13" t="str">
        <f t="shared" si="15"/>
        <v/>
      </c>
      <c r="H235" s="11"/>
      <c r="I235" s="11"/>
      <c r="J235" s="16" t="str">
        <f t="shared" si="16"/>
        <v/>
      </c>
      <c r="K235" s="18" t="str">
        <f>IF(A235="","",IFERROR(SUMIF(Transactions!A$4:A$1003,A235,Transactions!F$4:F$1003),0))</f>
        <v/>
      </c>
      <c r="L235" s="15" t="str">
        <f t="shared" si="17"/>
        <v/>
      </c>
      <c r="M235" s="12" t="str">
        <f t="shared" ca="1" si="18"/>
        <v/>
      </c>
      <c r="N235" s="19" t="str">
        <f t="shared" ca="1" si="19"/>
        <v/>
      </c>
    </row>
    <row r="236" spans="1:14" ht="15.75" customHeight="1" x14ac:dyDescent="0.25">
      <c r="A236" s="11"/>
      <c r="B236" s="11"/>
      <c r="C236" s="11"/>
      <c r="D236" s="11"/>
      <c r="E236" s="11"/>
      <c r="F236" s="17" t="str">
        <f>IF(E236=0,"",IFERROR(E236*Config!B18,0))</f>
        <v/>
      </c>
      <c r="G236" s="13" t="str">
        <f t="shared" si="15"/>
        <v/>
      </c>
      <c r="H236" s="11"/>
      <c r="I236" s="11"/>
      <c r="J236" s="16" t="str">
        <f t="shared" si="16"/>
        <v/>
      </c>
      <c r="K236" s="18" t="str">
        <f>IF(A236="","",IFERROR(SUMIF(Transactions!A$4:A$1003,A236,Transactions!F$4:F$1003),0))</f>
        <v/>
      </c>
      <c r="L236" s="15" t="str">
        <f t="shared" si="17"/>
        <v/>
      </c>
      <c r="M236" s="12" t="str">
        <f t="shared" ca="1" si="18"/>
        <v/>
      </c>
      <c r="N236" s="19" t="str">
        <f t="shared" ca="1" si="19"/>
        <v/>
      </c>
    </row>
    <row r="237" spans="1:14" ht="15.75" customHeight="1" x14ac:dyDescent="0.25">
      <c r="A237" s="11"/>
      <c r="B237" s="11"/>
      <c r="C237" s="11"/>
      <c r="D237" s="11"/>
      <c r="E237" s="11"/>
      <c r="F237" s="17" t="str">
        <f>IF(E237=0,"",IFERROR(E237*Config!B18,0))</f>
        <v/>
      </c>
      <c r="G237" s="13" t="str">
        <f t="shared" si="15"/>
        <v/>
      </c>
      <c r="H237" s="11"/>
      <c r="I237" s="11"/>
      <c r="J237" s="16" t="str">
        <f t="shared" si="16"/>
        <v/>
      </c>
      <c r="K237" s="18" t="str">
        <f>IF(A237="","",IFERROR(SUMIF(Transactions!A$4:A$1003,A237,Transactions!F$4:F$1003),0))</f>
        <v/>
      </c>
      <c r="L237" s="15" t="str">
        <f t="shared" si="17"/>
        <v/>
      </c>
      <c r="M237" s="12" t="str">
        <f t="shared" ca="1" si="18"/>
        <v/>
      </c>
      <c r="N237" s="19" t="str">
        <f t="shared" ca="1" si="19"/>
        <v/>
      </c>
    </row>
    <row r="238" spans="1:14" ht="15.75" customHeight="1" x14ac:dyDescent="0.25">
      <c r="A238" s="11"/>
      <c r="B238" s="11"/>
      <c r="C238" s="11"/>
      <c r="D238" s="11"/>
      <c r="E238" s="11"/>
      <c r="F238" s="17" t="str">
        <f>IF(E238=0,"",IFERROR(E238*Config!B18,0))</f>
        <v/>
      </c>
      <c r="G238" s="13" t="str">
        <f t="shared" si="15"/>
        <v/>
      </c>
      <c r="H238" s="11"/>
      <c r="I238" s="11"/>
      <c r="J238" s="16" t="str">
        <f t="shared" si="16"/>
        <v/>
      </c>
      <c r="K238" s="18" t="str">
        <f>IF(A238="","",IFERROR(SUMIF(Transactions!A$4:A$1003,A238,Transactions!F$4:F$1003),0))</f>
        <v/>
      </c>
      <c r="L238" s="15" t="str">
        <f t="shared" si="17"/>
        <v/>
      </c>
      <c r="M238" s="12" t="str">
        <f t="shared" ca="1" si="18"/>
        <v/>
      </c>
      <c r="N238" s="19" t="str">
        <f t="shared" ca="1" si="19"/>
        <v/>
      </c>
    </row>
    <row r="239" spans="1:14" ht="15.75" customHeight="1" x14ac:dyDescent="0.25">
      <c r="A239" s="11"/>
      <c r="B239" s="11"/>
      <c r="C239" s="11"/>
      <c r="D239" s="11"/>
      <c r="E239" s="11"/>
      <c r="F239" s="17" t="str">
        <f>IF(E239=0,"",IFERROR(E239*Config!B18,0))</f>
        <v/>
      </c>
      <c r="G239" s="13" t="str">
        <f t="shared" si="15"/>
        <v/>
      </c>
      <c r="H239" s="11"/>
      <c r="I239" s="11"/>
      <c r="J239" s="16" t="str">
        <f t="shared" si="16"/>
        <v/>
      </c>
      <c r="K239" s="18" t="str">
        <f>IF(A239="","",IFERROR(SUMIF(Transactions!A$4:A$1003,A239,Transactions!F$4:F$1003),0))</f>
        <v/>
      </c>
      <c r="L239" s="15" t="str">
        <f t="shared" si="17"/>
        <v/>
      </c>
      <c r="M239" s="12" t="str">
        <f t="shared" ca="1" si="18"/>
        <v/>
      </c>
      <c r="N239" s="19" t="str">
        <f t="shared" ca="1" si="19"/>
        <v/>
      </c>
    </row>
    <row r="240" spans="1:14" ht="15.75" customHeight="1" x14ac:dyDescent="0.25">
      <c r="A240" s="11"/>
      <c r="B240" s="11"/>
      <c r="C240" s="11"/>
      <c r="D240" s="11"/>
      <c r="E240" s="11"/>
      <c r="F240" s="17" t="str">
        <f>IF(E240=0,"",IFERROR(E240*Config!B18,0))</f>
        <v/>
      </c>
      <c r="G240" s="13" t="str">
        <f t="shared" si="15"/>
        <v/>
      </c>
      <c r="H240" s="11"/>
      <c r="I240" s="11"/>
      <c r="J240" s="16" t="str">
        <f t="shared" si="16"/>
        <v/>
      </c>
      <c r="K240" s="18" t="str">
        <f>IF(A240="","",IFERROR(SUMIF(Transactions!A$4:A$1003,A240,Transactions!F$4:F$1003),0))</f>
        <v/>
      </c>
      <c r="L240" s="15" t="str">
        <f t="shared" si="17"/>
        <v/>
      </c>
      <c r="M240" s="12" t="str">
        <f t="shared" ca="1" si="18"/>
        <v/>
      </c>
      <c r="N240" s="19" t="str">
        <f t="shared" ca="1" si="19"/>
        <v/>
      </c>
    </row>
    <row r="241" spans="1:14" ht="15.75" customHeight="1" x14ac:dyDescent="0.25">
      <c r="A241" s="11"/>
      <c r="B241" s="11"/>
      <c r="C241" s="11"/>
      <c r="D241" s="11"/>
      <c r="E241" s="11"/>
      <c r="F241" s="17" t="str">
        <f>IF(E241=0,"",IFERROR(E241*Config!B18,0))</f>
        <v/>
      </c>
      <c r="G241" s="13" t="str">
        <f t="shared" si="15"/>
        <v/>
      </c>
      <c r="H241" s="11"/>
      <c r="I241" s="11"/>
      <c r="J241" s="16" t="str">
        <f t="shared" si="16"/>
        <v/>
      </c>
      <c r="K241" s="18" t="str">
        <f>IF(A241="","",IFERROR(SUMIF(Transactions!A$4:A$1003,A241,Transactions!F$4:F$1003),0))</f>
        <v/>
      </c>
      <c r="L241" s="15" t="str">
        <f t="shared" si="17"/>
        <v/>
      </c>
      <c r="M241" s="12" t="str">
        <f t="shared" ca="1" si="18"/>
        <v/>
      </c>
      <c r="N241" s="19" t="str">
        <f t="shared" ca="1" si="19"/>
        <v/>
      </c>
    </row>
    <row r="242" spans="1:14" ht="15.75" customHeight="1" x14ac:dyDescent="0.25">
      <c r="A242" s="11"/>
      <c r="B242" s="11"/>
      <c r="C242" s="11"/>
      <c r="D242" s="11"/>
      <c r="E242" s="11"/>
      <c r="F242" s="17" t="str">
        <f>IF(E242=0,"",IFERROR(E242*Config!B18,0))</f>
        <v/>
      </c>
      <c r="G242" s="13" t="str">
        <f t="shared" si="15"/>
        <v/>
      </c>
      <c r="H242" s="11"/>
      <c r="I242" s="11"/>
      <c r="J242" s="16" t="str">
        <f t="shared" si="16"/>
        <v/>
      </c>
      <c r="K242" s="18" t="str">
        <f>IF(A242="","",IFERROR(SUMIF(Transactions!A$4:A$1003,A242,Transactions!F$4:F$1003),0))</f>
        <v/>
      </c>
      <c r="L242" s="15" t="str">
        <f t="shared" si="17"/>
        <v/>
      </c>
      <c r="M242" s="12" t="str">
        <f t="shared" ca="1" si="18"/>
        <v/>
      </c>
      <c r="N242" s="19" t="str">
        <f t="shared" ca="1" si="19"/>
        <v/>
      </c>
    </row>
    <row r="243" spans="1:14" ht="15.75" customHeight="1" x14ac:dyDescent="0.25">
      <c r="A243" s="11"/>
      <c r="B243" s="11"/>
      <c r="C243" s="11"/>
      <c r="D243" s="11"/>
      <c r="E243" s="11"/>
      <c r="F243" s="17" t="str">
        <f>IF(E243=0,"",IFERROR(E243*Config!B18,0))</f>
        <v/>
      </c>
      <c r="G243" s="13" t="str">
        <f t="shared" si="15"/>
        <v/>
      </c>
      <c r="H243" s="11"/>
      <c r="I243" s="11"/>
      <c r="J243" s="16" t="str">
        <f t="shared" si="16"/>
        <v/>
      </c>
      <c r="K243" s="18" t="str">
        <f>IF(A243="","",IFERROR(SUMIF(Transactions!A$4:A$1003,A243,Transactions!F$4:F$1003),0))</f>
        <v/>
      </c>
      <c r="L243" s="15" t="str">
        <f t="shared" si="17"/>
        <v/>
      </c>
      <c r="M243" s="12" t="str">
        <f t="shared" ca="1" si="18"/>
        <v/>
      </c>
      <c r="N243" s="19" t="str">
        <f t="shared" ca="1" si="19"/>
        <v/>
      </c>
    </row>
    <row r="244" spans="1:14" ht="15.75" customHeight="1" x14ac:dyDescent="0.25">
      <c r="A244" s="11"/>
      <c r="B244" s="11"/>
      <c r="C244" s="11"/>
      <c r="D244" s="11"/>
      <c r="E244" s="11"/>
      <c r="F244" s="17" t="str">
        <f>IF(E244=0,"",IFERROR(E244*Config!B18,0))</f>
        <v/>
      </c>
      <c r="G244" s="13" t="str">
        <f t="shared" si="15"/>
        <v/>
      </c>
      <c r="H244" s="11"/>
      <c r="I244" s="11"/>
      <c r="J244" s="16" t="str">
        <f t="shared" si="16"/>
        <v/>
      </c>
      <c r="K244" s="18" t="str">
        <f>IF(A244="","",IFERROR(SUMIF(Transactions!A$4:A$1003,A244,Transactions!F$4:F$1003),0))</f>
        <v/>
      </c>
      <c r="L244" s="15" t="str">
        <f t="shared" si="17"/>
        <v/>
      </c>
      <c r="M244" s="12" t="str">
        <f t="shared" ca="1" si="18"/>
        <v/>
      </c>
      <c r="N244" s="19" t="str">
        <f t="shared" ca="1" si="19"/>
        <v/>
      </c>
    </row>
    <row r="245" spans="1:14" ht="15.75" customHeight="1" x14ac:dyDescent="0.25">
      <c r="A245" s="11"/>
      <c r="B245" s="11"/>
      <c r="C245" s="11"/>
      <c r="D245" s="11"/>
      <c r="E245" s="11"/>
      <c r="F245" s="17" t="str">
        <f>IF(E245=0,"",IFERROR(E245*Config!B18,0))</f>
        <v/>
      </c>
      <c r="G245" s="13" t="str">
        <f t="shared" si="15"/>
        <v/>
      </c>
      <c r="H245" s="11"/>
      <c r="I245" s="11"/>
      <c r="J245" s="16" t="str">
        <f t="shared" si="16"/>
        <v/>
      </c>
      <c r="K245" s="18" t="str">
        <f>IF(A245="","",IFERROR(SUMIF(Transactions!A$4:A$1003,A245,Transactions!F$4:F$1003),0))</f>
        <v/>
      </c>
      <c r="L245" s="15" t="str">
        <f t="shared" si="17"/>
        <v/>
      </c>
      <c r="M245" s="12" t="str">
        <f t="shared" ca="1" si="18"/>
        <v/>
      </c>
      <c r="N245" s="19" t="str">
        <f t="shared" ca="1" si="19"/>
        <v/>
      </c>
    </row>
    <row r="246" spans="1:14" ht="15.75" customHeight="1" x14ac:dyDescent="0.25">
      <c r="A246" s="11"/>
      <c r="B246" s="11"/>
      <c r="C246" s="11"/>
      <c r="D246" s="11"/>
      <c r="E246" s="11"/>
      <c r="F246" s="17" t="str">
        <f>IF(E246=0,"",IFERROR(E246*Config!B18,0))</f>
        <v/>
      </c>
      <c r="G246" s="13" t="str">
        <f t="shared" si="15"/>
        <v/>
      </c>
      <c r="H246" s="11"/>
      <c r="I246" s="11"/>
      <c r="J246" s="16" t="str">
        <f t="shared" si="16"/>
        <v/>
      </c>
      <c r="K246" s="18" t="str">
        <f>IF(A246="","",IFERROR(SUMIF(Transactions!A$4:A$1003,A246,Transactions!F$4:F$1003),0))</f>
        <v/>
      </c>
      <c r="L246" s="15" t="str">
        <f t="shared" si="17"/>
        <v/>
      </c>
      <c r="M246" s="12" t="str">
        <f t="shared" ca="1" si="18"/>
        <v/>
      </c>
      <c r="N246" s="19" t="str">
        <f t="shared" ca="1" si="19"/>
        <v/>
      </c>
    </row>
    <row r="247" spans="1:14" ht="15.75" customHeight="1" x14ac:dyDescent="0.25">
      <c r="A247" s="11"/>
      <c r="B247" s="11"/>
      <c r="C247" s="11"/>
      <c r="D247" s="11"/>
      <c r="E247" s="11"/>
      <c r="F247" s="17" t="str">
        <f>IF(E247=0,"",IFERROR(E247*Config!B18,0))</f>
        <v/>
      </c>
      <c r="G247" s="13" t="str">
        <f t="shared" si="15"/>
        <v/>
      </c>
      <c r="H247" s="11"/>
      <c r="I247" s="11"/>
      <c r="J247" s="16" t="str">
        <f t="shared" si="16"/>
        <v/>
      </c>
      <c r="K247" s="18" t="str">
        <f>IF(A247="","",IFERROR(SUMIF(Transactions!A$4:A$1003,A247,Transactions!F$4:F$1003),0))</f>
        <v/>
      </c>
      <c r="L247" s="15" t="str">
        <f t="shared" si="17"/>
        <v/>
      </c>
      <c r="M247" s="12" t="str">
        <f t="shared" ca="1" si="18"/>
        <v/>
      </c>
      <c r="N247" s="19" t="str">
        <f t="shared" ca="1" si="19"/>
        <v/>
      </c>
    </row>
    <row r="248" spans="1:14" ht="15.75" customHeight="1" x14ac:dyDescent="0.25">
      <c r="A248" s="11"/>
      <c r="B248" s="11"/>
      <c r="C248" s="11"/>
      <c r="D248" s="11"/>
      <c r="E248" s="11"/>
      <c r="F248" s="17" t="str">
        <f>IF(E248=0,"",IFERROR(E248*Config!B18,0))</f>
        <v/>
      </c>
      <c r="G248" s="13" t="str">
        <f t="shared" si="15"/>
        <v/>
      </c>
      <c r="H248" s="11"/>
      <c r="I248" s="11"/>
      <c r="J248" s="16" t="str">
        <f t="shared" si="16"/>
        <v/>
      </c>
      <c r="K248" s="18" t="str">
        <f>IF(A248="","",IFERROR(SUMIF(Transactions!A$4:A$1003,A248,Transactions!F$4:F$1003),0))</f>
        <v/>
      </c>
      <c r="L248" s="15" t="str">
        <f t="shared" si="17"/>
        <v/>
      </c>
      <c r="M248" s="12" t="str">
        <f t="shared" ca="1" si="18"/>
        <v/>
      </c>
      <c r="N248" s="19" t="str">
        <f t="shared" ca="1" si="19"/>
        <v/>
      </c>
    </row>
    <row r="249" spans="1:14" ht="15.75" customHeight="1" x14ac:dyDescent="0.25">
      <c r="A249" s="11"/>
      <c r="B249" s="11"/>
      <c r="C249" s="11"/>
      <c r="D249" s="11"/>
      <c r="E249" s="11"/>
      <c r="F249" s="17" t="str">
        <f>IF(E249=0,"",IFERROR(E249*Config!B18,0))</f>
        <v/>
      </c>
      <c r="G249" s="13" t="str">
        <f t="shared" si="15"/>
        <v/>
      </c>
      <c r="H249" s="11"/>
      <c r="I249" s="11"/>
      <c r="J249" s="16" t="str">
        <f t="shared" si="16"/>
        <v/>
      </c>
      <c r="K249" s="18" t="str">
        <f>IF(A249="","",IFERROR(SUMIF(Transactions!A$4:A$1003,A249,Transactions!F$4:F$1003),0))</f>
        <v/>
      </c>
      <c r="L249" s="15" t="str">
        <f t="shared" si="17"/>
        <v/>
      </c>
      <c r="M249" s="12" t="str">
        <f t="shared" ca="1" si="18"/>
        <v/>
      </c>
      <c r="N249" s="19" t="str">
        <f t="shared" ca="1" si="19"/>
        <v/>
      </c>
    </row>
    <row r="250" spans="1:14" ht="15.75" customHeight="1" x14ac:dyDescent="0.25">
      <c r="A250" s="11"/>
      <c r="B250" s="11"/>
      <c r="C250" s="11"/>
      <c r="D250" s="11"/>
      <c r="E250" s="11"/>
      <c r="F250" s="17" t="str">
        <f>IF(E250=0,"",IFERROR(E250*Config!B18,0))</f>
        <v/>
      </c>
      <c r="G250" s="13" t="str">
        <f t="shared" si="15"/>
        <v/>
      </c>
      <c r="H250" s="11"/>
      <c r="I250" s="11"/>
      <c r="J250" s="16" t="str">
        <f t="shared" si="16"/>
        <v/>
      </c>
      <c r="K250" s="18" t="str">
        <f>IF(A250="","",IFERROR(SUMIF(Transactions!A$4:A$1003,A250,Transactions!F$4:F$1003),0))</f>
        <v/>
      </c>
      <c r="L250" s="15" t="str">
        <f t="shared" si="17"/>
        <v/>
      </c>
      <c r="M250" s="12" t="str">
        <f t="shared" ca="1" si="18"/>
        <v/>
      </c>
      <c r="N250" s="19" t="str">
        <f t="shared" ca="1" si="19"/>
        <v/>
      </c>
    </row>
    <row r="251" spans="1:14" ht="15.75" customHeight="1" x14ac:dyDescent="0.25">
      <c r="A251" s="11"/>
      <c r="B251" s="11"/>
      <c r="C251" s="11"/>
      <c r="D251" s="11"/>
      <c r="E251" s="11"/>
      <c r="F251" s="17" t="str">
        <f>IF(E251=0,"",IFERROR(E251*Config!B18,0))</f>
        <v/>
      </c>
      <c r="G251" s="13" t="str">
        <f t="shared" si="15"/>
        <v/>
      </c>
      <c r="H251" s="11"/>
      <c r="I251" s="11"/>
      <c r="J251" s="16" t="str">
        <f t="shared" si="16"/>
        <v/>
      </c>
      <c r="K251" s="18" t="str">
        <f>IF(A251="","",IFERROR(SUMIF(Transactions!A$4:A$1003,A251,Transactions!F$4:F$1003),0))</f>
        <v/>
      </c>
      <c r="L251" s="15" t="str">
        <f t="shared" si="17"/>
        <v/>
      </c>
      <c r="M251" s="12" t="str">
        <f t="shared" ca="1" si="18"/>
        <v/>
      </c>
      <c r="N251" s="19" t="str">
        <f t="shared" ca="1" si="19"/>
        <v/>
      </c>
    </row>
    <row r="252" spans="1:14" ht="15.75" customHeight="1" x14ac:dyDescent="0.25">
      <c r="A252" s="11"/>
      <c r="B252" s="11"/>
      <c r="C252" s="11"/>
      <c r="D252" s="11"/>
      <c r="E252" s="11"/>
      <c r="F252" s="17" t="str">
        <f>IF(E252=0,"",IFERROR(E252*Config!B18,0))</f>
        <v/>
      </c>
      <c r="G252" s="13" t="str">
        <f t="shared" si="15"/>
        <v/>
      </c>
      <c r="H252" s="11"/>
      <c r="I252" s="11"/>
      <c r="J252" s="16" t="str">
        <f t="shared" si="16"/>
        <v/>
      </c>
      <c r="K252" s="18" t="str">
        <f>IF(A252="","",IFERROR(SUMIF(Transactions!A$4:A$1003,A252,Transactions!F$4:F$1003),0))</f>
        <v/>
      </c>
      <c r="L252" s="15" t="str">
        <f t="shared" si="17"/>
        <v/>
      </c>
      <c r="M252" s="12" t="str">
        <f t="shared" ca="1" si="18"/>
        <v/>
      </c>
      <c r="N252" s="19" t="str">
        <f t="shared" ca="1" si="19"/>
        <v/>
      </c>
    </row>
    <row r="253" spans="1:14" ht="15.75" customHeight="1" x14ac:dyDescent="0.25">
      <c r="A253" s="11"/>
      <c r="B253" s="11"/>
      <c r="C253" s="11"/>
      <c r="D253" s="11"/>
      <c r="E253" s="11"/>
      <c r="F253" s="17" t="str">
        <f>IF(E253=0,"",IFERROR(E253*Config!B18,0))</f>
        <v/>
      </c>
      <c r="G253" s="13" t="str">
        <f t="shared" si="15"/>
        <v/>
      </c>
      <c r="H253" s="11"/>
      <c r="I253" s="11"/>
      <c r="J253" s="16" t="str">
        <f t="shared" si="16"/>
        <v/>
      </c>
      <c r="K253" s="18" t="str">
        <f>IF(A253="","",IFERROR(SUMIF(Transactions!A$4:A$1003,A253,Transactions!F$4:F$1003),0))</f>
        <v/>
      </c>
      <c r="L253" s="15" t="str">
        <f t="shared" si="17"/>
        <v/>
      </c>
      <c r="M253" s="12" t="str">
        <f t="shared" ca="1" si="18"/>
        <v/>
      </c>
      <c r="N253" s="19" t="str">
        <f t="shared" ca="1" si="19"/>
        <v/>
      </c>
    </row>
    <row r="254" spans="1:14" ht="15.75" customHeight="1" x14ac:dyDescent="0.25">
      <c r="A254" s="11"/>
      <c r="B254" s="11"/>
      <c r="C254" s="11"/>
      <c r="D254" s="11"/>
      <c r="E254" s="11"/>
      <c r="F254" s="17" t="str">
        <f>IF(E254=0,"",IFERROR(E254*Config!B18,0))</f>
        <v/>
      </c>
      <c r="G254" s="13" t="str">
        <f t="shared" si="15"/>
        <v/>
      </c>
      <c r="H254" s="11"/>
      <c r="I254" s="11"/>
      <c r="J254" s="16" t="str">
        <f t="shared" si="16"/>
        <v/>
      </c>
      <c r="K254" s="18" t="str">
        <f>IF(A254="","",IFERROR(SUMIF(Transactions!A$4:A$1003,A254,Transactions!F$4:F$1003),0))</f>
        <v/>
      </c>
      <c r="L254" s="15" t="str">
        <f t="shared" si="17"/>
        <v/>
      </c>
      <c r="M254" s="12" t="str">
        <f t="shared" ca="1" si="18"/>
        <v/>
      </c>
      <c r="N254" s="19" t="str">
        <f t="shared" ca="1" si="19"/>
        <v/>
      </c>
    </row>
    <row r="255" spans="1:14" ht="15.75" customHeight="1" x14ac:dyDescent="0.25">
      <c r="A255" s="11"/>
      <c r="B255" s="11"/>
      <c r="C255" s="11"/>
      <c r="D255" s="11"/>
      <c r="E255" s="11"/>
      <c r="F255" s="17" t="str">
        <f>IF(E255=0,"",IFERROR(E255*Config!B18,0))</f>
        <v/>
      </c>
      <c r="G255" s="13" t="str">
        <f t="shared" si="15"/>
        <v/>
      </c>
      <c r="H255" s="11"/>
      <c r="I255" s="11"/>
      <c r="J255" s="16" t="str">
        <f t="shared" si="16"/>
        <v/>
      </c>
      <c r="K255" s="18" t="str">
        <f>IF(A255="","",IFERROR(SUMIF(Transactions!A$4:A$1003,A255,Transactions!F$4:F$1003),0))</f>
        <v/>
      </c>
      <c r="L255" s="15" t="str">
        <f t="shared" si="17"/>
        <v/>
      </c>
      <c r="M255" s="12" t="str">
        <f t="shared" ca="1" si="18"/>
        <v/>
      </c>
      <c r="N255" s="19" t="str">
        <f t="shared" ca="1" si="19"/>
        <v/>
      </c>
    </row>
    <row r="256" spans="1:14" ht="15.75" customHeight="1" x14ac:dyDescent="0.25">
      <c r="A256" s="11"/>
      <c r="B256" s="11"/>
      <c r="C256" s="11"/>
      <c r="D256" s="11"/>
      <c r="E256" s="11"/>
      <c r="F256" s="17" t="str">
        <f>IF(E256=0,"",IFERROR(E256*Config!B18,0))</f>
        <v/>
      </c>
      <c r="G256" s="13" t="str">
        <f t="shared" si="15"/>
        <v/>
      </c>
      <c r="H256" s="11"/>
      <c r="I256" s="11"/>
      <c r="J256" s="16" t="str">
        <f t="shared" si="16"/>
        <v/>
      </c>
      <c r="K256" s="18" t="str">
        <f>IF(A256="","",IFERROR(SUMIF(Transactions!A$4:A$1003,A256,Transactions!F$4:F$1003),0))</f>
        <v/>
      </c>
      <c r="L256" s="15" t="str">
        <f t="shared" si="17"/>
        <v/>
      </c>
      <c r="M256" s="12" t="str">
        <f t="shared" ca="1" si="18"/>
        <v/>
      </c>
      <c r="N256" s="19" t="str">
        <f t="shared" ca="1" si="19"/>
        <v/>
      </c>
    </row>
    <row r="257" spans="1:14" ht="15.75" customHeight="1" x14ac:dyDescent="0.25">
      <c r="A257" s="11"/>
      <c r="B257" s="11"/>
      <c r="C257" s="11"/>
      <c r="D257" s="11"/>
      <c r="E257" s="11"/>
      <c r="F257" s="17" t="str">
        <f>IF(E257=0,"",IFERROR(E257*Config!B18,0))</f>
        <v/>
      </c>
      <c r="G257" s="13" t="str">
        <f t="shared" si="15"/>
        <v/>
      </c>
      <c r="H257" s="11"/>
      <c r="I257" s="11"/>
      <c r="J257" s="16" t="str">
        <f t="shared" si="16"/>
        <v/>
      </c>
      <c r="K257" s="18" t="str">
        <f>IF(A257="","",IFERROR(SUMIF(Transactions!A$4:A$1003,A257,Transactions!F$4:F$1003),0))</f>
        <v/>
      </c>
      <c r="L257" s="15" t="str">
        <f t="shared" si="17"/>
        <v/>
      </c>
      <c r="M257" s="12" t="str">
        <f t="shared" ca="1" si="18"/>
        <v/>
      </c>
      <c r="N257" s="19" t="str">
        <f t="shared" ca="1" si="19"/>
        <v/>
      </c>
    </row>
    <row r="258" spans="1:14" ht="15.75" customHeight="1" x14ac:dyDescent="0.25">
      <c r="A258" s="11"/>
      <c r="B258" s="11"/>
      <c r="C258" s="11"/>
      <c r="D258" s="11"/>
      <c r="E258" s="11"/>
      <c r="F258" s="17" t="str">
        <f>IF(E258=0,"",IFERROR(E258*Config!B18,0))</f>
        <v/>
      </c>
      <c r="G258" s="13" t="str">
        <f t="shared" si="15"/>
        <v/>
      </c>
      <c r="H258" s="11"/>
      <c r="I258" s="11"/>
      <c r="J258" s="16" t="str">
        <f t="shared" si="16"/>
        <v/>
      </c>
      <c r="K258" s="18" t="str">
        <f>IF(A258="","",IFERROR(SUMIF(Transactions!A$4:A$1003,A258,Transactions!F$4:F$1003),0))</f>
        <v/>
      </c>
      <c r="L258" s="15" t="str">
        <f t="shared" si="17"/>
        <v/>
      </c>
      <c r="M258" s="12" t="str">
        <f t="shared" ca="1" si="18"/>
        <v/>
      </c>
      <c r="N258" s="19" t="str">
        <f t="shared" ca="1" si="19"/>
        <v/>
      </c>
    </row>
    <row r="259" spans="1:14" ht="15.75" customHeight="1" x14ac:dyDescent="0.25">
      <c r="A259" s="11"/>
      <c r="B259" s="11"/>
      <c r="C259" s="11"/>
      <c r="D259" s="11"/>
      <c r="E259" s="11"/>
      <c r="F259" s="17" t="str">
        <f>IF(E259=0,"",IFERROR(E259*Config!B18,0))</f>
        <v/>
      </c>
      <c r="G259" s="13" t="str">
        <f t="shared" si="15"/>
        <v/>
      </c>
      <c r="H259" s="11"/>
      <c r="I259" s="11"/>
      <c r="J259" s="16" t="str">
        <f t="shared" si="16"/>
        <v/>
      </c>
      <c r="K259" s="18" t="str">
        <f>IF(A259="","",IFERROR(SUMIF(Transactions!A$4:A$1003,A259,Transactions!F$4:F$1003),0))</f>
        <v/>
      </c>
      <c r="L259" s="15" t="str">
        <f t="shared" si="17"/>
        <v/>
      </c>
      <c r="M259" s="12" t="str">
        <f t="shared" ca="1" si="18"/>
        <v/>
      </c>
      <c r="N259" s="19" t="str">
        <f t="shared" ca="1" si="19"/>
        <v/>
      </c>
    </row>
    <row r="260" spans="1:14" ht="15.75" customHeight="1" x14ac:dyDescent="0.25">
      <c r="A260" s="11"/>
      <c r="B260" s="11"/>
      <c r="C260" s="11"/>
      <c r="D260" s="11"/>
      <c r="E260" s="11"/>
      <c r="F260" s="17" t="str">
        <f>IF(E260=0,"",IFERROR(E260*Config!B18,0))</f>
        <v/>
      </c>
      <c r="G260" s="13" t="str">
        <f t="shared" ref="G260:G323" si="20">IF(E260=0,"",MAX(0,E260-F260))</f>
        <v/>
      </c>
      <c r="H260" s="11"/>
      <c r="I260" s="11"/>
      <c r="J260" s="16" t="str">
        <f t="shared" ref="J260:J323" si="21">IF(E260=0,"",IFERROR(-PMT(H260/100/12,I260,-E260),0))</f>
        <v/>
      </c>
      <c r="K260" s="18" t="str">
        <f>IF(A260="","",IFERROR(SUMIF(Transactions!A$4:A$1003,A260,Transactions!F$4:F$1003),0))</f>
        <v/>
      </c>
      <c r="L260" s="15" t="str">
        <f t="shared" ref="L260:L323" si="22">IF(E260=0,"",MAX(0,E260-K260))</f>
        <v/>
      </c>
      <c r="M260" s="12" t="str">
        <f t="shared" ref="M260:M323" ca="1" si="23">IF(A260="","",IF(L260&lt;=0,"✅ Fully Paid",IF(AND(D260&lt;&gt;"",TODAY()&gt;D260+I260*30),"⚠ Overdue","🟢 Active")))</f>
        <v/>
      </c>
      <c r="N260" s="19" t="str">
        <f t="shared" ref="N260:N323" ca="1" si="24">IF(L260&lt;=0,TODAY(),"")</f>
        <v/>
      </c>
    </row>
    <row r="261" spans="1:14" ht="15.75" customHeight="1" x14ac:dyDescent="0.25">
      <c r="A261" s="11"/>
      <c r="B261" s="11"/>
      <c r="C261" s="11"/>
      <c r="D261" s="11"/>
      <c r="E261" s="11"/>
      <c r="F261" s="17" t="str">
        <f>IF(E261=0,"",IFERROR(E261*Config!B18,0))</f>
        <v/>
      </c>
      <c r="G261" s="13" t="str">
        <f t="shared" si="20"/>
        <v/>
      </c>
      <c r="H261" s="11"/>
      <c r="I261" s="11"/>
      <c r="J261" s="16" t="str">
        <f t="shared" si="21"/>
        <v/>
      </c>
      <c r="K261" s="18" t="str">
        <f>IF(A261="","",IFERROR(SUMIF(Transactions!A$4:A$1003,A261,Transactions!F$4:F$1003),0))</f>
        <v/>
      </c>
      <c r="L261" s="15" t="str">
        <f t="shared" si="22"/>
        <v/>
      </c>
      <c r="M261" s="12" t="str">
        <f t="shared" ca="1" si="23"/>
        <v/>
      </c>
      <c r="N261" s="19" t="str">
        <f t="shared" ca="1" si="24"/>
        <v/>
      </c>
    </row>
    <row r="262" spans="1:14" ht="15.75" customHeight="1" x14ac:dyDescent="0.25">
      <c r="A262" s="11"/>
      <c r="B262" s="11"/>
      <c r="C262" s="11"/>
      <c r="D262" s="11"/>
      <c r="E262" s="11"/>
      <c r="F262" s="17" t="str">
        <f>IF(E262=0,"",IFERROR(E262*Config!B18,0))</f>
        <v/>
      </c>
      <c r="G262" s="13" t="str">
        <f t="shared" si="20"/>
        <v/>
      </c>
      <c r="H262" s="11"/>
      <c r="I262" s="11"/>
      <c r="J262" s="16" t="str">
        <f t="shared" si="21"/>
        <v/>
      </c>
      <c r="K262" s="18" t="str">
        <f>IF(A262="","",IFERROR(SUMIF(Transactions!A$4:A$1003,A262,Transactions!F$4:F$1003),0))</f>
        <v/>
      </c>
      <c r="L262" s="15" t="str">
        <f t="shared" si="22"/>
        <v/>
      </c>
      <c r="M262" s="12" t="str">
        <f t="shared" ca="1" si="23"/>
        <v/>
      </c>
      <c r="N262" s="19" t="str">
        <f t="shared" ca="1" si="24"/>
        <v/>
      </c>
    </row>
    <row r="263" spans="1:14" ht="15.75" customHeight="1" x14ac:dyDescent="0.25">
      <c r="A263" s="11"/>
      <c r="B263" s="11"/>
      <c r="C263" s="11"/>
      <c r="D263" s="11"/>
      <c r="E263" s="11"/>
      <c r="F263" s="17" t="str">
        <f>IF(E263=0,"",IFERROR(E263*Config!B18,0))</f>
        <v/>
      </c>
      <c r="G263" s="13" t="str">
        <f t="shared" si="20"/>
        <v/>
      </c>
      <c r="H263" s="11"/>
      <c r="I263" s="11"/>
      <c r="J263" s="16" t="str">
        <f t="shared" si="21"/>
        <v/>
      </c>
      <c r="K263" s="18" t="str">
        <f>IF(A263="","",IFERROR(SUMIF(Transactions!A$4:A$1003,A263,Transactions!F$4:F$1003),0))</f>
        <v/>
      </c>
      <c r="L263" s="15" t="str">
        <f t="shared" si="22"/>
        <v/>
      </c>
      <c r="M263" s="12" t="str">
        <f t="shared" ca="1" si="23"/>
        <v/>
      </c>
      <c r="N263" s="19" t="str">
        <f t="shared" ca="1" si="24"/>
        <v/>
      </c>
    </row>
    <row r="264" spans="1:14" ht="15.75" customHeight="1" x14ac:dyDescent="0.25">
      <c r="A264" s="11"/>
      <c r="B264" s="11"/>
      <c r="C264" s="11"/>
      <c r="D264" s="11"/>
      <c r="E264" s="11"/>
      <c r="F264" s="17" t="str">
        <f>IF(E264=0,"",IFERROR(E264*Config!B18,0))</f>
        <v/>
      </c>
      <c r="G264" s="13" t="str">
        <f t="shared" si="20"/>
        <v/>
      </c>
      <c r="H264" s="11"/>
      <c r="I264" s="11"/>
      <c r="J264" s="16" t="str">
        <f t="shared" si="21"/>
        <v/>
      </c>
      <c r="K264" s="18" t="str">
        <f>IF(A264="","",IFERROR(SUMIF(Transactions!A$4:A$1003,A264,Transactions!F$4:F$1003),0))</f>
        <v/>
      </c>
      <c r="L264" s="15" t="str">
        <f t="shared" si="22"/>
        <v/>
      </c>
      <c r="M264" s="12" t="str">
        <f t="shared" ca="1" si="23"/>
        <v/>
      </c>
      <c r="N264" s="19" t="str">
        <f t="shared" ca="1" si="24"/>
        <v/>
      </c>
    </row>
    <row r="265" spans="1:14" ht="15.75" customHeight="1" x14ac:dyDescent="0.25">
      <c r="A265" s="11"/>
      <c r="B265" s="11"/>
      <c r="C265" s="11"/>
      <c r="D265" s="11"/>
      <c r="E265" s="11"/>
      <c r="F265" s="17" t="str">
        <f>IF(E265=0,"",IFERROR(E265*Config!B18,0))</f>
        <v/>
      </c>
      <c r="G265" s="13" t="str">
        <f t="shared" si="20"/>
        <v/>
      </c>
      <c r="H265" s="11"/>
      <c r="I265" s="11"/>
      <c r="J265" s="16" t="str">
        <f t="shared" si="21"/>
        <v/>
      </c>
      <c r="K265" s="18" t="str">
        <f>IF(A265="","",IFERROR(SUMIF(Transactions!A$4:A$1003,A265,Transactions!F$4:F$1003),0))</f>
        <v/>
      </c>
      <c r="L265" s="15" t="str">
        <f t="shared" si="22"/>
        <v/>
      </c>
      <c r="M265" s="12" t="str">
        <f t="shared" ca="1" si="23"/>
        <v/>
      </c>
      <c r="N265" s="19" t="str">
        <f t="shared" ca="1" si="24"/>
        <v/>
      </c>
    </row>
    <row r="266" spans="1:14" ht="15.75" customHeight="1" x14ac:dyDescent="0.25">
      <c r="A266" s="11"/>
      <c r="B266" s="11"/>
      <c r="C266" s="11"/>
      <c r="D266" s="11"/>
      <c r="E266" s="11"/>
      <c r="F266" s="17" t="str">
        <f>IF(E266=0,"",IFERROR(E266*Config!B18,0))</f>
        <v/>
      </c>
      <c r="G266" s="13" t="str">
        <f t="shared" si="20"/>
        <v/>
      </c>
      <c r="H266" s="11"/>
      <c r="I266" s="11"/>
      <c r="J266" s="16" t="str">
        <f t="shared" si="21"/>
        <v/>
      </c>
      <c r="K266" s="18" t="str">
        <f>IF(A266="","",IFERROR(SUMIF(Transactions!A$4:A$1003,A266,Transactions!F$4:F$1003),0))</f>
        <v/>
      </c>
      <c r="L266" s="15" t="str">
        <f t="shared" si="22"/>
        <v/>
      </c>
      <c r="M266" s="12" t="str">
        <f t="shared" ca="1" si="23"/>
        <v/>
      </c>
      <c r="N266" s="19" t="str">
        <f t="shared" ca="1" si="24"/>
        <v/>
      </c>
    </row>
    <row r="267" spans="1:14" ht="15.75" customHeight="1" x14ac:dyDescent="0.25">
      <c r="A267" s="11"/>
      <c r="B267" s="11"/>
      <c r="C267" s="11"/>
      <c r="D267" s="11"/>
      <c r="E267" s="11"/>
      <c r="F267" s="17" t="str">
        <f>IF(E267=0,"",IFERROR(E267*Config!B18,0))</f>
        <v/>
      </c>
      <c r="G267" s="13" t="str">
        <f t="shared" si="20"/>
        <v/>
      </c>
      <c r="H267" s="11"/>
      <c r="I267" s="11"/>
      <c r="J267" s="16" t="str">
        <f t="shared" si="21"/>
        <v/>
      </c>
      <c r="K267" s="18" t="str">
        <f>IF(A267="","",IFERROR(SUMIF(Transactions!A$4:A$1003,A267,Transactions!F$4:F$1003),0))</f>
        <v/>
      </c>
      <c r="L267" s="15" t="str">
        <f t="shared" si="22"/>
        <v/>
      </c>
      <c r="M267" s="12" t="str">
        <f t="shared" ca="1" si="23"/>
        <v/>
      </c>
      <c r="N267" s="19" t="str">
        <f t="shared" ca="1" si="24"/>
        <v/>
      </c>
    </row>
    <row r="268" spans="1:14" ht="15.75" customHeight="1" x14ac:dyDescent="0.25">
      <c r="A268" s="11"/>
      <c r="B268" s="11"/>
      <c r="C268" s="11"/>
      <c r="D268" s="11"/>
      <c r="E268" s="11"/>
      <c r="F268" s="17" t="str">
        <f>IF(E268=0,"",IFERROR(E268*Config!B18,0))</f>
        <v/>
      </c>
      <c r="G268" s="13" t="str">
        <f t="shared" si="20"/>
        <v/>
      </c>
      <c r="H268" s="11"/>
      <c r="I268" s="11"/>
      <c r="J268" s="16" t="str">
        <f t="shared" si="21"/>
        <v/>
      </c>
      <c r="K268" s="18" t="str">
        <f>IF(A268="","",IFERROR(SUMIF(Transactions!A$4:A$1003,A268,Transactions!F$4:F$1003),0))</f>
        <v/>
      </c>
      <c r="L268" s="15" t="str">
        <f t="shared" si="22"/>
        <v/>
      </c>
      <c r="M268" s="12" t="str">
        <f t="shared" ca="1" si="23"/>
        <v/>
      </c>
      <c r="N268" s="19" t="str">
        <f t="shared" ca="1" si="24"/>
        <v/>
      </c>
    </row>
    <row r="269" spans="1:14" ht="15.75" customHeight="1" x14ac:dyDescent="0.25">
      <c r="A269" s="11"/>
      <c r="B269" s="11"/>
      <c r="C269" s="11"/>
      <c r="D269" s="11"/>
      <c r="E269" s="11"/>
      <c r="F269" s="17" t="str">
        <f>IF(E269=0,"",IFERROR(E269*Config!B18,0))</f>
        <v/>
      </c>
      <c r="G269" s="13" t="str">
        <f t="shared" si="20"/>
        <v/>
      </c>
      <c r="H269" s="11"/>
      <c r="I269" s="11"/>
      <c r="J269" s="16" t="str">
        <f t="shared" si="21"/>
        <v/>
      </c>
      <c r="K269" s="18" t="str">
        <f>IF(A269="","",IFERROR(SUMIF(Transactions!A$4:A$1003,A269,Transactions!F$4:F$1003),0))</f>
        <v/>
      </c>
      <c r="L269" s="15" t="str">
        <f t="shared" si="22"/>
        <v/>
      </c>
      <c r="M269" s="12" t="str">
        <f t="shared" ca="1" si="23"/>
        <v/>
      </c>
      <c r="N269" s="19" t="str">
        <f t="shared" ca="1" si="24"/>
        <v/>
      </c>
    </row>
    <row r="270" spans="1:14" ht="15.75" customHeight="1" x14ac:dyDescent="0.25">
      <c r="A270" s="11"/>
      <c r="B270" s="11"/>
      <c r="C270" s="11"/>
      <c r="D270" s="11"/>
      <c r="E270" s="11"/>
      <c r="F270" s="17" t="str">
        <f>IF(E270=0,"",IFERROR(E270*Config!B18,0))</f>
        <v/>
      </c>
      <c r="G270" s="13" t="str">
        <f t="shared" si="20"/>
        <v/>
      </c>
      <c r="H270" s="11"/>
      <c r="I270" s="11"/>
      <c r="J270" s="16" t="str">
        <f t="shared" si="21"/>
        <v/>
      </c>
      <c r="K270" s="18" t="str">
        <f>IF(A270="","",IFERROR(SUMIF(Transactions!A$4:A$1003,A270,Transactions!F$4:F$1003),0))</f>
        <v/>
      </c>
      <c r="L270" s="15" t="str">
        <f t="shared" si="22"/>
        <v/>
      </c>
      <c r="M270" s="12" t="str">
        <f t="shared" ca="1" si="23"/>
        <v/>
      </c>
      <c r="N270" s="19" t="str">
        <f t="shared" ca="1" si="24"/>
        <v/>
      </c>
    </row>
    <row r="271" spans="1:14" ht="15.75" customHeight="1" x14ac:dyDescent="0.25">
      <c r="A271" s="11"/>
      <c r="B271" s="11"/>
      <c r="C271" s="11"/>
      <c r="D271" s="11"/>
      <c r="E271" s="11"/>
      <c r="F271" s="17" t="str">
        <f>IF(E271=0,"",IFERROR(E271*Config!B18,0))</f>
        <v/>
      </c>
      <c r="G271" s="13" t="str">
        <f t="shared" si="20"/>
        <v/>
      </c>
      <c r="H271" s="11"/>
      <c r="I271" s="11"/>
      <c r="J271" s="16" t="str">
        <f t="shared" si="21"/>
        <v/>
      </c>
      <c r="K271" s="18" t="str">
        <f>IF(A271="","",IFERROR(SUMIF(Transactions!A$4:A$1003,A271,Transactions!F$4:F$1003),0))</f>
        <v/>
      </c>
      <c r="L271" s="15" t="str">
        <f t="shared" si="22"/>
        <v/>
      </c>
      <c r="M271" s="12" t="str">
        <f t="shared" ca="1" si="23"/>
        <v/>
      </c>
      <c r="N271" s="19" t="str">
        <f t="shared" ca="1" si="24"/>
        <v/>
      </c>
    </row>
    <row r="272" spans="1:14" ht="15.75" customHeight="1" x14ac:dyDescent="0.25">
      <c r="A272" s="11"/>
      <c r="B272" s="11"/>
      <c r="C272" s="11"/>
      <c r="D272" s="11"/>
      <c r="E272" s="11"/>
      <c r="F272" s="17" t="str">
        <f>IF(E272=0,"",IFERROR(E272*Config!B18,0))</f>
        <v/>
      </c>
      <c r="G272" s="13" t="str">
        <f t="shared" si="20"/>
        <v/>
      </c>
      <c r="H272" s="11"/>
      <c r="I272" s="11"/>
      <c r="J272" s="16" t="str">
        <f t="shared" si="21"/>
        <v/>
      </c>
      <c r="K272" s="18" t="str">
        <f>IF(A272="","",IFERROR(SUMIF(Transactions!A$4:A$1003,A272,Transactions!F$4:F$1003),0))</f>
        <v/>
      </c>
      <c r="L272" s="15" t="str">
        <f t="shared" si="22"/>
        <v/>
      </c>
      <c r="M272" s="12" t="str">
        <f t="shared" ca="1" si="23"/>
        <v/>
      </c>
      <c r="N272" s="19" t="str">
        <f t="shared" ca="1" si="24"/>
        <v/>
      </c>
    </row>
    <row r="273" spans="1:14" ht="15.75" customHeight="1" x14ac:dyDescent="0.25">
      <c r="A273" s="11"/>
      <c r="B273" s="11"/>
      <c r="C273" s="11"/>
      <c r="D273" s="11"/>
      <c r="E273" s="11"/>
      <c r="F273" s="17" t="str">
        <f>IF(E273=0,"",IFERROR(E273*Config!B18,0))</f>
        <v/>
      </c>
      <c r="G273" s="13" t="str">
        <f t="shared" si="20"/>
        <v/>
      </c>
      <c r="H273" s="11"/>
      <c r="I273" s="11"/>
      <c r="J273" s="16" t="str">
        <f t="shared" si="21"/>
        <v/>
      </c>
      <c r="K273" s="18" t="str">
        <f>IF(A273="","",IFERROR(SUMIF(Transactions!A$4:A$1003,A273,Transactions!F$4:F$1003),0))</f>
        <v/>
      </c>
      <c r="L273" s="15" t="str">
        <f t="shared" si="22"/>
        <v/>
      </c>
      <c r="M273" s="12" t="str">
        <f t="shared" ca="1" si="23"/>
        <v/>
      </c>
      <c r="N273" s="19" t="str">
        <f t="shared" ca="1" si="24"/>
        <v/>
      </c>
    </row>
    <row r="274" spans="1:14" ht="15.75" customHeight="1" x14ac:dyDescent="0.25">
      <c r="A274" s="11"/>
      <c r="B274" s="11"/>
      <c r="C274" s="11"/>
      <c r="D274" s="11"/>
      <c r="E274" s="11"/>
      <c r="F274" s="17" t="str">
        <f>IF(E274=0,"",IFERROR(E274*Config!B18,0))</f>
        <v/>
      </c>
      <c r="G274" s="13" t="str">
        <f t="shared" si="20"/>
        <v/>
      </c>
      <c r="H274" s="11"/>
      <c r="I274" s="11"/>
      <c r="J274" s="16" t="str">
        <f t="shared" si="21"/>
        <v/>
      </c>
      <c r="K274" s="18" t="str">
        <f>IF(A274="","",IFERROR(SUMIF(Transactions!A$4:A$1003,A274,Transactions!F$4:F$1003),0))</f>
        <v/>
      </c>
      <c r="L274" s="15" t="str">
        <f t="shared" si="22"/>
        <v/>
      </c>
      <c r="M274" s="12" t="str">
        <f t="shared" ca="1" si="23"/>
        <v/>
      </c>
      <c r="N274" s="19" t="str">
        <f t="shared" ca="1" si="24"/>
        <v/>
      </c>
    </row>
    <row r="275" spans="1:14" ht="15.75" customHeight="1" x14ac:dyDescent="0.25">
      <c r="A275" s="11"/>
      <c r="B275" s="11"/>
      <c r="C275" s="11"/>
      <c r="D275" s="11"/>
      <c r="E275" s="11"/>
      <c r="F275" s="17" t="str">
        <f>IF(E275=0,"",IFERROR(E275*Config!B18,0))</f>
        <v/>
      </c>
      <c r="G275" s="13" t="str">
        <f t="shared" si="20"/>
        <v/>
      </c>
      <c r="H275" s="11"/>
      <c r="I275" s="11"/>
      <c r="J275" s="16" t="str">
        <f t="shared" si="21"/>
        <v/>
      </c>
      <c r="K275" s="18" t="str">
        <f>IF(A275="","",IFERROR(SUMIF(Transactions!A$4:A$1003,A275,Transactions!F$4:F$1003),0))</f>
        <v/>
      </c>
      <c r="L275" s="15" t="str">
        <f t="shared" si="22"/>
        <v/>
      </c>
      <c r="M275" s="12" t="str">
        <f t="shared" ca="1" si="23"/>
        <v/>
      </c>
      <c r="N275" s="19" t="str">
        <f t="shared" ca="1" si="24"/>
        <v/>
      </c>
    </row>
    <row r="276" spans="1:14" ht="15.75" customHeight="1" x14ac:dyDescent="0.25">
      <c r="A276" s="11"/>
      <c r="B276" s="11"/>
      <c r="C276" s="11"/>
      <c r="D276" s="11"/>
      <c r="E276" s="11"/>
      <c r="F276" s="17" t="str">
        <f>IF(E276=0,"",IFERROR(E276*Config!B18,0))</f>
        <v/>
      </c>
      <c r="G276" s="13" t="str">
        <f t="shared" si="20"/>
        <v/>
      </c>
      <c r="H276" s="11"/>
      <c r="I276" s="11"/>
      <c r="J276" s="16" t="str">
        <f t="shared" si="21"/>
        <v/>
      </c>
      <c r="K276" s="18" t="str">
        <f>IF(A276="","",IFERROR(SUMIF(Transactions!A$4:A$1003,A276,Transactions!F$4:F$1003),0))</f>
        <v/>
      </c>
      <c r="L276" s="15" t="str">
        <f t="shared" si="22"/>
        <v/>
      </c>
      <c r="M276" s="12" t="str">
        <f t="shared" ca="1" si="23"/>
        <v/>
      </c>
      <c r="N276" s="19" t="str">
        <f t="shared" ca="1" si="24"/>
        <v/>
      </c>
    </row>
    <row r="277" spans="1:14" ht="15.75" customHeight="1" x14ac:dyDescent="0.25">
      <c r="A277" s="11"/>
      <c r="B277" s="11"/>
      <c r="C277" s="11"/>
      <c r="D277" s="11"/>
      <c r="E277" s="11"/>
      <c r="F277" s="17" t="str">
        <f>IF(E277=0,"",IFERROR(E277*Config!B18,0))</f>
        <v/>
      </c>
      <c r="G277" s="13" t="str">
        <f t="shared" si="20"/>
        <v/>
      </c>
      <c r="H277" s="11"/>
      <c r="I277" s="11"/>
      <c r="J277" s="16" t="str">
        <f t="shared" si="21"/>
        <v/>
      </c>
      <c r="K277" s="18" t="str">
        <f>IF(A277="","",IFERROR(SUMIF(Transactions!A$4:A$1003,A277,Transactions!F$4:F$1003),0))</f>
        <v/>
      </c>
      <c r="L277" s="15" t="str">
        <f t="shared" si="22"/>
        <v/>
      </c>
      <c r="M277" s="12" t="str">
        <f t="shared" ca="1" si="23"/>
        <v/>
      </c>
      <c r="N277" s="19" t="str">
        <f t="shared" ca="1" si="24"/>
        <v/>
      </c>
    </row>
    <row r="278" spans="1:14" ht="15.75" customHeight="1" x14ac:dyDescent="0.25">
      <c r="A278" s="11"/>
      <c r="B278" s="11"/>
      <c r="C278" s="11"/>
      <c r="D278" s="11"/>
      <c r="E278" s="11"/>
      <c r="F278" s="17" t="str">
        <f>IF(E278=0,"",IFERROR(E278*Config!B18,0))</f>
        <v/>
      </c>
      <c r="G278" s="13" t="str">
        <f t="shared" si="20"/>
        <v/>
      </c>
      <c r="H278" s="11"/>
      <c r="I278" s="11"/>
      <c r="J278" s="16" t="str">
        <f t="shared" si="21"/>
        <v/>
      </c>
      <c r="K278" s="18" t="str">
        <f>IF(A278="","",IFERROR(SUMIF(Transactions!A$4:A$1003,A278,Transactions!F$4:F$1003),0))</f>
        <v/>
      </c>
      <c r="L278" s="15" t="str">
        <f t="shared" si="22"/>
        <v/>
      </c>
      <c r="M278" s="12" t="str">
        <f t="shared" ca="1" si="23"/>
        <v/>
      </c>
      <c r="N278" s="19" t="str">
        <f t="shared" ca="1" si="24"/>
        <v/>
      </c>
    </row>
    <row r="279" spans="1:14" ht="15.75" customHeight="1" x14ac:dyDescent="0.25">
      <c r="A279" s="11"/>
      <c r="B279" s="11"/>
      <c r="C279" s="11"/>
      <c r="D279" s="11"/>
      <c r="E279" s="11"/>
      <c r="F279" s="17" t="str">
        <f>IF(E279=0,"",IFERROR(E279*Config!B18,0))</f>
        <v/>
      </c>
      <c r="G279" s="13" t="str">
        <f t="shared" si="20"/>
        <v/>
      </c>
      <c r="H279" s="11"/>
      <c r="I279" s="11"/>
      <c r="J279" s="16" t="str">
        <f t="shared" si="21"/>
        <v/>
      </c>
      <c r="K279" s="18" t="str">
        <f>IF(A279="","",IFERROR(SUMIF(Transactions!A$4:A$1003,A279,Transactions!F$4:F$1003),0))</f>
        <v/>
      </c>
      <c r="L279" s="15" t="str">
        <f t="shared" si="22"/>
        <v/>
      </c>
      <c r="M279" s="12" t="str">
        <f t="shared" ca="1" si="23"/>
        <v/>
      </c>
      <c r="N279" s="19" t="str">
        <f t="shared" ca="1" si="24"/>
        <v/>
      </c>
    </row>
    <row r="280" spans="1:14" ht="15.75" customHeight="1" x14ac:dyDescent="0.25">
      <c r="A280" s="11"/>
      <c r="B280" s="11"/>
      <c r="C280" s="11"/>
      <c r="D280" s="11"/>
      <c r="E280" s="11"/>
      <c r="F280" s="17" t="str">
        <f>IF(E280=0,"",IFERROR(E280*Config!B18,0))</f>
        <v/>
      </c>
      <c r="G280" s="13" t="str">
        <f t="shared" si="20"/>
        <v/>
      </c>
      <c r="H280" s="11"/>
      <c r="I280" s="11"/>
      <c r="J280" s="16" t="str">
        <f t="shared" si="21"/>
        <v/>
      </c>
      <c r="K280" s="18" t="str">
        <f>IF(A280="","",IFERROR(SUMIF(Transactions!A$4:A$1003,A280,Transactions!F$4:F$1003),0))</f>
        <v/>
      </c>
      <c r="L280" s="15" t="str">
        <f t="shared" si="22"/>
        <v/>
      </c>
      <c r="M280" s="12" t="str">
        <f t="shared" ca="1" si="23"/>
        <v/>
      </c>
      <c r="N280" s="19" t="str">
        <f t="shared" ca="1" si="24"/>
        <v/>
      </c>
    </row>
    <row r="281" spans="1:14" ht="15.75" customHeight="1" x14ac:dyDescent="0.25">
      <c r="A281" s="11"/>
      <c r="B281" s="11"/>
      <c r="C281" s="11"/>
      <c r="D281" s="11"/>
      <c r="E281" s="11"/>
      <c r="F281" s="17" t="str">
        <f>IF(E281=0,"",IFERROR(E281*Config!B18,0))</f>
        <v/>
      </c>
      <c r="G281" s="13" t="str">
        <f t="shared" si="20"/>
        <v/>
      </c>
      <c r="H281" s="11"/>
      <c r="I281" s="11"/>
      <c r="J281" s="16" t="str">
        <f t="shared" si="21"/>
        <v/>
      </c>
      <c r="K281" s="18" t="str">
        <f>IF(A281="","",IFERROR(SUMIF(Transactions!A$4:A$1003,A281,Transactions!F$4:F$1003),0))</f>
        <v/>
      </c>
      <c r="L281" s="15" t="str">
        <f t="shared" si="22"/>
        <v/>
      </c>
      <c r="M281" s="12" t="str">
        <f t="shared" ca="1" si="23"/>
        <v/>
      </c>
      <c r="N281" s="19" t="str">
        <f t="shared" ca="1" si="24"/>
        <v/>
      </c>
    </row>
    <row r="282" spans="1:14" ht="15.75" customHeight="1" x14ac:dyDescent="0.25">
      <c r="A282" s="11"/>
      <c r="B282" s="11"/>
      <c r="C282" s="11"/>
      <c r="D282" s="11"/>
      <c r="E282" s="11"/>
      <c r="F282" s="17" t="str">
        <f>IF(E282=0,"",IFERROR(E282*Config!B18,0))</f>
        <v/>
      </c>
      <c r="G282" s="13" t="str">
        <f t="shared" si="20"/>
        <v/>
      </c>
      <c r="H282" s="11"/>
      <c r="I282" s="11"/>
      <c r="J282" s="16" t="str">
        <f t="shared" si="21"/>
        <v/>
      </c>
      <c r="K282" s="18" t="str">
        <f>IF(A282="","",IFERROR(SUMIF(Transactions!A$4:A$1003,A282,Transactions!F$4:F$1003),0))</f>
        <v/>
      </c>
      <c r="L282" s="15" t="str">
        <f t="shared" si="22"/>
        <v/>
      </c>
      <c r="M282" s="12" t="str">
        <f t="shared" ca="1" si="23"/>
        <v/>
      </c>
      <c r="N282" s="19" t="str">
        <f t="shared" ca="1" si="24"/>
        <v/>
      </c>
    </row>
    <row r="283" spans="1:14" ht="15.75" customHeight="1" x14ac:dyDescent="0.25">
      <c r="A283" s="11"/>
      <c r="B283" s="11"/>
      <c r="C283" s="11"/>
      <c r="D283" s="11"/>
      <c r="E283" s="11"/>
      <c r="F283" s="17" t="str">
        <f>IF(E283=0,"",IFERROR(E283*Config!B18,0))</f>
        <v/>
      </c>
      <c r="G283" s="13" t="str">
        <f t="shared" si="20"/>
        <v/>
      </c>
      <c r="H283" s="11"/>
      <c r="I283" s="11"/>
      <c r="J283" s="16" t="str">
        <f t="shared" si="21"/>
        <v/>
      </c>
      <c r="K283" s="18" t="str">
        <f>IF(A283="","",IFERROR(SUMIF(Transactions!A$4:A$1003,A283,Transactions!F$4:F$1003),0))</f>
        <v/>
      </c>
      <c r="L283" s="15" t="str">
        <f t="shared" si="22"/>
        <v/>
      </c>
      <c r="M283" s="12" t="str">
        <f t="shared" ca="1" si="23"/>
        <v/>
      </c>
      <c r="N283" s="19" t="str">
        <f t="shared" ca="1" si="24"/>
        <v/>
      </c>
    </row>
    <row r="284" spans="1:14" ht="15.75" customHeight="1" x14ac:dyDescent="0.25">
      <c r="A284" s="11"/>
      <c r="B284" s="11"/>
      <c r="C284" s="11"/>
      <c r="D284" s="11"/>
      <c r="E284" s="11"/>
      <c r="F284" s="17" t="str">
        <f>IF(E284=0,"",IFERROR(E284*Config!B18,0))</f>
        <v/>
      </c>
      <c r="G284" s="13" t="str">
        <f t="shared" si="20"/>
        <v/>
      </c>
      <c r="H284" s="11"/>
      <c r="I284" s="11"/>
      <c r="J284" s="16" t="str">
        <f t="shared" si="21"/>
        <v/>
      </c>
      <c r="K284" s="18" t="str">
        <f>IF(A284="","",IFERROR(SUMIF(Transactions!A$4:A$1003,A284,Transactions!F$4:F$1003),0))</f>
        <v/>
      </c>
      <c r="L284" s="15" t="str">
        <f t="shared" si="22"/>
        <v/>
      </c>
      <c r="M284" s="12" t="str">
        <f t="shared" ca="1" si="23"/>
        <v/>
      </c>
      <c r="N284" s="19" t="str">
        <f t="shared" ca="1" si="24"/>
        <v/>
      </c>
    </row>
    <row r="285" spans="1:14" ht="15.75" customHeight="1" x14ac:dyDescent="0.25">
      <c r="A285" s="11"/>
      <c r="B285" s="11"/>
      <c r="C285" s="11"/>
      <c r="D285" s="11"/>
      <c r="E285" s="11"/>
      <c r="F285" s="17" t="str">
        <f>IF(E285=0,"",IFERROR(E285*Config!B18,0))</f>
        <v/>
      </c>
      <c r="G285" s="13" t="str">
        <f t="shared" si="20"/>
        <v/>
      </c>
      <c r="H285" s="11"/>
      <c r="I285" s="11"/>
      <c r="J285" s="16" t="str">
        <f t="shared" si="21"/>
        <v/>
      </c>
      <c r="K285" s="18" t="str">
        <f>IF(A285="","",IFERROR(SUMIF(Transactions!A$4:A$1003,A285,Transactions!F$4:F$1003),0))</f>
        <v/>
      </c>
      <c r="L285" s="15" t="str">
        <f t="shared" si="22"/>
        <v/>
      </c>
      <c r="M285" s="12" t="str">
        <f t="shared" ca="1" si="23"/>
        <v/>
      </c>
      <c r="N285" s="19" t="str">
        <f t="shared" ca="1" si="24"/>
        <v/>
      </c>
    </row>
    <row r="286" spans="1:14" ht="15.75" customHeight="1" x14ac:dyDescent="0.25">
      <c r="A286" s="11"/>
      <c r="B286" s="11"/>
      <c r="C286" s="11"/>
      <c r="D286" s="11"/>
      <c r="E286" s="11"/>
      <c r="F286" s="17" t="str">
        <f>IF(E286=0,"",IFERROR(E286*Config!B18,0))</f>
        <v/>
      </c>
      <c r="G286" s="13" t="str">
        <f t="shared" si="20"/>
        <v/>
      </c>
      <c r="H286" s="11"/>
      <c r="I286" s="11"/>
      <c r="J286" s="16" t="str">
        <f t="shared" si="21"/>
        <v/>
      </c>
      <c r="K286" s="18" t="str">
        <f>IF(A286="","",IFERROR(SUMIF(Transactions!A$4:A$1003,A286,Transactions!F$4:F$1003),0))</f>
        <v/>
      </c>
      <c r="L286" s="15" t="str">
        <f t="shared" si="22"/>
        <v/>
      </c>
      <c r="M286" s="12" t="str">
        <f t="shared" ca="1" si="23"/>
        <v/>
      </c>
      <c r="N286" s="19" t="str">
        <f t="shared" ca="1" si="24"/>
        <v/>
      </c>
    </row>
    <row r="287" spans="1:14" ht="15.75" customHeight="1" x14ac:dyDescent="0.25">
      <c r="A287" s="11"/>
      <c r="B287" s="11"/>
      <c r="C287" s="11"/>
      <c r="D287" s="11"/>
      <c r="E287" s="11"/>
      <c r="F287" s="17" t="str">
        <f>IF(E287=0,"",IFERROR(E287*Config!B18,0))</f>
        <v/>
      </c>
      <c r="G287" s="13" t="str">
        <f t="shared" si="20"/>
        <v/>
      </c>
      <c r="H287" s="11"/>
      <c r="I287" s="11"/>
      <c r="J287" s="16" t="str">
        <f t="shared" si="21"/>
        <v/>
      </c>
      <c r="K287" s="18" t="str">
        <f>IF(A287="","",IFERROR(SUMIF(Transactions!A$4:A$1003,A287,Transactions!F$4:F$1003),0))</f>
        <v/>
      </c>
      <c r="L287" s="15" t="str">
        <f t="shared" si="22"/>
        <v/>
      </c>
      <c r="M287" s="12" t="str">
        <f t="shared" ca="1" si="23"/>
        <v/>
      </c>
      <c r="N287" s="19" t="str">
        <f t="shared" ca="1" si="24"/>
        <v/>
      </c>
    </row>
    <row r="288" spans="1:14" ht="15.75" customHeight="1" x14ac:dyDescent="0.25">
      <c r="A288" s="11"/>
      <c r="B288" s="11"/>
      <c r="C288" s="11"/>
      <c r="D288" s="11"/>
      <c r="E288" s="11"/>
      <c r="F288" s="17" t="str">
        <f>IF(E288=0,"",IFERROR(E288*Config!B18,0))</f>
        <v/>
      </c>
      <c r="G288" s="13" t="str">
        <f t="shared" si="20"/>
        <v/>
      </c>
      <c r="H288" s="11"/>
      <c r="I288" s="11"/>
      <c r="J288" s="16" t="str">
        <f t="shared" si="21"/>
        <v/>
      </c>
      <c r="K288" s="18" t="str">
        <f>IF(A288="","",IFERROR(SUMIF(Transactions!A$4:A$1003,A288,Transactions!F$4:F$1003),0))</f>
        <v/>
      </c>
      <c r="L288" s="15" t="str">
        <f t="shared" si="22"/>
        <v/>
      </c>
      <c r="M288" s="12" t="str">
        <f t="shared" ca="1" si="23"/>
        <v/>
      </c>
      <c r="N288" s="19" t="str">
        <f t="shared" ca="1" si="24"/>
        <v/>
      </c>
    </row>
    <row r="289" spans="1:14" ht="15.75" customHeight="1" x14ac:dyDescent="0.25">
      <c r="A289" s="11"/>
      <c r="B289" s="11"/>
      <c r="C289" s="11"/>
      <c r="D289" s="11"/>
      <c r="E289" s="11"/>
      <c r="F289" s="17" t="str">
        <f>IF(E289=0,"",IFERROR(E289*Config!B18,0))</f>
        <v/>
      </c>
      <c r="G289" s="13" t="str">
        <f t="shared" si="20"/>
        <v/>
      </c>
      <c r="H289" s="11"/>
      <c r="I289" s="11"/>
      <c r="J289" s="16" t="str">
        <f t="shared" si="21"/>
        <v/>
      </c>
      <c r="K289" s="18" t="str">
        <f>IF(A289="","",IFERROR(SUMIF(Transactions!A$4:A$1003,A289,Transactions!F$4:F$1003),0))</f>
        <v/>
      </c>
      <c r="L289" s="15" t="str">
        <f t="shared" si="22"/>
        <v/>
      </c>
      <c r="M289" s="12" t="str">
        <f t="shared" ca="1" si="23"/>
        <v/>
      </c>
      <c r="N289" s="19" t="str">
        <f t="shared" ca="1" si="24"/>
        <v/>
      </c>
    </row>
    <row r="290" spans="1:14" ht="15.75" customHeight="1" x14ac:dyDescent="0.25">
      <c r="A290" s="11"/>
      <c r="B290" s="11"/>
      <c r="C290" s="11"/>
      <c r="D290" s="11"/>
      <c r="E290" s="11"/>
      <c r="F290" s="17" t="str">
        <f>IF(E290=0,"",IFERROR(E290*Config!B18,0))</f>
        <v/>
      </c>
      <c r="G290" s="13" t="str">
        <f t="shared" si="20"/>
        <v/>
      </c>
      <c r="H290" s="11"/>
      <c r="I290" s="11"/>
      <c r="J290" s="16" t="str">
        <f t="shared" si="21"/>
        <v/>
      </c>
      <c r="K290" s="18" t="str">
        <f>IF(A290="","",IFERROR(SUMIF(Transactions!A$4:A$1003,A290,Transactions!F$4:F$1003),0))</f>
        <v/>
      </c>
      <c r="L290" s="15" t="str">
        <f t="shared" si="22"/>
        <v/>
      </c>
      <c r="M290" s="12" t="str">
        <f t="shared" ca="1" si="23"/>
        <v/>
      </c>
      <c r="N290" s="19" t="str">
        <f t="shared" ca="1" si="24"/>
        <v/>
      </c>
    </row>
    <row r="291" spans="1:14" ht="15.75" customHeight="1" x14ac:dyDescent="0.25">
      <c r="A291" s="11"/>
      <c r="B291" s="11"/>
      <c r="C291" s="11"/>
      <c r="D291" s="11"/>
      <c r="E291" s="11"/>
      <c r="F291" s="17" t="str">
        <f>IF(E291=0,"",IFERROR(E291*Config!B18,0))</f>
        <v/>
      </c>
      <c r="G291" s="13" t="str">
        <f t="shared" si="20"/>
        <v/>
      </c>
      <c r="H291" s="11"/>
      <c r="I291" s="11"/>
      <c r="J291" s="16" t="str">
        <f t="shared" si="21"/>
        <v/>
      </c>
      <c r="K291" s="18" t="str">
        <f>IF(A291="","",IFERROR(SUMIF(Transactions!A$4:A$1003,A291,Transactions!F$4:F$1003),0))</f>
        <v/>
      </c>
      <c r="L291" s="15" t="str">
        <f t="shared" si="22"/>
        <v/>
      </c>
      <c r="M291" s="12" t="str">
        <f t="shared" ca="1" si="23"/>
        <v/>
      </c>
      <c r="N291" s="19" t="str">
        <f t="shared" ca="1" si="24"/>
        <v/>
      </c>
    </row>
    <row r="292" spans="1:14" ht="15.75" customHeight="1" x14ac:dyDescent="0.25">
      <c r="A292" s="11"/>
      <c r="B292" s="11"/>
      <c r="C292" s="11"/>
      <c r="D292" s="11"/>
      <c r="E292" s="11"/>
      <c r="F292" s="17" t="str">
        <f>IF(E292=0,"",IFERROR(E292*Config!B18,0))</f>
        <v/>
      </c>
      <c r="G292" s="13" t="str">
        <f t="shared" si="20"/>
        <v/>
      </c>
      <c r="H292" s="11"/>
      <c r="I292" s="11"/>
      <c r="J292" s="16" t="str">
        <f t="shared" si="21"/>
        <v/>
      </c>
      <c r="K292" s="18" t="str">
        <f>IF(A292="","",IFERROR(SUMIF(Transactions!A$4:A$1003,A292,Transactions!F$4:F$1003),0))</f>
        <v/>
      </c>
      <c r="L292" s="15" t="str">
        <f t="shared" si="22"/>
        <v/>
      </c>
      <c r="M292" s="12" t="str">
        <f t="shared" ca="1" si="23"/>
        <v/>
      </c>
      <c r="N292" s="19" t="str">
        <f t="shared" ca="1" si="24"/>
        <v/>
      </c>
    </row>
    <row r="293" spans="1:14" ht="15.75" customHeight="1" x14ac:dyDescent="0.25">
      <c r="A293" s="11"/>
      <c r="B293" s="11"/>
      <c r="C293" s="11"/>
      <c r="D293" s="11"/>
      <c r="E293" s="11"/>
      <c r="F293" s="17" t="str">
        <f>IF(E293=0,"",IFERROR(E293*Config!B18,0))</f>
        <v/>
      </c>
      <c r="G293" s="13" t="str">
        <f t="shared" si="20"/>
        <v/>
      </c>
      <c r="H293" s="11"/>
      <c r="I293" s="11"/>
      <c r="J293" s="16" t="str">
        <f t="shared" si="21"/>
        <v/>
      </c>
      <c r="K293" s="18" t="str">
        <f>IF(A293="","",IFERROR(SUMIF(Transactions!A$4:A$1003,A293,Transactions!F$4:F$1003),0))</f>
        <v/>
      </c>
      <c r="L293" s="15" t="str">
        <f t="shared" si="22"/>
        <v/>
      </c>
      <c r="M293" s="12" t="str">
        <f t="shared" ca="1" si="23"/>
        <v/>
      </c>
      <c r="N293" s="19" t="str">
        <f t="shared" ca="1" si="24"/>
        <v/>
      </c>
    </row>
    <row r="294" spans="1:14" ht="15.75" customHeight="1" x14ac:dyDescent="0.25">
      <c r="A294" s="11"/>
      <c r="B294" s="11"/>
      <c r="C294" s="11"/>
      <c r="D294" s="11"/>
      <c r="E294" s="11"/>
      <c r="F294" s="17" t="str">
        <f>IF(E294=0,"",IFERROR(E294*Config!B18,0))</f>
        <v/>
      </c>
      <c r="G294" s="13" t="str">
        <f t="shared" si="20"/>
        <v/>
      </c>
      <c r="H294" s="11"/>
      <c r="I294" s="11"/>
      <c r="J294" s="16" t="str">
        <f t="shared" si="21"/>
        <v/>
      </c>
      <c r="K294" s="18" t="str">
        <f>IF(A294="","",IFERROR(SUMIF(Transactions!A$4:A$1003,A294,Transactions!F$4:F$1003),0))</f>
        <v/>
      </c>
      <c r="L294" s="15" t="str">
        <f t="shared" si="22"/>
        <v/>
      </c>
      <c r="M294" s="12" t="str">
        <f t="shared" ca="1" si="23"/>
        <v/>
      </c>
      <c r="N294" s="19" t="str">
        <f t="shared" ca="1" si="24"/>
        <v/>
      </c>
    </row>
    <row r="295" spans="1:14" ht="15.75" customHeight="1" x14ac:dyDescent="0.25">
      <c r="A295" s="11"/>
      <c r="B295" s="11"/>
      <c r="C295" s="11"/>
      <c r="D295" s="11"/>
      <c r="E295" s="11"/>
      <c r="F295" s="17" t="str">
        <f>IF(E295=0,"",IFERROR(E295*Config!B18,0))</f>
        <v/>
      </c>
      <c r="G295" s="13" t="str">
        <f t="shared" si="20"/>
        <v/>
      </c>
      <c r="H295" s="11"/>
      <c r="I295" s="11"/>
      <c r="J295" s="16" t="str">
        <f t="shared" si="21"/>
        <v/>
      </c>
      <c r="K295" s="18" t="str">
        <f>IF(A295="","",IFERROR(SUMIF(Transactions!A$4:A$1003,A295,Transactions!F$4:F$1003),0))</f>
        <v/>
      </c>
      <c r="L295" s="15" t="str">
        <f t="shared" si="22"/>
        <v/>
      </c>
      <c r="M295" s="12" t="str">
        <f t="shared" ca="1" si="23"/>
        <v/>
      </c>
      <c r="N295" s="19" t="str">
        <f t="shared" ca="1" si="24"/>
        <v/>
      </c>
    </row>
    <row r="296" spans="1:14" ht="15.75" customHeight="1" x14ac:dyDescent="0.25">
      <c r="A296" s="11"/>
      <c r="B296" s="11"/>
      <c r="C296" s="11"/>
      <c r="D296" s="11"/>
      <c r="E296" s="11"/>
      <c r="F296" s="17" t="str">
        <f>IF(E296=0,"",IFERROR(E296*Config!B18,0))</f>
        <v/>
      </c>
      <c r="G296" s="13" t="str">
        <f t="shared" si="20"/>
        <v/>
      </c>
      <c r="H296" s="11"/>
      <c r="I296" s="11"/>
      <c r="J296" s="16" t="str">
        <f t="shared" si="21"/>
        <v/>
      </c>
      <c r="K296" s="18" t="str">
        <f>IF(A296="","",IFERROR(SUMIF(Transactions!A$4:A$1003,A296,Transactions!F$4:F$1003),0))</f>
        <v/>
      </c>
      <c r="L296" s="15" t="str">
        <f t="shared" si="22"/>
        <v/>
      </c>
      <c r="M296" s="12" t="str">
        <f t="shared" ca="1" si="23"/>
        <v/>
      </c>
      <c r="N296" s="19" t="str">
        <f t="shared" ca="1" si="24"/>
        <v/>
      </c>
    </row>
    <row r="297" spans="1:14" ht="15.75" customHeight="1" x14ac:dyDescent="0.25">
      <c r="A297" s="11"/>
      <c r="B297" s="11"/>
      <c r="C297" s="11"/>
      <c r="D297" s="11"/>
      <c r="E297" s="11"/>
      <c r="F297" s="17" t="str">
        <f>IF(E297=0,"",IFERROR(E297*Config!B18,0))</f>
        <v/>
      </c>
      <c r="G297" s="13" t="str">
        <f t="shared" si="20"/>
        <v/>
      </c>
      <c r="H297" s="11"/>
      <c r="I297" s="11"/>
      <c r="J297" s="16" t="str">
        <f t="shared" si="21"/>
        <v/>
      </c>
      <c r="K297" s="18" t="str">
        <f>IF(A297="","",IFERROR(SUMIF(Transactions!A$4:A$1003,A297,Transactions!F$4:F$1003),0))</f>
        <v/>
      </c>
      <c r="L297" s="15" t="str">
        <f t="shared" si="22"/>
        <v/>
      </c>
      <c r="M297" s="12" t="str">
        <f t="shared" ca="1" si="23"/>
        <v/>
      </c>
      <c r="N297" s="19" t="str">
        <f t="shared" ca="1" si="24"/>
        <v/>
      </c>
    </row>
    <row r="298" spans="1:14" ht="15.75" customHeight="1" x14ac:dyDescent="0.25">
      <c r="A298" s="11"/>
      <c r="B298" s="11"/>
      <c r="C298" s="11"/>
      <c r="D298" s="11"/>
      <c r="E298" s="11"/>
      <c r="F298" s="17" t="str">
        <f>IF(E298=0,"",IFERROR(E298*Config!B18,0))</f>
        <v/>
      </c>
      <c r="G298" s="13" t="str">
        <f t="shared" si="20"/>
        <v/>
      </c>
      <c r="H298" s="11"/>
      <c r="I298" s="11"/>
      <c r="J298" s="16" t="str">
        <f t="shared" si="21"/>
        <v/>
      </c>
      <c r="K298" s="18" t="str">
        <f>IF(A298="","",IFERROR(SUMIF(Transactions!A$4:A$1003,A298,Transactions!F$4:F$1003),0))</f>
        <v/>
      </c>
      <c r="L298" s="15" t="str">
        <f t="shared" si="22"/>
        <v/>
      </c>
      <c r="M298" s="12" t="str">
        <f t="shared" ca="1" si="23"/>
        <v/>
      </c>
      <c r="N298" s="19" t="str">
        <f t="shared" ca="1" si="24"/>
        <v/>
      </c>
    </row>
    <row r="299" spans="1:14" ht="15.75" customHeight="1" x14ac:dyDescent="0.25">
      <c r="A299" s="11"/>
      <c r="B299" s="11"/>
      <c r="C299" s="11"/>
      <c r="D299" s="11"/>
      <c r="E299" s="11"/>
      <c r="F299" s="17" t="str">
        <f>IF(E299=0,"",IFERROR(E299*Config!B18,0))</f>
        <v/>
      </c>
      <c r="G299" s="13" t="str">
        <f t="shared" si="20"/>
        <v/>
      </c>
      <c r="H299" s="11"/>
      <c r="I299" s="11"/>
      <c r="J299" s="16" t="str">
        <f t="shared" si="21"/>
        <v/>
      </c>
      <c r="K299" s="18" t="str">
        <f>IF(A299="","",IFERROR(SUMIF(Transactions!A$4:A$1003,A299,Transactions!F$4:F$1003),0))</f>
        <v/>
      </c>
      <c r="L299" s="15" t="str">
        <f t="shared" si="22"/>
        <v/>
      </c>
      <c r="M299" s="12" t="str">
        <f t="shared" ca="1" si="23"/>
        <v/>
      </c>
      <c r="N299" s="19" t="str">
        <f t="shared" ca="1" si="24"/>
        <v/>
      </c>
    </row>
    <row r="300" spans="1:14" ht="15.75" customHeight="1" x14ac:dyDescent="0.25">
      <c r="A300" s="11"/>
      <c r="B300" s="11"/>
      <c r="C300" s="11"/>
      <c r="D300" s="11"/>
      <c r="E300" s="11"/>
      <c r="F300" s="17" t="str">
        <f>IF(E300=0,"",IFERROR(E300*Config!B18,0))</f>
        <v/>
      </c>
      <c r="G300" s="13" t="str">
        <f t="shared" si="20"/>
        <v/>
      </c>
      <c r="H300" s="11"/>
      <c r="I300" s="11"/>
      <c r="J300" s="16" t="str">
        <f t="shared" si="21"/>
        <v/>
      </c>
      <c r="K300" s="18" t="str">
        <f>IF(A300="","",IFERROR(SUMIF(Transactions!A$4:A$1003,A300,Transactions!F$4:F$1003),0))</f>
        <v/>
      </c>
      <c r="L300" s="15" t="str">
        <f t="shared" si="22"/>
        <v/>
      </c>
      <c r="M300" s="12" t="str">
        <f t="shared" ca="1" si="23"/>
        <v/>
      </c>
      <c r="N300" s="19" t="str">
        <f t="shared" ca="1" si="24"/>
        <v/>
      </c>
    </row>
    <row r="301" spans="1:14" ht="15.75" customHeight="1" x14ac:dyDescent="0.25">
      <c r="A301" s="11"/>
      <c r="B301" s="11"/>
      <c r="C301" s="11"/>
      <c r="D301" s="11"/>
      <c r="E301" s="11"/>
      <c r="F301" s="17" t="str">
        <f>IF(E301=0,"",IFERROR(E301*Config!B18,0))</f>
        <v/>
      </c>
      <c r="G301" s="13" t="str">
        <f t="shared" si="20"/>
        <v/>
      </c>
      <c r="H301" s="11"/>
      <c r="I301" s="11"/>
      <c r="J301" s="16" t="str">
        <f t="shared" si="21"/>
        <v/>
      </c>
      <c r="K301" s="18" t="str">
        <f>IF(A301="","",IFERROR(SUMIF(Transactions!A$4:A$1003,A301,Transactions!F$4:F$1003),0))</f>
        <v/>
      </c>
      <c r="L301" s="15" t="str">
        <f t="shared" si="22"/>
        <v/>
      </c>
      <c r="M301" s="12" t="str">
        <f t="shared" ca="1" si="23"/>
        <v/>
      </c>
      <c r="N301" s="19" t="str">
        <f t="shared" ca="1" si="24"/>
        <v/>
      </c>
    </row>
    <row r="302" spans="1:14" ht="15.75" customHeight="1" x14ac:dyDescent="0.25">
      <c r="A302" s="11"/>
      <c r="B302" s="11"/>
      <c r="C302" s="11"/>
      <c r="D302" s="11"/>
      <c r="E302" s="11"/>
      <c r="F302" s="17" t="str">
        <f>IF(E302=0,"",IFERROR(E302*Config!B18,0))</f>
        <v/>
      </c>
      <c r="G302" s="13" t="str">
        <f t="shared" si="20"/>
        <v/>
      </c>
      <c r="H302" s="11"/>
      <c r="I302" s="11"/>
      <c r="J302" s="16" t="str">
        <f t="shared" si="21"/>
        <v/>
      </c>
      <c r="K302" s="18" t="str">
        <f>IF(A302="","",IFERROR(SUMIF(Transactions!A$4:A$1003,A302,Transactions!F$4:F$1003),0))</f>
        <v/>
      </c>
      <c r="L302" s="15" t="str">
        <f t="shared" si="22"/>
        <v/>
      </c>
      <c r="M302" s="12" t="str">
        <f t="shared" ca="1" si="23"/>
        <v/>
      </c>
      <c r="N302" s="19" t="str">
        <f t="shared" ca="1" si="24"/>
        <v/>
      </c>
    </row>
    <row r="303" spans="1:14" ht="15.75" customHeight="1" x14ac:dyDescent="0.25">
      <c r="A303" s="11"/>
      <c r="B303" s="11"/>
      <c r="C303" s="11"/>
      <c r="D303" s="11"/>
      <c r="E303" s="11"/>
      <c r="F303" s="17" t="str">
        <f>IF(E303=0,"",IFERROR(E303*Config!B18,0))</f>
        <v/>
      </c>
      <c r="G303" s="13" t="str">
        <f t="shared" si="20"/>
        <v/>
      </c>
      <c r="H303" s="11"/>
      <c r="I303" s="11"/>
      <c r="J303" s="16" t="str">
        <f t="shared" si="21"/>
        <v/>
      </c>
      <c r="K303" s="18" t="str">
        <f>IF(A303="","",IFERROR(SUMIF(Transactions!A$4:A$1003,A303,Transactions!F$4:F$1003),0))</f>
        <v/>
      </c>
      <c r="L303" s="15" t="str">
        <f t="shared" si="22"/>
        <v/>
      </c>
      <c r="M303" s="12" t="str">
        <f t="shared" ca="1" si="23"/>
        <v/>
      </c>
      <c r="N303" s="19" t="str">
        <f t="shared" ca="1" si="24"/>
        <v/>
      </c>
    </row>
    <row r="304" spans="1:14" ht="15.75" customHeight="1" x14ac:dyDescent="0.25">
      <c r="A304" s="11"/>
      <c r="B304" s="11"/>
      <c r="C304" s="11"/>
      <c r="D304" s="11"/>
      <c r="E304" s="11"/>
      <c r="F304" s="17" t="str">
        <f>IF(E304=0,"",IFERROR(E304*Config!B18,0))</f>
        <v/>
      </c>
      <c r="G304" s="13" t="str">
        <f t="shared" si="20"/>
        <v/>
      </c>
      <c r="H304" s="11"/>
      <c r="I304" s="11"/>
      <c r="J304" s="16" t="str">
        <f t="shared" si="21"/>
        <v/>
      </c>
      <c r="K304" s="18" t="str">
        <f>IF(A304="","",IFERROR(SUMIF(Transactions!A$4:A$1003,A304,Transactions!F$4:F$1003),0))</f>
        <v/>
      </c>
      <c r="L304" s="15" t="str">
        <f t="shared" si="22"/>
        <v/>
      </c>
      <c r="M304" s="12" t="str">
        <f t="shared" ca="1" si="23"/>
        <v/>
      </c>
      <c r="N304" s="19" t="str">
        <f t="shared" ca="1" si="24"/>
        <v/>
      </c>
    </row>
    <row r="305" spans="1:14" ht="15.75" customHeight="1" x14ac:dyDescent="0.25">
      <c r="A305" s="11"/>
      <c r="B305" s="11"/>
      <c r="C305" s="11"/>
      <c r="D305" s="11"/>
      <c r="E305" s="11"/>
      <c r="F305" s="17" t="str">
        <f>IF(E305=0,"",IFERROR(E305*Config!B18,0))</f>
        <v/>
      </c>
      <c r="G305" s="13" t="str">
        <f t="shared" si="20"/>
        <v/>
      </c>
      <c r="H305" s="11"/>
      <c r="I305" s="11"/>
      <c r="J305" s="16" t="str">
        <f t="shared" si="21"/>
        <v/>
      </c>
      <c r="K305" s="18" t="str">
        <f>IF(A305="","",IFERROR(SUMIF(Transactions!A$4:A$1003,A305,Transactions!F$4:F$1003),0))</f>
        <v/>
      </c>
      <c r="L305" s="15" t="str">
        <f t="shared" si="22"/>
        <v/>
      </c>
      <c r="M305" s="12" t="str">
        <f t="shared" ca="1" si="23"/>
        <v/>
      </c>
      <c r="N305" s="19" t="str">
        <f t="shared" ca="1" si="24"/>
        <v/>
      </c>
    </row>
    <row r="306" spans="1:14" ht="15.75" customHeight="1" x14ac:dyDescent="0.25">
      <c r="A306" s="11"/>
      <c r="B306" s="11"/>
      <c r="C306" s="11"/>
      <c r="D306" s="11"/>
      <c r="E306" s="11"/>
      <c r="F306" s="17" t="str">
        <f>IF(E306=0,"",IFERROR(E306*Config!B18,0))</f>
        <v/>
      </c>
      <c r="G306" s="13" t="str">
        <f t="shared" si="20"/>
        <v/>
      </c>
      <c r="H306" s="11"/>
      <c r="I306" s="11"/>
      <c r="J306" s="16" t="str">
        <f t="shared" si="21"/>
        <v/>
      </c>
      <c r="K306" s="18" t="str">
        <f>IF(A306="","",IFERROR(SUMIF(Transactions!A$4:A$1003,A306,Transactions!F$4:F$1003),0))</f>
        <v/>
      </c>
      <c r="L306" s="15" t="str">
        <f t="shared" si="22"/>
        <v/>
      </c>
      <c r="M306" s="12" t="str">
        <f t="shared" ca="1" si="23"/>
        <v/>
      </c>
      <c r="N306" s="19" t="str">
        <f t="shared" ca="1" si="24"/>
        <v/>
      </c>
    </row>
    <row r="307" spans="1:14" ht="15.75" customHeight="1" x14ac:dyDescent="0.25">
      <c r="A307" s="11"/>
      <c r="B307" s="11"/>
      <c r="C307" s="11"/>
      <c r="D307" s="11"/>
      <c r="E307" s="11"/>
      <c r="F307" s="17" t="str">
        <f>IF(E307=0,"",IFERROR(E307*Config!B18,0))</f>
        <v/>
      </c>
      <c r="G307" s="13" t="str">
        <f t="shared" si="20"/>
        <v/>
      </c>
      <c r="H307" s="11"/>
      <c r="I307" s="11"/>
      <c r="J307" s="16" t="str">
        <f t="shared" si="21"/>
        <v/>
      </c>
      <c r="K307" s="18" t="str">
        <f>IF(A307="","",IFERROR(SUMIF(Transactions!A$4:A$1003,A307,Transactions!F$4:F$1003),0))</f>
        <v/>
      </c>
      <c r="L307" s="15" t="str">
        <f t="shared" si="22"/>
        <v/>
      </c>
      <c r="M307" s="12" t="str">
        <f t="shared" ca="1" si="23"/>
        <v/>
      </c>
      <c r="N307" s="19" t="str">
        <f t="shared" ca="1" si="24"/>
        <v/>
      </c>
    </row>
    <row r="308" spans="1:14" ht="15.75" customHeight="1" x14ac:dyDescent="0.25">
      <c r="A308" s="11"/>
      <c r="B308" s="11"/>
      <c r="C308" s="11"/>
      <c r="D308" s="11"/>
      <c r="E308" s="11"/>
      <c r="F308" s="17" t="str">
        <f>IF(E308=0,"",IFERROR(E308*Config!B18,0))</f>
        <v/>
      </c>
      <c r="G308" s="13" t="str">
        <f t="shared" si="20"/>
        <v/>
      </c>
      <c r="H308" s="11"/>
      <c r="I308" s="11"/>
      <c r="J308" s="16" t="str">
        <f t="shared" si="21"/>
        <v/>
      </c>
      <c r="K308" s="18" t="str">
        <f>IF(A308="","",IFERROR(SUMIF(Transactions!A$4:A$1003,A308,Transactions!F$4:F$1003),0))</f>
        <v/>
      </c>
      <c r="L308" s="15" t="str">
        <f t="shared" si="22"/>
        <v/>
      </c>
      <c r="M308" s="12" t="str">
        <f t="shared" ca="1" si="23"/>
        <v/>
      </c>
      <c r="N308" s="19" t="str">
        <f t="shared" ca="1" si="24"/>
        <v/>
      </c>
    </row>
    <row r="309" spans="1:14" ht="15.75" customHeight="1" x14ac:dyDescent="0.25">
      <c r="A309" s="11"/>
      <c r="B309" s="11"/>
      <c r="C309" s="11"/>
      <c r="D309" s="11"/>
      <c r="E309" s="11"/>
      <c r="F309" s="17" t="str">
        <f>IF(E309=0,"",IFERROR(E309*Config!B18,0))</f>
        <v/>
      </c>
      <c r="G309" s="13" t="str">
        <f t="shared" si="20"/>
        <v/>
      </c>
      <c r="H309" s="11"/>
      <c r="I309" s="11"/>
      <c r="J309" s="16" t="str">
        <f t="shared" si="21"/>
        <v/>
      </c>
      <c r="K309" s="18" t="str">
        <f>IF(A309="","",IFERROR(SUMIF(Transactions!A$4:A$1003,A309,Transactions!F$4:F$1003),0))</f>
        <v/>
      </c>
      <c r="L309" s="15" t="str">
        <f t="shared" si="22"/>
        <v/>
      </c>
      <c r="M309" s="12" t="str">
        <f t="shared" ca="1" si="23"/>
        <v/>
      </c>
      <c r="N309" s="19" t="str">
        <f t="shared" ca="1" si="24"/>
        <v/>
      </c>
    </row>
    <row r="310" spans="1:14" ht="15.75" customHeight="1" x14ac:dyDescent="0.25">
      <c r="A310" s="11"/>
      <c r="B310" s="11"/>
      <c r="C310" s="11"/>
      <c r="D310" s="11"/>
      <c r="E310" s="11"/>
      <c r="F310" s="17" t="str">
        <f>IF(E310=0,"",IFERROR(E310*Config!B18,0))</f>
        <v/>
      </c>
      <c r="G310" s="13" t="str">
        <f t="shared" si="20"/>
        <v/>
      </c>
      <c r="H310" s="11"/>
      <c r="I310" s="11"/>
      <c r="J310" s="16" t="str">
        <f t="shared" si="21"/>
        <v/>
      </c>
      <c r="K310" s="18" t="str">
        <f>IF(A310="","",IFERROR(SUMIF(Transactions!A$4:A$1003,A310,Transactions!F$4:F$1003),0))</f>
        <v/>
      </c>
      <c r="L310" s="15" t="str">
        <f t="shared" si="22"/>
        <v/>
      </c>
      <c r="M310" s="12" t="str">
        <f t="shared" ca="1" si="23"/>
        <v/>
      </c>
      <c r="N310" s="19" t="str">
        <f t="shared" ca="1" si="24"/>
        <v/>
      </c>
    </row>
    <row r="311" spans="1:14" ht="15.75" customHeight="1" x14ac:dyDescent="0.25">
      <c r="A311" s="11"/>
      <c r="B311" s="11"/>
      <c r="C311" s="11"/>
      <c r="D311" s="11"/>
      <c r="E311" s="11"/>
      <c r="F311" s="17" t="str">
        <f>IF(E311=0,"",IFERROR(E311*Config!B18,0))</f>
        <v/>
      </c>
      <c r="G311" s="13" t="str">
        <f t="shared" si="20"/>
        <v/>
      </c>
      <c r="H311" s="11"/>
      <c r="I311" s="11"/>
      <c r="J311" s="16" t="str">
        <f t="shared" si="21"/>
        <v/>
      </c>
      <c r="K311" s="18" t="str">
        <f>IF(A311="","",IFERROR(SUMIF(Transactions!A$4:A$1003,A311,Transactions!F$4:F$1003),0))</f>
        <v/>
      </c>
      <c r="L311" s="15" t="str">
        <f t="shared" si="22"/>
        <v/>
      </c>
      <c r="M311" s="12" t="str">
        <f t="shared" ca="1" si="23"/>
        <v/>
      </c>
      <c r="N311" s="19" t="str">
        <f t="shared" ca="1" si="24"/>
        <v/>
      </c>
    </row>
    <row r="312" spans="1:14" ht="15.75" customHeight="1" x14ac:dyDescent="0.25">
      <c r="A312" s="11"/>
      <c r="B312" s="11"/>
      <c r="C312" s="11"/>
      <c r="D312" s="11"/>
      <c r="E312" s="11"/>
      <c r="F312" s="17" t="str">
        <f>IF(E312=0,"",IFERROR(E312*Config!B18,0))</f>
        <v/>
      </c>
      <c r="G312" s="13" t="str">
        <f t="shared" si="20"/>
        <v/>
      </c>
      <c r="H312" s="11"/>
      <c r="I312" s="11"/>
      <c r="J312" s="16" t="str">
        <f t="shared" si="21"/>
        <v/>
      </c>
      <c r="K312" s="18" t="str">
        <f>IF(A312="","",IFERROR(SUMIF(Transactions!A$4:A$1003,A312,Transactions!F$4:F$1003),0))</f>
        <v/>
      </c>
      <c r="L312" s="15" t="str">
        <f t="shared" si="22"/>
        <v/>
      </c>
      <c r="M312" s="12" t="str">
        <f t="shared" ca="1" si="23"/>
        <v/>
      </c>
      <c r="N312" s="19" t="str">
        <f t="shared" ca="1" si="24"/>
        <v/>
      </c>
    </row>
    <row r="313" spans="1:14" ht="15.75" customHeight="1" x14ac:dyDescent="0.25">
      <c r="A313" s="11"/>
      <c r="B313" s="11"/>
      <c r="C313" s="11"/>
      <c r="D313" s="11"/>
      <c r="E313" s="11"/>
      <c r="F313" s="17" t="str">
        <f>IF(E313=0,"",IFERROR(E313*Config!B18,0))</f>
        <v/>
      </c>
      <c r="G313" s="13" t="str">
        <f t="shared" si="20"/>
        <v/>
      </c>
      <c r="H313" s="11"/>
      <c r="I313" s="11"/>
      <c r="J313" s="16" t="str">
        <f t="shared" si="21"/>
        <v/>
      </c>
      <c r="K313" s="18" t="str">
        <f>IF(A313="","",IFERROR(SUMIF(Transactions!A$4:A$1003,A313,Transactions!F$4:F$1003),0))</f>
        <v/>
      </c>
      <c r="L313" s="15" t="str">
        <f t="shared" si="22"/>
        <v/>
      </c>
      <c r="M313" s="12" t="str">
        <f t="shared" ca="1" si="23"/>
        <v/>
      </c>
      <c r="N313" s="19" t="str">
        <f t="shared" ca="1" si="24"/>
        <v/>
      </c>
    </row>
    <row r="314" spans="1:14" ht="15.75" customHeight="1" x14ac:dyDescent="0.25">
      <c r="A314" s="11"/>
      <c r="B314" s="11"/>
      <c r="C314" s="11"/>
      <c r="D314" s="11"/>
      <c r="E314" s="11"/>
      <c r="F314" s="17" t="str">
        <f>IF(E314=0,"",IFERROR(E314*Config!B18,0))</f>
        <v/>
      </c>
      <c r="G314" s="13" t="str">
        <f t="shared" si="20"/>
        <v/>
      </c>
      <c r="H314" s="11"/>
      <c r="I314" s="11"/>
      <c r="J314" s="16" t="str">
        <f t="shared" si="21"/>
        <v/>
      </c>
      <c r="K314" s="18" t="str">
        <f>IF(A314="","",IFERROR(SUMIF(Transactions!A$4:A$1003,A314,Transactions!F$4:F$1003),0))</f>
        <v/>
      </c>
      <c r="L314" s="15" t="str">
        <f t="shared" si="22"/>
        <v/>
      </c>
      <c r="M314" s="12" t="str">
        <f t="shared" ca="1" si="23"/>
        <v/>
      </c>
      <c r="N314" s="19" t="str">
        <f t="shared" ca="1" si="24"/>
        <v/>
      </c>
    </row>
    <row r="315" spans="1:14" ht="15.75" customHeight="1" x14ac:dyDescent="0.25">
      <c r="A315" s="11"/>
      <c r="B315" s="11"/>
      <c r="C315" s="11"/>
      <c r="D315" s="11"/>
      <c r="E315" s="11"/>
      <c r="F315" s="17" t="str">
        <f>IF(E315=0,"",IFERROR(E315*Config!B18,0))</f>
        <v/>
      </c>
      <c r="G315" s="13" t="str">
        <f t="shared" si="20"/>
        <v/>
      </c>
      <c r="H315" s="11"/>
      <c r="I315" s="11"/>
      <c r="J315" s="16" t="str">
        <f t="shared" si="21"/>
        <v/>
      </c>
      <c r="K315" s="18" t="str">
        <f>IF(A315="","",IFERROR(SUMIF(Transactions!A$4:A$1003,A315,Transactions!F$4:F$1003),0))</f>
        <v/>
      </c>
      <c r="L315" s="15" t="str">
        <f t="shared" si="22"/>
        <v/>
      </c>
      <c r="M315" s="12" t="str">
        <f t="shared" ca="1" si="23"/>
        <v/>
      </c>
      <c r="N315" s="19" t="str">
        <f t="shared" ca="1" si="24"/>
        <v/>
      </c>
    </row>
    <row r="316" spans="1:14" ht="15.75" customHeight="1" x14ac:dyDescent="0.25">
      <c r="A316" s="11"/>
      <c r="B316" s="11"/>
      <c r="C316" s="11"/>
      <c r="D316" s="11"/>
      <c r="E316" s="11"/>
      <c r="F316" s="17" t="str">
        <f>IF(E316=0,"",IFERROR(E316*Config!B18,0))</f>
        <v/>
      </c>
      <c r="G316" s="13" t="str">
        <f t="shared" si="20"/>
        <v/>
      </c>
      <c r="H316" s="11"/>
      <c r="I316" s="11"/>
      <c r="J316" s="16" t="str">
        <f t="shared" si="21"/>
        <v/>
      </c>
      <c r="K316" s="18" t="str">
        <f>IF(A316="","",IFERROR(SUMIF(Transactions!A$4:A$1003,A316,Transactions!F$4:F$1003),0))</f>
        <v/>
      </c>
      <c r="L316" s="15" t="str">
        <f t="shared" si="22"/>
        <v/>
      </c>
      <c r="M316" s="12" t="str">
        <f t="shared" ca="1" si="23"/>
        <v/>
      </c>
      <c r="N316" s="19" t="str">
        <f t="shared" ca="1" si="24"/>
        <v/>
      </c>
    </row>
    <row r="317" spans="1:14" ht="15.75" customHeight="1" x14ac:dyDescent="0.25">
      <c r="A317" s="11"/>
      <c r="B317" s="11"/>
      <c r="C317" s="11"/>
      <c r="D317" s="11"/>
      <c r="E317" s="11"/>
      <c r="F317" s="17" t="str">
        <f>IF(E317=0,"",IFERROR(E317*Config!B18,0))</f>
        <v/>
      </c>
      <c r="G317" s="13" t="str">
        <f t="shared" si="20"/>
        <v/>
      </c>
      <c r="H317" s="11"/>
      <c r="I317" s="11"/>
      <c r="J317" s="16" t="str">
        <f t="shared" si="21"/>
        <v/>
      </c>
      <c r="K317" s="18" t="str">
        <f>IF(A317="","",IFERROR(SUMIF(Transactions!A$4:A$1003,A317,Transactions!F$4:F$1003),0))</f>
        <v/>
      </c>
      <c r="L317" s="15" t="str">
        <f t="shared" si="22"/>
        <v/>
      </c>
      <c r="M317" s="12" t="str">
        <f t="shared" ca="1" si="23"/>
        <v/>
      </c>
      <c r="N317" s="19" t="str">
        <f t="shared" ca="1" si="24"/>
        <v/>
      </c>
    </row>
    <row r="318" spans="1:14" ht="15.75" customHeight="1" x14ac:dyDescent="0.25">
      <c r="A318" s="11"/>
      <c r="B318" s="11"/>
      <c r="C318" s="11"/>
      <c r="D318" s="11"/>
      <c r="E318" s="11"/>
      <c r="F318" s="17" t="str">
        <f>IF(E318=0,"",IFERROR(E318*Config!B18,0))</f>
        <v/>
      </c>
      <c r="G318" s="13" t="str">
        <f t="shared" si="20"/>
        <v/>
      </c>
      <c r="H318" s="11"/>
      <c r="I318" s="11"/>
      <c r="J318" s="16" t="str">
        <f t="shared" si="21"/>
        <v/>
      </c>
      <c r="K318" s="18" t="str">
        <f>IF(A318="","",IFERROR(SUMIF(Transactions!A$4:A$1003,A318,Transactions!F$4:F$1003),0))</f>
        <v/>
      </c>
      <c r="L318" s="15" t="str">
        <f t="shared" si="22"/>
        <v/>
      </c>
      <c r="M318" s="12" t="str">
        <f t="shared" ca="1" si="23"/>
        <v/>
      </c>
      <c r="N318" s="19" t="str">
        <f t="shared" ca="1" si="24"/>
        <v/>
      </c>
    </row>
    <row r="319" spans="1:14" ht="15.75" customHeight="1" x14ac:dyDescent="0.25">
      <c r="A319" s="11"/>
      <c r="B319" s="11"/>
      <c r="C319" s="11"/>
      <c r="D319" s="11"/>
      <c r="E319" s="11"/>
      <c r="F319" s="17" t="str">
        <f>IF(E319=0,"",IFERROR(E319*Config!B18,0))</f>
        <v/>
      </c>
      <c r="G319" s="13" t="str">
        <f t="shared" si="20"/>
        <v/>
      </c>
      <c r="H319" s="11"/>
      <c r="I319" s="11"/>
      <c r="J319" s="16" t="str">
        <f t="shared" si="21"/>
        <v/>
      </c>
      <c r="K319" s="18" t="str">
        <f>IF(A319="","",IFERROR(SUMIF(Transactions!A$4:A$1003,A319,Transactions!F$4:F$1003),0))</f>
        <v/>
      </c>
      <c r="L319" s="15" t="str">
        <f t="shared" si="22"/>
        <v/>
      </c>
      <c r="M319" s="12" t="str">
        <f t="shared" ca="1" si="23"/>
        <v/>
      </c>
      <c r="N319" s="19" t="str">
        <f t="shared" ca="1" si="24"/>
        <v/>
      </c>
    </row>
    <row r="320" spans="1:14" ht="15.75" customHeight="1" x14ac:dyDescent="0.25">
      <c r="A320" s="11"/>
      <c r="B320" s="11"/>
      <c r="C320" s="11"/>
      <c r="D320" s="11"/>
      <c r="E320" s="11"/>
      <c r="F320" s="17" t="str">
        <f>IF(E320=0,"",IFERROR(E320*Config!B18,0))</f>
        <v/>
      </c>
      <c r="G320" s="13" t="str">
        <f t="shared" si="20"/>
        <v/>
      </c>
      <c r="H320" s="11"/>
      <c r="I320" s="11"/>
      <c r="J320" s="16" t="str">
        <f t="shared" si="21"/>
        <v/>
      </c>
      <c r="K320" s="18" t="str">
        <f>IF(A320="","",IFERROR(SUMIF(Transactions!A$4:A$1003,A320,Transactions!F$4:F$1003),0))</f>
        <v/>
      </c>
      <c r="L320" s="15" t="str">
        <f t="shared" si="22"/>
        <v/>
      </c>
      <c r="M320" s="12" t="str">
        <f t="shared" ca="1" si="23"/>
        <v/>
      </c>
      <c r="N320" s="19" t="str">
        <f t="shared" ca="1" si="24"/>
        <v/>
      </c>
    </row>
    <row r="321" spans="1:14" ht="15.75" customHeight="1" x14ac:dyDescent="0.25">
      <c r="A321" s="11"/>
      <c r="B321" s="11"/>
      <c r="C321" s="11"/>
      <c r="D321" s="11"/>
      <c r="E321" s="11"/>
      <c r="F321" s="17" t="str">
        <f>IF(E321=0,"",IFERROR(E321*Config!B18,0))</f>
        <v/>
      </c>
      <c r="G321" s="13" t="str">
        <f t="shared" si="20"/>
        <v/>
      </c>
      <c r="H321" s="11"/>
      <c r="I321" s="11"/>
      <c r="J321" s="16" t="str">
        <f t="shared" si="21"/>
        <v/>
      </c>
      <c r="K321" s="18" t="str">
        <f>IF(A321="","",IFERROR(SUMIF(Transactions!A$4:A$1003,A321,Transactions!F$4:F$1003),0))</f>
        <v/>
      </c>
      <c r="L321" s="15" t="str">
        <f t="shared" si="22"/>
        <v/>
      </c>
      <c r="M321" s="12" t="str">
        <f t="shared" ca="1" si="23"/>
        <v/>
      </c>
      <c r="N321" s="19" t="str">
        <f t="shared" ca="1" si="24"/>
        <v/>
      </c>
    </row>
    <row r="322" spans="1:14" ht="15.75" customHeight="1" x14ac:dyDescent="0.25">
      <c r="A322" s="11"/>
      <c r="B322" s="11"/>
      <c r="C322" s="11"/>
      <c r="D322" s="11"/>
      <c r="E322" s="11"/>
      <c r="F322" s="17" t="str">
        <f>IF(E322=0,"",IFERROR(E322*Config!B18,0))</f>
        <v/>
      </c>
      <c r="G322" s="13" t="str">
        <f t="shared" si="20"/>
        <v/>
      </c>
      <c r="H322" s="11"/>
      <c r="I322" s="11"/>
      <c r="J322" s="16" t="str">
        <f t="shared" si="21"/>
        <v/>
      </c>
      <c r="K322" s="18" t="str">
        <f>IF(A322="","",IFERROR(SUMIF(Transactions!A$4:A$1003,A322,Transactions!F$4:F$1003),0))</f>
        <v/>
      </c>
      <c r="L322" s="15" t="str">
        <f t="shared" si="22"/>
        <v/>
      </c>
      <c r="M322" s="12" t="str">
        <f t="shared" ca="1" si="23"/>
        <v/>
      </c>
      <c r="N322" s="19" t="str">
        <f t="shared" ca="1" si="24"/>
        <v/>
      </c>
    </row>
    <row r="323" spans="1:14" ht="15.75" customHeight="1" x14ac:dyDescent="0.25">
      <c r="A323" s="11"/>
      <c r="B323" s="11"/>
      <c r="C323" s="11"/>
      <c r="D323" s="11"/>
      <c r="E323" s="11"/>
      <c r="F323" s="17" t="str">
        <f>IF(E323=0,"",IFERROR(E323*Config!B18,0))</f>
        <v/>
      </c>
      <c r="G323" s="13" t="str">
        <f t="shared" si="20"/>
        <v/>
      </c>
      <c r="H323" s="11"/>
      <c r="I323" s="11"/>
      <c r="J323" s="16" t="str">
        <f t="shared" si="21"/>
        <v/>
      </c>
      <c r="K323" s="18" t="str">
        <f>IF(A323="","",IFERROR(SUMIF(Transactions!A$4:A$1003,A323,Transactions!F$4:F$1003),0))</f>
        <v/>
      </c>
      <c r="L323" s="15" t="str">
        <f t="shared" si="22"/>
        <v/>
      </c>
      <c r="M323" s="12" t="str">
        <f t="shared" ca="1" si="23"/>
        <v/>
      </c>
      <c r="N323" s="19" t="str">
        <f t="shared" ca="1" si="24"/>
        <v/>
      </c>
    </row>
    <row r="324" spans="1:14" ht="15.75" customHeight="1" x14ac:dyDescent="0.25">
      <c r="A324" s="11"/>
      <c r="B324" s="11"/>
      <c r="C324" s="11"/>
      <c r="D324" s="11"/>
      <c r="E324" s="11"/>
      <c r="F324" s="17" t="str">
        <f>IF(E324=0,"",IFERROR(E324*Config!B18,0))</f>
        <v/>
      </c>
      <c r="G324" s="13" t="str">
        <f t="shared" ref="G324:G387" si="25">IF(E324=0,"",MAX(0,E324-F324))</f>
        <v/>
      </c>
      <c r="H324" s="11"/>
      <c r="I324" s="11"/>
      <c r="J324" s="16" t="str">
        <f t="shared" ref="J324:J387" si="26">IF(E324=0,"",IFERROR(-PMT(H324/100/12,I324,-E324),0))</f>
        <v/>
      </c>
      <c r="K324" s="18" t="str">
        <f>IF(A324="","",IFERROR(SUMIF(Transactions!A$4:A$1003,A324,Transactions!F$4:F$1003),0))</f>
        <v/>
      </c>
      <c r="L324" s="15" t="str">
        <f t="shared" ref="L324:L387" si="27">IF(E324=0,"",MAX(0,E324-K324))</f>
        <v/>
      </c>
      <c r="M324" s="12" t="str">
        <f t="shared" ref="M324:M387" ca="1" si="28">IF(A324="","",IF(L324&lt;=0,"✅ Fully Paid",IF(AND(D324&lt;&gt;"",TODAY()&gt;D324+I324*30),"⚠ Overdue","🟢 Active")))</f>
        <v/>
      </c>
      <c r="N324" s="19" t="str">
        <f t="shared" ref="N324:N387" ca="1" si="29">IF(L324&lt;=0,TODAY(),"")</f>
        <v/>
      </c>
    </row>
    <row r="325" spans="1:14" ht="15.75" customHeight="1" x14ac:dyDescent="0.25">
      <c r="A325" s="11"/>
      <c r="B325" s="11"/>
      <c r="C325" s="11"/>
      <c r="D325" s="11"/>
      <c r="E325" s="11"/>
      <c r="F325" s="17" t="str">
        <f>IF(E325=0,"",IFERROR(E325*Config!B18,0))</f>
        <v/>
      </c>
      <c r="G325" s="13" t="str">
        <f t="shared" si="25"/>
        <v/>
      </c>
      <c r="H325" s="11"/>
      <c r="I325" s="11"/>
      <c r="J325" s="16" t="str">
        <f t="shared" si="26"/>
        <v/>
      </c>
      <c r="K325" s="18" t="str">
        <f>IF(A325="","",IFERROR(SUMIF(Transactions!A$4:A$1003,A325,Transactions!F$4:F$1003),0))</f>
        <v/>
      </c>
      <c r="L325" s="15" t="str">
        <f t="shared" si="27"/>
        <v/>
      </c>
      <c r="M325" s="12" t="str">
        <f t="shared" ca="1" si="28"/>
        <v/>
      </c>
      <c r="N325" s="19" t="str">
        <f t="shared" ca="1" si="29"/>
        <v/>
      </c>
    </row>
    <row r="326" spans="1:14" ht="15.75" customHeight="1" x14ac:dyDescent="0.25">
      <c r="A326" s="11"/>
      <c r="B326" s="11"/>
      <c r="C326" s="11"/>
      <c r="D326" s="11"/>
      <c r="E326" s="11"/>
      <c r="F326" s="17" t="str">
        <f>IF(E326=0,"",IFERROR(E326*Config!B18,0))</f>
        <v/>
      </c>
      <c r="G326" s="13" t="str">
        <f t="shared" si="25"/>
        <v/>
      </c>
      <c r="H326" s="11"/>
      <c r="I326" s="11"/>
      <c r="J326" s="16" t="str">
        <f t="shared" si="26"/>
        <v/>
      </c>
      <c r="K326" s="18" t="str">
        <f>IF(A326="","",IFERROR(SUMIF(Transactions!A$4:A$1003,A326,Transactions!F$4:F$1003),0))</f>
        <v/>
      </c>
      <c r="L326" s="15" t="str">
        <f t="shared" si="27"/>
        <v/>
      </c>
      <c r="M326" s="12" t="str">
        <f t="shared" ca="1" si="28"/>
        <v/>
      </c>
      <c r="N326" s="19" t="str">
        <f t="shared" ca="1" si="29"/>
        <v/>
      </c>
    </row>
    <row r="327" spans="1:14" ht="15.75" customHeight="1" x14ac:dyDescent="0.25">
      <c r="A327" s="11"/>
      <c r="B327" s="11"/>
      <c r="C327" s="11"/>
      <c r="D327" s="11"/>
      <c r="E327" s="11"/>
      <c r="F327" s="17" t="str">
        <f>IF(E327=0,"",IFERROR(E327*Config!B18,0))</f>
        <v/>
      </c>
      <c r="G327" s="13" t="str">
        <f t="shared" si="25"/>
        <v/>
      </c>
      <c r="H327" s="11"/>
      <c r="I327" s="11"/>
      <c r="J327" s="16" t="str">
        <f t="shared" si="26"/>
        <v/>
      </c>
      <c r="K327" s="18" t="str">
        <f>IF(A327="","",IFERROR(SUMIF(Transactions!A$4:A$1003,A327,Transactions!F$4:F$1003),0))</f>
        <v/>
      </c>
      <c r="L327" s="15" t="str">
        <f t="shared" si="27"/>
        <v/>
      </c>
      <c r="M327" s="12" t="str">
        <f t="shared" ca="1" si="28"/>
        <v/>
      </c>
      <c r="N327" s="19" t="str">
        <f t="shared" ca="1" si="29"/>
        <v/>
      </c>
    </row>
    <row r="328" spans="1:14" ht="15.75" customHeight="1" x14ac:dyDescent="0.25">
      <c r="A328" s="11"/>
      <c r="B328" s="11"/>
      <c r="C328" s="11"/>
      <c r="D328" s="11"/>
      <c r="E328" s="11"/>
      <c r="F328" s="17" t="str">
        <f>IF(E328=0,"",IFERROR(E328*Config!B18,0))</f>
        <v/>
      </c>
      <c r="G328" s="13" t="str">
        <f t="shared" si="25"/>
        <v/>
      </c>
      <c r="H328" s="11"/>
      <c r="I328" s="11"/>
      <c r="J328" s="16" t="str">
        <f t="shared" si="26"/>
        <v/>
      </c>
      <c r="K328" s="18" t="str">
        <f>IF(A328="","",IFERROR(SUMIF(Transactions!A$4:A$1003,A328,Transactions!F$4:F$1003),0))</f>
        <v/>
      </c>
      <c r="L328" s="15" t="str">
        <f t="shared" si="27"/>
        <v/>
      </c>
      <c r="M328" s="12" t="str">
        <f t="shared" ca="1" si="28"/>
        <v/>
      </c>
      <c r="N328" s="19" t="str">
        <f t="shared" ca="1" si="29"/>
        <v/>
      </c>
    </row>
    <row r="329" spans="1:14" ht="15.75" customHeight="1" x14ac:dyDescent="0.25">
      <c r="A329" s="11"/>
      <c r="B329" s="11"/>
      <c r="C329" s="11"/>
      <c r="D329" s="11"/>
      <c r="E329" s="11"/>
      <c r="F329" s="17" t="str">
        <f>IF(E329=0,"",IFERROR(E329*Config!B18,0))</f>
        <v/>
      </c>
      <c r="G329" s="13" t="str">
        <f t="shared" si="25"/>
        <v/>
      </c>
      <c r="H329" s="11"/>
      <c r="I329" s="11"/>
      <c r="J329" s="16" t="str">
        <f t="shared" si="26"/>
        <v/>
      </c>
      <c r="K329" s="18" t="str">
        <f>IF(A329="","",IFERROR(SUMIF(Transactions!A$4:A$1003,A329,Transactions!F$4:F$1003),0))</f>
        <v/>
      </c>
      <c r="L329" s="15" t="str">
        <f t="shared" si="27"/>
        <v/>
      </c>
      <c r="M329" s="12" t="str">
        <f t="shared" ca="1" si="28"/>
        <v/>
      </c>
      <c r="N329" s="19" t="str">
        <f t="shared" ca="1" si="29"/>
        <v/>
      </c>
    </row>
    <row r="330" spans="1:14" ht="15.75" customHeight="1" x14ac:dyDescent="0.25">
      <c r="A330" s="11"/>
      <c r="B330" s="11"/>
      <c r="C330" s="11"/>
      <c r="D330" s="11"/>
      <c r="E330" s="11"/>
      <c r="F330" s="17" t="str">
        <f>IF(E330=0,"",IFERROR(E330*Config!B18,0))</f>
        <v/>
      </c>
      <c r="G330" s="13" t="str">
        <f t="shared" si="25"/>
        <v/>
      </c>
      <c r="H330" s="11"/>
      <c r="I330" s="11"/>
      <c r="J330" s="16" t="str">
        <f t="shared" si="26"/>
        <v/>
      </c>
      <c r="K330" s="18" t="str">
        <f>IF(A330="","",IFERROR(SUMIF(Transactions!A$4:A$1003,A330,Transactions!F$4:F$1003),0))</f>
        <v/>
      </c>
      <c r="L330" s="15" t="str">
        <f t="shared" si="27"/>
        <v/>
      </c>
      <c r="M330" s="12" t="str">
        <f t="shared" ca="1" si="28"/>
        <v/>
      </c>
      <c r="N330" s="19" t="str">
        <f t="shared" ca="1" si="29"/>
        <v/>
      </c>
    </row>
    <row r="331" spans="1:14" ht="15.75" customHeight="1" x14ac:dyDescent="0.25">
      <c r="A331" s="11"/>
      <c r="B331" s="11"/>
      <c r="C331" s="11"/>
      <c r="D331" s="11"/>
      <c r="E331" s="11"/>
      <c r="F331" s="17" t="str">
        <f>IF(E331=0,"",IFERROR(E331*Config!B18,0))</f>
        <v/>
      </c>
      <c r="G331" s="13" t="str">
        <f t="shared" si="25"/>
        <v/>
      </c>
      <c r="H331" s="11"/>
      <c r="I331" s="11"/>
      <c r="J331" s="16" t="str">
        <f t="shared" si="26"/>
        <v/>
      </c>
      <c r="K331" s="18" t="str">
        <f>IF(A331="","",IFERROR(SUMIF(Transactions!A$4:A$1003,A331,Transactions!F$4:F$1003),0))</f>
        <v/>
      </c>
      <c r="L331" s="15" t="str">
        <f t="shared" si="27"/>
        <v/>
      </c>
      <c r="M331" s="12" t="str">
        <f t="shared" ca="1" si="28"/>
        <v/>
      </c>
      <c r="N331" s="19" t="str">
        <f t="shared" ca="1" si="29"/>
        <v/>
      </c>
    </row>
    <row r="332" spans="1:14" ht="15.75" customHeight="1" x14ac:dyDescent="0.25">
      <c r="A332" s="11"/>
      <c r="B332" s="11"/>
      <c r="C332" s="11"/>
      <c r="D332" s="11"/>
      <c r="E332" s="11"/>
      <c r="F332" s="17" t="str">
        <f>IF(E332=0,"",IFERROR(E332*Config!B18,0))</f>
        <v/>
      </c>
      <c r="G332" s="13" t="str">
        <f t="shared" si="25"/>
        <v/>
      </c>
      <c r="H332" s="11"/>
      <c r="I332" s="11"/>
      <c r="J332" s="16" t="str">
        <f t="shared" si="26"/>
        <v/>
      </c>
      <c r="K332" s="18" t="str">
        <f>IF(A332="","",IFERROR(SUMIF(Transactions!A$4:A$1003,A332,Transactions!F$4:F$1003),0))</f>
        <v/>
      </c>
      <c r="L332" s="15" t="str">
        <f t="shared" si="27"/>
        <v/>
      </c>
      <c r="M332" s="12" t="str">
        <f t="shared" ca="1" si="28"/>
        <v/>
      </c>
      <c r="N332" s="19" t="str">
        <f t="shared" ca="1" si="29"/>
        <v/>
      </c>
    </row>
    <row r="333" spans="1:14" ht="15.75" customHeight="1" x14ac:dyDescent="0.25">
      <c r="A333" s="11"/>
      <c r="B333" s="11"/>
      <c r="C333" s="11"/>
      <c r="D333" s="11"/>
      <c r="E333" s="11"/>
      <c r="F333" s="17" t="str">
        <f>IF(E333=0,"",IFERROR(E333*Config!B18,0))</f>
        <v/>
      </c>
      <c r="G333" s="13" t="str">
        <f t="shared" si="25"/>
        <v/>
      </c>
      <c r="H333" s="11"/>
      <c r="I333" s="11"/>
      <c r="J333" s="16" t="str">
        <f t="shared" si="26"/>
        <v/>
      </c>
      <c r="K333" s="18" t="str">
        <f>IF(A333="","",IFERROR(SUMIF(Transactions!A$4:A$1003,A333,Transactions!F$4:F$1003),0))</f>
        <v/>
      </c>
      <c r="L333" s="15" t="str">
        <f t="shared" si="27"/>
        <v/>
      </c>
      <c r="M333" s="12" t="str">
        <f t="shared" ca="1" si="28"/>
        <v/>
      </c>
      <c r="N333" s="19" t="str">
        <f t="shared" ca="1" si="29"/>
        <v/>
      </c>
    </row>
    <row r="334" spans="1:14" ht="15.75" customHeight="1" x14ac:dyDescent="0.25">
      <c r="A334" s="11"/>
      <c r="B334" s="11"/>
      <c r="C334" s="11"/>
      <c r="D334" s="11"/>
      <c r="E334" s="11"/>
      <c r="F334" s="17" t="str">
        <f>IF(E334=0,"",IFERROR(E334*Config!B18,0))</f>
        <v/>
      </c>
      <c r="G334" s="13" t="str">
        <f t="shared" si="25"/>
        <v/>
      </c>
      <c r="H334" s="11"/>
      <c r="I334" s="11"/>
      <c r="J334" s="16" t="str">
        <f t="shared" si="26"/>
        <v/>
      </c>
      <c r="K334" s="18" t="str">
        <f>IF(A334="","",IFERROR(SUMIF(Transactions!A$4:A$1003,A334,Transactions!F$4:F$1003),0))</f>
        <v/>
      </c>
      <c r="L334" s="15" t="str">
        <f t="shared" si="27"/>
        <v/>
      </c>
      <c r="M334" s="12" t="str">
        <f t="shared" ca="1" si="28"/>
        <v/>
      </c>
      <c r="N334" s="19" t="str">
        <f t="shared" ca="1" si="29"/>
        <v/>
      </c>
    </row>
    <row r="335" spans="1:14" ht="15.75" customHeight="1" x14ac:dyDescent="0.25">
      <c r="A335" s="11"/>
      <c r="B335" s="11"/>
      <c r="C335" s="11"/>
      <c r="D335" s="11"/>
      <c r="E335" s="11"/>
      <c r="F335" s="17" t="str">
        <f>IF(E335=0,"",IFERROR(E335*Config!B18,0))</f>
        <v/>
      </c>
      <c r="G335" s="13" t="str">
        <f t="shared" si="25"/>
        <v/>
      </c>
      <c r="H335" s="11"/>
      <c r="I335" s="11"/>
      <c r="J335" s="16" t="str">
        <f t="shared" si="26"/>
        <v/>
      </c>
      <c r="K335" s="18" t="str">
        <f>IF(A335="","",IFERROR(SUMIF(Transactions!A$4:A$1003,A335,Transactions!F$4:F$1003),0))</f>
        <v/>
      </c>
      <c r="L335" s="15" t="str">
        <f t="shared" si="27"/>
        <v/>
      </c>
      <c r="M335" s="12" t="str">
        <f t="shared" ca="1" si="28"/>
        <v/>
      </c>
      <c r="N335" s="19" t="str">
        <f t="shared" ca="1" si="29"/>
        <v/>
      </c>
    </row>
    <row r="336" spans="1:14" ht="15.75" customHeight="1" x14ac:dyDescent="0.25">
      <c r="A336" s="11"/>
      <c r="B336" s="11"/>
      <c r="C336" s="11"/>
      <c r="D336" s="11"/>
      <c r="E336" s="11"/>
      <c r="F336" s="17" t="str">
        <f>IF(E336=0,"",IFERROR(E336*Config!B18,0))</f>
        <v/>
      </c>
      <c r="G336" s="13" t="str">
        <f t="shared" si="25"/>
        <v/>
      </c>
      <c r="H336" s="11"/>
      <c r="I336" s="11"/>
      <c r="J336" s="16" t="str">
        <f t="shared" si="26"/>
        <v/>
      </c>
      <c r="K336" s="18" t="str">
        <f>IF(A336="","",IFERROR(SUMIF(Transactions!A$4:A$1003,A336,Transactions!F$4:F$1003),0))</f>
        <v/>
      </c>
      <c r="L336" s="15" t="str">
        <f t="shared" si="27"/>
        <v/>
      </c>
      <c r="M336" s="12" t="str">
        <f t="shared" ca="1" si="28"/>
        <v/>
      </c>
      <c r="N336" s="19" t="str">
        <f t="shared" ca="1" si="29"/>
        <v/>
      </c>
    </row>
    <row r="337" spans="1:14" ht="15.75" customHeight="1" x14ac:dyDescent="0.25">
      <c r="A337" s="11"/>
      <c r="B337" s="11"/>
      <c r="C337" s="11"/>
      <c r="D337" s="11"/>
      <c r="E337" s="11"/>
      <c r="F337" s="17" t="str">
        <f>IF(E337=0,"",IFERROR(E337*Config!B18,0))</f>
        <v/>
      </c>
      <c r="G337" s="13" t="str">
        <f t="shared" si="25"/>
        <v/>
      </c>
      <c r="H337" s="11"/>
      <c r="I337" s="11"/>
      <c r="J337" s="16" t="str">
        <f t="shared" si="26"/>
        <v/>
      </c>
      <c r="K337" s="18" t="str">
        <f>IF(A337="","",IFERROR(SUMIF(Transactions!A$4:A$1003,A337,Transactions!F$4:F$1003),0))</f>
        <v/>
      </c>
      <c r="L337" s="15" t="str">
        <f t="shared" si="27"/>
        <v/>
      </c>
      <c r="M337" s="12" t="str">
        <f t="shared" ca="1" si="28"/>
        <v/>
      </c>
      <c r="N337" s="19" t="str">
        <f t="shared" ca="1" si="29"/>
        <v/>
      </c>
    </row>
    <row r="338" spans="1:14" ht="15.75" customHeight="1" x14ac:dyDescent="0.25">
      <c r="A338" s="11"/>
      <c r="B338" s="11"/>
      <c r="C338" s="11"/>
      <c r="D338" s="11"/>
      <c r="E338" s="11"/>
      <c r="F338" s="17" t="str">
        <f>IF(E338=0,"",IFERROR(E338*Config!B18,0))</f>
        <v/>
      </c>
      <c r="G338" s="13" t="str">
        <f t="shared" si="25"/>
        <v/>
      </c>
      <c r="H338" s="11"/>
      <c r="I338" s="11"/>
      <c r="J338" s="16" t="str">
        <f t="shared" si="26"/>
        <v/>
      </c>
      <c r="K338" s="18" t="str">
        <f>IF(A338="","",IFERROR(SUMIF(Transactions!A$4:A$1003,A338,Transactions!F$4:F$1003),0))</f>
        <v/>
      </c>
      <c r="L338" s="15" t="str">
        <f t="shared" si="27"/>
        <v/>
      </c>
      <c r="M338" s="12" t="str">
        <f t="shared" ca="1" si="28"/>
        <v/>
      </c>
      <c r="N338" s="19" t="str">
        <f t="shared" ca="1" si="29"/>
        <v/>
      </c>
    </row>
    <row r="339" spans="1:14" ht="15.75" customHeight="1" x14ac:dyDescent="0.25">
      <c r="A339" s="11"/>
      <c r="B339" s="11"/>
      <c r="C339" s="11"/>
      <c r="D339" s="11"/>
      <c r="E339" s="11"/>
      <c r="F339" s="17" t="str">
        <f>IF(E339=0,"",IFERROR(E339*Config!B18,0))</f>
        <v/>
      </c>
      <c r="G339" s="13" t="str">
        <f t="shared" si="25"/>
        <v/>
      </c>
      <c r="H339" s="11"/>
      <c r="I339" s="11"/>
      <c r="J339" s="16" t="str">
        <f t="shared" si="26"/>
        <v/>
      </c>
      <c r="K339" s="18" t="str">
        <f>IF(A339="","",IFERROR(SUMIF(Transactions!A$4:A$1003,A339,Transactions!F$4:F$1003),0))</f>
        <v/>
      </c>
      <c r="L339" s="15" t="str">
        <f t="shared" si="27"/>
        <v/>
      </c>
      <c r="M339" s="12" t="str">
        <f t="shared" ca="1" si="28"/>
        <v/>
      </c>
      <c r="N339" s="19" t="str">
        <f t="shared" ca="1" si="29"/>
        <v/>
      </c>
    </row>
    <row r="340" spans="1:14" ht="15.75" customHeight="1" x14ac:dyDescent="0.25">
      <c r="A340" s="11"/>
      <c r="B340" s="11"/>
      <c r="C340" s="11"/>
      <c r="D340" s="11"/>
      <c r="E340" s="11"/>
      <c r="F340" s="17" t="str">
        <f>IF(E340=0,"",IFERROR(E340*Config!B18,0))</f>
        <v/>
      </c>
      <c r="G340" s="13" t="str">
        <f t="shared" si="25"/>
        <v/>
      </c>
      <c r="H340" s="11"/>
      <c r="I340" s="11"/>
      <c r="J340" s="16" t="str">
        <f t="shared" si="26"/>
        <v/>
      </c>
      <c r="K340" s="18" t="str">
        <f>IF(A340="","",IFERROR(SUMIF(Transactions!A$4:A$1003,A340,Transactions!F$4:F$1003),0))</f>
        <v/>
      </c>
      <c r="L340" s="15" t="str">
        <f t="shared" si="27"/>
        <v/>
      </c>
      <c r="M340" s="12" t="str">
        <f t="shared" ca="1" si="28"/>
        <v/>
      </c>
      <c r="N340" s="19" t="str">
        <f t="shared" ca="1" si="29"/>
        <v/>
      </c>
    </row>
    <row r="341" spans="1:14" ht="15.75" customHeight="1" x14ac:dyDescent="0.25">
      <c r="A341" s="11"/>
      <c r="B341" s="11"/>
      <c r="C341" s="11"/>
      <c r="D341" s="11"/>
      <c r="E341" s="11"/>
      <c r="F341" s="17" t="str">
        <f>IF(E341=0,"",IFERROR(E341*Config!B18,0))</f>
        <v/>
      </c>
      <c r="G341" s="13" t="str">
        <f t="shared" si="25"/>
        <v/>
      </c>
      <c r="H341" s="11"/>
      <c r="I341" s="11"/>
      <c r="J341" s="16" t="str">
        <f t="shared" si="26"/>
        <v/>
      </c>
      <c r="K341" s="18" t="str">
        <f>IF(A341="","",IFERROR(SUMIF(Transactions!A$4:A$1003,A341,Transactions!F$4:F$1003),0))</f>
        <v/>
      </c>
      <c r="L341" s="15" t="str">
        <f t="shared" si="27"/>
        <v/>
      </c>
      <c r="M341" s="12" t="str">
        <f t="shared" ca="1" si="28"/>
        <v/>
      </c>
      <c r="N341" s="19" t="str">
        <f t="shared" ca="1" si="29"/>
        <v/>
      </c>
    </row>
    <row r="342" spans="1:14" ht="15.75" customHeight="1" x14ac:dyDescent="0.25">
      <c r="A342" s="11"/>
      <c r="B342" s="11"/>
      <c r="C342" s="11"/>
      <c r="D342" s="11"/>
      <c r="E342" s="11"/>
      <c r="F342" s="17" t="str">
        <f>IF(E342=0,"",IFERROR(E342*Config!B18,0))</f>
        <v/>
      </c>
      <c r="G342" s="13" t="str">
        <f t="shared" si="25"/>
        <v/>
      </c>
      <c r="H342" s="11"/>
      <c r="I342" s="11"/>
      <c r="J342" s="16" t="str">
        <f t="shared" si="26"/>
        <v/>
      </c>
      <c r="K342" s="18" t="str">
        <f>IF(A342="","",IFERROR(SUMIF(Transactions!A$4:A$1003,A342,Transactions!F$4:F$1003),0))</f>
        <v/>
      </c>
      <c r="L342" s="15" t="str">
        <f t="shared" si="27"/>
        <v/>
      </c>
      <c r="M342" s="12" t="str">
        <f t="shared" ca="1" si="28"/>
        <v/>
      </c>
      <c r="N342" s="19" t="str">
        <f t="shared" ca="1" si="29"/>
        <v/>
      </c>
    </row>
    <row r="343" spans="1:14" ht="15.75" customHeight="1" x14ac:dyDescent="0.25">
      <c r="A343" s="11"/>
      <c r="B343" s="11"/>
      <c r="C343" s="11"/>
      <c r="D343" s="11"/>
      <c r="E343" s="11"/>
      <c r="F343" s="17" t="str">
        <f>IF(E343=0,"",IFERROR(E343*Config!B18,0))</f>
        <v/>
      </c>
      <c r="G343" s="13" t="str">
        <f t="shared" si="25"/>
        <v/>
      </c>
      <c r="H343" s="11"/>
      <c r="I343" s="11"/>
      <c r="J343" s="16" t="str">
        <f t="shared" si="26"/>
        <v/>
      </c>
      <c r="K343" s="18" t="str">
        <f>IF(A343="","",IFERROR(SUMIF(Transactions!A$4:A$1003,A343,Transactions!F$4:F$1003),0))</f>
        <v/>
      </c>
      <c r="L343" s="15" t="str">
        <f t="shared" si="27"/>
        <v/>
      </c>
      <c r="M343" s="12" t="str">
        <f t="shared" ca="1" si="28"/>
        <v/>
      </c>
      <c r="N343" s="19" t="str">
        <f t="shared" ca="1" si="29"/>
        <v/>
      </c>
    </row>
    <row r="344" spans="1:14" ht="15.75" customHeight="1" x14ac:dyDescent="0.25">
      <c r="A344" s="11"/>
      <c r="B344" s="11"/>
      <c r="C344" s="11"/>
      <c r="D344" s="11"/>
      <c r="E344" s="11"/>
      <c r="F344" s="17" t="str">
        <f>IF(E344=0,"",IFERROR(E344*Config!B18,0))</f>
        <v/>
      </c>
      <c r="G344" s="13" t="str">
        <f t="shared" si="25"/>
        <v/>
      </c>
      <c r="H344" s="11"/>
      <c r="I344" s="11"/>
      <c r="J344" s="16" t="str">
        <f t="shared" si="26"/>
        <v/>
      </c>
      <c r="K344" s="18" t="str">
        <f>IF(A344="","",IFERROR(SUMIF(Transactions!A$4:A$1003,A344,Transactions!F$4:F$1003),0))</f>
        <v/>
      </c>
      <c r="L344" s="15" t="str">
        <f t="shared" si="27"/>
        <v/>
      </c>
      <c r="M344" s="12" t="str">
        <f t="shared" ca="1" si="28"/>
        <v/>
      </c>
      <c r="N344" s="19" t="str">
        <f t="shared" ca="1" si="29"/>
        <v/>
      </c>
    </row>
    <row r="345" spans="1:14" ht="15.75" customHeight="1" x14ac:dyDescent="0.25">
      <c r="A345" s="11"/>
      <c r="B345" s="11"/>
      <c r="C345" s="11"/>
      <c r="D345" s="11"/>
      <c r="E345" s="11"/>
      <c r="F345" s="17" t="str">
        <f>IF(E345=0,"",IFERROR(E345*Config!B18,0))</f>
        <v/>
      </c>
      <c r="G345" s="13" t="str">
        <f t="shared" si="25"/>
        <v/>
      </c>
      <c r="H345" s="11"/>
      <c r="I345" s="11"/>
      <c r="J345" s="16" t="str">
        <f t="shared" si="26"/>
        <v/>
      </c>
      <c r="K345" s="18" t="str">
        <f>IF(A345="","",IFERROR(SUMIF(Transactions!A$4:A$1003,A345,Transactions!F$4:F$1003),0))</f>
        <v/>
      </c>
      <c r="L345" s="15" t="str">
        <f t="shared" si="27"/>
        <v/>
      </c>
      <c r="M345" s="12" t="str">
        <f t="shared" ca="1" si="28"/>
        <v/>
      </c>
      <c r="N345" s="19" t="str">
        <f t="shared" ca="1" si="29"/>
        <v/>
      </c>
    </row>
    <row r="346" spans="1:14" ht="15.75" customHeight="1" x14ac:dyDescent="0.25">
      <c r="A346" s="11"/>
      <c r="B346" s="11"/>
      <c r="C346" s="11"/>
      <c r="D346" s="11"/>
      <c r="E346" s="11"/>
      <c r="F346" s="17" t="str">
        <f>IF(E346=0,"",IFERROR(E346*Config!B18,0))</f>
        <v/>
      </c>
      <c r="G346" s="13" t="str">
        <f t="shared" si="25"/>
        <v/>
      </c>
      <c r="H346" s="11"/>
      <c r="I346" s="11"/>
      <c r="J346" s="16" t="str">
        <f t="shared" si="26"/>
        <v/>
      </c>
      <c r="K346" s="18" t="str">
        <f>IF(A346="","",IFERROR(SUMIF(Transactions!A$4:A$1003,A346,Transactions!F$4:F$1003),0))</f>
        <v/>
      </c>
      <c r="L346" s="15" t="str">
        <f t="shared" si="27"/>
        <v/>
      </c>
      <c r="M346" s="12" t="str">
        <f t="shared" ca="1" si="28"/>
        <v/>
      </c>
      <c r="N346" s="19" t="str">
        <f t="shared" ca="1" si="29"/>
        <v/>
      </c>
    </row>
    <row r="347" spans="1:14" ht="15.75" customHeight="1" x14ac:dyDescent="0.25">
      <c r="A347" s="11"/>
      <c r="B347" s="11"/>
      <c r="C347" s="11"/>
      <c r="D347" s="11"/>
      <c r="E347" s="11"/>
      <c r="F347" s="17" t="str">
        <f>IF(E347=0,"",IFERROR(E347*Config!B18,0))</f>
        <v/>
      </c>
      <c r="G347" s="13" t="str">
        <f t="shared" si="25"/>
        <v/>
      </c>
      <c r="H347" s="11"/>
      <c r="I347" s="11"/>
      <c r="J347" s="16" t="str">
        <f t="shared" si="26"/>
        <v/>
      </c>
      <c r="K347" s="18" t="str">
        <f>IF(A347="","",IFERROR(SUMIF(Transactions!A$4:A$1003,A347,Transactions!F$4:F$1003),0))</f>
        <v/>
      </c>
      <c r="L347" s="15" t="str">
        <f t="shared" si="27"/>
        <v/>
      </c>
      <c r="M347" s="12" t="str">
        <f t="shared" ca="1" si="28"/>
        <v/>
      </c>
      <c r="N347" s="19" t="str">
        <f t="shared" ca="1" si="29"/>
        <v/>
      </c>
    </row>
    <row r="348" spans="1:14" ht="15.75" customHeight="1" x14ac:dyDescent="0.25">
      <c r="A348" s="11"/>
      <c r="B348" s="11"/>
      <c r="C348" s="11"/>
      <c r="D348" s="11"/>
      <c r="E348" s="11"/>
      <c r="F348" s="17" t="str">
        <f>IF(E348=0,"",IFERROR(E348*Config!B18,0))</f>
        <v/>
      </c>
      <c r="G348" s="13" t="str">
        <f t="shared" si="25"/>
        <v/>
      </c>
      <c r="H348" s="11"/>
      <c r="I348" s="11"/>
      <c r="J348" s="16" t="str">
        <f t="shared" si="26"/>
        <v/>
      </c>
      <c r="K348" s="18" t="str">
        <f>IF(A348="","",IFERROR(SUMIF(Transactions!A$4:A$1003,A348,Transactions!F$4:F$1003),0))</f>
        <v/>
      </c>
      <c r="L348" s="15" t="str">
        <f t="shared" si="27"/>
        <v/>
      </c>
      <c r="M348" s="12" t="str">
        <f t="shared" ca="1" si="28"/>
        <v/>
      </c>
      <c r="N348" s="19" t="str">
        <f t="shared" ca="1" si="29"/>
        <v/>
      </c>
    </row>
    <row r="349" spans="1:14" ht="15.75" customHeight="1" x14ac:dyDescent="0.25">
      <c r="A349" s="11"/>
      <c r="B349" s="11"/>
      <c r="C349" s="11"/>
      <c r="D349" s="11"/>
      <c r="E349" s="11"/>
      <c r="F349" s="17" t="str">
        <f>IF(E349=0,"",IFERROR(E349*Config!B18,0))</f>
        <v/>
      </c>
      <c r="G349" s="13" t="str">
        <f t="shared" si="25"/>
        <v/>
      </c>
      <c r="H349" s="11"/>
      <c r="I349" s="11"/>
      <c r="J349" s="16" t="str">
        <f t="shared" si="26"/>
        <v/>
      </c>
      <c r="K349" s="18" t="str">
        <f>IF(A349="","",IFERROR(SUMIF(Transactions!A$4:A$1003,A349,Transactions!F$4:F$1003),0))</f>
        <v/>
      </c>
      <c r="L349" s="15" t="str">
        <f t="shared" si="27"/>
        <v/>
      </c>
      <c r="M349" s="12" t="str">
        <f t="shared" ca="1" si="28"/>
        <v/>
      </c>
      <c r="N349" s="19" t="str">
        <f t="shared" ca="1" si="29"/>
        <v/>
      </c>
    </row>
    <row r="350" spans="1:14" ht="15.75" customHeight="1" x14ac:dyDescent="0.25">
      <c r="A350" s="11"/>
      <c r="B350" s="11"/>
      <c r="C350" s="11"/>
      <c r="D350" s="11"/>
      <c r="E350" s="11"/>
      <c r="F350" s="17" t="str">
        <f>IF(E350=0,"",IFERROR(E350*Config!B18,0))</f>
        <v/>
      </c>
      <c r="G350" s="13" t="str">
        <f t="shared" si="25"/>
        <v/>
      </c>
      <c r="H350" s="11"/>
      <c r="I350" s="11"/>
      <c r="J350" s="16" t="str">
        <f t="shared" si="26"/>
        <v/>
      </c>
      <c r="K350" s="18" t="str">
        <f>IF(A350="","",IFERROR(SUMIF(Transactions!A$4:A$1003,A350,Transactions!F$4:F$1003),0))</f>
        <v/>
      </c>
      <c r="L350" s="15" t="str">
        <f t="shared" si="27"/>
        <v/>
      </c>
      <c r="M350" s="12" t="str">
        <f t="shared" ca="1" si="28"/>
        <v/>
      </c>
      <c r="N350" s="19" t="str">
        <f t="shared" ca="1" si="29"/>
        <v/>
      </c>
    </row>
    <row r="351" spans="1:14" ht="15.75" customHeight="1" x14ac:dyDescent="0.25">
      <c r="A351" s="11"/>
      <c r="B351" s="11"/>
      <c r="C351" s="11"/>
      <c r="D351" s="11"/>
      <c r="E351" s="11"/>
      <c r="F351" s="17" t="str">
        <f>IF(E351=0,"",IFERROR(E351*Config!B18,0))</f>
        <v/>
      </c>
      <c r="G351" s="13" t="str">
        <f t="shared" si="25"/>
        <v/>
      </c>
      <c r="H351" s="11"/>
      <c r="I351" s="11"/>
      <c r="J351" s="16" t="str">
        <f t="shared" si="26"/>
        <v/>
      </c>
      <c r="K351" s="18" t="str">
        <f>IF(A351="","",IFERROR(SUMIF(Transactions!A$4:A$1003,A351,Transactions!F$4:F$1003),0))</f>
        <v/>
      </c>
      <c r="L351" s="15" t="str">
        <f t="shared" si="27"/>
        <v/>
      </c>
      <c r="M351" s="12" t="str">
        <f t="shared" ca="1" si="28"/>
        <v/>
      </c>
      <c r="N351" s="19" t="str">
        <f t="shared" ca="1" si="29"/>
        <v/>
      </c>
    </row>
    <row r="352" spans="1:14" ht="15.75" customHeight="1" x14ac:dyDescent="0.25">
      <c r="A352" s="11"/>
      <c r="B352" s="11"/>
      <c r="C352" s="11"/>
      <c r="D352" s="11"/>
      <c r="E352" s="11"/>
      <c r="F352" s="17" t="str">
        <f>IF(E352=0,"",IFERROR(E352*Config!B18,0))</f>
        <v/>
      </c>
      <c r="G352" s="13" t="str">
        <f t="shared" si="25"/>
        <v/>
      </c>
      <c r="H352" s="11"/>
      <c r="I352" s="11"/>
      <c r="J352" s="16" t="str">
        <f t="shared" si="26"/>
        <v/>
      </c>
      <c r="K352" s="18" t="str">
        <f>IF(A352="","",IFERROR(SUMIF(Transactions!A$4:A$1003,A352,Transactions!F$4:F$1003),0))</f>
        <v/>
      </c>
      <c r="L352" s="15" t="str">
        <f t="shared" si="27"/>
        <v/>
      </c>
      <c r="M352" s="12" t="str">
        <f t="shared" ca="1" si="28"/>
        <v/>
      </c>
      <c r="N352" s="19" t="str">
        <f t="shared" ca="1" si="29"/>
        <v/>
      </c>
    </row>
    <row r="353" spans="1:14" ht="15.75" customHeight="1" x14ac:dyDescent="0.25">
      <c r="A353" s="11"/>
      <c r="B353" s="11"/>
      <c r="C353" s="11"/>
      <c r="D353" s="11"/>
      <c r="E353" s="11"/>
      <c r="F353" s="17" t="str">
        <f>IF(E353=0,"",IFERROR(E353*Config!B18,0))</f>
        <v/>
      </c>
      <c r="G353" s="13" t="str">
        <f t="shared" si="25"/>
        <v/>
      </c>
      <c r="H353" s="11"/>
      <c r="I353" s="11"/>
      <c r="J353" s="16" t="str">
        <f t="shared" si="26"/>
        <v/>
      </c>
      <c r="K353" s="18" t="str">
        <f>IF(A353="","",IFERROR(SUMIF(Transactions!A$4:A$1003,A353,Transactions!F$4:F$1003),0))</f>
        <v/>
      </c>
      <c r="L353" s="15" t="str">
        <f t="shared" si="27"/>
        <v/>
      </c>
      <c r="M353" s="12" t="str">
        <f t="shared" ca="1" si="28"/>
        <v/>
      </c>
      <c r="N353" s="19" t="str">
        <f t="shared" ca="1" si="29"/>
        <v/>
      </c>
    </row>
    <row r="354" spans="1:14" ht="15.75" customHeight="1" x14ac:dyDescent="0.25">
      <c r="A354" s="11"/>
      <c r="B354" s="11"/>
      <c r="C354" s="11"/>
      <c r="D354" s="11"/>
      <c r="E354" s="11"/>
      <c r="F354" s="17" t="str">
        <f>IF(E354=0,"",IFERROR(E354*Config!B18,0))</f>
        <v/>
      </c>
      <c r="G354" s="13" t="str">
        <f t="shared" si="25"/>
        <v/>
      </c>
      <c r="H354" s="11"/>
      <c r="I354" s="11"/>
      <c r="J354" s="16" t="str">
        <f t="shared" si="26"/>
        <v/>
      </c>
      <c r="K354" s="18" t="str">
        <f>IF(A354="","",IFERROR(SUMIF(Transactions!A$4:A$1003,A354,Transactions!F$4:F$1003),0))</f>
        <v/>
      </c>
      <c r="L354" s="15" t="str">
        <f t="shared" si="27"/>
        <v/>
      </c>
      <c r="M354" s="12" t="str">
        <f t="shared" ca="1" si="28"/>
        <v/>
      </c>
      <c r="N354" s="19" t="str">
        <f t="shared" ca="1" si="29"/>
        <v/>
      </c>
    </row>
    <row r="355" spans="1:14" ht="15.75" customHeight="1" x14ac:dyDescent="0.25">
      <c r="A355" s="11"/>
      <c r="B355" s="11"/>
      <c r="C355" s="11"/>
      <c r="D355" s="11"/>
      <c r="E355" s="11"/>
      <c r="F355" s="17" t="str">
        <f>IF(E355=0,"",IFERROR(E355*Config!B18,0))</f>
        <v/>
      </c>
      <c r="G355" s="13" t="str">
        <f t="shared" si="25"/>
        <v/>
      </c>
      <c r="H355" s="11"/>
      <c r="I355" s="11"/>
      <c r="J355" s="16" t="str">
        <f t="shared" si="26"/>
        <v/>
      </c>
      <c r="K355" s="18" t="str">
        <f>IF(A355="","",IFERROR(SUMIF(Transactions!A$4:A$1003,A355,Transactions!F$4:F$1003),0))</f>
        <v/>
      </c>
      <c r="L355" s="15" t="str">
        <f t="shared" si="27"/>
        <v/>
      </c>
      <c r="M355" s="12" t="str">
        <f t="shared" ca="1" si="28"/>
        <v/>
      </c>
      <c r="N355" s="19" t="str">
        <f t="shared" ca="1" si="29"/>
        <v/>
      </c>
    </row>
    <row r="356" spans="1:14" ht="15.75" customHeight="1" x14ac:dyDescent="0.25">
      <c r="A356" s="11"/>
      <c r="B356" s="11"/>
      <c r="C356" s="11"/>
      <c r="D356" s="11"/>
      <c r="E356" s="11"/>
      <c r="F356" s="17" t="str">
        <f>IF(E356=0,"",IFERROR(E356*Config!B18,0))</f>
        <v/>
      </c>
      <c r="G356" s="13" t="str">
        <f t="shared" si="25"/>
        <v/>
      </c>
      <c r="H356" s="11"/>
      <c r="I356" s="11"/>
      <c r="J356" s="16" t="str">
        <f t="shared" si="26"/>
        <v/>
      </c>
      <c r="K356" s="18" t="str">
        <f>IF(A356="","",IFERROR(SUMIF(Transactions!A$4:A$1003,A356,Transactions!F$4:F$1003),0))</f>
        <v/>
      </c>
      <c r="L356" s="15" t="str">
        <f t="shared" si="27"/>
        <v/>
      </c>
      <c r="M356" s="12" t="str">
        <f t="shared" ca="1" si="28"/>
        <v/>
      </c>
      <c r="N356" s="19" t="str">
        <f t="shared" ca="1" si="29"/>
        <v/>
      </c>
    </row>
    <row r="357" spans="1:14" ht="15.75" customHeight="1" x14ac:dyDescent="0.25">
      <c r="A357" s="11"/>
      <c r="B357" s="11"/>
      <c r="C357" s="11"/>
      <c r="D357" s="11"/>
      <c r="E357" s="11"/>
      <c r="F357" s="17" t="str">
        <f>IF(E357=0,"",IFERROR(E357*Config!B18,0))</f>
        <v/>
      </c>
      <c r="G357" s="13" t="str">
        <f t="shared" si="25"/>
        <v/>
      </c>
      <c r="H357" s="11"/>
      <c r="I357" s="11"/>
      <c r="J357" s="16" t="str">
        <f t="shared" si="26"/>
        <v/>
      </c>
      <c r="K357" s="18" t="str">
        <f>IF(A357="","",IFERROR(SUMIF(Transactions!A$4:A$1003,A357,Transactions!F$4:F$1003),0))</f>
        <v/>
      </c>
      <c r="L357" s="15" t="str">
        <f t="shared" si="27"/>
        <v/>
      </c>
      <c r="M357" s="12" t="str">
        <f t="shared" ca="1" si="28"/>
        <v/>
      </c>
      <c r="N357" s="19" t="str">
        <f t="shared" ca="1" si="29"/>
        <v/>
      </c>
    </row>
    <row r="358" spans="1:14" ht="15.75" customHeight="1" x14ac:dyDescent="0.25">
      <c r="A358" s="11"/>
      <c r="B358" s="11"/>
      <c r="C358" s="11"/>
      <c r="D358" s="11"/>
      <c r="E358" s="11"/>
      <c r="F358" s="17" t="str">
        <f>IF(E358=0,"",IFERROR(E358*Config!B18,0))</f>
        <v/>
      </c>
      <c r="G358" s="13" t="str">
        <f t="shared" si="25"/>
        <v/>
      </c>
      <c r="H358" s="11"/>
      <c r="I358" s="11"/>
      <c r="J358" s="16" t="str">
        <f t="shared" si="26"/>
        <v/>
      </c>
      <c r="K358" s="18" t="str">
        <f>IF(A358="","",IFERROR(SUMIF(Transactions!A$4:A$1003,A358,Transactions!F$4:F$1003),0))</f>
        <v/>
      </c>
      <c r="L358" s="15" t="str">
        <f t="shared" si="27"/>
        <v/>
      </c>
      <c r="M358" s="12" t="str">
        <f t="shared" ca="1" si="28"/>
        <v/>
      </c>
      <c r="N358" s="19" t="str">
        <f t="shared" ca="1" si="29"/>
        <v/>
      </c>
    </row>
    <row r="359" spans="1:14" ht="15.75" customHeight="1" x14ac:dyDescent="0.25">
      <c r="A359" s="11"/>
      <c r="B359" s="11"/>
      <c r="C359" s="11"/>
      <c r="D359" s="11"/>
      <c r="E359" s="11"/>
      <c r="F359" s="17" t="str">
        <f>IF(E359=0,"",IFERROR(E359*Config!B18,0))</f>
        <v/>
      </c>
      <c r="G359" s="13" t="str">
        <f t="shared" si="25"/>
        <v/>
      </c>
      <c r="H359" s="11"/>
      <c r="I359" s="11"/>
      <c r="J359" s="16" t="str">
        <f t="shared" si="26"/>
        <v/>
      </c>
      <c r="K359" s="18" t="str">
        <f>IF(A359="","",IFERROR(SUMIF(Transactions!A$4:A$1003,A359,Transactions!F$4:F$1003),0))</f>
        <v/>
      </c>
      <c r="L359" s="15" t="str">
        <f t="shared" si="27"/>
        <v/>
      </c>
      <c r="M359" s="12" t="str">
        <f t="shared" ca="1" si="28"/>
        <v/>
      </c>
      <c r="N359" s="19" t="str">
        <f t="shared" ca="1" si="29"/>
        <v/>
      </c>
    </row>
    <row r="360" spans="1:14" ht="15.75" customHeight="1" x14ac:dyDescent="0.25">
      <c r="A360" s="11"/>
      <c r="B360" s="11"/>
      <c r="C360" s="11"/>
      <c r="D360" s="11"/>
      <c r="E360" s="11"/>
      <c r="F360" s="17" t="str">
        <f>IF(E360=0,"",IFERROR(E360*Config!B18,0))</f>
        <v/>
      </c>
      <c r="G360" s="13" t="str">
        <f t="shared" si="25"/>
        <v/>
      </c>
      <c r="H360" s="11"/>
      <c r="I360" s="11"/>
      <c r="J360" s="16" t="str">
        <f t="shared" si="26"/>
        <v/>
      </c>
      <c r="K360" s="18" t="str">
        <f>IF(A360="","",IFERROR(SUMIF(Transactions!A$4:A$1003,A360,Transactions!F$4:F$1003),0))</f>
        <v/>
      </c>
      <c r="L360" s="15" t="str">
        <f t="shared" si="27"/>
        <v/>
      </c>
      <c r="M360" s="12" t="str">
        <f t="shared" ca="1" si="28"/>
        <v/>
      </c>
      <c r="N360" s="19" t="str">
        <f t="shared" ca="1" si="29"/>
        <v/>
      </c>
    </row>
    <row r="361" spans="1:14" ht="15.75" customHeight="1" x14ac:dyDescent="0.25">
      <c r="A361" s="11"/>
      <c r="B361" s="11"/>
      <c r="C361" s="11"/>
      <c r="D361" s="11"/>
      <c r="E361" s="11"/>
      <c r="F361" s="17" t="str">
        <f>IF(E361=0,"",IFERROR(E361*Config!B18,0))</f>
        <v/>
      </c>
      <c r="G361" s="13" t="str">
        <f t="shared" si="25"/>
        <v/>
      </c>
      <c r="H361" s="11"/>
      <c r="I361" s="11"/>
      <c r="J361" s="16" t="str">
        <f t="shared" si="26"/>
        <v/>
      </c>
      <c r="K361" s="18" t="str">
        <f>IF(A361="","",IFERROR(SUMIF(Transactions!A$4:A$1003,A361,Transactions!F$4:F$1003),0))</f>
        <v/>
      </c>
      <c r="L361" s="15" t="str">
        <f t="shared" si="27"/>
        <v/>
      </c>
      <c r="M361" s="12" t="str">
        <f t="shared" ca="1" si="28"/>
        <v/>
      </c>
      <c r="N361" s="19" t="str">
        <f t="shared" ca="1" si="29"/>
        <v/>
      </c>
    </row>
    <row r="362" spans="1:14" ht="15.75" customHeight="1" x14ac:dyDescent="0.25">
      <c r="A362" s="11"/>
      <c r="B362" s="11"/>
      <c r="C362" s="11"/>
      <c r="D362" s="11"/>
      <c r="E362" s="11"/>
      <c r="F362" s="17" t="str">
        <f>IF(E362=0,"",IFERROR(E362*Config!B18,0))</f>
        <v/>
      </c>
      <c r="G362" s="13" t="str">
        <f t="shared" si="25"/>
        <v/>
      </c>
      <c r="H362" s="11"/>
      <c r="I362" s="11"/>
      <c r="J362" s="16" t="str">
        <f t="shared" si="26"/>
        <v/>
      </c>
      <c r="K362" s="18" t="str">
        <f>IF(A362="","",IFERROR(SUMIF(Transactions!A$4:A$1003,A362,Transactions!F$4:F$1003),0))</f>
        <v/>
      </c>
      <c r="L362" s="15" t="str">
        <f t="shared" si="27"/>
        <v/>
      </c>
      <c r="M362" s="12" t="str">
        <f t="shared" ca="1" si="28"/>
        <v/>
      </c>
      <c r="N362" s="19" t="str">
        <f t="shared" ca="1" si="29"/>
        <v/>
      </c>
    </row>
    <row r="363" spans="1:14" ht="15.75" customHeight="1" x14ac:dyDescent="0.25">
      <c r="A363" s="11"/>
      <c r="B363" s="11"/>
      <c r="C363" s="11"/>
      <c r="D363" s="11"/>
      <c r="E363" s="11"/>
      <c r="F363" s="17" t="str">
        <f>IF(E363=0,"",IFERROR(E363*Config!B18,0))</f>
        <v/>
      </c>
      <c r="G363" s="13" t="str">
        <f t="shared" si="25"/>
        <v/>
      </c>
      <c r="H363" s="11"/>
      <c r="I363" s="11"/>
      <c r="J363" s="16" t="str">
        <f t="shared" si="26"/>
        <v/>
      </c>
      <c r="K363" s="18" t="str">
        <f>IF(A363="","",IFERROR(SUMIF(Transactions!A$4:A$1003,A363,Transactions!F$4:F$1003),0))</f>
        <v/>
      </c>
      <c r="L363" s="15" t="str">
        <f t="shared" si="27"/>
        <v/>
      </c>
      <c r="M363" s="12" t="str">
        <f t="shared" ca="1" si="28"/>
        <v/>
      </c>
      <c r="N363" s="19" t="str">
        <f t="shared" ca="1" si="29"/>
        <v/>
      </c>
    </row>
    <row r="364" spans="1:14" ht="15.75" customHeight="1" x14ac:dyDescent="0.25">
      <c r="A364" s="11"/>
      <c r="B364" s="11"/>
      <c r="C364" s="11"/>
      <c r="D364" s="11"/>
      <c r="E364" s="11"/>
      <c r="F364" s="17" t="str">
        <f>IF(E364=0,"",IFERROR(E364*Config!B18,0))</f>
        <v/>
      </c>
      <c r="G364" s="13" t="str">
        <f t="shared" si="25"/>
        <v/>
      </c>
      <c r="H364" s="11"/>
      <c r="I364" s="11"/>
      <c r="J364" s="16" t="str">
        <f t="shared" si="26"/>
        <v/>
      </c>
      <c r="K364" s="18" t="str">
        <f>IF(A364="","",IFERROR(SUMIF(Transactions!A$4:A$1003,A364,Transactions!F$4:F$1003),0))</f>
        <v/>
      </c>
      <c r="L364" s="15" t="str">
        <f t="shared" si="27"/>
        <v/>
      </c>
      <c r="M364" s="12" t="str">
        <f t="shared" ca="1" si="28"/>
        <v/>
      </c>
      <c r="N364" s="19" t="str">
        <f t="shared" ca="1" si="29"/>
        <v/>
      </c>
    </row>
    <row r="365" spans="1:14" ht="15.75" customHeight="1" x14ac:dyDescent="0.25">
      <c r="A365" s="11"/>
      <c r="B365" s="11"/>
      <c r="C365" s="11"/>
      <c r="D365" s="11"/>
      <c r="E365" s="11"/>
      <c r="F365" s="17" t="str">
        <f>IF(E365=0,"",IFERROR(E365*Config!B18,0))</f>
        <v/>
      </c>
      <c r="G365" s="13" t="str">
        <f t="shared" si="25"/>
        <v/>
      </c>
      <c r="H365" s="11"/>
      <c r="I365" s="11"/>
      <c r="J365" s="16" t="str">
        <f t="shared" si="26"/>
        <v/>
      </c>
      <c r="K365" s="18" t="str">
        <f>IF(A365="","",IFERROR(SUMIF(Transactions!A$4:A$1003,A365,Transactions!F$4:F$1003),0))</f>
        <v/>
      </c>
      <c r="L365" s="15" t="str">
        <f t="shared" si="27"/>
        <v/>
      </c>
      <c r="M365" s="12" t="str">
        <f t="shared" ca="1" si="28"/>
        <v/>
      </c>
      <c r="N365" s="19" t="str">
        <f t="shared" ca="1" si="29"/>
        <v/>
      </c>
    </row>
    <row r="366" spans="1:14" ht="15.75" customHeight="1" x14ac:dyDescent="0.25">
      <c r="A366" s="11"/>
      <c r="B366" s="11"/>
      <c r="C366" s="11"/>
      <c r="D366" s="11"/>
      <c r="E366" s="11"/>
      <c r="F366" s="17" t="str">
        <f>IF(E366=0,"",IFERROR(E366*Config!B18,0))</f>
        <v/>
      </c>
      <c r="G366" s="13" t="str">
        <f t="shared" si="25"/>
        <v/>
      </c>
      <c r="H366" s="11"/>
      <c r="I366" s="11"/>
      <c r="J366" s="16" t="str">
        <f t="shared" si="26"/>
        <v/>
      </c>
      <c r="K366" s="18" t="str">
        <f>IF(A366="","",IFERROR(SUMIF(Transactions!A$4:A$1003,A366,Transactions!F$4:F$1003),0))</f>
        <v/>
      </c>
      <c r="L366" s="15" t="str">
        <f t="shared" si="27"/>
        <v/>
      </c>
      <c r="M366" s="12" t="str">
        <f t="shared" ca="1" si="28"/>
        <v/>
      </c>
      <c r="N366" s="19" t="str">
        <f t="shared" ca="1" si="29"/>
        <v/>
      </c>
    </row>
    <row r="367" spans="1:14" ht="15.75" customHeight="1" x14ac:dyDescent="0.25">
      <c r="A367" s="11"/>
      <c r="B367" s="11"/>
      <c r="C367" s="11"/>
      <c r="D367" s="11"/>
      <c r="E367" s="11"/>
      <c r="F367" s="17" t="str">
        <f>IF(E367=0,"",IFERROR(E367*Config!B18,0))</f>
        <v/>
      </c>
      <c r="G367" s="13" t="str">
        <f t="shared" si="25"/>
        <v/>
      </c>
      <c r="H367" s="11"/>
      <c r="I367" s="11"/>
      <c r="J367" s="16" t="str">
        <f t="shared" si="26"/>
        <v/>
      </c>
      <c r="K367" s="18" t="str">
        <f>IF(A367="","",IFERROR(SUMIF(Transactions!A$4:A$1003,A367,Transactions!F$4:F$1003),0))</f>
        <v/>
      </c>
      <c r="L367" s="15" t="str">
        <f t="shared" si="27"/>
        <v/>
      </c>
      <c r="M367" s="12" t="str">
        <f t="shared" ca="1" si="28"/>
        <v/>
      </c>
      <c r="N367" s="19" t="str">
        <f t="shared" ca="1" si="29"/>
        <v/>
      </c>
    </row>
    <row r="368" spans="1:14" ht="15.75" customHeight="1" x14ac:dyDescent="0.25">
      <c r="A368" s="11"/>
      <c r="B368" s="11"/>
      <c r="C368" s="11"/>
      <c r="D368" s="11"/>
      <c r="E368" s="11"/>
      <c r="F368" s="17" t="str">
        <f>IF(E368=0,"",IFERROR(E368*Config!B18,0))</f>
        <v/>
      </c>
      <c r="G368" s="13" t="str">
        <f t="shared" si="25"/>
        <v/>
      </c>
      <c r="H368" s="11"/>
      <c r="I368" s="11"/>
      <c r="J368" s="16" t="str">
        <f t="shared" si="26"/>
        <v/>
      </c>
      <c r="K368" s="18" t="str">
        <f>IF(A368="","",IFERROR(SUMIF(Transactions!A$4:A$1003,A368,Transactions!F$4:F$1003),0))</f>
        <v/>
      </c>
      <c r="L368" s="15" t="str">
        <f t="shared" si="27"/>
        <v/>
      </c>
      <c r="M368" s="12" t="str">
        <f t="shared" ca="1" si="28"/>
        <v/>
      </c>
      <c r="N368" s="19" t="str">
        <f t="shared" ca="1" si="29"/>
        <v/>
      </c>
    </row>
    <row r="369" spans="1:14" ht="15.75" customHeight="1" x14ac:dyDescent="0.25">
      <c r="A369" s="11"/>
      <c r="B369" s="11"/>
      <c r="C369" s="11"/>
      <c r="D369" s="11"/>
      <c r="E369" s="11"/>
      <c r="F369" s="17" t="str">
        <f>IF(E369=0,"",IFERROR(E369*Config!B18,0))</f>
        <v/>
      </c>
      <c r="G369" s="13" t="str">
        <f t="shared" si="25"/>
        <v/>
      </c>
      <c r="H369" s="11"/>
      <c r="I369" s="11"/>
      <c r="J369" s="16" t="str">
        <f t="shared" si="26"/>
        <v/>
      </c>
      <c r="K369" s="18" t="str">
        <f>IF(A369="","",IFERROR(SUMIF(Transactions!A$4:A$1003,A369,Transactions!F$4:F$1003),0))</f>
        <v/>
      </c>
      <c r="L369" s="15" t="str">
        <f t="shared" si="27"/>
        <v/>
      </c>
      <c r="M369" s="12" t="str">
        <f t="shared" ca="1" si="28"/>
        <v/>
      </c>
      <c r="N369" s="19" t="str">
        <f t="shared" ca="1" si="29"/>
        <v/>
      </c>
    </row>
    <row r="370" spans="1:14" ht="15.75" customHeight="1" x14ac:dyDescent="0.25">
      <c r="A370" s="11"/>
      <c r="B370" s="11"/>
      <c r="C370" s="11"/>
      <c r="D370" s="11"/>
      <c r="E370" s="11"/>
      <c r="F370" s="17" t="str">
        <f>IF(E370=0,"",IFERROR(E370*Config!B18,0))</f>
        <v/>
      </c>
      <c r="G370" s="13" t="str">
        <f t="shared" si="25"/>
        <v/>
      </c>
      <c r="H370" s="11"/>
      <c r="I370" s="11"/>
      <c r="J370" s="16" t="str">
        <f t="shared" si="26"/>
        <v/>
      </c>
      <c r="K370" s="18" t="str">
        <f>IF(A370="","",IFERROR(SUMIF(Transactions!A$4:A$1003,A370,Transactions!F$4:F$1003),0))</f>
        <v/>
      </c>
      <c r="L370" s="15" t="str">
        <f t="shared" si="27"/>
        <v/>
      </c>
      <c r="M370" s="12" t="str">
        <f t="shared" ca="1" si="28"/>
        <v/>
      </c>
      <c r="N370" s="19" t="str">
        <f t="shared" ca="1" si="29"/>
        <v/>
      </c>
    </row>
    <row r="371" spans="1:14" ht="15.75" customHeight="1" x14ac:dyDescent="0.25">
      <c r="A371" s="11"/>
      <c r="B371" s="11"/>
      <c r="C371" s="11"/>
      <c r="D371" s="11"/>
      <c r="E371" s="11"/>
      <c r="F371" s="17" t="str">
        <f>IF(E371=0,"",IFERROR(E371*Config!B18,0))</f>
        <v/>
      </c>
      <c r="G371" s="13" t="str">
        <f t="shared" si="25"/>
        <v/>
      </c>
      <c r="H371" s="11"/>
      <c r="I371" s="11"/>
      <c r="J371" s="16" t="str">
        <f t="shared" si="26"/>
        <v/>
      </c>
      <c r="K371" s="18" t="str">
        <f>IF(A371="","",IFERROR(SUMIF(Transactions!A$4:A$1003,A371,Transactions!F$4:F$1003),0))</f>
        <v/>
      </c>
      <c r="L371" s="15" t="str">
        <f t="shared" si="27"/>
        <v/>
      </c>
      <c r="M371" s="12" t="str">
        <f t="shared" ca="1" si="28"/>
        <v/>
      </c>
      <c r="N371" s="19" t="str">
        <f t="shared" ca="1" si="29"/>
        <v/>
      </c>
    </row>
    <row r="372" spans="1:14" ht="15.75" customHeight="1" x14ac:dyDescent="0.25">
      <c r="A372" s="11"/>
      <c r="B372" s="11"/>
      <c r="C372" s="11"/>
      <c r="D372" s="11"/>
      <c r="E372" s="11"/>
      <c r="F372" s="17" t="str">
        <f>IF(E372=0,"",IFERROR(E372*Config!B18,0))</f>
        <v/>
      </c>
      <c r="G372" s="13" t="str">
        <f t="shared" si="25"/>
        <v/>
      </c>
      <c r="H372" s="11"/>
      <c r="I372" s="11"/>
      <c r="J372" s="16" t="str">
        <f t="shared" si="26"/>
        <v/>
      </c>
      <c r="K372" s="18" t="str">
        <f>IF(A372="","",IFERROR(SUMIF(Transactions!A$4:A$1003,A372,Transactions!F$4:F$1003),0))</f>
        <v/>
      </c>
      <c r="L372" s="15" t="str">
        <f t="shared" si="27"/>
        <v/>
      </c>
      <c r="M372" s="12" t="str">
        <f t="shared" ca="1" si="28"/>
        <v/>
      </c>
      <c r="N372" s="19" t="str">
        <f t="shared" ca="1" si="29"/>
        <v/>
      </c>
    </row>
    <row r="373" spans="1:14" ht="15.75" customHeight="1" x14ac:dyDescent="0.25">
      <c r="A373" s="11"/>
      <c r="B373" s="11"/>
      <c r="C373" s="11"/>
      <c r="D373" s="11"/>
      <c r="E373" s="11"/>
      <c r="F373" s="17" t="str">
        <f>IF(E373=0,"",IFERROR(E373*Config!B18,0))</f>
        <v/>
      </c>
      <c r="G373" s="13" t="str">
        <f t="shared" si="25"/>
        <v/>
      </c>
      <c r="H373" s="11"/>
      <c r="I373" s="11"/>
      <c r="J373" s="16" t="str">
        <f t="shared" si="26"/>
        <v/>
      </c>
      <c r="K373" s="18" t="str">
        <f>IF(A373="","",IFERROR(SUMIF(Transactions!A$4:A$1003,A373,Transactions!F$4:F$1003),0))</f>
        <v/>
      </c>
      <c r="L373" s="15" t="str">
        <f t="shared" si="27"/>
        <v/>
      </c>
      <c r="M373" s="12" t="str">
        <f t="shared" ca="1" si="28"/>
        <v/>
      </c>
      <c r="N373" s="19" t="str">
        <f t="shared" ca="1" si="29"/>
        <v/>
      </c>
    </row>
    <row r="374" spans="1:14" ht="15.75" customHeight="1" x14ac:dyDescent="0.25">
      <c r="A374" s="11"/>
      <c r="B374" s="11"/>
      <c r="C374" s="11"/>
      <c r="D374" s="11"/>
      <c r="E374" s="11"/>
      <c r="F374" s="17" t="str">
        <f>IF(E374=0,"",IFERROR(E374*Config!B18,0))</f>
        <v/>
      </c>
      <c r="G374" s="13" t="str">
        <f t="shared" si="25"/>
        <v/>
      </c>
      <c r="H374" s="11"/>
      <c r="I374" s="11"/>
      <c r="J374" s="16" t="str">
        <f t="shared" si="26"/>
        <v/>
      </c>
      <c r="K374" s="18" t="str">
        <f>IF(A374="","",IFERROR(SUMIF(Transactions!A$4:A$1003,A374,Transactions!F$4:F$1003),0))</f>
        <v/>
      </c>
      <c r="L374" s="15" t="str">
        <f t="shared" si="27"/>
        <v/>
      </c>
      <c r="M374" s="12" t="str">
        <f t="shared" ca="1" si="28"/>
        <v/>
      </c>
      <c r="N374" s="19" t="str">
        <f t="shared" ca="1" si="29"/>
        <v/>
      </c>
    </row>
    <row r="375" spans="1:14" ht="15.75" customHeight="1" x14ac:dyDescent="0.25">
      <c r="A375" s="11"/>
      <c r="B375" s="11"/>
      <c r="C375" s="11"/>
      <c r="D375" s="11"/>
      <c r="E375" s="11"/>
      <c r="F375" s="17" t="str">
        <f>IF(E375=0,"",IFERROR(E375*Config!B18,0))</f>
        <v/>
      </c>
      <c r="G375" s="13" t="str">
        <f t="shared" si="25"/>
        <v/>
      </c>
      <c r="H375" s="11"/>
      <c r="I375" s="11"/>
      <c r="J375" s="16" t="str">
        <f t="shared" si="26"/>
        <v/>
      </c>
      <c r="K375" s="18" t="str">
        <f>IF(A375="","",IFERROR(SUMIF(Transactions!A$4:A$1003,A375,Transactions!F$4:F$1003),0))</f>
        <v/>
      </c>
      <c r="L375" s="15" t="str">
        <f t="shared" si="27"/>
        <v/>
      </c>
      <c r="M375" s="12" t="str">
        <f t="shared" ca="1" si="28"/>
        <v/>
      </c>
      <c r="N375" s="19" t="str">
        <f t="shared" ca="1" si="29"/>
        <v/>
      </c>
    </row>
    <row r="376" spans="1:14" ht="15.75" customHeight="1" x14ac:dyDescent="0.25">
      <c r="A376" s="11"/>
      <c r="B376" s="11"/>
      <c r="C376" s="11"/>
      <c r="D376" s="11"/>
      <c r="E376" s="11"/>
      <c r="F376" s="17" t="str">
        <f>IF(E376=0,"",IFERROR(E376*Config!B18,0))</f>
        <v/>
      </c>
      <c r="G376" s="13" t="str">
        <f t="shared" si="25"/>
        <v/>
      </c>
      <c r="H376" s="11"/>
      <c r="I376" s="11"/>
      <c r="J376" s="16" t="str">
        <f t="shared" si="26"/>
        <v/>
      </c>
      <c r="K376" s="18" t="str">
        <f>IF(A376="","",IFERROR(SUMIF(Transactions!A$4:A$1003,A376,Transactions!F$4:F$1003),0))</f>
        <v/>
      </c>
      <c r="L376" s="15" t="str">
        <f t="shared" si="27"/>
        <v/>
      </c>
      <c r="M376" s="12" t="str">
        <f t="shared" ca="1" si="28"/>
        <v/>
      </c>
      <c r="N376" s="19" t="str">
        <f t="shared" ca="1" si="29"/>
        <v/>
      </c>
    </row>
    <row r="377" spans="1:14" ht="15.75" customHeight="1" x14ac:dyDescent="0.25">
      <c r="A377" s="11"/>
      <c r="B377" s="11"/>
      <c r="C377" s="11"/>
      <c r="D377" s="11"/>
      <c r="E377" s="11"/>
      <c r="F377" s="17" t="str">
        <f>IF(E377=0,"",IFERROR(E377*Config!B18,0))</f>
        <v/>
      </c>
      <c r="G377" s="13" t="str">
        <f t="shared" si="25"/>
        <v/>
      </c>
      <c r="H377" s="11"/>
      <c r="I377" s="11"/>
      <c r="J377" s="16" t="str">
        <f t="shared" si="26"/>
        <v/>
      </c>
      <c r="K377" s="18" t="str">
        <f>IF(A377="","",IFERROR(SUMIF(Transactions!A$4:A$1003,A377,Transactions!F$4:F$1003),0))</f>
        <v/>
      </c>
      <c r="L377" s="15" t="str">
        <f t="shared" si="27"/>
        <v/>
      </c>
      <c r="M377" s="12" t="str">
        <f t="shared" ca="1" si="28"/>
        <v/>
      </c>
      <c r="N377" s="19" t="str">
        <f t="shared" ca="1" si="29"/>
        <v/>
      </c>
    </row>
    <row r="378" spans="1:14" ht="15.75" customHeight="1" x14ac:dyDescent="0.25">
      <c r="A378" s="11"/>
      <c r="B378" s="11"/>
      <c r="C378" s="11"/>
      <c r="D378" s="11"/>
      <c r="E378" s="11"/>
      <c r="F378" s="17" t="str">
        <f>IF(E378=0,"",IFERROR(E378*Config!B18,0))</f>
        <v/>
      </c>
      <c r="G378" s="13" t="str">
        <f t="shared" si="25"/>
        <v/>
      </c>
      <c r="H378" s="11"/>
      <c r="I378" s="11"/>
      <c r="J378" s="16" t="str">
        <f t="shared" si="26"/>
        <v/>
      </c>
      <c r="K378" s="18" t="str">
        <f>IF(A378="","",IFERROR(SUMIF(Transactions!A$4:A$1003,A378,Transactions!F$4:F$1003),0))</f>
        <v/>
      </c>
      <c r="L378" s="15" t="str">
        <f t="shared" si="27"/>
        <v/>
      </c>
      <c r="M378" s="12" t="str">
        <f t="shared" ca="1" si="28"/>
        <v/>
      </c>
      <c r="N378" s="19" t="str">
        <f t="shared" ca="1" si="29"/>
        <v/>
      </c>
    </row>
    <row r="379" spans="1:14" ht="15.75" customHeight="1" x14ac:dyDescent="0.25">
      <c r="A379" s="11"/>
      <c r="B379" s="11"/>
      <c r="C379" s="11"/>
      <c r="D379" s="11"/>
      <c r="E379" s="11"/>
      <c r="F379" s="17" t="str">
        <f>IF(E379=0,"",IFERROR(E379*Config!B18,0))</f>
        <v/>
      </c>
      <c r="G379" s="13" t="str">
        <f t="shared" si="25"/>
        <v/>
      </c>
      <c r="H379" s="11"/>
      <c r="I379" s="11"/>
      <c r="J379" s="16" t="str">
        <f t="shared" si="26"/>
        <v/>
      </c>
      <c r="K379" s="18" t="str">
        <f>IF(A379="","",IFERROR(SUMIF(Transactions!A$4:A$1003,A379,Transactions!F$4:F$1003),0))</f>
        <v/>
      </c>
      <c r="L379" s="15" t="str">
        <f t="shared" si="27"/>
        <v/>
      </c>
      <c r="M379" s="12" t="str">
        <f t="shared" ca="1" si="28"/>
        <v/>
      </c>
      <c r="N379" s="19" t="str">
        <f t="shared" ca="1" si="29"/>
        <v/>
      </c>
    </row>
    <row r="380" spans="1:14" ht="15.75" customHeight="1" x14ac:dyDescent="0.25">
      <c r="A380" s="11"/>
      <c r="B380" s="11"/>
      <c r="C380" s="11"/>
      <c r="D380" s="11"/>
      <c r="E380" s="11"/>
      <c r="F380" s="17" t="str">
        <f>IF(E380=0,"",IFERROR(E380*Config!B18,0))</f>
        <v/>
      </c>
      <c r="G380" s="13" t="str">
        <f t="shared" si="25"/>
        <v/>
      </c>
      <c r="H380" s="11"/>
      <c r="I380" s="11"/>
      <c r="J380" s="16" t="str">
        <f t="shared" si="26"/>
        <v/>
      </c>
      <c r="K380" s="18" t="str">
        <f>IF(A380="","",IFERROR(SUMIF(Transactions!A$4:A$1003,A380,Transactions!F$4:F$1003),0))</f>
        <v/>
      </c>
      <c r="L380" s="15" t="str">
        <f t="shared" si="27"/>
        <v/>
      </c>
      <c r="M380" s="12" t="str">
        <f t="shared" ca="1" si="28"/>
        <v/>
      </c>
      <c r="N380" s="19" t="str">
        <f t="shared" ca="1" si="29"/>
        <v/>
      </c>
    </row>
    <row r="381" spans="1:14" ht="15.75" customHeight="1" x14ac:dyDescent="0.25">
      <c r="A381" s="11"/>
      <c r="B381" s="11"/>
      <c r="C381" s="11"/>
      <c r="D381" s="11"/>
      <c r="E381" s="11"/>
      <c r="F381" s="17" t="str">
        <f>IF(E381=0,"",IFERROR(E381*Config!B18,0))</f>
        <v/>
      </c>
      <c r="G381" s="13" t="str">
        <f t="shared" si="25"/>
        <v/>
      </c>
      <c r="H381" s="11"/>
      <c r="I381" s="11"/>
      <c r="J381" s="16" t="str">
        <f t="shared" si="26"/>
        <v/>
      </c>
      <c r="K381" s="18" t="str">
        <f>IF(A381="","",IFERROR(SUMIF(Transactions!A$4:A$1003,A381,Transactions!F$4:F$1003),0))</f>
        <v/>
      </c>
      <c r="L381" s="15" t="str">
        <f t="shared" si="27"/>
        <v/>
      </c>
      <c r="M381" s="12" t="str">
        <f t="shared" ca="1" si="28"/>
        <v/>
      </c>
      <c r="N381" s="19" t="str">
        <f t="shared" ca="1" si="29"/>
        <v/>
      </c>
    </row>
    <row r="382" spans="1:14" ht="15.75" customHeight="1" x14ac:dyDescent="0.25">
      <c r="A382" s="11"/>
      <c r="B382" s="11"/>
      <c r="C382" s="11"/>
      <c r="D382" s="11"/>
      <c r="E382" s="11"/>
      <c r="F382" s="17" t="str">
        <f>IF(E382=0,"",IFERROR(E382*Config!B18,0))</f>
        <v/>
      </c>
      <c r="G382" s="13" t="str">
        <f t="shared" si="25"/>
        <v/>
      </c>
      <c r="H382" s="11"/>
      <c r="I382" s="11"/>
      <c r="J382" s="16" t="str">
        <f t="shared" si="26"/>
        <v/>
      </c>
      <c r="K382" s="18" t="str">
        <f>IF(A382="","",IFERROR(SUMIF(Transactions!A$4:A$1003,A382,Transactions!F$4:F$1003),0))</f>
        <v/>
      </c>
      <c r="L382" s="15" t="str">
        <f t="shared" si="27"/>
        <v/>
      </c>
      <c r="M382" s="12" t="str">
        <f t="shared" ca="1" si="28"/>
        <v/>
      </c>
      <c r="N382" s="19" t="str">
        <f t="shared" ca="1" si="29"/>
        <v/>
      </c>
    </row>
    <row r="383" spans="1:14" ht="15.75" customHeight="1" x14ac:dyDescent="0.25">
      <c r="A383" s="11"/>
      <c r="B383" s="11"/>
      <c r="C383" s="11"/>
      <c r="D383" s="11"/>
      <c r="E383" s="11"/>
      <c r="F383" s="17" t="str">
        <f>IF(E383=0,"",IFERROR(E383*Config!B18,0))</f>
        <v/>
      </c>
      <c r="G383" s="13" t="str">
        <f t="shared" si="25"/>
        <v/>
      </c>
      <c r="H383" s="11"/>
      <c r="I383" s="11"/>
      <c r="J383" s="16" t="str">
        <f t="shared" si="26"/>
        <v/>
      </c>
      <c r="K383" s="18" t="str">
        <f>IF(A383="","",IFERROR(SUMIF(Transactions!A$4:A$1003,A383,Transactions!F$4:F$1003),0))</f>
        <v/>
      </c>
      <c r="L383" s="15" t="str">
        <f t="shared" si="27"/>
        <v/>
      </c>
      <c r="M383" s="12" t="str">
        <f t="shared" ca="1" si="28"/>
        <v/>
      </c>
      <c r="N383" s="19" t="str">
        <f t="shared" ca="1" si="29"/>
        <v/>
      </c>
    </row>
    <row r="384" spans="1:14" ht="15.75" customHeight="1" x14ac:dyDescent="0.25">
      <c r="A384" s="11"/>
      <c r="B384" s="11"/>
      <c r="C384" s="11"/>
      <c r="D384" s="11"/>
      <c r="E384" s="11"/>
      <c r="F384" s="17" t="str">
        <f>IF(E384=0,"",IFERROR(E384*Config!B18,0))</f>
        <v/>
      </c>
      <c r="G384" s="13" t="str">
        <f t="shared" si="25"/>
        <v/>
      </c>
      <c r="H384" s="11"/>
      <c r="I384" s="11"/>
      <c r="J384" s="16" t="str">
        <f t="shared" si="26"/>
        <v/>
      </c>
      <c r="K384" s="18" t="str">
        <f>IF(A384="","",IFERROR(SUMIF(Transactions!A$4:A$1003,A384,Transactions!F$4:F$1003),0))</f>
        <v/>
      </c>
      <c r="L384" s="15" t="str">
        <f t="shared" si="27"/>
        <v/>
      </c>
      <c r="M384" s="12" t="str">
        <f t="shared" ca="1" si="28"/>
        <v/>
      </c>
      <c r="N384" s="19" t="str">
        <f t="shared" ca="1" si="29"/>
        <v/>
      </c>
    </row>
    <row r="385" spans="1:14" ht="15.75" customHeight="1" x14ac:dyDescent="0.25">
      <c r="A385" s="11"/>
      <c r="B385" s="11"/>
      <c r="C385" s="11"/>
      <c r="D385" s="11"/>
      <c r="E385" s="11"/>
      <c r="F385" s="17" t="str">
        <f>IF(E385=0,"",IFERROR(E385*Config!B18,0))</f>
        <v/>
      </c>
      <c r="G385" s="13" t="str">
        <f t="shared" si="25"/>
        <v/>
      </c>
      <c r="H385" s="11"/>
      <c r="I385" s="11"/>
      <c r="J385" s="16" t="str">
        <f t="shared" si="26"/>
        <v/>
      </c>
      <c r="K385" s="18" t="str">
        <f>IF(A385="","",IFERROR(SUMIF(Transactions!A$4:A$1003,A385,Transactions!F$4:F$1003),0))</f>
        <v/>
      </c>
      <c r="L385" s="15" t="str">
        <f t="shared" si="27"/>
        <v/>
      </c>
      <c r="M385" s="12" t="str">
        <f t="shared" ca="1" si="28"/>
        <v/>
      </c>
      <c r="N385" s="19" t="str">
        <f t="shared" ca="1" si="29"/>
        <v/>
      </c>
    </row>
    <row r="386" spans="1:14" ht="15.75" customHeight="1" x14ac:dyDescent="0.25">
      <c r="A386" s="11"/>
      <c r="B386" s="11"/>
      <c r="C386" s="11"/>
      <c r="D386" s="11"/>
      <c r="E386" s="11"/>
      <c r="F386" s="17" t="str">
        <f>IF(E386=0,"",IFERROR(E386*Config!B18,0))</f>
        <v/>
      </c>
      <c r="G386" s="13" t="str">
        <f t="shared" si="25"/>
        <v/>
      </c>
      <c r="H386" s="11"/>
      <c r="I386" s="11"/>
      <c r="J386" s="16" t="str">
        <f t="shared" si="26"/>
        <v/>
      </c>
      <c r="K386" s="18" t="str">
        <f>IF(A386="","",IFERROR(SUMIF(Transactions!A$4:A$1003,A386,Transactions!F$4:F$1003),0))</f>
        <v/>
      </c>
      <c r="L386" s="15" t="str">
        <f t="shared" si="27"/>
        <v/>
      </c>
      <c r="M386" s="12" t="str">
        <f t="shared" ca="1" si="28"/>
        <v/>
      </c>
      <c r="N386" s="19" t="str">
        <f t="shared" ca="1" si="29"/>
        <v/>
      </c>
    </row>
    <row r="387" spans="1:14" ht="15.75" customHeight="1" x14ac:dyDescent="0.25">
      <c r="A387" s="11"/>
      <c r="B387" s="11"/>
      <c r="C387" s="11"/>
      <c r="D387" s="11"/>
      <c r="E387" s="11"/>
      <c r="F387" s="17" t="str">
        <f>IF(E387=0,"",IFERROR(E387*Config!B18,0))</f>
        <v/>
      </c>
      <c r="G387" s="13" t="str">
        <f t="shared" si="25"/>
        <v/>
      </c>
      <c r="H387" s="11"/>
      <c r="I387" s="11"/>
      <c r="J387" s="16" t="str">
        <f t="shared" si="26"/>
        <v/>
      </c>
      <c r="K387" s="18" t="str">
        <f>IF(A387="","",IFERROR(SUMIF(Transactions!A$4:A$1003,A387,Transactions!F$4:F$1003),0))</f>
        <v/>
      </c>
      <c r="L387" s="15" t="str">
        <f t="shared" si="27"/>
        <v/>
      </c>
      <c r="M387" s="12" t="str">
        <f t="shared" ca="1" si="28"/>
        <v/>
      </c>
      <c r="N387" s="19" t="str">
        <f t="shared" ca="1" si="29"/>
        <v/>
      </c>
    </row>
    <row r="388" spans="1:14" ht="15.75" customHeight="1" x14ac:dyDescent="0.25">
      <c r="A388" s="11"/>
      <c r="B388" s="11"/>
      <c r="C388" s="11"/>
      <c r="D388" s="11"/>
      <c r="E388" s="11"/>
      <c r="F388" s="17" t="str">
        <f>IF(E388=0,"",IFERROR(E388*Config!B18,0))</f>
        <v/>
      </c>
      <c r="G388" s="13" t="str">
        <f t="shared" ref="G388:G451" si="30">IF(E388=0,"",MAX(0,E388-F388))</f>
        <v/>
      </c>
      <c r="H388" s="11"/>
      <c r="I388" s="11"/>
      <c r="J388" s="16" t="str">
        <f t="shared" ref="J388:J451" si="31">IF(E388=0,"",IFERROR(-PMT(H388/100/12,I388,-E388),0))</f>
        <v/>
      </c>
      <c r="K388" s="18" t="str">
        <f>IF(A388="","",IFERROR(SUMIF(Transactions!A$4:A$1003,A388,Transactions!F$4:F$1003),0))</f>
        <v/>
      </c>
      <c r="L388" s="15" t="str">
        <f t="shared" ref="L388:L451" si="32">IF(E388=0,"",MAX(0,E388-K388))</f>
        <v/>
      </c>
      <c r="M388" s="12" t="str">
        <f t="shared" ref="M388:M451" ca="1" si="33">IF(A388="","",IF(L388&lt;=0,"✅ Fully Paid",IF(AND(D388&lt;&gt;"",TODAY()&gt;D388+I388*30),"⚠ Overdue","🟢 Active")))</f>
        <v/>
      </c>
      <c r="N388" s="19" t="str">
        <f t="shared" ref="N388:N451" ca="1" si="34">IF(L388&lt;=0,TODAY(),"")</f>
        <v/>
      </c>
    </row>
    <row r="389" spans="1:14" ht="15.75" customHeight="1" x14ac:dyDescent="0.25">
      <c r="A389" s="11"/>
      <c r="B389" s="11"/>
      <c r="C389" s="11"/>
      <c r="D389" s="11"/>
      <c r="E389" s="11"/>
      <c r="F389" s="17" t="str">
        <f>IF(E389=0,"",IFERROR(E389*Config!B18,0))</f>
        <v/>
      </c>
      <c r="G389" s="13" t="str">
        <f t="shared" si="30"/>
        <v/>
      </c>
      <c r="H389" s="11"/>
      <c r="I389" s="11"/>
      <c r="J389" s="16" t="str">
        <f t="shared" si="31"/>
        <v/>
      </c>
      <c r="K389" s="18" t="str">
        <f>IF(A389="","",IFERROR(SUMIF(Transactions!A$4:A$1003,A389,Transactions!F$4:F$1003),0))</f>
        <v/>
      </c>
      <c r="L389" s="15" t="str">
        <f t="shared" si="32"/>
        <v/>
      </c>
      <c r="M389" s="12" t="str">
        <f t="shared" ca="1" si="33"/>
        <v/>
      </c>
      <c r="N389" s="19" t="str">
        <f t="shared" ca="1" si="34"/>
        <v/>
      </c>
    </row>
    <row r="390" spans="1:14" ht="15.75" customHeight="1" x14ac:dyDescent="0.25">
      <c r="A390" s="11"/>
      <c r="B390" s="11"/>
      <c r="C390" s="11"/>
      <c r="D390" s="11"/>
      <c r="E390" s="11"/>
      <c r="F390" s="17" t="str">
        <f>IF(E390=0,"",IFERROR(E390*Config!B18,0))</f>
        <v/>
      </c>
      <c r="G390" s="13" t="str">
        <f t="shared" si="30"/>
        <v/>
      </c>
      <c r="H390" s="11"/>
      <c r="I390" s="11"/>
      <c r="J390" s="16" t="str">
        <f t="shared" si="31"/>
        <v/>
      </c>
      <c r="K390" s="18" t="str">
        <f>IF(A390="","",IFERROR(SUMIF(Transactions!A$4:A$1003,A390,Transactions!F$4:F$1003),0))</f>
        <v/>
      </c>
      <c r="L390" s="15" t="str">
        <f t="shared" si="32"/>
        <v/>
      </c>
      <c r="M390" s="12" t="str">
        <f t="shared" ca="1" si="33"/>
        <v/>
      </c>
      <c r="N390" s="19" t="str">
        <f t="shared" ca="1" si="34"/>
        <v/>
      </c>
    </row>
    <row r="391" spans="1:14" ht="15.75" customHeight="1" x14ac:dyDescent="0.25">
      <c r="A391" s="11"/>
      <c r="B391" s="11"/>
      <c r="C391" s="11"/>
      <c r="D391" s="11"/>
      <c r="E391" s="11"/>
      <c r="F391" s="17" t="str">
        <f>IF(E391=0,"",IFERROR(E391*Config!B18,0))</f>
        <v/>
      </c>
      <c r="G391" s="13" t="str">
        <f t="shared" si="30"/>
        <v/>
      </c>
      <c r="H391" s="11"/>
      <c r="I391" s="11"/>
      <c r="J391" s="16" t="str">
        <f t="shared" si="31"/>
        <v/>
      </c>
      <c r="K391" s="18" t="str">
        <f>IF(A391="","",IFERROR(SUMIF(Transactions!A$4:A$1003,A391,Transactions!F$4:F$1003),0))</f>
        <v/>
      </c>
      <c r="L391" s="15" t="str">
        <f t="shared" si="32"/>
        <v/>
      </c>
      <c r="M391" s="12" t="str">
        <f t="shared" ca="1" si="33"/>
        <v/>
      </c>
      <c r="N391" s="19" t="str">
        <f t="shared" ca="1" si="34"/>
        <v/>
      </c>
    </row>
    <row r="392" spans="1:14" ht="15.75" customHeight="1" x14ac:dyDescent="0.25">
      <c r="A392" s="11"/>
      <c r="B392" s="11"/>
      <c r="C392" s="11"/>
      <c r="D392" s="11"/>
      <c r="E392" s="11"/>
      <c r="F392" s="17" t="str">
        <f>IF(E392=0,"",IFERROR(E392*Config!B18,0))</f>
        <v/>
      </c>
      <c r="G392" s="13" t="str">
        <f t="shared" si="30"/>
        <v/>
      </c>
      <c r="H392" s="11"/>
      <c r="I392" s="11"/>
      <c r="J392" s="16" t="str">
        <f t="shared" si="31"/>
        <v/>
      </c>
      <c r="K392" s="18" t="str">
        <f>IF(A392="","",IFERROR(SUMIF(Transactions!A$4:A$1003,A392,Transactions!F$4:F$1003),0))</f>
        <v/>
      </c>
      <c r="L392" s="15" t="str">
        <f t="shared" si="32"/>
        <v/>
      </c>
      <c r="M392" s="12" t="str">
        <f t="shared" ca="1" si="33"/>
        <v/>
      </c>
      <c r="N392" s="19" t="str">
        <f t="shared" ca="1" si="34"/>
        <v/>
      </c>
    </row>
    <row r="393" spans="1:14" ht="15.75" customHeight="1" x14ac:dyDescent="0.25">
      <c r="A393" s="11"/>
      <c r="B393" s="11"/>
      <c r="C393" s="11"/>
      <c r="D393" s="11"/>
      <c r="E393" s="11"/>
      <c r="F393" s="17" t="str">
        <f>IF(E393=0,"",IFERROR(E393*Config!B18,0))</f>
        <v/>
      </c>
      <c r="G393" s="13" t="str">
        <f t="shared" si="30"/>
        <v/>
      </c>
      <c r="H393" s="11"/>
      <c r="I393" s="11"/>
      <c r="J393" s="16" t="str">
        <f t="shared" si="31"/>
        <v/>
      </c>
      <c r="K393" s="18" t="str">
        <f>IF(A393="","",IFERROR(SUMIF(Transactions!A$4:A$1003,A393,Transactions!F$4:F$1003),0))</f>
        <v/>
      </c>
      <c r="L393" s="15" t="str">
        <f t="shared" si="32"/>
        <v/>
      </c>
      <c r="M393" s="12" t="str">
        <f t="shared" ca="1" si="33"/>
        <v/>
      </c>
      <c r="N393" s="19" t="str">
        <f t="shared" ca="1" si="34"/>
        <v/>
      </c>
    </row>
    <row r="394" spans="1:14" ht="15.75" customHeight="1" x14ac:dyDescent="0.25">
      <c r="A394" s="11"/>
      <c r="B394" s="11"/>
      <c r="C394" s="11"/>
      <c r="D394" s="11"/>
      <c r="E394" s="11"/>
      <c r="F394" s="17" t="str">
        <f>IF(E394=0,"",IFERROR(E394*Config!B18,0))</f>
        <v/>
      </c>
      <c r="G394" s="13" t="str">
        <f t="shared" si="30"/>
        <v/>
      </c>
      <c r="H394" s="11"/>
      <c r="I394" s="11"/>
      <c r="J394" s="16" t="str">
        <f t="shared" si="31"/>
        <v/>
      </c>
      <c r="K394" s="18" t="str">
        <f>IF(A394="","",IFERROR(SUMIF(Transactions!A$4:A$1003,A394,Transactions!F$4:F$1003),0))</f>
        <v/>
      </c>
      <c r="L394" s="15" t="str">
        <f t="shared" si="32"/>
        <v/>
      </c>
      <c r="M394" s="12" t="str">
        <f t="shared" ca="1" si="33"/>
        <v/>
      </c>
      <c r="N394" s="19" t="str">
        <f t="shared" ca="1" si="34"/>
        <v/>
      </c>
    </row>
    <row r="395" spans="1:14" ht="15.75" customHeight="1" x14ac:dyDescent="0.25">
      <c r="A395" s="11"/>
      <c r="B395" s="11"/>
      <c r="C395" s="11"/>
      <c r="D395" s="11"/>
      <c r="E395" s="11"/>
      <c r="F395" s="17" t="str">
        <f>IF(E395=0,"",IFERROR(E395*Config!B18,0))</f>
        <v/>
      </c>
      <c r="G395" s="13" t="str">
        <f t="shared" si="30"/>
        <v/>
      </c>
      <c r="H395" s="11"/>
      <c r="I395" s="11"/>
      <c r="J395" s="16" t="str">
        <f t="shared" si="31"/>
        <v/>
      </c>
      <c r="K395" s="18" t="str">
        <f>IF(A395="","",IFERROR(SUMIF(Transactions!A$4:A$1003,A395,Transactions!F$4:F$1003),0))</f>
        <v/>
      </c>
      <c r="L395" s="15" t="str">
        <f t="shared" si="32"/>
        <v/>
      </c>
      <c r="M395" s="12" t="str">
        <f t="shared" ca="1" si="33"/>
        <v/>
      </c>
      <c r="N395" s="19" t="str">
        <f t="shared" ca="1" si="34"/>
        <v/>
      </c>
    </row>
    <row r="396" spans="1:14" ht="15.75" customHeight="1" x14ac:dyDescent="0.25">
      <c r="A396" s="11"/>
      <c r="B396" s="11"/>
      <c r="C396" s="11"/>
      <c r="D396" s="11"/>
      <c r="E396" s="11"/>
      <c r="F396" s="17" t="str">
        <f>IF(E396=0,"",IFERROR(E396*Config!B18,0))</f>
        <v/>
      </c>
      <c r="G396" s="13" t="str">
        <f t="shared" si="30"/>
        <v/>
      </c>
      <c r="H396" s="11"/>
      <c r="I396" s="11"/>
      <c r="J396" s="16" t="str">
        <f t="shared" si="31"/>
        <v/>
      </c>
      <c r="K396" s="18" t="str">
        <f>IF(A396="","",IFERROR(SUMIF(Transactions!A$4:A$1003,A396,Transactions!F$4:F$1003),0))</f>
        <v/>
      </c>
      <c r="L396" s="15" t="str">
        <f t="shared" si="32"/>
        <v/>
      </c>
      <c r="M396" s="12" t="str">
        <f t="shared" ca="1" si="33"/>
        <v/>
      </c>
      <c r="N396" s="19" t="str">
        <f t="shared" ca="1" si="34"/>
        <v/>
      </c>
    </row>
    <row r="397" spans="1:14" ht="15.75" customHeight="1" x14ac:dyDescent="0.25">
      <c r="A397" s="11"/>
      <c r="B397" s="11"/>
      <c r="C397" s="11"/>
      <c r="D397" s="11"/>
      <c r="E397" s="11"/>
      <c r="F397" s="17" t="str">
        <f>IF(E397=0,"",IFERROR(E397*Config!B18,0))</f>
        <v/>
      </c>
      <c r="G397" s="13" t="str">
        <f t="shared" si="30"/>
        <v/>
      </c>
      <c r="H397" s="11"/>
      <c r="I397" s="11"/>
      <c r="J397" s="16" t="str">
        <f t="shared" si="31"/>
        <v/>
      </c>
      <c r="K397" s="18" t="str">
        <f>IF(A397="","",IFERROR(SUMIF(Transactions!A$4:A$1003,A397,Transactions!F$4:F$1003),0))</f>
        <v/>
      </c>
      <c r="L397" s="15" t="str">
        <f t="shared" si="32"/>
        <v/>
      </c>
      <c r="M397" s="12" t="str">
        <f t="shared" ca="1" si="33"/>
        <v/>
      </c>
      <c r="N397" s="19" t="str">
        <f t="shared" ca="1" si="34"/>
        <v/>
      </c>
    </row>
    <row r="398" spans="1:14" ht="15.75" customHeight="1" x14ac:dyDescent="0.25">
      <c r="A398" s="11"/>
      <c r="B398" s="11"/>
      <c r="C398" s="11"/>
      <c r="D398" s="11"/>
      <c r="E398" s="11"/>
      <c r="F398" s="17" t="str">
        <f>IF(E398=0,"",IFERROR(E398*Config!B18,0))</f>
        <v/>
      </c>
      <c r="G398" s="13" t="str">
        <f t="shared" si="30"/>
        <v/>
      </c>
      <c r="H398" s="11"/>
      <c r="I398" s="11"/>
      <c r="J398" s="16" t="str">
        <f t="shared" si="31"/>
        <v/>
      </c>
      <c r="K398" s="18" t="str">
        <f>IF(A398="","",IFERROR(SUMIF(Transactions!A$4:A$1003,A398,Transactions!F$4:F$1003),0))</f>
        <v/>
      </c>
      <c r="L398" s="15" t="str">
        <f t="shared" si="32"/>
        <v/>
      </c>
      <c r="M398" s="12" t="str">
        <f t="shared" ca="1" si="33"/>
        <v/>
      </c>
      <c r="N398" s="19" t="str">
        <f t="shared" ca="1" si="34"/>
        <v/>
      </c>
    </row>
    <row r="399" spans="1:14" ht="15.75" customHeight="1" x14ac:dyDescent="0.25">
      <c r="A399" s="11"/>
      <c r="B399" s="11"/>
      <c r="C399" s="11"/>
      <c r="D399" s="11"/>
      <c r="E399" s="11"/>
      <c r="F399" s="17" t="str">
        <f>IF(E399=0,"",IFERROR(E399*Config!B18,0))</f>
        <v/>
      </c>
      <c r="G399" s="13" t="str">
        <f t="shared" si="30"/>
        <v/>
      </c>
      <c r="H399" s="11"/>
      <c r="I399" s="11"/>
      <c r="J399" s="16" t="str">
        <f t="shared" si="31"/>
        <v/>
      </c>
      <c r="K399" s="18" t="str">
        <f>IF(A399="","",IFERROR(SUMIF(Transactions!A$4:A$1003,A399,Transactions!F$4:F$1003),0))</f>
        <v/>
      </c>
      <c r="L399" s="15" t="str">
        <f t="shared" si="32"/>
        <v/>
      </c>
      <c r="M399" s="12" t="str">
        <f t="shared" ca="1" si="33"/>
        <v/>
      </c>
      <c r="N399" s="19" t="str">
        <f t="shared" ca="1" si="34"/>
        <v/>
      </c>
    </row>
    <row r="400" spans="1:14" ht="15.75" customHeight="1" x14ac:dyDescent="0.25">
      <c r="A400" s="11"/>
      <c r="B400" s="11"/>
      <c r="C400" s="11"/>
      <c r="D400" s="11"/>
      <c r="E400" s="11"/>
      <c r="F400" s="17" t="str">
        <f>IF(E400=0,"",IFERROR(E400*Config!B18,0))</f>
        <v/>
      </c>
      <c r="G400" s="13" t="str">
        <f t="shared" si="30"/>
        <v/>
      </c>
      <c r="H400" s="11"/>
      <c r="I400" s="11"/>
      <c r="J400" s="16" t="str">
        <f t="shared" si="31"/>
        <v/>
      </c>
      <c r="K400" s="18" t="str">
        <f>IF(A400="","",IFERROR(SUMIF(Transactions!A$4:A$1003,A400,Transactions!F$4:F$1003),0))</f>
        <v/>
      </c>
      <c r="L400" s="15" t="str">
        <f t="shared" si="32"/>
        <v/>
      </c>
      <c r="M400" s="12" t="str">
        <f t="shared" ca="1" si="33"/>
        <v/>
      </c>
      <c r="N400" s="19" t="str">
        <f t="shared" ca="1" si="34"/>
        <v/>
      </c>
    </row>
    <row r="401" spans="1:14" ht="15.75" customHeight="1" x14ac:dyDescent="0.25">
      <c r="A401" s="11"/>
      <c r="B401" s="11"/>
      <c r="C401" s="11"/>
      <c r="D401" s="11"/>
      <c r="E401" s="11"/>
      <c r="F401" s="17" t="str">
        <f>IF(E401=0,"",IFERROR(E401*Config!B18,0))</f>
        <v/>
      </c>
      <c r="G401" s="13" t="str">
        <f t="shared" si="30"/>
        <v/>
      </c>
      <c r="H401" s="11"/>
      <c r="I401" s="11"/>
      <c r="J401" s="16" t="str">
        <f t="shared" si="31"/>
        <v/>
      </c>
      <c r="K401" s="18" t="str">
        <f>IF(A401="","",IFERROR(SUMIF(Transactions!A$4:A$1003,A401,Transactions!F$4:F$1003),0))</f>
        <v/>
      </c>
      <c r="L401" s="15" t="str">
        <f t="shared" si="32"/>
        <v/>
      </c>
      <c r="M401" s="12" t="str">
        <f t="shared" ca="1" si="33"/>
        <v/>
      </c>
      <c r="N401" s="19" t="str">
        <f t="shared" ca="1" si="34"/>
        <v/>
      </c>
    </row>
    <row r="402" spans="1:14" ht="15.75" customHeight="1" x14ac:dyDescent="0.25">
      <c r="A402" s="11"/>
      <c r="B402" s="11"/>
      <c r="C402" s="11"/>
      <c r="D402" s="11"/>
      <c r="E402" s="11"/>
      <c r="F402" s="17" t="str">
        <f>IF(E402=0,"",IFERROR(E402*Config!B18,0))</f>
        <v/>
      </c>
      <c r="G402" s="13" t="str">
        <f t="shared" si="30"/>
        <v/>
      </c>
      <c r="H402" s="11"/>
      <c r="I402" s="11"/>
      <c r="J402" s="16" t="str">
        <f t="shared" si="31"/>
        <v/>
      </c>
      <c r="K402" s="18" t="str">
        <f>IF(A402="","",IFERROR(SUMIF(Transactions!A$4:A$1003,A402,Transactions!F$4:F$1003),0))</f>
        <v/>
      </c>
      <c r="L402" s="15" t="str">
        <f t="shared" si="32"/>
        <v/>
      </c>
      <c r="M402" s="12" t="str">
        <f t="shared" ca="1" si="33"/>
        <v/>
      </c>
      <c r="N402" s="19" t="str">
        <f t="shared" ca="1" si="34"/>
        <v/>
      </c>
    </row>
    <row r="403" spans="1:14" ht="15.75" customHeight="1" x14ac:dyDescent="0.25">
      <c r="A403" s="11"/>
      <c r="B403" s="11"/>
      <c r="C403" s="11"/>
      <c r="D403" s="11"/>
      <c r="E403" s="11"/>
      <c r="F403" s="17" t="str">
        <f>IF(E403=0,"",IFERROR(E403*Config!B18,0))</f>
        <v/>
      </c>
      <c r="G403" s="13" t="str">
        <f t="shared" si="30"/>
        <v/>
      </c>
      <c r="H403" s="11"/>
      <c r="I403" s="11"/>
      <c r="J403" s="16" t="str">
        <f t="shared" si="31"/>
        <v/>
      </c>
      <c r="K403" s="18" t="str">
        <f>IF(A403="","",IFERROR(SUMIF(Transactions!A$4:A$1003,A403,Transactions!F$4:F$1003),0))</f>
        <v/>
      </c>
      <c r="L403" s="15" t="str">
        <f t="shared" si="32"/>
        <v/>
      </c>
      <c r="M403" s="12" t="str">
        <f t="shared" ca="1" si="33"/>
        <v/>
      </c>
      <c r="N403" s="19" t="str">
        <f t="shared" ca="1" si="34"/>
        <v/>
      </c>
    </row>
    <row r="404" spans="1:14" ht="15.75" customHeight="1" x14ac:dyDescent="0.25">
      <c r="A404" s="11"/>
      <c r="B404" s="11"/>
      <c r="C404" s="11"/>
      <c r="D404" s="11"/>
      <c r="E404" s="11"/>
      <c r="F404" s="17" t="str">
        <f>IF(E404=0,"",IFERROR(E404*Config!B18,0))</f>
        <v/>
      </c>
      <c r="G404" s="13" t="str">
        <f t="shared" si="30"/>
        <v/>
      </c>
      <c r="H404" s="11"/>
      <c r="I404" s="11"/>
      <c r="J404" s="16" t="str">
        <f t="shared" si="31"/>
        <v/>
      </c>
      <c r="K404" s="18" t="str">
        <f>IF(A404="","",IFERROR(SUMIF(Transactions!A$4:A$1003,A404,Transactions!F$4:F$1003),0))</f>
        <v/>
      </c>
      <c r="L404" s="15" t="str">
        <f t="shared" si="32"/>
        <v/>
      </c>
      <c r="M404" s="12" t="str">
        <f t="shared" ca="1" si="33"/>
        <v/>
      </c>
      <c r="N404" s="19" t="str">
        <f t="shared" ca="1" si="34"/>
        <v/>
      </c>
    </row>
    <row r="405" spans="1:14" ht="15.75" customHeight="1" x14ac:dyDescent="0.25">
      <c r="A405" s="11"/>
      <c r="B405" s="11"/>
      <c r="C405" s="11"/>
      <c r="D405" s="11"/>
      <c r="E405" s="11"/>
      <c r="F405" s="17" t="str">
        <f>IF(E405=0,"",IFERROR(E405*Config!B18,0))</f>
        <v/>
      </c>
      <c r="G405" s="13" t="str">
        <f t="shared" si="30"/>
        <v/>
      </c>
      <c r="H405" s="11"/>
      <c r="I405" s="11"/>
      <c r="J405" s="16" t="str">
        <f t="shared" si="31"/>
        <v/>
      </c>
      <c r="K405" s="18" t="str">
        <f>IF(A405="","",IFERROR(SUMIF(Transactions!A$4:A$1003,A405,Transactions!F$4:F$1003),0))</f>
        <v/>
      </c>
      <c r="L405" s="15" t="str">
        <f t="shared" si="32"/>
        <v/>
      </c>
      <c r="M405" s="12" t="str">
        <f t="shared" ca="1" si="33"/>
        <v/>
      </c>
      <c r="N405" s="19" t="str">
        <f t="shared" ca="1" si="34"/>
        <v/>
      </c>
    </row>
    <row r="406" spans="1:14" ht="15.75" customHeight="1" x14ac:dyDescent="0.25">
      <c r="A406" s="11"/>
      <c r="B406" s="11"/>
      <c r="C406" s="11"/>
      <c r="D406" s="11"/>
      <c r="E406" s="11"/>
      <c r="F406" s="17" t="str">
        <f>IF(E406=0,"",IFERROR(E406*Config!B18,0))</f>
        <v/>
      </c>
      <c r="G406" s="13" t="str">
        <f t="shared" si="30"/>
        <v/>
      </c>
      <c r="H406" s="11"/>
      <c r="I406" s="11"/>
      <c r="J406" s="16" t="str">
        <f t="shared" si="31"/>
        <v/>
      </c>
      <c r="K406" s="18" t="str">
        <f>IF(A406="","",IFERROR(SUMIF(Transactions!A$4:A$1003,A406,Transactions!F$4:F$1003),0))</f>
        <v/>
      </c>
      <c r="L406" s="15" t="str">
        <f t="shared" si="32"/>
        <v/>
      </c>
      <c r="M406" s="12" t="str">
        <f t="shared" ca="1" si="33"/>
        <v/>
      </c>
      <c r="N406" s="19" t="str">
        <f t="shared" ca="1" si="34"/>
        <v/>
      </c>
    </row>
    <row r="407" spans="1:14" ht="15.75" customHeight="1" x14ac:dyDescent="0.25">
      <c r="A407" s="11"/>
      <c r="B407" s="11"/>
      <c r="C407" s="11"/>
      <c r="D407" s="11"/>
      <c r="E407" s="11"/>
      <c r="F407" s="17" t="str">
        <f>IF(E407=0,"",IFERROR(E407*Config!B18,0))</f>
        <v/>
      </c>
      <c r="G407" s="13" t="str">
        <f t="shared" si="30"/>
        <v/>
      </c>
      <c r="H407" s="11"/>
      <c r="I407" s="11"/>
      <c r="J407" s="16" t="str">
        <f t="shared" si="31"/>
        <v/>
      </c>
      <c r="K407" s="18" t="str">
        <f>IF(A407="","",IFERROR(SUMIF(Transactions!A$4:A$1003,A407,Transactions!F$4:F$1003),0))</f>
        <v/>
      </c>
      <c r="L407" s="15" t="str">
        <f t="shared" si="32"/>
        <v/>
      </c>
      <c r="M407" s="12" t="str">
        <f t="shared" ca="1" si="33"/>
        <v/>
      </c>
      <c r="N407" s="19" t="str">
        <f t="shared" ca="1" si="34"/>
        <v/>
      </c>
    </row>
    <row r="408" spans="1:14" ht="15.75" customHeight="1" x14ac:dyDescent="0.25">
      <c r="A408" s="11"/>
      <c r="B408" s="11"/>
      <c r="C408" s="11"/>
      <c r="D408" s="11"/>
      <c r="E408" s="11"/>
      <c r="F408" s="17" t="str">
        <f>IF(E408=0,"",IFERROR(E408*Config!B18,0))</f>
        <v/>
      </c>
      <c r="G408" s="13" t="str">
        <f t="shared" si="30"/>
        <v/>
      </c>
      <c r="H408" s="11"/>
      <c r="I408" s="11"/>
      <c r="J408" s="16" t="str">
        <f t="shared" si="31"/>
        <v/>
      </c>
      <c r="K408" s="18" t="str">
        <f>IF(A408="","",IFERROR(SUMIF(Transactions!A$4:A$1003,A408,Transactions!F$4:F$1003),0))</f>
        <v/>
      </c>
      <c r="L408" s="15" t="str">
        <f t="shared" si="32"/>
        <v/>
      </c>
      <c r="M408" s="12" t="str">
        <f t="shared" ca="1" si="33"/>
        <v/>
      </c>
      <c r="N408" s="19" t="str">
        <f t="shared" ca="1" si="34"/>
        <v/>
      </c>
    </row>
    <row r="409" spans="1:14" ht="15.75" customHeight="1" x14ac:dyDescent="0.25">
      <c r="A409" s="11"/>
      <c r="B409" s="11"/>
      <c r="C409" s="11"/>
      <c r="D409" s="11"/>
      <c r="E409" s="11"/>
      <c r="F409" s="17" t="str">
        <f>IF(E409=0,"",IFERROR(E409*Config!B18,0))</f>
        <v/>
      </c>
      <c r="G409" s="13" t="str">
        <f t="shared" si="30"/>
        <v/>
      </c>
      <c r="H409" s="11"/>
      <c r="I409" s="11"/>
      <c r="J409" s="16" t="str">
        <f t="shared" si="31"/>
        <v/>
      </c>
      <c r="K409" s="18" t="str">
        <f>IF(A409="","",IFERROR(SUMIF(Transactions!A$4:A$1003,A409,Transactions!F$4:F$1003),0))</f>
        <v/>
      </c>
      <c r="L409" s="15" t="str">
        <f t="shared" si="32"/>
        <v/>
      </c>
      <c r="M409" s="12" t="str">
        <f t="shared" ca="1" si="33"/>
        <v/>
      </c>
      <c r="N409" s="19" t="str">
        <f t="shared" ca="1" si="34"/>
        <v/>
      </c>
    </row>
    <row r="410" spans="1:14" ht="15.75" customHeight="1" x14ac:dyDescent="0.25">
      <c r="A410" s="11"/>
      <c r="B410" s="11"/>
      <c r="C410" s="11"/>
      <c r="D410" s="11"/>
      <c r="E410" s="11"/>
      <c r="F410" s="17" t="str">
        <f>IF(E410=0,"",IFERROR(E410*Config!B18,0))</f>
        <v/>
      </c>
      <c r="G410" s="13" t="str">
        <f t="shared" si="30"/>
        <v/>
      </c>
      <c r="H410" s="11"/>
      <c r="I410" s="11"/>
      <c r="J410" s="16" t="str">
        <f t="shared" si="31"/>
        <v/>
      </c>
      <c r="K410" s="18" t="str">
        <f>IF(A410="","",IFERROR(SUMIF(Transactions!A$4:A$1003,A410,Transactions!F$4:F$1003),0))</f>
        <v/>
      </c>
      <c r="L410" s="15" t="str">
        <f t="shared" si="32"/>
        <v/>
      </c>
      <c r="M410" s="12" t="str">
        <f t="shared" ca="1" si="33"/>
        <v/>
      </c>
      <c r="N410" s="19" t="str">
        <f t="shared" ca="1" si="34"/>
        <v/>
      </c>
    </row>
    <row r="411" spans="1:14" ht="15.75" customHeight="1" x14ac:dyDescent="0.25">
      <c r="A411" s="11"/>
      <c r="B411" s="11"/>
      <c r="C411" s="11"/>
      <c r="D411" s="11"/>
      <c r="E411" s="11"/>
      <c r="F411" s="17" t="str">
        <f>IF(E411=0,"",IFERROR(E411*Config!B18,0))</f>
        <v/>
      </c>
      <c r="G411" s="13" t="str">
        <f t="shared" si="30"/>
        <v/>
      </c>
      <c r="H411" s="11"/>
      <c r="I411" s="11"/>
      <c r="J411" s="16" t="str">
        <f t="shared" si="31"/>
        <v/>
      </c>
      <c r="K411" s="18" t="str">
        <f>IF(A411="","",IFERROR(SUMIF(Transactions!A$4:A$1003,A411,Transactions!F$4:F$1003),0))</f>
        <v/>
      </c>
      <c r="L411" s="15" t="str">
        <f t="shared" si="32"/>
        <v/>
      </c>
      <c r="M411" s="12" t="str">
        <f t="shared" ca="1" si="33"/>
        <v/>
      </c>
      <c r="N411" s="19" t="str">
        <f t="shared" ca="1" si="34"/>
        <v/>
      </c>
    </row>
    <row r="412" spans="1:14" ht="15.75" customHeight="1" x14ac:dyDescent="0.25">
      <c r="A412" s="11"/>
      <c r="B412" s="11"/>
      <c r="C412" s="11"/>
      <c r="D412" s="11"/>
      <c r="E412" s="11"/>
      <c r="F412" s="17" t="str">
        <f>IF(E412=0,"",IFERROR(E412*Config!B18,0))</f>
        <v/>
      </c>
      <c r="G412" s="13" t="str">
        <f t="shared" si="30"/>
        <v/>
      </c>
      <c r="H412" s="11"/>
      <c r="I412" s="11"/>
      <c r="J412" s="16" t="str">
        <f t="shared" si="31"/>
        <v/>
      </c>
      <c r="K412" s="18" t="str">
        <f>IF(A412="","",IFERROR(SUMIF(Transactions!A$4:A$1003,A412,Transactions!F$4:F$1003),0))</f>
        <v/>
      </c>
      <c r="L412" s="15" t="str">
        <f t="shared" si="32"/>
        <v/>
      </c>
      <c r="M412" s="12" t="str">
        <f t="shared" ca="1" si="33"/>
        <v/>
      </c>
      <c r="N412" s="19" t="str">
        <f t="shared" ca="1" si="34"/>
        <v/>
      </c>
    </row>
    <row r="413" spans="1:14" ht="15.75" customHeight="1" x14ac:dyDescent="0.25">
      <c r="A413" s="11"/>
      <c r="B413" s="11"/>
      <c r="C413" s="11"/>
      <c r="D413" s="11"/>
      <c r="E413" s="11"/>
      <c r="F413" s="17" t="str">
        <f>IF(E413=0,"",IFERROR(E413*Config!B18,0))</f>
        <v/>
      </c>
      <c r="G413" s="13" t="str">
        <f t="shared" si="30"/>
        <v/>
      </c>
      <c r="H413" s="11"/>
      <c r="I413" s="11"/>
      <c r="J413" s="16" t="str">
        <f t="shared" si="31"/>
        <v/>
      </c>
      <c r="K413" s="18" t="str">
        <f>IF(A413="","",IFERROR(SUMIF(Transactions!A$4:A$1003,A413,Transactions!F$4:F$1003),0))</f>
        <v/>
      </c>
      <c r="L413" s="15" t="str">
        <f t="shared" si="32"/>
        <v/>
      </c>
      <c r="M413" s="12" t="str">
        <f t="shared" ca="1" si="33"/>
        <v/>
      </c>
      <c r="N413" s="19" t="str">
        <f t="shared" ca="1" si="34"/>
        <v/>
      </c>
    </row>
    <row r="414" spans="1:14" ht="15.75" customHeight="1" x14ac:dyDescent="0.25">
      <c r="A414" s="11"/>
      <c r="B414" s="11"/>
      <c r="C414" s="11"/>
      <c r="D414" s="11"/>
      <c r="E414" s="11"/>
      <c r="F414" s="17" t="str">
        <f>IF(E414=0,"",IFERROR(E414*Config!B18,0))</f>
        <v/>
      </c>
      <c r="G414" s="13" t="str">
        <f t="shared" si="30"/>
        <v/>
      </c>
      <c r="H414" s="11"/>
      <c r="I414" s="11"/>
      <c r="J414" s="16" t="str">
        <f t="shared" si="31"/>
        <v/>
      </c>
      <c r="K414" s="18" t="str">
        <f>IF(A414="","",IFERROR(SUMIF(Transactions!A$4:A$1003,A414,Transactions!F$4:F$1003),0))</f>
        <v/>
      </c>
      <c r="L414" s="15" t="str">
        <f t="shared" si="32"/>
        <v/>
      </c>
      <c r="M414" s="12" t="str">
        <f t="shared" ca="1" si="33"/>
        <v/>
      </c>
      <c r="N414" s="19" t="str">
        <f t="shared" ca="1" si="34"/>
        <v/>
      </c>
    </row>
    <row r="415" spans="1:14" ht="15.75" customHeight="1" x14ac:dyDescent="0.25">
      <c r="A415" s="11"/>
      <c r="B415" s="11"/>
      <c r="C415" s="11"/>
      <c r="D415" s="11"/>
      <c r="E415" s="11"/>
      <c r="F415" s="17" t="str">
        <f>IF(E415=0,"",IFERROR(E415*Config!B18,0))</f>
        <v/>
      </c>
      <c r="G415" s="13" t="str">
        <f t="shared" si="30"/>
        <v/>
      </c>
      <c r="H415" s="11"/>
      <c r="I415" s="11"/>
      <c r="J415" s="16" t="str">
        <f t="shared" si="31"/>
        <v/>
      </c>
      <c r="K415" s="18" t="str">
        <f>IF(A415="","",IFERROR(SUMIF(Transactions!A$4:A$1003,A415,Transactions!F$4:F$1003),0))</f>
        <v/>
      </c>
      <c r="L415" s="15" t="str">
        <f t="shared" si="32"/>
        <v/>
      </c>
      <c r="M415" s="12" t="str">
        <f t="shared" ca="1" si="33"/>
        <v/>
      </c>
      <c r="N415" s="19" t="str">
        <f t="shared" ca="1" si="34"/>
        <v/>
      </c>
    </row>
    <row r="416" spans="1:14" ht="15.75" customHeight="1" x14ac:dyDescent="0.25">
      <c r="A416" s="11"/>
      <c r="B416" s="11"/>
      <c r="C416" s="11"/>
      <c r="D416" s="11"/>
      <c r="E416" s="11"/>
      <c r="F416" s="17" t="str">
        <f>IF(E416=0,"",IFERROR(E416*Config!B18,0))</f>
        <v/>
      </c>
      <c r="G416" s="13" t="str">
        <f t="shared" si="30"/>
        <v/>
      </c>
      <c r="H416" s="11"/>
      <c r="I416" s="11"/>
      <c r="J416" s="16" t="str">
        <f t="shared" si="31"/>
        <v/>
      </c>
      <c r="K416" s="18" t="str">
        <f>IF(A416="","",IFERROR(SUMIF(Transactions!A$4:A$1003,A416,Transactions!F$4:F$1003),0))</f>
        <v/>
      </c>
      <c r="L416" s="15" t="str">
        <f t="shared" si="32"/>
        <v/>
      </c>
      <c r="M416" s="12" t="str">
        <f t="shared" ca="1" si="33"/>
        <v/>
      </c>
      <c r="N416" s="19" t="str">
        <f t="shared" ca="1" si="34"/>
        <v/>
      </c>
    </row>
    <row r="417" spans="1:14" ht="15.75" customHeight="1" x14ac:dyDescent="0.25">
      <c r="A417" s="11"/>
      <c r="B417" s="11"/>
      <c r="C417" s="11"/>
      <c r="D417" s="11"/>
      <c r="E417" s="11"/>
      <c r="F417" s="17" t="str">
        <f>IF(E417=0,"",IFERROR(E417*Config!B18,0))</f>
        <v/>
      </c>
      <c r="G417" s="13" t="str">
        <f t="shared" si="30"/>
        <v/>
      </c>
      <c r="H417" s="11"/>
      <c r="I417" s="11"/>
      <c r="J417" s="16" t="str">
        <f t="shared" si="31"/>
        <v/>
      </c>
      <c r="K417" s="18" t="str">
        <f>IF(A417="","",IFERROR(SUMIF(Transactions!A$4:A$1003,A417,Transactions!F$4:F$1003),0))</f>
        <v/>
      </c>
      <c r="L417" s="15" t="str">
        <f t="shared" si="32"/>
        <v/>
      </c>
      <c r="M417" s="12" t="str">
        <f t="shared" ca="1" si="33"/>
        <v/>
      </c>
      <c r="N417" s="19" t="str">
        <f t="shared" ca="1" si="34"/>
        <v/>
      </c>
    </row>
    <row r="418" spans="1:14" ht="15.75" customHeight="1" x14ac:dyDescent="0.25">
      <c r="A418" s="11"/>
      <c r="B418" s="11"/>
      <c r="C418" s="11"/>
      <c r="D418" s="11"/>
      <c r="E418" s="11"/>
      <c r="F418" s="17" t="str">
        <f>IF(E418=0,"",IFERROR(E418*Config!B18,0))</f>
        <v/>
      </c>
      <c r="G418" s="13" t="str">
        <f t="shared" si="30"/>
        <v/>
      </c>
      <c r="H418" s="11"/>
      <c r="I418" s="11"/>
      <c r="J418" s="16" t="str">
        <f t="shared" si="31"/>
        <v/>
      </c>
      <c r="K418" s="18" t="str">
        <f>IF(A418="","",IFERROR(SUMIF(Transactions!A$4:A$1003,A418,Transactions!F$4:F$1003),0))</f>
        <v/>
      </c>
      <c r="L418" s="15" t="str">
        <f t="shared" si="32"/>
        <v/>
      </c>
      <c r="M418" s="12" t="str">
        <f t="shared" ca="1" si="33"/>
        <v/>
      </c>
      <c r="N418" s="19" t="str">
        <f t="shared" ca="1" si="34"/>
        <v/>
      </c>
    </row>
    <row r="419" spans="1:14" ht="15.75" customHeight="1" x14ac:dyDescent="0.25">
      <c r="A419" s="11"/>
      <c r="B419" s="11"/>
      <c r="C419" s="11"/>
      <c r="D419" s="11"/>
      <c r="E419" s="11"/>
      <c r="F419" s="17" t="str">
        <f>IF(E419=0,"",IFERROR(E419*Config!B18,0))</f>
        <v/>
      </c>
      <c r="G419" s="13" t="str">
        <f t="shared" si="30"/>
        <v/>
      </c>
      <c r="H419" s="11"/>
      <c r="I419" s="11"/>
      <c r="J419" s="16" t="str">
        <f t="shared" si="31"/>
        <v/>
      </c>
      <c r="K419" s="18" t="str">
        <f>IF(A419="","",IFERROR(SUMIF(Transactions!A$4:A$1003,A419,Transactions!F$4:F$1003),0))</f>
        <v/>
      </c>
      <c r="L419" s="15" t="str">
        <f t="shared" si="32"/>
        <v/>
      </c>
      <c r="M419" s="12" t="str">
        <f t="shared" ca="1" si="33"/>
        <v/>
      </c>
      <c r="N419" s="19" t="str">
        <f t="shared" ca="1" si="34"/>
        <v/>
      </c>
    </row>
    <row r="420" spans="1:14" ht="15.75" customHeight="1" x14ac:dyDescent="0.25">
      <c r="A420" s="11"/>
      <c r="B420" s="11"/>
      <c r="C420" s="11"/>
      <c r="D420" s="11"/>
      <c r="E420" s="11"/>
      <c r="F420" s="17" t="str">
        <f>IF(E420=0,"",IFERROR(E420*Config!B18,0))</f>
        <v/>
      </c>
      <c r="G420" s="13" t="str">
        <f t="shared" si="30"/>
        <v/>
      </c>
      <c r="H420" s="11"/>
      <c r="I420" s="11"/>
      <c r="J420" s="16" t="str">
        <f t="shared" si="31"/>
        <v/>
      </c>
      <c r="K420" s="18" t="str">
        <f>IF(A420="","",IFERROR(SUMIF(Transactions!A$4:A$1003,A420,Transactions!F$4:F$1003),0))</f>
        <v/>
      </c>
      <c r="L420" s="15" t="str">
        <f t="shared" si="32"/>
        <v/>
      </c>
      <c r="M420" s="12" t="str">
        <f t="shared" ca="1" si="33"/>
        <v/>
      </c>
      <c r="N420" s="19" t="str">
        <f t="shared" ca="1" si="34"/>
        <v/>
      </c>
    </row>
    <row r="421" spans="1:14" ht="15.75" customHeight="1" x14ac:dyDescent="0.25">
      <c r="A421" s="11"/>
      <c r="B421" s="11"/>
      <c r="C421" s="11"/>
      <c r="D421" s="11"/>
      <c r="E421" s="11"/>
      <c r="F421" s="17" t="str">
        <f>IF(E421=0,"",IFERROR(E421*Config!B18,0))</f>
        <v/>
      </c>
      <c r="G421" s="13" t="str">
        <f t="shared" si="30"/>
        <v/>
      </c>
      <c r="H421" s="11"/>
      <c r="I421" s="11"/>
      <c r="J421" s="16" t="str">
        <f t="shared" si="31"/>
        <v/>
      </c>
      <c r="K421" s="18" t="str">
        <f>IF(A421="","",IFERROR(SUMIF(Transactions!A$4:A$1003,A421,Transactions!F$4:F$1003),0))</f>
        <v/>
      </c>
      <c r="L421" s="15" t="str">
        <f t="shared" si="32"/>
        <v/>
      </c>
      <c r="M421" s="12" t="str">
        <f t="shared" ca="1" si="33"/>
        <v/>
      </c>
      <c r="N421" s="19" t="str">
        <f t="shared" ca="1" si="34"/>
        <v/>
      </c>
    </row>
    <row r="422" spans="1:14" ht="15.75" customHeight="1" x14ac:dyDescent="0.25">
      <c r="A422" s="11"/>
      <c r="B422" s="11"/>
      <c r="C422" s="11"/>
      <c r="D422" s="11"/>
      <c r="E422" s="11"/>
      <c r="F422" s="17" t="str">
        <f>IF(E422=0,"",IFERROR(E422*Config!B18,0))</f>
        <v/>
      </c>
      <c r="G422" s="13" t="str">
        <f t="shared" si="30"/>
        <v/>
      </c>
      <c r="H422" s="11"/>
      <c r="I422" s="11"/>
      <c r="J422" s="16" t="str">
        <f t="shared" si="31"/>
        <v/>
      </c>
      <c r="K422" s="18" t="str">
        <f>IF(A422="","",IFERROR(SUMIF(Transactions!A$4:A$1003,A422,Transactions!F$4:F$1003),0))</f>
        <v/>
      </c>
      <c r="L422" s="15" t="str">
        <f t="shared" si="32"/>
        <v/>
      </c>
      <c r="M422" s="12" t="str">
        <f t="shared" ca="1" si="33"/>
        <v/>
      </c>
      <c r="N422" s="19" t="str">
        <f t="shared" ca="1" si="34"/>
        <v/>
      </c>
    </row>
    <row r="423" spans="1:14" ht="15.75" customHeight="1" x14ac:dyDescent="0.25">
      <c r="A423" s="11"/>
      <c r="B423" s="11"/>
      <c r="C423" s="11"/>
      <c r="D423" s="11"/>
      <c r="E423" s="11"/>
      <c r="F423" s="17" t="str">
        <f>IF(E423=0,"",IFERROR(E423*Config!B18,0))</f>
        <v/>
      </c>
      <c r="G423" s="13" t="str">
        <f t="shared" si="30"/>
        <v/>
      </c>
      <c r="H423" s="11"/>
      <c r="I423" s="11"/>
      <c r="J423" s="16" t="str">
        <f t="shared" si="31"/>
        <v/>
      </c>
      <c r="K423" s="18" t="str">
        <f>IF(A423="","",IFERROR(SUMIF(Transactions!A$4:A$1003,A423,Transactions!F$4:F$1003),0))</f>
        <v/>
      </c>
      <c r="L423" s="15" t="str">
        <f t="shared" si="32"/>
        <v/>
      </c>
      <c r="M423" s="12" t="str">
        <f t="shared" ca="1" si="33"/>
        <v/>
      </c>
      <c r="N423" s="19" t="str">
        <f t="shared" ca="1" si="34"/>
        <v/>
      </c>
    </row>
    <row r="424" spans="1:14" ht="15.75" customHeight="1" x14ac:dyDescent="0.25">
      <c r="A424" s="11"/>
      <c r="B424" s="11"/>
      <c r="C424" s="11"/>
      <c r="D424" s="11"/>
      <c r="E424" s="11"/>
      <c r="F424" s="17" t="str">
        <f>IF(E424=0,"",IFERROR(E424*Config!B18,0))</f>
        <v/>
      </c>
      <c r="G424" s="13" t="str">
        <f t="shared" si="30"/>
        <v/>
      </c>
      <c r="H424" s="11"/>
      <c r="I424" s="11"/>
      <c r="J424" s="16" t="str">
        <f t="shared" si="31"/>
        <v/>
      </c>
      <c r="K424" s="18" t="str">
        <f>IF(A424="","",IFERROR(SUMIF(Transactions!A$4:A$1003,A424,Transactions!F$4:F$1003),0))</f>
        <v/>
      </c>
      <c r="L424" s="15" t="str">
        <f t="shared" si="32"/>
        <v/>
      </c>
      <c r="M424" s="12" t="str">
        <f t="shared" ca="1" si="33"/>
        <v/>
      </c>
      <c r="N424" s="19" t="str">
        <f t="shared" ca="1" si="34"/>
        <v/>
      </c>
    </row>
    <row r="425" spans="1:14" ht="15.75" customHeight="1" x14ac:dyDescent="0.25">
      <c r="A425" s="11"/>
      <c r="B425" s="11"/>
      <c r="C425" s="11"/>
      <c r="D425" s="11"/>
      <c r="E425" s="11"/>
      <c r="F425" s="17" t="str">
        <f>IF(E425=0,"",IFERROR(E425*Config!B18,0))</f>
        <v/>
      </c>
      <c r="G425" s="13" t="str">
        <f t="shared" si="30"/>
        <v/>
      </c>
      <c r="H425" s="11"/>
      <c r="I425" s="11"/>
      <c r="J425" s="16" t="str">
        <f t="shared" si="31"/>
        <v/>
      </c>
      <c r="K425" s="18" t="str">
        <f>IF(A425="","",IFERROR(SUMIF(Transactions!A$4:A$1003,A425,Transactions!F$4:F$1003),0))</f>
        <v/>
      </c>
      <c r="L425" s="15" t="str">
        <f t="shared" si="32"/>
        <v/>
      </c>
      <c r="M425" s="12" t="str">
        <f t="shared" ca="1" si="33"/>
        <v/>
      </c>
      <c r="N425" s="19" t="str">
        <f t="shared" ca="1" si="34"/>
        <v/>
      </c>
    </row>
    <row r="426" spans="1:14" ht="15.75" customHeight="1" x14ac:dyDescent="0.25">
      <c r="A426" s="11"/>
      <c r="B426" s="11"/>
      <c r="C426" s="11"/>
      <c r="D426" s="11"/>
      <c r="E426" s="11"/>
      <c r="F426" s="17" t="str">
        <f>IF(E426=0,"",IFERROR(E426*Config!B18,0))</f>
        <v/>
      </c>
      <c r="G426" s="13" t="str">
        <f t="shared" si="30"/>
        <v/>
      </c>
      <c r="H426" s="11"/>
      <c r="I426" s="11"/>
      <c r="J426" s="16" t="str">
        <f t="shared" si="31"/>
        <v/>
      </c>
      <c r="K426" s="18" t="str">
        <f>IF(A426="","",IFERROR(SUMIF(Transactions!A$4:A$1003,A426,Transactions!F$4:F$1003),0))</f>
        <v/>
      </c>
      <c r="L426" s="15" t="str">
        <f t="shared" si="32"/>
        <v/>
      </c>
      <c r="M426" s="12" t="str">
        <f t="shared" ca="1" si="33"/>
        <v/>
      </c>
      <c r="N426" s="19" t="str">
        <f t="shared" ca="1" si="34"/>
        <v/>
      </c>
    </row>
    <row r="427" spans="1:14" ht="15.75" customHeight="1" x14ac:dyDescent="0.25">
      <c r="A427" s="11"/>
      <c r="B427" s="11"/>
      <c r="C427" s="11"/>
      <c r="D427" s="11"/>
      <c r="E427" s="11"/>
      <c r="F427" s="17" t="str">
        <f>IF(E427=0,"",IFERROR(E427*Config!B18,0))</f>
        <v/>
      </c>
      <c r="G427" s="13" t="str">
        <f t="shared" si="30"/>
        <v/>
      </c>
      <c r="H427" s="11"/>
      <c r="I427" s="11"/>
      <c r="J427" s="16" t="str">
        <f t="shared" si="31"/>
        <v/>
      </c>
      <c r="K427" s="18" t="str">
        <f>IF(A427="","",IFERROR(SUMIF(Transactions!A$4:A$1003,A427,Transactions!F$4:F$1003),0))</f>
        <v/>
      </c>
      <c r="L427" s="15" t="str">
        <f t="shared" si="32"/>
        <v/>
      </c>
      <c r="M427" s="12" t="str">
        <f t="shared" ca="1" si="33"/>
        <v/>
      </c>
      <c r="N427" s="19" t="str">
        <f t="shared" ca="1" si="34"/>
        <v/>
      </c>
    </row>
    <row r="428" spans="1:14" ht="15.75" customHeight="1" x14ac:dyDescent="0.25">
      <c r="A428" s="11"/>
      <c r="B428" s="11"/>
      <c r="C428" s="11"/>
      <c r="D428" s="11"/>
      <c r="E428" s="11"/>
      <c r="F428" s="17" t="str">
        <f>IF(E428=0,"",IFERROR(E428*Config!B18,0))</f>
        <v/>
      </c>
      <c r="G428" s="13" t="str">
        <f t="shared" si="30"/>
        <v/>
      </c>
      <c r="H428" s="11"/>
      <c r="I428" s="11"/>
      <c r="J428" s="16" t="str">
        <f t="shared" si="31"/>
        <v/>
      </c>
      <c r="K428" s="18" t="str">
        <f>IF(A428="","",IFERROR(SUMIF(Transactions!A$4:A$1003,A428,Transactions!F$4:F$1003),0))</f>
        <v/>
      </c>
      <c r="L428" s="15" t="str">
        <f t="shared" si="32"/>
        <v/>
      </c>
      <c r="M428" s="12" t="str">
        <f t="shared" ca="1" si="33"/>
        <v/>
      </c>
      <c r="N428" s="19" t="str">
        <f t="shared" ca="1" si="34"/>
        <v/>
      </c>
    </row>
    <row r="429" spans="1:14" ht="15.75" customHeight="1" x14ac:dyDescent="0.25">
      <c r="A429" s="11"/>
      <c r="B429" s="11"/>
      <c r="C429" s="11"/>
      <c r="D429" s="11"/>
      <c r="E429" s="11"/>
      <c r="F429" s="17" t="str">
        <f>IF(E429=0,"",IFERROR(E429*Config!B18,0))</f>
        <v/>
      </c>
      <c r="G429" s="13" t="str">
        <f t="shared" si="30"/>
        <v/>
      </c>
      <c r="H429" s="11"/>
      <c r="I429" s="11"/>
      <c r="J429" s="16" t="str">
        <f t="shared" si="31"/>
        <v/>
      </c>
      <c r="K429" s="18" t="str">
        <f>IF(A429="","",IFERROR(SUMIF(Transactions!A$4:A$1003,A429,Transactions!F$4:F$1003),0))</f>
        <v/>
      </c>
      <c r="L429" s="15" t="str">
        <f t="shared" si="32"/>
        <v/>
      </c>
      <c r="M429" s="12" t="str">
        <f t="shared" ca="1" si="33"/>
        <v/>
      </c>
      <c r="N429" s="19" t="str">
        <f t="shared" ca="1" si="34"/>
        <v/>
      </c>
    </row>
    <row r="430" spans="1:14" ht="15.75" customHeight="1" x14ac:dyDescent="0.25">
      <c r="A430" s="11"/>
      <c r="B430" s="11"/>
      <c r="C430" s="11"/>
      <c r="D430" s="11"/>
      <c r="E430" s="11"/>
      <c r="F430" s="17" t="str">
        <f>IF(E430=0,"",IFERROR(E430*Config!B18,0))</f>
        <v/>
      </c>
      <c r="G430" s="13" t="str">
        <f t="shared" si="30"/>
        <v/>
      </c>
      <c r="H430" s="11"/>
      <c r="I430" s="11"/>
      <c r="J430" s="16" t="str">
        <f t="shared" si="31"/>
        <v/>
      </c>
      <c r="K430" s="18" t="str">
        <f>IF(A430="","",IFERROR(SUMIF(Transactions!A$4:A$1003,A430,Transactions!F$4:F$1003),0))</f>
        <v/>
      </c>
      <c r="L430" s="15" t="str">
        <f t="shared" si="32"/>
        <v/>
      </c>
      <c r="M430" s="12" t="str">
        <f t="shared" ca="1" si="33"/>
        <v/>
      </c>
      <c r="N430" s="19" t="str">
        <f t="shared" ca="1" si="34"/>
        <v/>
      </c>
    </row>
    <row r="431" spans="1:14" ht="15.75" customHeight="1" x14ac:dyDescent="0.25">
      <c r="A431" s="11"/>
      <c r="B431" s="11"/>
      <c r="C431" s="11"/>
      <c r="D431" s="11"/>
      <c r="E431" s="11"/>
      <c r="F431" s="17" t="str">
        <f>IF(E431=0,"",IFERROR(E431*Config!B18,0))</f>
        <v/>
      </c>
      <c r="G431" s="13" t="str">
        <f t="shared" si="30"/>
        <v/>
      </c>
      <c r="H431" s="11"/>
      <c r="I431" s="11"/>
      <c r="J431" s="16" t="str">
        <f t="shared" si="31"/>
        <v/>
      </c>
      <c r="K431" s="18" t="str">
        <f>IF(A431="","",IFERROR(SUMIF(Transactions!A$4:A$1003,A431,Transactions!F$4:F$1003),0))</f>
        <v/>
      </c>
      <c r="L431" s="15" t="str">
        <f t="shared" si="32"/>
        <v/>
      </c>
      <c r="M431" s="12" t="str">
        <f t="shared" ca="1" si="33"/>
        <v/>
      </c>
      <c r="N431" s="19" t="str">
        <f t="shared" ca="1" si="34"/>
        <v/>
      </c>
    </row>
    <row r="432" spans="1:14" ht="15.75" customHeight="1" x14ac:dyDescent="0.25">
      <c r="A432" s="11"/>
      <c r="B432" s="11"/>
      <c r="C432" s="11"/>
      <c r="D432" s="11"/>
      <c r="E432" s="11"/>
      <c r="F432" s="17" t="str">
        <f>IF(E432=0,"",IFERROR(E432*Config!B18,0))</f>
        <v/>
      </c>
      <c r="G432" s="13" t="str">
        <f t="shared" si="30"/>
        <v/>
      </c>
      <c r="H432" s="11"/>
      <c r="I432" s="11"/>
      <c r="J432" s="16" t="str">
        <f t="shared" si="31"/>
        <v/>
      </c>
      <c r="K432" s="18" t="str">
        <f>IF(A432="","",IFERROR(SUMIF(Transactions!A$4:A$1003,A432,Transactions!F$4:F$1003),0))</f>
        <v/>
      </c>
      <c r="L432" s="15" t="str">
        <f t="shared" si="32"/>
        <v/>
      </c>
      <c r="M432" s="12" t="str">
        <f t="shared" ca="1" si="33"/>
        <v/>
      </c>
      <c r="N432" s="19" t="str">
        <f t="shared" ca="1" si="34"/>
        <v/>
      </c>
    </row>
    <row r="433" spans="1:14" ht="15.75" customHeight="1" x14ac:dyDescent="0.25">
      <c r="A433" s="11"/>
      <c r="B433" s="11"/>
      <c r="C433" s="11"/>
      <c r="D433" s="11"/>
      <c r="E433" s="11"/>
      <c r="F433" s="17" t="str">
        <f>IF(E433=0,"",IFERROR(E433*Config!B18,0))</f>
        <v/>
      </c>
      <c r="G433" s="13" t="str">
        <f t="shared" si="30"/>
        <v/>
      </c>
      <c r="H433" s="11"/>
      <c r="I433" s="11"/>
      <c r="J433" s="16" t="str">
        <f t="shared" si="31"/>
        <v/>
      </c>
      <c r="K433" s="18" t="str">
        <f>IF(A433="","",IFERROR(SUMIF(Transactions!A$4:A$1003,A433,Transactions!F$4:F$1003),0))</f>
        <v/>
      </c>
      <c r="L433" s="15" t="str">
        <f t="shared" si="32"/>
        <v/>
      </c>
      <c r="M433" s="12" t="str">
        <f t="shared" ca="1" si="33"/>
        <v/>
      </c>
      <c r="N433" s="19" t="str">
        <f t="shared" ca="1" si="34"/>
        <v/>
      </c>
    </row>
    <row r="434" spans="1:14" ht="15.75" customHeight="1" x14ac:dyDescent="0.25">
      <c r="A434" s="11"/>
      <c r="B434" s="11"/>
      <c r="C434" s="11"/>
      <c r="D434" s="11"/>
      <c r="E434" s="11"/>
      <c r="F434" s="17" t="str">
        <f>IF(E434=0,"",IFERROR(E434*Config!B18,0))</f>
        <v/>
      </c>
      <c r="G434" s="13" t="str">
        <f t="shared" si="30"/>
        <v/>
      </c>
      <c r="H434" s="11"/>
      <c r="I434" s="11"/>
      <c r="J434" s="16" t="str">
        <f t="shared" si="31"/>
        <v/>
      </c>
      <c r="K434" s="18" t="str">
        <f>IF(A434="","",IFERROR(SUMIF(Transactions!A$4:A$1003,A434,Transactions!F$4:F$1003),0))</f>
        <v/>
      </c>
      <c r="L434" s="15" t="str">
        <f t="shared" si="32"/>
        <v/>
      </c>
      <c r="M434" s="12" t="str">
        <f t="shared" ca="1" si="33"/>
        <v/>
      </c>
      <c r="N434" s="19" t="str">
        <f t="shared" ca="1" si="34"/>
        <v/>
      </c>
    </row>
    <row r="435" spans="1:14" ht="15.75" customHeight="1" x14ac:dyDescent="0.25">
      <c r="A435" s="11"/>
      <c r="B435" s="11"/>
      <c r="C435" s="11"/>
      <c r="D435" s="11"/>
      <c r="E435" s="11"/>
      <c r="F435" s="17" t="str">
        <f>IF(E435=0,"",IFERROR(E435*Config!B18,0))</f>
        <v/>
      </c>
      <c r="G435" s="13" t="str">
        <f t="shared" si="30"/>
        <v/>
      </c>
      <c r="H435" s="11"/>
      <c r="I435" s="11"/>
      <c r="J435" s="16" t="str">
        <f t="shared" si="31"/>
        <v/>
      </c>
      <c r="K435" s="18" t="str">
        <f>IF(A435="","",IFERROR(SUMIF(Transactions!A$4:A$1003,A435,Transactions!F$4:F$1003),0))</f>
        <v/>
      </c>
      <c r="L435" s="15" t="str">
        <f t="shared" si="32"/>
        <v/>
      </c>
      <c r="M435" s="12" t="str">
        <f t="shared" ca="1" si="33"/>
        <v/>
      </c>
      <c r="N435" s="19" t="str">
        <f t="shared" ca="1" si="34"/>
        <v/>
      </c>
    </row>
    <row r="436" spans="1:14" ht="15.75" customHeight="1" x14ac:dyDescent="0.25">
      <c r="A436" s="11"/>
      <c r="B436" s="11"/>
      <c r="C436" s="11"/>
      <c r="D436" s="11"/>
      <c r="E436" s="11"/>
      <c r="F436" s="17" t="str">
        <f>IF(E436=0,"",IFERROR(E436*Config!B18,0))</f>
        <v/>
      </c>
      <c r="G436" s="13" t="str">
        <f t="shared" si="30"/>
        <v/>
      </c>
      <c r="H436" s="11"/>
      <c r="I436" s="11"/>
      <c r="J436" s="16" t="str">
        <f t="shared" si="31"/>
        <v/>
      </c>
      <c r="K436" s="18" t="str">
        <f>IF(A436="","",IFERROR(SUMIF(Transactions!A$4:A$1003,A436,Transactions!F$4:F$1003),0))</f>
        <v/>
      </c>
      <c r="L436" s="15" t="str">
        <f t="shared" si="32"/>
        <v/>
      </c>
      <c r="M436" s="12" t="str">
        <f t="shared" ca="1" si="33"/>
        <v/>
      </c>
      <c r="N436" s="19" t="str">
        <f t="shared" ca="1" si="34"/>
        <v/>
      </c>
    </row>
    <row r="437" spans="1:14" ht="15.75" customHeight="1" x14ac:dyDescent="0.25">
      <c r="A437" s="11"/>
      <c r="B437" s="11"/>
      <c r="C437" s="11"/>
      <c r="D437" s="11"/>
      <c r="E437" s="11"/>
      <c r="F437" s="17" t="str">
        <f>IF(E437=0,"",IFERROR(E437*Config!B18,0))</f>
        <v/>
      </c>
      <c r="G437" s="13" t="str">
        <f t="shared" si="30"/>
        <v/>
      </c>
      <c r="H437" s="11"/>
      <c r="I437" s="11"/>
      <c r="J437" s="16" t="str">
        <f t="shared" si="31"/>
        <v/>
      </c>
      <c r="K437" s="18" t="str">
        <f>IF(A437="","",IFERROR(SUMIF(Transactions!A$4:A$1003,A437,Transactions!F$4:F$1003),0))</f>
        <v/>
      </c>
      <c r="L437" s="15" t="str">
        <f t="shared" si="32"/>
        <v/>
      </c>
      <c r="M437" s="12" t="str">
        <f t="shared" ca="1" si="33"/>
        <v/>
      </c>
      <c r="N437" s="19" t="str">
        <f t="shared" ca="1" si="34"/>
        <v/>
      </c>
    </row>
    <row r="438" spans="1:14" ht="15.75" customHeight="1" x14ac:dyDescent="0.25">
      <c r="A438" s="11"/>
      <c r="B438" s="11"/>
      <c r="C438" s="11"/>
      <c r="D438" s="11"/>
      <c r="E438" s="11"/>
      <c r="F438" s="17" t="str">
        <f>IF(E438=0,"",IFERROR(E438*Config!B18,0))</f>
        <v/>
      </c>
      <c r="G438" s="13" t="str">
        <f t="shared" si="30"/>
        <v/>
      </c>
      <c r="H438" s="11"/>
      <c r="I438" s="11"/>
      <c r="J438" s="16" t="str">
        <f t="shared" si="31"/>
        <v/>
      </c>
      <c r="K438" s="18" t="str">
        <f>IF(A438="","",IFERROR(SUMIF(Transactions!A$4:A$1003,A438,Transactions!F$4:F$1003),0))</f>
        <v/>
      </c>
      <c r="L438" s="15" t="str">
        <f t="shared" si="32"/>
        <v/>
      </c>
      <c r="M438" s="12" t="str">
        <f t="shared" ca="1" si="33"/>
        <v/>
      </c>
      <c r="N438" s="19" t="str">
        <f t="shared" ca="1" si="34"/>
        <v/>
      </c>
    </row>
    <row r="439" spans="1:14" ht="15.75" customHeight="1" x14ac:dyDescent="0.25">
      <c r="A439" s="11"/>
      <c r="B439" s="11"/>
      <c r="C439" s="11"/>
      <c r="D439" s="11"/>
      <c r="E439" s="11"/>
      <c r="F439" s="17" t="str">
        <f>IF(E439=0,"",IFERROR(E439*Config!B18,0))</f>
        <v/>
      </c>
      <c r="G439" s="13" t="str">
        <f t="shared" si="30"/>
        <v/>
      </c>
      <c r="H439" s="11"/>
      <c r="I439" s="11"/>
      <c r="J439" s="16" t="str">
        <f t="shared" si="31"/>
        <v/>
      </c>
      <c r="K439" s="18" t="str">
        <f>IF(A439="","",IFERROR(SUMIF(Transactions!A$4:A$1003,A439,Transactions!F$4:F$1003),0))</f>
        <v/>
      </c>
      <c r="L439" s="15" t="str">
        <f t="shared" si="32"/>
        <v/>
      </c>
      <c r="M439" s="12" t="str">
        <f t="shared" ca="1" si="33"/>
        <v/>
      </c>
      <c r="N439" s="19" t="str">
        <f t="shared" ca="1" si="34"/>
        <v/>
      </c>
    </row>
    <row r="440" spans="1:14" ht="15.75" customHeight="1" x14ac:dyDescent="0.25">
      <c r="A440" s="11"/>
      <c r="B440" s="11"/>
      <c r="C440" s="11"/>
      <c r="D440" s="11"/>
      <c r="E440" s="11"/>
      <c r="F440" s="17" t="str">
        <f>IF(E440=0,"",IFERROR(E440*Config!B18,0))</f>
        <v/>
      </c>
      <c r="G440" s="13" t="str">
        <f t="shared" si="30"/>
        <v/>
      </c>
      <c r="H440" s="11"/>
      <c r="I440" s="11"/>
      <c r="J440" s="16" t="str">
        <f t="shared" si="31"/>
        <v/>
      </c>
      <c r="K440" s="18" t="str">
        <f>IF(A440="","",IFERROR(SUMIF(Transactions!A$4:A$1003,A440,Transactions!F$4:F$1003),0))</f>
        <v/>
      </c>
      <c r="L440" s="15" t="str">
        <f t="shared" si="32"/>
        <v/>
      </c>
      <c r="M440" s="12" t="str">
        <f t="shared" ca="1" si="33"/>
        <v/>
      </c>
      <c r="N440" s="19" t="str">
        <f t="shared" ca="1" si="34"/>
        <v/>
      </c>
    </row>
    <row r="441" spans="1:14" ht="15.75" customHeight="1" x14ac:dyDescent="0.25">
      <c r="A441" s="11"/>
      <c r="B441" s="11"/>
      <c r="C441" s="11"/>
      <c r="D441" s="11"/>
      <c r="E441" s="11"/>
      <c r="F441" s="17" t="str">
        <f>IF(E441=0,"",IFERROR(E441*Config!B18,0))</f>
        <v/>
      </c>
      <c r="G441" s="13" t="str">
        <f t="shared" si="30"/>
        <v/>
      </c>
      <c r="H441" s="11"/>
      <c r="I441" s="11"/>
      <c r="J441" s="16" t="str">
        <f t="shared" si="31"/>
        <v/>
      </c>
      <c r="K441" s="18" t="str">
        <f>IF(A441="","",IFERROR(SUMIF(Transactions!A$4:A$1003,A441,Transactions!F$4:F$1003),0))</f>
        <v/>
      </c>
      <c r="L441" s="15" t="str">
        <f t="shared" si="32"/>
        <v/>
      </c>
      <c r="M441" s="12" t="str">
        <f t="shared" ca="1" si="33"/>
        <v/>
      </c>
      <c r="N441" s="19" t="str">
        <f t="shared" ca="1" si="34"/>
        <v/>
      </c>
    </row>
    <row r="442" spans="1:14" ht="15.75" customHeight="1" x14ac:dyDescent="0.25">
      <c r="A442" s="11"/>
      <c r="B442" s="11"/>
      <c r="C442" s="11"/>
      <c r="D442" s="11"/>
      <c r="E442" s="11"/>
      <c r="F442" s="17" t="str">
        <f>IF(E442=0,"",IFERROR(E442*Config!B18,0))</f>
        <v/>
      </c>
      <c r="G442" s="13" t="str">
        <f t="shared" si="30"/>
        <v/>
      </c>
      <c r="H442" s="11"/>
      <c r="I442" s="11"/>
      <c r="J442" s="16" t="str">
        <f t="shared" si="31"/>
        <v/>
      </c>
      <c r="K442" s="18" t="str">
        <f>IF(A442="","",IFERROR(SUMIF(Transactions!A$4:A$1003,A442,Transactions!F$4:F$1003),0))</f>
        <v/>
      </c>
      <c r="L442" s="15" t="str">
        <f t="shared" si="32"/>
        <v/>
      </c>
      <c r="M442" s="12" t="str">
        <f t="shared" ca="1" si="33"/>
        <v/>
      </c>
      <c r="N442" s="19" t="str">
        <f t="shared" ca="1" si="34"/>
        <v/>
      </c>
    </row>
    <row r="443" spans="1:14" ht="15.75" customHeight="1" x14ac:dyDescent="0.25">
      <c r="A443" s="11"/>
      <c r="B443" s="11"/>
      <c r="C443" s="11"/>
      <c r="D443" s="11"/>
      <c r="E443" s="11"/>
      <c r="F443" s="17" t="str">
        <f>IF(E443=0,"",IFERROR(E443*Config!B18,0))</f>
        <v/>
      </c>
      <c r="G443" s="13" t="str">
        <f t="shared" si="30"/>
        <v/>
      </c>
      <c r="H443" s="11"/>
      <c r="I443" s="11"/>
      <c r="J443" s="16" t="str">
        <f t="shared" si="31"/>
        <v/>
      </c>
      <c r="K443" s="18" t="str">
        <f>IF(A443="","",IFERROR(SUMIF(Transactions!A$4:A$1003,A443,Transactions!F$4:F$1003),0))</f>
        <v/>
      </c>
      <c r="L443" s="15" t="str">
        <f t="shared" si="32"/>
        <v/>
      </c>
      <c r="M443" s="12" t="str">
        <f t="shared" ca="1" si="33"/>
        <v/>
      </c>
      <c r="N443" s="19" t="str">
        <f t="shared" ca="1" si="34"/>
        <v/>
      </c>
    </row>
    <row r="444" spans="1:14" ht="15.75" customHeight="1" x14ac:dyDescent="0.25">
      <c r="A444" s="11"/>
      <c r="B444" s="11"/>
      <c r="C444" s="11"/>
      <c r="D444" s="11"/>
      <c r="E444" s="11"/>
      <c r="F444" s="17" t="str">
        <f>IF(E444=0,"",IFERROR(E444*Config!B18,0))</f>
        <v/>
      </c>
      <c r="G444" s="13" t="str">
        <f t="shared" si="30"/>
        <v/>
      </c>
      <c r="H444" s="11"/>
      <c r="I444" s="11"/>
      <c r="J444" s="16" t="str">
        <f t="shared" si="31"/>
        <v/>
      </c>
      <c r="K444" s="18" t="str">
        <f>IF(A444="","",IFERROR(SUMIF(Transactions!A$4:A$1003,A444,Transactions!F$4:F$1003),0))</f>
        <v/>
      </c>
      <c r="L444" s="15" t="str">
        <f t="shared" si="32"/>
        <v/>
      </c>
      <c r="M444" s="12" t="str">
        <f t="shared" ca="1" si="33"/>
        <v/>
      </c>
      <c r="N444" s="19" t="str">
        <f t="shared" ca="1" si="34"/>
        <v/>
      </c>
    </row>
    <row r="445" spans="1:14" ht="15.75" customHeight="1" x14ac:dyDescent="0.25">
      <c r="A445" s="11"/>
      <c r="B445" s="11"/>
      <c r="C445" s="11"/>
      <c r="D445" s="11"/>
      <c r="E445" s="11"/>
      <c r="F445" s="17" t="str">
        <f>IF(E445=0,"",IFERROR(E445*Config!B18,0))</f>
        <v/>
      </c>
      <c r="G445" s="13" t="str">
        <f t="shared" si="30"/>
        <v/>
      </c>
      <c r="H445" s="11"/>
      <c r="I445" s="11"/>
      <c r="J445" s="16" t="str">
        <f t="shared" si="31"/>
        <v/>
      </c>
      <c r="K445" s="18" t="str">
        <f>IF(A445="","",IFERROR(SUMIF(Transactions!A$4:A$1003,A445,Transactions!F$4:F$1003),0))</f>
        <v/>
      </c>
      <c r="L445" s="15" t="str">
        <f t="shared" si="32"/>
        <v/>
      </c>
      <c r="M445" s="12" t="str">
        <f t="shared" ca="1" si="33"/>
        <v/>
      </c>
      <c r="N445" s="19" t="str">
        <f t="shared" ca="1" si="34"/>
        <v/>
      </c>
    </row>
    <row r="446" spans="1:14" ht="15.75" customHeight="1" x14ac:dyDescent="0.25">
      <c r="A446" s="11"/>
      <c r="B446" s="11"/>
      <c r="C446" s="11"/>
      <c r="D446" s="11"/>
      <c r="E446" s="11"/>
      <c r="F446" s="17" t="str">
        <f>IF(E446=0,"",IFERROR(E446*Config!B18,0))</f>
        <v/>
      </c>
      <c r="G446" s="13" t="str">
        <f t="shared" si="30"/>
        <v/>
      </c>
      <c r="H446" s="11"/>
      <c r="I446" s="11"/>
      <c r="J446" s="16" t="str">
        <f t="shared" si="31"/>
        <v/>
      </c>
      <c r="K446" s="18" t="str">
        <f>IF(A446="","",IFERROR(SUMIF(Transactions!A$4:A$1003,A446,Transactions!F$4:F$1003),0))</f>
        <v/>
      </c>
      <c r="L446" s="15" t="str">
        <f t="shared" si="32"/>
        <v/>
      </c>
      <c r="M446" s="12" t="str">
        <f t="shared" ca="1" si="33"/>
        <v/>
      </c>
      <c r="N446" s="19" t="str">
        <f t="shared" ca="1" si="34"/>
        <v/>
      </c>
    </row>
    <row r="447" spans="1:14" ht="15.75" customHeight="1" x14ac:dyDescent="0.25">
      <c r="A447" s="11"/>
      <c r="B447" s="11"/>
      <c r="C447" s="11"/>
      <c r="D447" s="11"/>
      <c r="E447" s="11"/>
      <c r="F447" s="17" t="str">
        <f>IF(E447=0,"",IFERROR(E447*Config!B18,0))</f>
        <v/>
      </c>
      <c r="G447" s="13" t="str">
        <f t="shared" si="30"/>
        <v/>
      </c>
      <c r="H447" s="11"/>
      <c r="I447" s="11"/>
      <c r="J447" s="16" t="str">
        <f t="shared" si="31"/>
        <v/>
      </c>
      <c r="K447" s="18" t="str">
        <f>IF(A447="","",IFERROR(SUMIF(Transactions!A$4:A$1003,A447,Transactions!F$4:F$1003),0))</f>
        <v/>
      </c>
      <c r="L447" s="15" t="str">
        <f t="shared" si="32"/>
        <v/>
      </c>
      <c r="M447" s="12" t="str">
        <f t="shared" ca="1" si="33"/>
        <v/>
      </c>
      <c r="N447" s="19" t="str">
        <f t="shared" ca="1" si="34"/>
        <v/>
      </c>
    </row>
    <row r="448" spans="1:14" ht="15.75" customHeight="1" x14ac:dyDescent="0.25">
      <c r="A448" s="11"/>
      <c r="B448" s="11"/>
      <c r="C448" s="11"/>
      <c r="D448" s="11"/>
      <c r="E448" s="11"/>
      <c r="F448" s="17" t="str">
        <f>IF(E448=0,"",IFERROR(E448*Config!B18,0))</f>
        <v/>
      </c>
      <c r="G448" s="13" t="str">
        <f t="shared" si="30"/>
        <v/>
      </c>
      <c r="H448" s="11"/>
      <c r="I448" s="11"/>
      <c r="J448" s="16" t="str">
        <f t="shared" si="31"/>
        <v/>
      </c>
      <c r="K448" s="18" t="str">
        <f>IF(A448="","",IFERROR(SUMIF(Transactions!A$4:A$1003,A448,Transactions!F$4:F$1003),0))</f>
        <v/>
      </c>
      <c r="L448" s="15" t="str">
        <f t="shared" si="32"/>
        <v/>
      </c>
      <c r="M448" s="12" t="str">
        <f t="shared" ca="1" si="33"/>
        <v/>
      </c>
      <c r="N448" s="19" t="str">
        <f t="shared" ca="1" si="34"/>
        <v/>
      </c>
    </row>
    <row r="449" spans="1:14" ht="15.75" customHeight="1" x14ac:dyDescent="0.25">
      <c r="A449" s="11"/>
      <c r="B449" s="11"/>
      <c r="C449" s="11"/>
      <c r="D449" s="11"/>
      <c r="E449" s="11"/>
      <c r="F449" s="17" t="str">
        <f>IF(E449=0,"",IFERROR(E449*Config!B18,0))</f>
        <v/>
      </c>
      <c r="G449" s="13" t="str">
        <f t="shared" si="30"/>
        <v/>
      </c>
      <c r="H449" s="11"/>
      <c r="I449" s="11"/>
      <c r="J449" s="16" t="str">
        <f t="shared" si="31"/>
        <v/>
      </c>
      <c r="K449" s="18" t="str">
        <f>IF(A449="","",IFERROR(SUMIF(Transactions!A$4:A$1003,A449,Transactions!F$4:F$1003),0))</f>
        <v/>
      </c>
      <c r="L449" s="15" t="str">
        <f t="shared" si="32"/>
        <v/>
      </c>
      <c r="M449" s="12" t="str">
        <f t="shared" ca="1" si="33"/>
        <v/>
      </c>
      <c r="N449" s="19" t="str">
        <f t="shared" ca="1" si="34"/>
        <v/>
      </c>
    </row>
    <row r="450" spans="1:14" ht="15.75" customHeight="1" x14ac:dyDescent="0.25">
      <c r="A450" s="11"/>
      <c r="B450" s="11"/>
      <c r="C450" s="11"/>
      <c r="D450" s="11"/>
      <c r="E450" s="11"/>
      <c r="F450" s="17" t="str">
        <f>IF(E450=0,"",IFERROR(E450*Config!B18,0))</f>
        <v/>
      </c>
      <c r="G450" s="13" t="str">
        <f t="shared" si="30"/>
        <v/>
      </c>
      <c r="H450" s="11"/>
      <c r="I450" s="11"/>
      <c r="J450" s="16" t="str">
        <f t="shared" si="31"/>
        <v/>
      </c>
      <c r="K450" s="18" t="str">
        <f>IF(A450="","",IFERROR(SUMIF(Transactions!A$4:A$1003,A450,Transactions!F$4:F$1003),0))</f>
        <v/>
      </c>
      <c r="L450" s="15" t="str">
        <f t="shared" si="32"/>
        <v/>
      </c>
      <c r="M450" s="12" t="str">
        <f t="shared" ca="1" si="33"/>
        <v/>
      </c>
      <c r="N450" s="19" t="str">
        <f t="shared" ca="1" si="34"/>
        <v/>
      </c>
    </row>
    <row r="451" spans="1:14" ht="15.75" customHeight="1" x14ac:dyDescent="0.25">
      <c r="A451" s="11"/>
      <c r="B451" s="11"/>
      <c r="C451" s="11"/>
      <c r="D451" s="11"/>
      <c r="E451" s="11"/>
      <c r="F451" s="17" t="str">
        <f>IF(E451=0,"",IFERROR(E451*Config!B18,0))</f>
        <v/>
      </c>
      <c r="G451" s="13" t="str">
        <f t="shared" si="30"/>
        <v/>
      </c>
      <c r="H451" s="11"/>
      <c r="I451" s="11"/>
      <c r="J451" s="16" t="str">
        <f t="shared" si="31"/>
        <v/>
      </c>
      <c r="K451" s="18" t="str">
        <f>IF(A451="","",IFERROR(SUMIF(Transactions!A$4:A$1003,A451,Transactions!F$4:F$1003),0))</f>
        <v/>
      </c>
      <c r="L451" s="15" t="str">
        <f t="shared" si="32"/>
        <v/>
      </c>
      <c r="M451" s="12" t="str">
        <f t="shared" ca="1" si="33"/>
        <v/>
      </c>
      <c r="N451" s="19" t="str">
        <f t="shared" ca="1" si="34"/>
        <v/>
      </c>
    </row>
    <row r="452" spans="1:14" ht="15.75" customHeight="1" x14ac:dyDescent="0.25">
      <c r="A452" s="11"/>
      <c r="B452" s="11"/>
      <c r="C452" s="11"/>
      <c r="D452" s="11"/>
      <c r="E452" s="11"/>
      <c r="F452" s="17" t="str">
        <f>IF(E452=0,"",IFERROR(E452*Config!B18,0))</f>
        <v/>
      </c>
      <c r="G452" s="13" t="str">
        <f t="shared" ref="G452:G515" si="35">IF(E452=0,"",MAX(0,E452-F452))</f>
        <v/>
      </c>
      <c r="H452" s="11"/>
      <c r="I452" s="11"/>
      <c r="J452" s="16" t="str">
        <f t="shared" ref="J452:J515" si="36">IF(E452=0,"",IFERROR(-PMT(H452/100/12,I452,-E452),0))</f>
        <v/>
      </c>
      <c r="K452" s="18" t="str">
        <f>IF(A452="","",IFERROR(SUMIF(Transactions!A$4:A$1003,A452,Transactions!F$4:F$1003),0))</f>
        <v/>
      </c>
      <c r="L452" s="15" t="str">
        <f t="shared" ref="L452:L515" si="37">IF(E452=0,"",MAX(0,E452-K452))</f>
        <v/>
      </c>
      <c r="M452" s="12" t="str">
        <f t="shared" ref="M452:M515" ca="1" si="38">IF(A452="","",IF(L452&lt;=0,"✅ Fully Paid",IF(AND(D452&lt;&gt;"",TODAY()&gt;D452+I452*30),"⚠ Overdue","🟢 Active")))</f>
        <v/>
      </c>
      <c r="N452" s="19" t="str">
        <f t="shared" ref="N452:N515" ca="1" si="39">IF(L452&lt;=0,TODAY(),"")</f>
        <v/>
      </c>
    </row>
    <row r="453" spans="1:14" ht="15.75" customHeight="1" x14ac:dyDescent="0.25">
      <c r="A453" s="11"/>
      <c r="B453" s="11"/>
      <c r="C453" s="11"/>
      <c r="D453" s="11"/>
      <c r="E453" s="11"/>
      <c r="F453" s="17" t="str">
        <f>IF(E453=0,"",IFERROR(E453*Config!B18,0))</f>
        <v/>
      </c>
      <c r="G453" s="13" t="str">
        <f t="shared" si="35"/>
        <v/>
      </c>
      <c r="H453" s="11"/>
      <c r="I453" s="11"/>
      <c r="J453" s="16" t="str">
        <f t="shared" si="36"/>
        <v/>
      </c>
      <c r="K453" s="18" t="str">
        <f>IF(A453="","",IFERROR(SUMIF(Transactions!A$4:A$1003,A453,Transactions!F$4:F$1003),0))</f>
        <v/>
      </c>
      <c r="L453" s="15" t="str">
        <f t="shared" si="37"/>
        <v/>
      </c>
      <c r="M453" s="12" t="str">
        <f t="shared" ca="1" si="38"/>
        <v/>
      </c>
      <c r="N453" s="19" t="str">
        <f t="shared" ca="1" si="39"/>
        <v/>
      </c>
    </row>
    <row r="454" spans="1:14" ht="15.75" customHeight="1" x14ac:dyDescent="0.25">
      <c r="A454" s="11"/>
      <c r="B454" s="11"/>
      <c r="C454" s="11"/>
      <c r="D454" s="11"/>
      <c r="E454" s="11"/>
      <c r="F454" s="17" t="str">
        <f>IF(E454=0,"",IFERROR(E454*Config!B18,0))</f>
        <v/>
      </c>
      <c r="G454" s="13" t="str">
        <f t="shared" si="35"/>
        <v/>
      </c>
      <c r="H454" s="11"/>
      <c r="I454" s="11"/>
      <c r="J454" s="16" t="str">
        <f t="shared" si="36"/>
        <v/>
      </c>
      <c r="K454" s="18" t="str">
        <f>IF(A454="","",IFERROR(SUMIF(Transactions!A$4:A$1003,A454,Transactions!F$4:F$1003),0))</f>
        <v/>
      </c>
      <c r="L454" s="15" t="str">
        <f t="shared" si="37"/>
        <v/>
      </c>
      <c r="M454" s="12" t="str">
        <f t="shared" ca="1" si="38"/>
        <v/>
      </c>
      <c r="N454" s="19" t="str">
        <f t="shared" ca="1" si="39"/>
        <v/>
      </c>
    </row>
    <row r="455" spans="1:14" ht="15.75" customHeight="1" x14ac:dyDescent="0.25">
      <c r="A455" s="11"/>
      <c r="B455" s="11"/>
      <c r="C455" s="11"/>
      <c r="D455" s="11"/>
      <c r="E455" s="11"/>
      <c r="F455" s="17" t="str">
        <f>IF(E455=0,"",IFERROR(E455*Config!B18,0))</f>
        <v/>
      </c>
      <c r="G455" s="13" t="str">
        <f t="shared" si="35"/>
        <v/>
      </c>
      <c r="H455" s="11"/>
      <c r="I455" s="11"/>
      <c r="J455" s="16" t="str">
        <f t="shared" si="36"/>
        <v/>
      </c>
      <c r="K455" s="18" t="str">
        <f>IF(A455="","",IFERROR(SUMIF(Transactions!A$4:A$1003,A455,Transactions!F$4:F$1003),0))</f>
        <v/>
      </c>
      <c r="L455" s="15" t="str">
        <f t="shared" si="37"/>
        <v/>
      </c>
      <c r="M455" s="12" t="str">
        <f t="shared" ca="1" si="38"/>
        <v/>
      </c>
      <c r="N455" s="19" t="str">
        <f t="shared" ca="1" si="39"/>
        <v/>
      </c>
    </row>
    <row r="456" spans="1:14" ht="15.75" customHeight="1" x14ac:dyDescent="0.25">
      <c r="A456" s="11"/>
      <c r="B456" s="11"/>
      <c r="C456" s="11"/>
      <c r="D456" s="11"/>
      <c r="E456" s="11"/>
      <c r="F456" s="17" t="str">
        <f>IF(E456=0,"",IFERROR(E456*Config!B18,0))</f>
        <v/>
      </c>
      <c r="G456" s="13" t="str">
        <f t="shared" si="35"/>
        <v/>
      </c>
      <c r="H456" s="11"/>
      <c r="I456" s="11"/>
      <c r="J456" s="16" t="str">
        <f t="shared" si="36"/>
        <v/>
      </c>
      <c r="K456" s="18" t="str">
        <f>IF(A456="","",IFERROR(SUMIF(Transactions!A$4:A$1003,A456,Transactions!F$4:F$1003),0))</f>
        <v/>
      </c>
      <c r="L456" s="15" t="str">
        <f t="shared" si="37"/>
        <v/>
      </c>
      <c r="M456" s="12" t="str">
        <f t="shared" ca="1" si="38"/>
        <v/>
      </c>
      <c r="N456" s="19" t="str">
        <f t="shared" ca="1" si="39"/>
        <v/>
      </c>
    </row>
    <row r="457" spans="1:14" ht="15.75" customHeight="1" x14ac:dyDescent="0.25">
      <c r="A457" s="11"/>
      <c r="B457" s="11"/>
      <c r="C457" s="11"/>
      <c r="D457" s="11"/>
      <c r="E457" s="11"/>
      <c r="F457" s="17" t="str">
        <f>IF(E457=0,"",IFERROR(E457*Config!B18,0))</f>
        <v/>
      </c>
      <c r="G457" s="13" t="str">
        <f t="shared" si="35"/>
        <v/>
      </c>
      <c r="H457" s="11"/>
      <c r="I457" s="11"/>
      <c r="J457" s="16" t="str">
        <f t="shared" si="36"/>
        <v/>
      </c>
      <c r="K457" s="18" t="str">
        <f>IF(A457="","",IFERROR(SUMIF(Transactions!A$4:A$1003,A457,Transactions!F$4:F$1003),0))</f>
        <v/>
      </c>
      <c r="L457" s="15" t="str">
        <f t="shared" si="37"/>
        <v/>
      </c>
      <c r="M457" s="12" t="str">
        <f t="shared" ca="1" si="38"/>
        <v/>
      </c>
      <c r="N457" s="19" t="str">
        <f t="shared" ca="1" si="39"/>
        <v/>
      </c>
    </row>
    <row r="458" spans="1:14" ht="15.75" customHeight="1" x14ac:dyDescent="0.25">
      <c r="A458" s="11"/>
      <c r="B458" s="11"/>
      <c r="C458" s="11"/>
      <c r="D458" s="11"/>
      <c r="E458" s="11"/>
      <c r="F458" s="17" t="str">
        <f>IF(E458=0,"",IFERROR(E458*Config!B18,0))</f>
        <v/>
      </c>
      <c r="G458" s="13" t="str">
        <f t="shared" si="35"/>
        <v/>
      </c>
      <c r="H458" s="11"/>
      <c r="I458" s="11"/>
      <c r="J458" s="16" t="str">
        <f t="shared" si="36"/>
        <v/>
      </c>
      <c r="K458" s="18" t="str">
        <f>IF(A458="","",IFERROR(SUMIF(Transactions!A$4:A$1003,A458,Transactions!F$4:F$1003),0))</f>
        <v/>
      </c>
      <c r="L458" s="15" t="str">
        <f t="shared" si="37"/>
        <v/>
      </c>
      <c r="M458" s="12" t="str">
        <f t="shared" ca="1" si="38"/>
        <v/>
      </c>
      <c r="N458" s="19" t="str">
        <f t="shared" ca="1" si="39"/>
        <v/>
      </c>
    </row>
    <row r="459" spans="1:14" ht="15.75" customHeight="1" x14ac:dyDescent="0.25">
      <c r="A459" s="11"/>
      <c r="B459" s="11"/>
      <c r="C459" s="11"/>
      <c r="D459" s="11"/>
      <c r="E459" s="11"/>
      <c r="F459" s="17" t="str">
        <f>IF(E459=0,"",IFERROR(E459*Config!B18,0))</f>
        <v/>
      </c>
      <c r="G459" s="13" t="str">
        <f t="shared" si="35"/>
        <v/>
      </c>
      <c r="H459" s="11"/>
      <c r="I459" s="11"/>
      <c r="J459" s="16" t="str">
        <f t="shared" si="36"/>
        <v/>
      </c>
      <c r="K459" s="18" t="str">
        <f>IF(A459="","",IFERROR(SUMIF(Transactions!A$4:A$1003,A459,Transactions!F$4:F$1003),0))</f>
        <v/>
      </c>
      <c r="L459" s="15" t="str">
        <f t="shared" si="37"/>
        <v/>
      </c>
      <c r="M459" s="12" t="str">
        <f t="shared" ca="1" si="38"/>
        <v/>
      </c>
      <c r="N459" s="19" t="str">
        <f t="shared" ca="1" si="39"/>
        <v/>
      </c>
    </row>
    <row r="460" spans="1:14" ht="15.75" customHeight="1" x14ac:dyDescent="0.25">
      <c r="A460" s="11"/>
      <c r="B460" s="11"/>
      <c r="C460" s="11"/>
      <c r="D460" s="11"/>
      <c r="E460" s="11"/>
      <c r="F460" s="17" t="str">
        <f>IF(E460=0,"",IFERROR(E460*Config!B18,0))</f>
        <v/>
      </c>
      <c r="G460" s="13" t="str">
        <f t="shared" si="35"/>
        <v/>
      </c>
      <c r="H460" s="11"/>
      <c r="I460" s="11"/>
      <c r="J460" s="16" t="str">
        <f t="shared" si="36"/>
        <v/>
      </c>
      <c r="K460" s="18" t="str">
        <f>IF(A460="","",IFERROR(SUMIF(Transactions!A$4:A$1003,A460,Transactions!F$4:F$1003),0))</f>
        <v/>
      </c>
      <c r="L460" s="15" t="str">
        <f t="shared" si="37"/>
        <v/>
      </c>
      <c r="M460" s="12" t="str">
        <f t="shared" ca="1" si="38"/>
        <v/>
      </c>
      <c r="N460" s="19" t="str">
        <f t="shared" ca="1" si="39"/>
        <v/>
      </c>
    </row>
    <row r="461" spans="1:14" ht="15.75" customHeight="1" x14ac:dyDescent="0.25">
      <c r="A461" s="11"/>
      <c r="B461" s="11"/>
      <c r="C461" s="11"/>
      <c r="D461" s="11"/>
      <c r="E461" s="11"/>
      <c r="F461" s="17" t="str">
        <f>IF(E461=0,"",IFERROR(E461*Config!B18,0))</f>
        <v/>
      </c>
      <c r="G461" s="13" t="str">
        <f t="shared" si="35"/>
        <v/>
      </c>
      <c r="H461" s="11"/>
      <c r="I461" s="11"/>
      <c r="J461" s="16" t="str">
        <f t="shared" si="36"/>
        <v/>
      </c>
      <c r="K461" s="18" t="str">
        <f>IF(A461="","",IFERROR(SUMIF(Transactions!A$4:A$1003,A461,Transactions!F$4:F$1003),0))</f>
        <v/>
      </c>
      <c r="L461" s="15" t="str">
        <f t="shared" si="37"/>
        <v/>
      </c>
      <c r="M461" s="12" t="str">
        <f t="shared" ca="1" si="38"/>
        <v/>
      </c>
      <c r="N461" s="19" t="str">
        <f t="shared" ca="1" si="39"/>
        <v/>
      </c>
    </row>
    <row r="462" spans="1:14" ht="15.75" customHeight="1" x14ac:dyDescent="0.25">
      <c r="A462" s="11"/>
      <c r="B462" s="11"/>
      <c r="C462" s="11"/>
      <c r="D462" s="11"/>
      <c r="E462" s="11"/>
      <c r="F462" s="17" t="str">
        <f>IF(E462=0,"",IFERROR(E462*Config!B18,0))</f>
        <v/>
      </c>
      <c r="G462" s="13" t="str">
        <f t="shared" si="35"/>
        <v/>
      </c>
      <c r="H462" s="11"/>
      <c r="I462" s="11"/>
      <c r="J462" s="16" t="str">
        <f t="shared" si="36"/>
        <v/>
      </c>
      <c r="K462" s="18" t="str">
        <f>IF(A462="","",IFERROR(SUMIF(Transactions!A$4:A$1003,A462,Transactions!F$4:F$1003),0))</f>
        <v/>
      </c>
      <c r="L462" s="15" t="str">
        <f t="shared" si="37"/>
        <v/>
      </c>
      <c r="M462" s="12" t="str">
        <f t="shared" ca="1" si="38"/>
        <v/>
      </c>
      <c r="N462" s="19" t="str">
        <f t="shared" ca="1" si="39"/>
        <v/>
      </c>
    </row>
    <row r="463" spans="1:14" ht="15.75" customHeight="1" x14ac:dyDescent="0.25">
      <c r="A463" s="11"/>
      <c r="B463" s="11"/>
      <c r="C463" s="11"/>
      <c r="D463" s="11"/>
      <c r="E463" s="11"/>
      <c r="F463" s="17" t="str">
        <f>IF(E463=0,"",IFERROR(E463*Config!B18,0))</f>
        <v/>
      </c>
      <c r="G463" s="13" t="str">
        <f t="shared" si="35"/>
        <v/>
      </c>
      <c r="H463" s="11"/>
      <c r="I463" s="11"/>
      <c r="J463" s="16" t="str">
        <f t="shared" si="36"/>
        <v/>
      </c>
      <c r="K463" s="18" t="str">
        <f>IF(A463="","",IFERROR(SUMIF(Transactions!A$4:A$1003,A463,Transactions!F$4:F$1003),0))</f>
        <v/>
      </c>
      <c r="L463" s="15" t="str">
        <f t="shared" si="37"/>
        <v/>
      </c>
      <c r="M463" s="12" t="str">
        <f t="shared" ca="1" si="38"/>
        <v/>
      </c>
      <c r="N463" s="19" t="str">
        <f t="shared" ca="1" si="39"/>
        <v/>
      </c>
    </row>
    <row r="464" spans="1:14" ht="15.75" customHeight="1" x14ac:dyDescent="0.25">
      <c r="A464" s="11"/>
      <c r="B464" s="11"/>
      <c r="C464" s="11"/>
      <c r="D464" s="11"/>
      <c r="E464" s="11"/>
      <c r="F464" s="17" t="str">
        <f>IF(E464=0,"",IFERROR(E464*Config!B18,0))</f>
        <v/>
      </c>
      <c r="G464" s="13" t="str">
        <f t="shared" si="35"/>
        <v/>
      </c>
      <c r="H464" s="11"/>
      <c r="I464" s="11"/>
      <c r="J464" s="16" t="str">
        <f t="shared" si="36"/>
        <v/>
      </c>
      <c r="K464" s="18" t="str">
        <f>IF(A464="","",IFERROR(SUMIF(Transactions!A$4:A$1003,A464,Transactions!F$4:F$1003),0))</f>
        <v/>
      </c>
      <c r="L464" s="15" t="str">
        <f t="shared" si="37"/>
        <v/>
      </c>
      <c r="M464" s="12" t="str">
        <f t="shared" ca="1" si="38"/>
        <v/>
      </c>
      <c r="N464" s="19" t="str">
        <f t="shared" ca="1" si="39"/>
        <v/>
      </c>
    </row>
    <row r="465" spans="1:14" ht="15.75" customHeight="1" x14ac:dyDescent="0.25">
      <c r="A465" s="11"/>
      <c r="B465" s="11"/>
      <c r="C465" s="11"/>
      <c r="D465" s="11"/>
      <c r="E465" s="11"/>
      <c r="F465" s="17" t="str">
        <f>IF(E465=0,"",IFERROR(E465*Config!B18,0))</f>
        <v/>
      </c>
      <c r="G465" s="13" t="str">
        <f t="shared" si="35"/>
        <v/>
      </c>
      <c r="H465" s="11"/>
      <c r="I465" s="11"/>
      <c r="J465" s="16" t="str">
        <f t="shared" si="36"/>
        <v/>
      </c>
      <c r="K465" s="18" t="str">
        <f>IF(A465="","",IFERROR(SUMIF(Transactions!A$4:A$1003,A465,Transactions!F$4:F$1003),0))</f>
        <v/>
      </c>
      <c r="L465" s="15" t="str">
        <f t="shared" si="37"/>
        <v/>
      </c>
      <c r="M465" s="12" t="str">
        <f t="shared" ca="1" si="38"/>
        <v/>
      </c>
      <c r="N465" s="19" t="str">
        <f t="shared" ca="1" si="39"/>
        <v/>
      </c>
    </row>
    <row r="466" spans="1:14" ht="15.75" customHeight="1" x14ac:dyDescent="0.25">
      <c r="A466" s="11"/>
      <c r="B466" s="11"/>
      <c r="C466" s="11"/>
      <c r="D466" s="11"/>
      <c r="E466" s="11"/>
      <c r="F466" s="17" t="str">
        <f>IF(E466=0,"",IFERROR(E466*Config!B18,0))</f>
        <v/>
      </c>
      <c r="G466" s="13" t="str">
        <f t="shared" si="35"/>
        <v/>
      </c>
      <c r="H466" s="11"/>
      <c r="I466" s="11"/>
      <c r="J466" s="16" t="str">
        <f t="shared" si="36"/>
        <v/>
      </c>
      <c r="K466" s="18" t="str">
        <f>IF(A466="","",IFERROR(SUMIF(Transactions!A$4:A$1003,A466,Transactions!F$4:F$1003),0))</f>
        <v/>
      </c>
      <c r="L466" s="15" t="str">
        <f t="shared" si="37"/>
        <v/>
      </c>
      <c r="M466" s="12" t="str">
        <f t="shared" ca="1" si="38"/>
        <v/>
      </c>
      <c r="N466" s="19" t="str">
        <f t="shared" ca="1" si="39"/>
        <v/>
      </c>
    </row>
    <row r="467" spans="1:14" ht="15.75" customHeight="1" x14ac:dyDescent="0.25">
      <c r="A467" s="11"/>
      <c r="B467" s="11"/>
      <c r="C467" s="11"/>
      <c r="D467" s="11"/>
      <c r="E467" s="11"/>
      <c r="F467" s="17" t="str">
        <f>IF(E467=0,"",IFERROR(E467*Config!B18,0))</f>
        <v/>
      </c>
      <c r="G467" s="13" t="str">
        <f t="shared" si="35"/>
        <v/>
      </c>
      <c r="H467" s="11"/>
      <c r="I467" s="11"/>
      <c r="J467" s="16" t="str">
        <f t="shared" si="36"/>
        <v/>
      </c>
      <c r="K467" s="18" t="str">
        <f>IF(A467="","",IFERROR(SUMIF(Transactions!A$4:A$1003,A467,Transactions!F$4:F$1003),0))</f>
        <v/>
      </c>
      <c r="L467" s="15" t="str">
        <f t="shared" si="37"/>
        <v/>
      </c>
      <c r="M467" s="12" t="str">
        <f t="shared" ca="1" si="38"/>
        <v/>
      </c>
      <c r="N467" s="19" t="str">
        <f t="shared" ca="1" si="39"/>
        <v/>
      </c>
    </row>
    <row r="468" spans="1:14" ht="15.75" customHeight="1" x14ac:dyDescent="0.25">
      <c r="A468" s="11"/>
      <c r="B468" s="11"/>
      <c r="C468" s="11"/>
      <c r="D468" s="11"/>
      <c r="E468" s="11"/>
      <c r="F468" s="17" t="str">
        <f>IF(E468=0,"",IFERROR(E468*Config!B18,0))</f>
        <v/>
      </c>
      <c r="G468" s="13" t="str">
        <f t="shared" si="35"/>
        <v/>
      </c>
      <c r="H468" s="11"/>
      <c r="I468" s="11"/>
      <c r="J468" s="16" t="str">
        <f t="shared" si="36"/>
        <v/>
      </c>
      <c r="K468" s="18" t="str">
        <f>IF(A468="","",IFERROR(SUMIF(Transactions!A$4:A$1003,A468,Transactions!F$4:F$1003),0))</f>
        <v/>
      </c>
      <c r="L468" s="15" t="str">
        <f t="shared" si="37"/>
        <v/>
      </c>
      <c r="M468" s="12" t="str">
        <f t="shared" ca="1" si="38"/>
        <v/>
      </c>
      <c r="N468" s="19" t="str">
        <f t="shared" ca="1" si="39"/>
        <v/>
      </c>
    </row>
    <row r="469" spans="1:14" ht="15.75" customHeight="1" x14ac:dyDescent="0.25">
      <c r="A469" s="11"/>
      <c r="B469" s="11"/>
      <c r="C469" s="11"/>
      <c r="D469" s="11"/>
      <c r="E469" s="11"/>
      <c r="F469" s="17" t="str">
        <f>IF(E469=0,"",IFERROR(E469*Config!B18,0))</f>
        <v/>
      </c>
      <c r="G469" s="13" t="str">
        <f t="shared" si="35"/>
        <v/>
      </c>
      <c r="H469" s="11"/>
      <c r="I469" s="11"/>
      <c r="J469" s="16" t="str">
        <f t="shared" si="36"/>
        <v/>
      </c>
      <c r="K469" s="18" t="str">
        <f>IF(A469="","",IFERROR(SUMIF(Transactions!A$4:A$1003,A469,Transactions!F$4:F$1003),0))</f>
        <v/>
      </c>
      <c r="L469" s="15" t="str">
        <f t="shared" si="37"/>
        <v/>
      </c>
      <c r="M469" s="12" t="str">
        <f t="shared" ca="1" si="38"/>
        <v/>
      </c>
      <c r="N469" s="19" t="str">
        <f t="shared" ca="1" si="39"/>
        <v/>
      </c>
    </row>
    <row r="470" spans="1:14" ht="15.75" customHeight="1" x14ac:dyDescent="0.25">
      <c r="A470" s="11"/>
      <c r="B470" s="11"/>
      <c r="C470" s="11"/>
      <c r="D470" s="11"/>
      <c r="E470" s="11"/>
      <c r="F470" s="17" t="str">
        <f>IF(E470=0,"",IFERROR(E470*Config!B18,0))</f>
        <v/>
      </c>
      <c r="G470" s="13" t="str">
        <f t="shared" si="35"/>
        <v/>
      </c>
      <c r="H470" s="11"/>
      <c r="I470" s="11"/>
      <c r="J470" s="16" t="str">
        <f t="shared" si="36"/>
        <v/>
      </c>
      <c r="K470" s="18" t="str">
        <f>IF(A470="","",IFERROR(SUMIF(Transactions!A$4:A$1003,A470,Transactions!F$4:F$1003),0))</f>
        <v/>
      </c>
      <c r="L470" s="15" t="str">
        <f t="shared" si="37"/>
        <v/>
      </c>
      <c r="M470" s="12" t="str">
        <f t="shared" ca="1" si="38"/>
        <v/>
      </c>
      <c r="N470" s="19" t="str">
        <f t="shared" ca="1" si="39"/>
        <v/>
      </c>
    </row>
    <row r="471" spans="1:14" ht="15.75" customHeight="1" x14ac:dyDescent="0.25">
      <c r="A471" s="11"/>
      <c r="B471" s="11"/>
      <c r="C471" s="11"/>
      <c r="D471" s="11"/>
      <c r="E471" s="11"/>
      <c r="F471" s="17" t="str">
        <f>IF(E471=0,"",IFERROR(E471*Config!B18,0))</f>
        <v/>
      </c>
      <c r="G471" s="13" t="str">
        <f t="shared" si="35"/>
        <v/>
      </c>
      <c r="H471" s="11"/>
      <c r="I471" s="11"/>
      <c r="J471" s="16" t="str">
        <f t="shared" si="36"/>
        <v/>
      </c>
      <c r="K471" s="18" t="str">
        <f>IF(A471="","",IFERROR(SUMIF(Transactions!A$4:A$1003,A471,Transactions!F$4:F$1003),0))</f>
        <v/>
      </c>
      <c r="L471" s="15" t="str">
        <f t="shared" si="37"/>
        <v/>
      </c>
      <c r="M471" s="12" t="str">
        <f t="shared" ca="1" si="38"/>
        <v/>
      </c>
      <c r="N471" s="19" t="str">
        <f t="shared" ca="1" si="39"/>
        <v/>
      </c>
    </row>
    <row r="472" spans="1:14" ht="15.75" customHeight="1" x14ac:dyDescent="0.25">
      <c r="A472" s="11"/>
      <c r="B472" s="11"/>
      <c r="C472" s="11"/>
      <c r="D472" s="11"/>
      <c r="E472" s="11"/>
      <c r="F472" s="17" t="str">
        <f>IF(E472=0,"",IFERROR(E472*Config!B18,0))</f>
        <v/>
      </c>
      <c r="G472" s="13" t="str">
        <f t="shared" si="35"/>
        <v/>
      </c>
      <c r="H472" s="11"/>
      <c r="I472" s="11"/>
      <c r="J472" s="16" t="str">
        <f t="shared" si="36"/>
        <v/>
      </c>
      <c r="K472" s="18" t="str">
        <f>IF(A472="","",IFERROR(SUMIF(Transactions!A$4:A$1003,A472,Transactions!F$4:F$1003),0))</f>
        <v/>
      </c>
      <c r="L472" s="15" t="str">
        <f t="shared" si="37"/>
        <v/>
      </c>
      <c r="M472" s="12" t="str">
        <f t="shared" ca="1" si="38"/>
        <v/>
      </c>
      <c r="N472" s="19" t="str">
        <f t="shared" ca="1" si="39"/>
        <v/>
      </c>
    </row>
    <row r="473" spans="1:14" ht="15.75" customHeight="1" x14ac:dyDescent="0.25">
      <c r="A473" s="11"/>
      <c r="B473" s="11"/>
      <c r="C473" s="11"/>
      <c r="D473" s="11"/>
      <c r="E473" s="11"/>
      <c r="F473" s="17" t="str">
        <f>IF(E473=0,"",IFERROR(E473*Config!B18,0))</f>
        <v/>
      </c>
      <c r="G473" s="13" t="str">
        <f t="shared" si="35"/>
        <v/>
      </c>
      <c r="H473" s="11"/>
      <c r="I473" s="11"/>
      <c r="J473" s="16" t="str">
        <f t="shared" si="36"/>
        <v/>
      </c>
      <c r="K473" s="18" t="str">
        <f>IF(A473="","",IFERROR(SUMIF(Transactions!A$4:A$1003,A473,Transactions!F$4:F$1003),0))</f>
        <v/>
      </c>
      <c r="L473" s="15" t="str">
        <f t="shared" si="37"/>
        <v/>
      </c>
      <c r="M473" s="12" t="str">
        <f t="shared" ca="1" si="38"/>
        <v/>
      </c>
      <c r="N473" s="19" t="str">
        <f t="shared" ca="1" si="39"/>
        <v/>
      </c>
    </row>
    <row r="474" spans="1:14" ht="15.75" customHeight="1" x14ac:dyDescent="0.25">
      <c r="A474" s="11"/>
      <c r="B474" s="11"/>
      <c r="C474" s="11"/>
      <c r="D474" s="11"/>
      <c r="E474" s="11"/>
      <c r="F474" s="17" t="str">
        <f>IF(E474=0,"",IFERROR(E474*Config!B18,0))</f>
        <v/>
      </c>
      <c r="G474" s="13" t="str">
        <f t="shared" si="35"/>
        <v/>
      </c>
      <c r="H474" s="11"/>
      <c r="I474" s="11"/>
      <c r="J474" s="16" t="str">
        <f t="shared" si="36"/>
        <v/>
      </c>
      <c r="K474" s="18" t="str">
        <f>IF(A474="","",IFERROR(SUMIF(Transactions!A$4:A$1003,A474,Transactions!F$4:F$1003),0))</f>
        <v/>
      </c>
      <c r="L474" s="15" t="str">
        <f t="shared" si="37"/>
        <v/>
      </c>
      <c r="M474" s="12" t="str">
        <f t="shared" ca="1" si="38"/>
        <v/>
      </c>
      <c r="N474" s="19" t="str">
        <f t="shared" ca="1" si="39"/>
        <v/>
      </c>
    </row>
    <row r="475" spans="1:14" ht="15.75" customHeight="1" x14ac:dyDescent="0.25">
      <c r="A475" s="11"/>
      <c r="B475" s="11"/>
      <c r="C475" s="11"/>
      <c r="D475" s="11"/>
      <c r="E475" s="11"/>
      <c r="F475" s="17" t="str">
        <f>IF(E475=0,"",IFERROR(E475*Config!B18,0))</f>
        <v/>
      </c>
      <c r="G475" s="13" t="str">
        <f t="shared" si="35"/>
        <v/>
      </c>
      <c r="H475" s="11"/>
      <c r="I475" s="11"/>
      <c r="J475" s="16" t="str">
        <f t="shared" si="36"/>
        <v/>
      </c>
      <c r="K475" s="18" t="str">
        <f>IF(A475="","",IFERROR(SUMIF(Transactions!A$4:A$1003,A475,Transactions!F$4:F$1003),0))</f>
        <v/>
      </c>
      <c r="L475" s="15" t="str">
        <f t="shared" si="37"/>
        <v/>
      </c>
      <c r="M475" s="12" t="str">
        <f t="shared" ca="1" si="38"/>
        <v/>
      </c>
      <c r="N475" s="19" t="str">
        <f t="shared" ca="1" si="39"/>
        <v/>
      </c>
    </row>
    <row r="476" spans="1:14" ht="15.75" customHeight="1" x14ac:dyDescent="0.25">
      <c r="A476" s="11"/>
      <c r="B476" s="11"/>
      <c r="C476" s="11"/>
      <c r="D476" s="11"/>
      <c r="E476" s="11"/>
      <c r="F476" s="17" t="str">
        <f>IF(E476=0,"",IFERROR(E476*Config!B18,0))</f>
        <v/>
      </c>
      <c r="G476" s="13" t="str">
        <f t="shared" si="35"/>
        <v/>
      </c>
      <c r="H476" s="11"/>
      <c r="I476" s="11"/>
      <c r="J476" s="16" t="str">
        <f t="shared" si="36"/>
        <v/>
      </c>
      <c r="K476" s="18" t="str">
        <f>IF(A476="","",IFERROR(SUMIF(Transactions!A$4:A$1003,A476,Transactions!F$4:F$1003),0))</f>
        <v/>
      </c>
      <c r="L476" s="15" t="str">
        <f t="shared" si="37"/>
        <v/>
      </c>
      <c r="M476" s="12" t="str">
        <f t="shared" ca="1" si="38"/>
        <v/>
      </c>
      <c r="N476" s="19" t="str">
        <f t="shared" ca="1" si="39"/>
        <v/>
      </c>
    </row>
    <row r="477" spans="1:14" ht="15.75" customHeight="1" x14ac:dyDescent="0.25">
      <c r="A477" s="11"/>
      <c r="B477" s="11"/>
      <c r="C477" s="11"/>
      <c r="D477" s="11"/>
      <c r="E477" s="11"/>
      <c r="F477" s="17" t="str">
        <f>IF(E477=0,"",IFERROR(E477*Config!B18,0))</f>
        <v/>
      </c>
      <c r="G477" s="13" t="str">
        <f t="shared" si="35"/>
        <v/>
      </c>
      <c r="H477" s="11"/>
      <c r="I477" s="11"/>
      <c r="J477" s="16" t="str">
        <f t="shared" si="36"/>
        <v/>
      </c>
      <c r="K477" s="18" t="str">
        <f>IF(A477="","",IFERROR(SUMIF(Transactions!A$4:A$1003,A477,Transactions!F$4:F$1003),0))</f>
        <v/>
      </c>
      <c r="L477" s="15" t="str">
        <f t="shared" si="37"/>
        <v/>
      </c>
      <c r="M477" s="12" t="str">
        <f t="shared" ca="1" si="38"/>
        <v/>
      </c>
      <c r="N477" s="19" t="str">
        <f t="shared" ca="1" si="39"/>
        <v/>
      </c>
    </row>
    <row r="478" spans="1:14" ht="15.75" customHeight="1" x14ac:dyDescent="0.25">
      <c r="A478" s="11"/>
      <c r="B478" s="11"/>
      <c r="C478" s="11"/>
      <c r="D478" s="11"/>
      <c r="E478" s="11"/>
      <c r="F478" s="17" t="str">
        <f>IF(E478=0,"",IFERROR(E478*Config!B18,0))</f>
        <v/>
      </c>
      <c r="G478" s="13" t="str">
        <f t="shared" si="35"/>
        <v/>
      </c>
      <c r="H478" s="11"/>
      <c r="I478" s="11"/>
      <c r="J478" s="16" t="str">
        <f t="shared" si="36"/>
        <v/>
      </c>
      <c r="K478" s="18" t="str">
        <f>IF(A478="","",IFERROR(SUMIF(Transactions!A$4:A$1003,A478,Transactions!F$4:F$1003),0))</f>
        <v/>
      </c>
      <c r="L478" s="15" t="str">
        <f t="shared" si="37"/>
        <v/>
      </c>
      <c r="M478" s="12" t="str">
        <f t="shared" ca="1" si="38"/>
        <v/>
      </c>
      <c r="N478" s="19" t="str">
        <f t="shared" ca="1" si="39"/>
        <v/>
      </c>
    </row>
    <row r="479" spans="1:14" ht="15.75" customHeight="1" x14ac:dyDescent="0.25">
      <c r="A479" s="11"/>
      <c r="B479" s="11"/>
      <c r="C479" s="11"/>
      <c r="D479" s="11"/>
      <c r="E479" s="11"/>
      <c r="F479" s="17" t="str">
        <f>IF(E479=0,"",IFERROR(E479*Config!B18,0))</f>
        <v/>
      </c>
      <c r="G479" s="13" t="str">
        <f t="shared" si="35"/>
        <v/>
      </c>
      <c r="H479" s="11"/>
      <c r="I479" s="11"/>
      <c r="J479" s="16" t="str">
        <f t="shared" si="36"/>
        <v/>
      </c>
      <c r="K479" s="18" t="str">
        <f>IF(A479="","",IFERROR(SUMIF(Transactions!A$4:A$1003,A479,Transactions!F$4:F$1003),0))</f>
        <v/>
      </c>
      <c r="L479" s="15" t="str">
        <f t="shared" si="37"/>
        <v/>
      </c>
      <c r="M479" s="12" t="str">
        <f t="shared" ca="1" si="38"/>
        <v/>
      </c>
      <c r="N479" s="19" t="str">
        <f t="shared" ca="1" si="39"/>
        <v/>
      </c>
    </row>
    <row r="480" spans="1:14" ht="15.75" customHeight="1" x14ac:dyDescent="0.25">
      <c r="A480" s="11"/>
      <c r="B480" s="11"/>
      <c r="C480" s="11"/>
      <c r="D480" s="11"/>
      <c r="E480" s="11"/>
      <c r="F480" s="17" t="str">
        <f>IF(E480=0,"",IFERROR(E480*Config!B18,0))</f>
        <v/>
      </c>
      <c r="G480" s="13" t="str">
        <f t="shared" si="35"/>
        <v/>
      </c>
      <c r="H480" s="11"/>
      <c r="I480" s="11"/>
      <c r="J480" s="16" t="str">
        <f t="shared" si="36"/>
        <v/>
      </c>
      <c r="K480" s="18" t="str">
        <f>IF(A480="","",IFERROR(SUMIF(Transactions!A$4:A$1003,A480,Transactions!F$4:F$1003),0))</f>
        <v/>
      </c>
      <c r="L480" s="15" t="str">
        <f t="shared" si="37"/>
        <v/>
      </c>
      <c r="M480" s="12" t="str">
        <f t="shared" ca="1" si="38"/>
        <v/>
      </c>
      <c r="N480" s="19" t="str">
        <f t="shared" ca="1" si="39"/>
        <v/>
      </c>
    </row>
    <row r="481" spans="1:14" ht="15.75" customHeight="1" x14ac:dyDescent="0.25">
      <c r="A481" s="11"/>
      <c r="B481" s="11"/>
      <c r="C481" s="11"/>
      <c r="D481" s="11"/>
      <c r="E481" s="11"/>
      <c r="F481" s="17" t="str">
        <f>IF(E481=0,"",IFERROR(E481*Config!B18,0))</f>
        <v/>
      </c>
      <c r="G481" s="13" t="str">
        <f t="shared" si="35"/>
        <v/>
      </c>
      <c r="H481" s="11"/>
      <c r="I481" s="11"/>
      <c r="J481" s="16" t="str">
        <f t="shared" si="36"/>
        <v/>
      </c>
      <c r="K481" s="18" t="str">
        <f>IF(A481="","",IFERROR(SUMIF(Transactions!A$4:A$1003,A481,Transactions!F$4:F$1003),0))</f>
        <v/>
      </c>
      <c r="L481" s="15" t="str">
        <f t="shared" si="37"/>
        <v/>
      </c>
      <c r="M481" s="12" t="str">
        <f t="shared" ca="1" si="38"/>
        <v/>
      </c>
      <c r="N481" s="19" t="str">
        <f t="shared" ca="1" si="39"/>
        <v/>
      </c>
    </row>
    <row r="482" spans="1:14" ht="15.75" customHeight="1" x14ac:dyDescent="0.25">
      <c r="A482" s="11"/>
      <c r="B482" s="11"/>
      <c r="C482" s="11"/>
      <c r="D482" s="11"/>
      <c r="E482" s="11"/>
      <c r="F482" s="17" t="str">
        <f>IF(E482=0,"",IFERROR(E482*Config!B18,0))</f>
        <v/>
      </c>
      <c r="G482" s="13" t="str">
        <f t="shared" si="35"/>
        <v/>
      </c>
      <c r="H482" s="11"/>
      <c r="I482" s="11"/>
      <c r="J482" s="16" t="str">
        <f t="shared" si="36"/>
        <v/>
      </c>
      <c r="K482" s="18" t="str">
        <f>IF(A482="","",IFERROR(SUMIF(Transactions!A$4:A$1003,A482,Transactions!F$4:F$1003),0))</f>
        <v/>
      </c>
      <c r="L482" s="15" t="str">
        <f t="shared" si="37"/>
        <v/>
      </c>
      <c r="M482" s="12" t="str">
        <f t="shared" ca="1" si="38"/>
        <v/>
      </c>
      <c r="N482" s="19" t="str">
        <f t="shared" ca="1" si="39"/>
        <v/>
      </c>
    </row>
    <row r="483" spans="1:14" ht="15.75" customHeight="1" x14ac:dyDescent="0.25">
      <c r="A483" s="11"/>
      <c r="B483" s="11"/>
      <c r="C483" s="11"/>
      <c r="D483" s="11"/>
      <c r="E483" s="11"/>
      <c r="F483" s="17" t="str">
        <f>IF(E483=0,"",IFERROR(E483*Config!B18,0))</f>
        <v/>
      </c>
      <c r="G483" s="13" t="str">
        <f t="shared" si="35"/>
        <v/>
      </c>
      <c r="H483" s="11"/>
      <c r="I483" s="11"/>
      <c r="J483" s="16" t="str">
        <f t="shared" si="36"/>
        <v/>
      </c>
      <c r="K483" s="18" t="str">
        <f>IF(A483="","",IFERROR(SUMIF(Transactions!A$4:A$1003,A483,Transactions!F$4:F$1003),0))</f>
        <v/>
      </c>
      <c r="L483" s="15" t="str">
        <f t="shared" si="37"/>
        <v/>
      </c>
      <c r="M483" s="12" t="str">
        <f t="shared" ca="1" si="38"/>
        <v/>
      </c>
      <c r="N483" s="19" t="str">
        <f t="shared" ca="1" si="39"/>
        <v/>
      </c>
    </row>
    <row r="484" spans="1:14" ht="15.75" customHeight="1" x14ac:dyDescent="0.25">
      <c r="A484" s="11"/>
      <c r="B484" s="11"/>
      <c r="C484" s="11"/>
      <c r="D484" s="11"/>
      <c r="E484" s="11"/>
      <c r="F484" s="17" t="str">
        <f>IF(E484=0,"",IFERROR(E484*Config!B18,0))</f>
        <v/>
      </c>
      <c r="G484" s="13" t="str">
        <f t="shared" si="35"/>
        <v/>
      </c>
      <c r="H484" s="11"/>
      <c r="I484" s="11"/>
      <c r="J484" s="16" t="str">
        <f t="shared" si="36"/>
        <v/>
      </c>
      <c r="K484" s="18" t="str">
        <f>IF(A484="","",IFERROR(SUMIF(Transactions!A$4:A$1003,A484,Transactions!F$4:F$1003),0))</f>
        <v/>
      </c>
      <c r="L484" s="15" t="str">
        <f t="shared" si="37"/>
        <v/>
      </c>
      <c r="M484" s="12" t="str">
        <f t="shared" ca="1" si="38"/>
        <v/>
      </c>
      <c r="N484" s="19" t="str">
        <f t="shared" ca="1" si="39"/>
        <v/>
      </c>
    </row>
    <row r="485" spans="1:14" ht="15.75" customHeight="1" x14ac:dyDescent="0.25">
      <c r="A485" s="11"/>
      <c r="B485" s="11"/>
      <c r="C485" s="11"/>
      <c r="D485" s="11"/>
      <c r="E485" s="11"/>
      <c r="F485" s="17" t="str">
        <f>IF(E485=0,"",IFERROR(E485*Config!B18,0))</f>
        <v/>
      </c>
      <c r="G485" s="13" t="str">
        <f t="shared" si="35"/>
        <v/>
      </c>
      <c r="H485" s="11"/>
      <c r="I485" s="11"/>
      <c r="J485" s="16" t="str">
        <f t="shared" si="36"/>
        <v/>
      </c>
      <c r="K485" s="18" t="str">
        <f>IF(A485="","",IFERROR(SUMIF(Transactions!A$4:A$1003,A485,Transactions!F$4:F$1003),0))</f>
        <v/>
      </c>
      <c r="L485" s="15" t="str">
        <f t="shared" si="37"/>
        <v/>
      </c>
      <c r="M485" s="12" t="str">
        <f t="shared" ca="1" si="38"/>
        <v/>
      </c>
      <c r="N485" s="19" t="str">
        <f t="shared" ca="1" si="39"/>
        <v/>
      </c>
    </row>
    <row r="486" spans="1:14" ht="15.75" customHeight="1" x14ac:dyDescent="0.25">
      <c r="A486" s="11"/>
      <c r="B486" s="11"/>
      <c r="C486" s="11"/>
      <c r="D486" s="11"/>
      <c r="E486" s="11"/>
      <c r="F486" s="17" t="str">
        <f>IF(E486=0,"",IFERROR(E486*Config!B18,0))</f>
        <v/>
      </c>
      <c r="G486" s="13" t="str">
        <f t="shared" si="35"/>
        <v/>
      </c>
      <c r="H486" s="11"/>
      <c r="I486" s="11"/>
      <c r="J486" s="16" t="str">
        <f t="shared" si="36"/>
        <v/>
      </c>
      <c r="K486" s="18" t="str">
        <f>IF(A486="","",IFERROR(SUMIF(Transactions!A$4:A$1003,A486,Transactions!F$4:F$1003),0))</f>
        <v/>
      </c>
      <c r="L486" s="15" t="str">
        <f t="shared" si="37"/>
        <v/>
      </c>
      <c r="M486" s="12" t="str">
        <f t="shared" ca="1" si="38"/>
        <v/>
      </c>
      <c r="N486" s="19" t="str">
        <f t="shared" ca="1" si="39"/>
        <v/>
      </c>
    </row>
    <row r="487" spans="1:14" ht="15.75" customHeight="1" x14ac:dyDescent="0.25">
      <c r="A487" s="11"/>
      <c r="B487" s="11"/>
      <c r="C487" s="11"/>
      <c r="D487" s="11"/>
      <c r="E487" s="11"/>
      <c r="F487" s="17" t="str">
        <f>IF(E487=0,"",IFERROR(E487*Config!B18,0))</f>
        <v/>
      </c>
      <c r="G487" s="13" t="str">
        <f t="shared" si="35"/>
        <v/>
      </c>
      <c r="H487" s="11"/>
      <c r="I487" s="11"/>
      <c r="J487" s="16" t="str">
        <f t="shared" si="36"/>
        <v/>
      </c>
      <c r="K487" s="18" t="str">
        <f>IF(A487="","",IFERROR(SUMIF(Transactions!A$4:A$1003,A487,Transactions!F$4:F$1003),0))</f>
        <v/>
      </c>
      <c r="L487" s="15" t="str">
        <f t="shared" si="37"/>
        <v/>
      </c>
      <c r="M487" s="12" t="str">
        <f t="shared" ca="1" si="38"/>
        <v/>
      </c>
      <c r="N487" s="19" t="str">
        <f t="shared" ca="1" si="39"/>
        <v/>
      </c>
    </row>
    <row r="488" spans="1:14" ht="15.75" customHeight="1" x14ac:dyDescent="0.25">
      <c r="A488" s="11"/>
      <c r="B488" s="11"/>
      <c r="C488" s="11"/>
      <c r="D488" s="11"/>
      <c r="E488" s="11"/>
      <c r="F488" s="17" t="str">
        <f>IF(E488=0,"",IFERROR(E488*Config!B18,0))</f>
        <v/>
      </c>
      <c r="G488" s="13" t="str">
        <f t="shared" si="35"/>
        <v/>
      </c>
      <c r="H488" s="11"/>
      <c r="I488" s="11"/>
      <c r="J488" s="16" t="str">
        <f t="shared" si="36"/>
        <v/>
      </c>
      <c r="K488" s="18" t="str">
        <f>IF(A488="","",IFERROR(SUMIF(Transactions!A$4:A$1003,A488,Transactions!F$4:F$1003),0))</f>
        <v/>
      </c>
      <c r="L488" s="15" t="str">
        <f t="shared" si="37"/>
        <v/>
      </c>
      <c r="M488" s="12" t="str">
        <f t="shared" ca="1" si="38"/>
        <v/>
      </c>
      <c r="N488" s="19" t="str">
        <f t="shared" ca="1" si="39"/>
        <v/>
      </c>
    </row>
    <row r="489" spans="1:14" ht="15.75" customHeight="1" x14ac:dyDescent="0.25">
      <c r="A489" s="11"/>
      <c r="B489" s="11"/>
      <c r="C489" s="11"/>
      <c r="D489" s="11"/>
      <c r="E489" s="11"/>
      <c r="F489" s="17" t="str">
        <f>IF(E489=0,"",IFERROR(E489*Config!B18,0))</f>
        <v/>
      </c>
      <c r="G489" s="13" t="str">
        <f t="shared" si="35"/>
        <v/>
      </c>
      <c r="H489" s="11"/>
      <c r="I489" s="11"/>
      <c r="J489" s="16" t="str">
        <f t="shared" si="36"/>
        <v/>
      </c>
      <c r="K489" s="18" t="str">
        <f>IF(A489="","",IFERROR(SUMIF(Transactions!A$4:A$1003,A489,Transactions!F$4:F$1003),0))</f>
        <v/>
      </c>
      <c r="L489" s="15" t="str">
        <f t="shared" si="37"/>
        <v/>
      </c>
      <c r="M489" s="12" t="str">
        <f t="shared" ca="1" si="38"/>
        <v/>
      </c>
      <c r="N489" s="19" t="str">
        <f t="shared" ca="1" si="39"/>
        <v/>
      </c>
    </row>
    <row r="490" spans="1:14" ht="15.75" customHeight="1" x14ac:dyDescent="0.25">
      <c r="A490" s="11"/>
      <c r="B490" s="11"/>
      <c r="C490" s="11"/>
      <c r="D490" s="11"/>
      <c r="E490" s="11"/>
      <c r="F490" s="17" t="str">
        <f>IF(E490=0,"",IFERROR(E490*Config!B18,0))</f>
        <v/>
      </c>
      <c r="G490" s="13" t="str">
        <f t="shared" si="35"/>
        <v/>
      </c>
      <c r="H490" s="11"/>
      <c r="I490" s="11"/>
      <c r="J490" s="16" t="str">
        <f t="shared" si="36"/>
        <v/>
      </c>
      <c r="K490" s="18" t="str">
        <f>IF(A490="","",IFERROR(SUMIF(Transactions!A$4:A$1003,A490,Transactions!F$4:F$1003),0))</f>
        <v/>
      </c>
      <c r="L490" s="15" t="str">
        <f t="shared" si="37"/>
        <v/>
      </c>
      <c r="M490" s="12" t="str">
        <f t="shared" ca="1" si="38"/>
        <v/>
      </c>
      <c r="N490" s="19" t="str">
        <f t="shared" ca="1" si="39"/>
        <v/>
      </c>
    </row>
    <row r="491" spans="1:14" ht="15.75" customHeight="1" x14ac:dyDescent="0.25">
      <c r="A491" s="11"/>
      <c r="B491" s="11"/>
      <c r="C491" s="11"/>
      <c r="D491" s="11"/>
      <c r="E491" s="11"/>
      <c r="F491" s="17" t="str">
        <f>IF(E491=0,"",IFERROR(E491*Config!B18,0))</f>
        <v/>
      </c>
      <c r="G491" s="13" t="str">
        <f t="shared" si="35"/>
        <v/>
      </c>
      <c r="H491" s="11"/>
      <c r="I491" s="11"/>
      <c r="J491" s="16" t="str">
        <f t="shared" si="36"/>
        <v/>
      </c>
      <c r="K491" s="18" t="str">
        <f>IF(A491="","",IFERROR(SUMIF(Transactions!A$4:A$1003,A491,Transactions!F$4:F$1003),0))</f>
        <v/>
      </c>
      <c r="L491" s="15" t="str">
        <f t="shared" si="37"/>
        <v/>
      </c>
      <c r="M491" s="12" t="str">
        <f t="shared" ca="1" si="38"/>
        <v/>
      </c>
      <c r="N491" s="19" t="str">
        <f t="shared" ca="1" si="39"/>
        <v/>
      </c>
    </row>
    <row r="492" spans="1:14" ht="15.75" customHeight="1" x14ac:dyDescent="0.25">
      <c r="A492" s="11"/>
      <c r="B492" s="11"/>
      <c r="C492" s="11"/>
      <c r="D492" s="11"/>
      <c r="E492" s="11"/>
      <c r="F492" s="17" t="str">
        <f>IF(E492=0,"",IFERROR(E492*Config!B18,0))</f>
        <v/>
      </c>
      <c r="G492" s="13" t="str">
        <f t="shared" si="35"/>
        <v/>
      </c>
      <c r="H492" s="11"/>
      <c r="I492" s="11"/>
      <c r="J492" s="16" t="str">
        <f t="shared" si="36"/>
        <v/>
      </c>
      <c r="K492" s="18" t="str">
        <f>IF(A492="","",IFERROR(SUMIF(Transactions!A$4:A$1003,A492,Transactions!F$4:F$1003),0))</f>
        <v/>
      </c>
      <c r="L492" s="15" t="str">
        <f t="shared" si="37"/>
        <v/>
      </c>
      <c r="M492" s="12" t="str">
        <f t="shared" ca="1" si="38"/>
        <v/>
      </c>
      <c r="N492" s="19" t="str">
        <f t="shared" ca="1" si="39"/>
        <v/>
      </c>
    </row>
    <row r="493" spans="1:14" ht="15.75" customHeight="1" x14ac:dyDescent="0.25">
      <c r="A493" s="11"/>
      <c r="B493" s="11"/>
      <c r="C493" s="11"/>
      <c r="D493" s="11"/>
      <c r="E493" s="11"/>
      <c r="F493" s="17" t="str">
        <f>IF(E493=0,"",IFERROR(E493*Config!B18,0))</f>
        <v/>
      </c>
      <c r="G493" s="13" t="str">
        <f t="shared" si="35"/>
        <v/>
      </c>
      <c r="H493" s="11"/>
      <c r="I493" s="11"/>
      <c r="J493" s="16" t="str">
        <f t="shared" si="36"/>
        <v/>
      </c>
      <c r="K493" s="18" t="str">
        <f>IF(A493="","",IFERROR(SUMIF(Transactions!A$4:A$1003,A493,Transactions!F$4:F$1003),0))</f>
        <v/>
      </c>
      <c r="L493" s="15" t="str">
        <f t="shared" si="37"/>
        <v/>
      </c>
      <c r="M493" s="12" t="str">
        <f t="shared" ca="1" si="38"/>
        <v/>
      </c>
      <c r="N493" s="19" t="str">
        <f t="shared" ca="1" si="39"/>
        <v/>
      </c>
    </row>
    <row r="494" spans="1:14" ht="15.75" customHeight="1" x14ac:dyDescent="0.25">
      <c r="A494" s="11"/>
      <c r="B494" s="11"/>
      <c r="C494" s="11"/>
      <c r="D494" s="11"/>
      <c r="E494" s="11"/>
      <c r="F494" s="17" t="str">
        <f>IF(E494=0,"",IFERROR(E494*Config!B18,0))</f>
        <v/>
      </c>
      <c r="G494" s="13" t="str">
        <f t="shared" si="35"/>
        <v/>
      </c>
      <c r="H494" s="11"/>
      <c r="I494" s="11"/>
      <c r="J494" s="16" t="str">
        <f t="shared" si="36"/>
        <v/>
      </c>
      <c r="K494" s="18" t="str">
        <f>IF(A494="","",IFERROR(SUMIF(Transactions!A$4:A$1003,A494,Transactions!F$4:F$1003),0))</f>
        <v/>
      </c>
      <c r="L494" s="15" t="str">
        <f t="shared" si="37"/>
        <v/>
      </c>
      <c r="M494" s="12" t="str">
        <f t="shared" ca="1" si="38"/>
        <v/>
      </c>
      <c r="N494" s="19" t="str">
        <f t="shared" ca="1" si="39"/>
        <v/>
      </c>
    </row>
    <row r="495" spans="1:14" ht="15.75" customHeight="1" x14ac:dyDescent="0.25">
      <c r="A495" s="11"/>
      <c r="B495" s="11"/>
      <c r="C495" s="11"/>
      <c r="D495" s="11"/>
      <c r="E495" s="11"/>
      <c r="F495" s="17" t="str">
        <f>IF(E495=0,"",IFERROR(E495*Config!B18,0))</f>
        <v/>
      </c>
      <c r="G495" s="13" t="str">
        <f t="shared" si="35"/>
        <v/>
      </c>
      <c r="H495" s="11"/>
      <c r="I495" s="11"/>
      <c r="J495" s="16" t="str">
        <f t="shared" si="36"/>
        <v/>
      </c>
      <c r="K495" s="18" t="str">
        <f>IF(A495="","",IFERROR(SUMIF(Transactions!A$4:A$1003,A495,Transactions!F$4:F$1003),0))</f>
        <v/>
      </c>
      <c r="L495" s="15" t="str">
        <f t="shared" si="37"/>
        <v/>
      </c>
      <c r="M495" s="12" t="str">
        <f t="shared" ca="1" si="38"/>
        <v/>
      </c>
      <c r="N495" s="19" t="str">
        <f t="shared" ca="1" si="39"/>
        <v/>
      </c>
    </row>
    <row r="496" spans="1:14" ht="15.75" customHeight="1" x14ac:dyDescent="0.25">
      <c r="A496" s="11"/>
      <c r="B496" s="11"/>
      <c r="C496" s="11"/>
      <c r="D496" s="11"/>
      <c r="E496" s="11"/>
      <c r="F496" s="17" t="str">
        <f>IF(E496=0,"",IFERROR(E496*Config!B18,0))</f>
        <v/>
      </c>
      <c r="G496" s="13" t="str">
        <f t="shared" si="35"/>
        <v/>
      </c>
      <c r="H496" s="11"/>
      <c r="I496" s="11"/>
      <c r="J496" s="16" t="str">
        <f t="shared" si="36"/>
        <v/>
      </c>
      <c r="K496" s="18" t="str">
        <f>IF(A496="","",IFERROR(SUMIF(Transactions!A$4:A$1003,A496,Transactions!F$4:F$1003),0))</f>
        <v/>
      </c>
      <c r="L496" s="15" t="str">
        <f t="shared" si="37"/>
        <v/>
      </c>
      <c r="M496" s="12" t="str">
        <f t="shared" ca="1" si="38"/>
        <v/>
      </c>
      <c r="N496" s="19" t="str">
        <f t="shared" ca="1" si="39"/>
        <v/>
      </c>
    </row>
    <row r="497" spans="1:14" ht="15.75" customHeight="1" x14ac:dyDescent="0.25">
      <c r="A497" s="11"/>
      <c r="B497" s="11"/>
      <c r="C497" s="11"/>
      <c r="D497" s="11"/>
      <c r="E497" s="11"/>
      <c r="F497" s="17" t="str">
        <f>IF(E497=0,"",IFERROR(E497*Config!B18,0))</f>
        <v/>
      </c>
      <c r="G497" s="13" t="str">
        <f t="shared" si="35"/>
        <v/>
      </c>
      <c r="H497" s="11"/>
      <c r="I497" s="11"/>
      <c r="J497" s="16" t="str">
        <f t="shared" si="36"/>
        <v/>
      </c>
      <c r="K497" s="18" t="str">
        <f>IF(A497="","",IFERROR(SUMIF(Transactions!A$4:A$1003,A497,Transactions!F$4:F$1003),0))</f>
        <v/>
      </c>
      <c r="L497" s="15" t="str">
        <f t="shared" si="37"/>
        <v/>
      </c>
      <c r="M497" s="12" t="str">
        <f t="shared" ca="1" si="38"/>
        <v/>
      </c>
      <c r="N497" s="19" t="str">
        <f t="shared" ca="1" si="39"/>
        <v/>
      </c>
    </row>
    <row r="498" spans="1:14" ht="15.75" customHeight="1" x14ac:dyDescent="0.25">
      <c r="A498" s="11"/>
      <c r="B498" s="11"/>
      <c r="C498" s="11"/>
      <c r="D498" s="11"/>
      <c r="E498" s="11"/>
      <c r="F498" s="17" t="str">
        <f>IF(E498=0,"",IFERROR(E498*Config!B18,0))</f>
        <v/>
      </c>
      <c r="G498" s="13" t="str">
        <f t="shared" si="35"/>
        <v/>
      </c>
      <c r="H498" s="11"/>
      <c r="I498" s="11"/>
      <c r="J498" s="16" t="str">
        <f t="shared" si="36"/>
        <v/>
      </c>
      <c r="K498" s="18" t="str">
        <f>IF(A498="","",IFERROR(SUMIF(Transactions!A$4:A$1003,A498,Transactions!F$4:F$1003),0))</f>
        <v/>
      </c>
      <c r="L498" s="15" t="str">
        <f t="shared" si="37"/>
        <v/>
      </c>
      <c r="M498" s="12" t="str">
        <f t="shared" ca="1" si="38"/>
        <v/>
      </c>
      <c r="N498" s="19" t="str">
        <f t="shared" ca="1" si="39"/>
        <v/>
      </c>
    </row>
    <row r="499" spans="1:14" ht="15.75" customHeight="1" x14ac:dyDescent="0.25">
      <c r="A499" s="11"/>
      <c r="B499" s="11"/>
      <c r="C499" s="11"/>
      <c r="D499" s="11"/>
      <c r="E499" s="11"/>
      <c r="F499" s="17" t="str">
        <f>IF(E499=0,"",IFERROR(E499*Config!B18,0))</f>
        <v/>
      </c>
      <c r="G499" s="13" t="str">
        <f t="shared" si="35"/>
        <v/>
      </c>
      <c r="H499" s="11"/>
      <c r="I499" s="11"/>
      <c r="J499" s="16" t="str">
        <f t="shared" si="36"/>
        <v/>
      </c>
      <c r="K499" s="18" t="str">
        <f>IF(A499="","",IFERROR(SUMIF(Transactions!A$4:A$1003,A499,Transactions!F$4:F$1003),0))</f>
        <v/>
      </c>
      <c r="L499" s="15" t="str">
        <f t="shared" si="37"/>
        <v/>
      </c>
      <c r="M499" s="12" t="str">
        <f t="shared" ca="1" si="38"/>
        <v/>
      </c>
      <c r="N499" s="19" t="str">
        <f t="shared" ca="1" si="39"/>
        <v/>
      </c>
    </row>
    <row r="500" spans="1:14" ht="15.75" customHeight="1" x14ac:dyDescent="0.25">
      <c r="A500" s="11"/>
      <c r="B500" s="11"/>
      <c r="C500" s="11"/>
      <c r="D500" s="11"/>
      <c r="E500" s="11"/>
      <c r="F500" s="17" t="str">
        <f>IF(E500=0,"",IFERROR(E500*Config!B18,0))</f>
        <v/>
      </c>
      <c r="G500" s="13" t="str">
        <f t="shared" si="35"/>
        <v/>
      </c>
      <c r="H500" s="11"/>
      <c r="I500" s="11"/>
      <c r="J500" s="16" t="str">
        <f t="shared" si="36"/>
        <v/>
      </c>
      <c r="K500" s="18" t="str">
        <f>IF(A500="","",IFERROR(SUMIF(Transactions!A$4:A$1003,A500,Transactions!F$4:F$1003),0))</f>
        <v/>
      </c>
      <c r="L500" s="15" t="str">
        <f t="shared" si="37"/>
        <v/>
      </c>
      <c r="M500" s="12" t="str">
        <f t="shared" ca="1" si="38"/>
        <v/>
      </c>
      <c r="N500" s="19" t="str">
        <f t="shared" ca="1" si="39"/>
        <v/>
      </c>
    </row>
    <row r="501" spans="1:14" ht="15.75" customHeight="1" x14ac:dyDescent="0.25">
      <c r="A501" s="11"/>
      <c r="B501" s="11"/>
      <c r="C501" s="11"/>
      <c r="D501" s="11"/>
      <c r="E501" s="11"/>
      <c r="F501" s="17" t="str">
        <f>IF(E501=0,"",IFERROR(E501*Config!B18,0))</f>
        <v/>
      </c>
      <c r="G501" s="13" t="str">
        <f t="shared" si="35"/>
        <v/>
      </c>
      <c r="H501" s="11"/>
      <c r="I501" s="11"/>
      <c r="J501" s="16" t="str">
        <f t="shared" si="36"/>
        <v/>
      </c>
      <c r="K501" s="18" t="str">
        <f>IF(A501="","",IFERROR(SUMIF(Transactions!A$4:A$1003,A501,Transactions!F$4:F$1003),0))</f>
        <v/>
      </c>
      <c r="L501" s="15" t="str">
        <f t="shared" si="37"/>
        <v/>
      </c>
      <c r="M501" s="12" t="str">
        <f t="shared" ca="1" si="38"/>
        <v/>
      </c>
      <c r="N501" s="19" t="str">
        <f t="shared" ca="1" si="39"/>
        <v/>
      </c>
    </row>
    <row r="502" spans="1:14" ht="15.75" customHeight="1" x14ac:dyDescent="0.25">
      <c r="A502" s="11"/>
      <c r="B502" s="11"/>
      <c r="C502" s="11"/>
      <c r="D502" s="11"/>
      <c r="E502" s="11"/>
      <c r="F502" s="17" t="str">
        <f>IF(E502=0,"",IFERROR(E502*Config!B18,0))</f>
        <v/>
      </c>
      <c r="G502" s="13" t="str">
        <f t="shared" si="35"/>
        <v/>
      </c>
      <c r="H502" s="11"/>
      <c r="I502" s="11"/>
      <c r="J502" s="16" t="str">
        <f t="shared" si="36"/>
        <v/>
      </c>
      <c r="K502" s="18" t="str">
        <f>IF(A502="","",IFERROR(SUMIF(Transactions!A$4:A$1003,A502,Transactions!F$4:F$1003),0))</f>
        <v/>
      </c>
      <c r="L502" s="15" t="str">
        <f t="shared" si="37"/>
        <v/>
      </c>
      <c r="M502" s="12" t="str">
        <f t="shared" ca="1" si="38"/>
        <v/>
      </c>
      <c r="N502" s="19" t="str">
        <f t="shared" ca="1" si="39"/>
        <v/>
      </c>
    </row>
    <row r="503" spans="1:14" ht="15.75" customHeight="1" x14ac:dyDescent="0.25">
      <c r="A503" s="11"/>
      <c r="B503" s="11"/>
      <c r="C503" s="11"/>
      <c r="D503" s="11"/>
      <c r="E503" s="11"/>
      <c r="F503" s="17" t="str">
        <f>IF(E503=0,"",IFERROR(E503*Config!B18,0))</f>
        <v/>
      </c>
      <c r="G503" s="13" t="str">
        <f t="shared" si="35"/>
        <v/>
      </c>
      <c r="H503" s="11"/>
      <c r="I503" s="11"/>
      <c r="J503" s="16" t="str">
        <f t="shared" si="36"/>
        <v/>
      </c>
      <c r="K503" s="18" t="str">
        <f>IF(A503="","",IFERROR(SUMIF(Transactions!A$4:A$1003,A503,Transactions!F$4:F$1003),0))</f>
        <v/>
      </c>
      <c r="L503" s="15" t="str">
        <f t="shared" si="37"/>
        <v/>
      </c>
      <c r="M503" s="12" t="str">
        <f t="shared" ca="1" si="38"/>
        <v/>
      </c>
      <c r="N503" s="19" t="str">
        <f t="shared" ca="1" si="39"/>
        <v/>
      </c>
    </row>
    <row r="504" spans="1:14" ht="15.75" customHeight="1" x14ac:dyDescent="0.25">
      <c r="A504" s="11"/>
      <c r="B504" s="11"/>
      <c r="C504" s="11"/>
      <c r="D504" s="11"/>
      <c r="E504" s="11"/>
      <c r="F504" s="17" t="str">
        <f>IF(E504=0,"",IFERROR(E504*Config!B18,0))</f>
        <v/>
      </c>
      <c r="G504" s="13" t="str">
        <f t="shared" si="35"/>
        <v/>
      </c>
      <c r="H504" s="11"/>
      <c r="I504" s="11"/>
      <c r="J504" s="16" t="str">
        <f t="shared" si="36"/>
        <v/>
      </c>
      <c r="K504" s="18" t="str">
        <f>IF(A504="","",IFERROR(SUMIF(Transactions!A$4:A$1003,A504,Transactions!F$4:F$1003),0))</f>
        <v/>
      </c>
      <c r="L504" s="15" t="str">
        <f t="shared" si="37"/>
        <v/>
      </c>
      <c r="M504" s="12" t="str">
        <f t="shared" ca="1" si="38"/>
        <v/>
      </c>
      <c r="N504" s="19" t="str">
        <f t="shared" ca="1" si="39"/>
        <v/>
      </c>
    </row>
    <row r="505" spans="1:14" ht="15.75" customHeight="1" x14ac:dyDescent="0.25">
      <c r="A505" s="11"/>
      <c r="B505" s="11"/>
      <c r="C505" s="11"/>
      <c r="D505" s="11"/>
      <c r="E505" s="11"/>
      <c r="F505" s="17" t="str">
        <f>IF(E505=0,"",IFERROR(E505*Config!B18,0))</f>
        <v/>
      </c>
      <c r="G505" s="13" t="str">
        <f t="shared" si="35"/>
        <v/>
      </c>
      <c r="H505" s="11"/>
      <c r="I505" s="11"/>
      <c r="J505" s="16" t="str">
        <f t="shared" si="36"/>
        <v/>
      </c>
      <c r="K505" s="18" t="str">
        <f>IF(A505="","",IFERROR(SUMIF(Transactions!A$4:A$1003,A505,Transactions!F$4:F$1003),0))</f>
        <v/>
      </c>
      <c r="L505" s="15" t="str">
        <f t="shared" si="37"/>
        <v/>
      </c>
      <c r="M505" s="12" t="str">
        <f t="shared" ca="1" si="38"/>
        <v/>
      </c>
      <c r="N505" s="19" t="str">
        <f t="shared" ca="1" si="39"/>
        <v/>
      </c>
    </row>
    <row r="506" spans="1:14" ht="15.75" customHeight="1" x14ac:dyDescent="0.25">
      <c r="A506" s="11"/>
      <c r="B506" s="11"/>
      <c r="C506" s="11"/>
      <c r="D506" s="11"/>
      <c r="E506" s="11"/>
      <c r="F506" s="17" t="str">
        <f>IF(E506=0,"",IFERROR(E506*Config!B18,0))</f>
        <v/>
      </c>
      <c r="G506" s="13" t="str">
        <f t="shared" si="35"/>
        <v/>
      </c>
      <c r="H506" s="11"/>
      <c r="I506" s="11"/>
      <c r="J506" s="16" t="str">
        <f t="shared" si="36"/>
        <v/>
      </c>
      <c r="K506" s="18" t="str">
        <f>IF(A506="","",IFERROR(SUMIF(Transactions!A$4:A$1003,A506,Transactions!F$4:F$1003),0))</f>
        <v/>
      </c>
      <c r="L506" s="15" t="str">
        <f t="shared" si="37"/>
        <v/>
      </c>
      <c r="M506" s="12" t="str">
        <f t="shared" ca="1" si="38"/>
        <v/>
      </c>
      <c r="N506" s="19" t="str">
        <f t="shared" ca="1" si="39"/>
        <v/>
      </c>
    </row>
    <row r="507" spans="1:14" ht="15.75" customHeight="1" x14ac:dyDescent="0.25">
      <c r="A507" s="11"/>
      <c r="B507" s="11"/>
      <c r="C507" s="11"/>
      <c r="D507" s="11"/>
      <c r="E507" s="11"/>
      <c r="F507" s="17" t="str">
        <f>IF(E507=0,"",IFERROR(E507*Config!B18,0))</f>
        <v/>
      </c>
      <c r="G507" s="13" t="str">
        <f t="shared" si="35"/>
        <v/>
      </c>
      <c r="H507" s="11"/>
      <c r="I507" s="11"/>
      <c r="J507" s="16" t="str">
        <f t="shared" si="36"/>
        <v/>
      </c>
      <c r="K507" s="18" t="str">
        <f>IF(A507="","",IFERROR(SUMIF(Transactions!A$4:A$1003,A507,Transactions!F$4:F$1003),0))</f>
        <v/>
      </c>
      <c r="L507" s="15" t="str">
        <f t="shared" si="37"/>
        <v/>
      </c>
      <c r="M507" s="12" t="str">
        <f t="shared" ca="1" si="38"/>
        <v/>
      </c>
      <c r="N507" s="19" t="str">
        <f t="shared" ca="1" si="39"/>
        <v/>
      </c>
    </row>
    <row r="508" spans="1:14" ht="15.75" customHeight="1" x14ac:dyDescent="0.25">
      <c r="A508" s="11"/>
      <c r="B508" s="11"/>
      <c r="C508" s="11"/>
      <c r="D508" s="11"/>
      <c r="E508" s="11"/>
      <c r="F508" s="17" t="str">
        <f>IF(E508=0,"",IFERROR(E508*Config!B18,0))</f>
        <v/>
      </c>
      <c r="G508" s="13" t="str">
        <f t="shared" si="35"/>
        <v/>
      </c>
      <c r="H508" s="11"/>
      <c r="I508" s="11"/>
      <c r="J508" s="16" t="str">
        <f t="shared" si="36"/>
        <v/>
      </c>
      <c r="K508" s="18" t="str">
        <f>IF(A508="","",IFERROR(SUMIF(Transactions!A$4:A$1003,A508,Transactions!F$4:F$1003),0))</f>
        <v/>
      </c>
      <c r="L508" s="15" t="str">
        <f t="shared" si="37"/>
        <v/>
      </c>
      <c r="M508" s="12" t="str">
        <f t="shared" ca="1" si="38"/>
        <v/>
      </c>
      <c r="N508" s="19" t="str">
        <f t="shared" ca="1" si="39"/>
        <v/>
      </c>
    </row>
    <row r="509" spans="1:14" ht="15.75" customHeight="1" x14ac:dyDescent="0.25">
      <c r="A509" s="11"/>
      <c r="B509" s="11"/>
      <c r="C509" s="11"/>
      <c r="D509" s="11"/>
      <c r="E509" s="11"/>
      <c r="F509" s="17" t="str">
        <f>IF(E509=0,"",IFERROR(E509*Config!B18,0))</f>
        <v/>
      </c>
      <c r="G509" s="13" t="str">
        <f t="shared" si="35"/>
        <v/>
      </c>
      <c r="H509" s="11"/>
      <c r="I509" s="11"/>
      <c r="J509" s="16" t="str">
        <f t="shared" si="36"/>
        <v/>
      </c>
      <c r="K509" s="18" t="str">
        <f>IF(A509="","",IFERROR(SUMIF(Transactions!A$4:A$1003,A509,Transactions!F$4:F$1003),0))</f>
        <v/>
      </c>
      <c r="L509" s="15" t="str">
        <f t="shared" si="37"/>
        <v/>
      </c>
      <c r="M509" s="12" t="str">
        <f t="shared" ca="1" si="38"/>
        <v/>
      </c>
      <c r="N509" s="19" t="str">
        <f t="shared" ca="1" si="39"/>
        <v/>
      </c>
    </row>
    <row r="510" spans="1:14" ht="15.75" customHeight="1" x14ac:dyDescent="0.25">
      <c r="A510" s="11"/>
      <c r="B510" s="11"/>
      <c r="C510" s="11"/>
      <c r="D510" s="11"/>
      <c r="E510" s="11"/>
      <c r="F510" s="17" t="str">
        <f>IF(E510=0,"",IFERROR(E510*Config!B18,0))</f>
        <v/>
      </c>
      <c r="G510" s="13" t="str">
        <f t="shared" si="35"/>
        <v/>
      </c>
      <c r="H510" s="11"/>
      <c r="I510" s="11"/>
      <c r="J510" s="16" t="str">
        <f t="shared" si="36"/>
        <v/>
      </c>
      <c r="K510" s="18" t="str">
        <f>IF(A510="","",IFERROR(SUMIF(Transactions!A$4:A$1003,A510,Transactions!F$4:F$1003),0))</f>
        <v/>
      </c>
      <c r="L510" s="15" t="str">
        <f t="shared" si="37"/>
        <v/>
      </c>
      <c r="M510" s="12" t="str">
        <f t="shared" ca="1" si="38"/>
        <v/>
      </c>
      <c r="N510" s="19" t="str">
        <f t="shared" ca="1" si="39"/>
        <v/>
      </c>
    </row>
    <row r="511" spans="1:14" ht="15.75" customHeight="1" x14ac:dyDescent="0.25">
      <c r="A511" s="11"/>
      <c r="B511" s="11"/>
      <c r="C511" s="11"/>
      <c r="D511" s="11"/>
      <c r="E511" s="11"/>
      <c r="F511" s="17" t="str">
        <f>IF(E511=0,"",IFERROR(E511*Config!B18,0))</f>
        <v/>
      </c>
      <c r="G511" s="13" t="str">
        <f t="shared" si="35"/>
        <v/>
      </c>
      <c r="H511" s="11"/>
      <c r="I511" s="11"/>
      <c r="J511" s="16" t="str">
        <f t="shared" si="36"/>
        <v/>
      </c>
      <c r="K511" s="18" t="str">
        <f>IF(A511="","",IFERROR(SUMIF(Transactions!A$4:A$1003,A511,Transactions!F$4:F$1003),0))</f>
        <v/>
      </c>
      <c r="L511" s="15" t="str">
        <f t="shared" si="37"/>
        <v/>
      </c>
      <c r="M511" s="12" t="str">
        <f t="shared" ca="1" si="38"/>
        <v/>
      </c>
      <c r="N511" s="19" t="str">
        <f t="shared" ca="1" si="39"/>
        <v/>
      </c>
    </row>
    <row r="512" spans="1:14" ht="15.75" customHeight="1" x14ac:dyDescent="0.25">
      <c r="A512" s="11"/>
      <c r="B512" s="11"/>
      <c r="C512" s="11"/>
      <c r="D512" s="11"/>
      <c r="E512" s="11"/>
      <c r="F512" s="17" t="str">
        <f>IF(E512=0,"",IFERROR(E512*Config!B18,0))</f>
        <v/>
      </c>
      <c r="G512" s="13" t="str">
        <f t="shared" si="35"/>
        <v/>
      </c>
      <c r="H512" s="11"/>
      <c r="I512" s="11"/>
      <c r="J512" s="16" t="str">
        <f t="shared" si="36"/>
        <v/>
      </c>
      <c r="K512" s="18" t="str">
        <f>IF(A512="","",IFERROR(SUMIF(Transactions!A$4:A$1003,A512,Transactions!F$4:F$1003),0))</f>
        <v/>
      </c>
      <c r="L512" s="15" t="str">
        <f t="shared" si="37"/>
        <v/>
      </c>
      <c r="M512" s="12" t="str">
        <f t="shared" ca="1" si="38"/>
        <v/>
      </c>
      <c r="N512" s="19" t="str">
        <f t="shared" ca="1" si="39"/>
        <v/>
      </c>
    </row>
    <row r="513" spans="1:14" ht="15.75" customHeight="1" x14ac:dyDescent="0.25">
      <c r="A513" s="11"/>
      <c r="B513" s="11"/>
      <c r="C513" s="11"/>
      <c r="D513" s="11"/>
      <c r="E513" s="11"/>
      <c r="F513" s="17" t="str">
        <f>IF(E513=0,"",IFERROR(E513*Config!B18,0))</f>
        <v/>
      </c>
      <c r="G513" s="13" t="str">
        <f t="shared" si="35"/>
        <v/>
      </c>
      <c r="H513" s="11"/>
      <c r="I513" s="11"/>
      <c r="J513" s="16" t="str">
        <f t="shared" si="36"/>
        <v/>
      </c>
      <c r="K513" s="18" t="str">
        <f>IF(A513="","",IFERROR(SUMIF(Transactions!A$4:A$1003,A513,Transactions!F$4:F$1003),0))</f>
        <v/>
      </c>
      <c r="L513" s="15" t="str">
        <f t="shared" si="37"/>
        <v/>
      </c>
      <c r="M513" s="12" t="str">
        <f t="shared" ca="1" si="38"/>
        <v/>
      </c>
      <c r="N513" s="19" t="str">
        <f t="shared" ca="1" si="39"/>
        <v/>
      </c>
    </row>
    <row r="514" spans="1:14" ht="15.75" customHeight="1" x14ac:dyDescent="0.25">
      <c r="A514" s="11"/>
      <c r="B514" s="11"/>
      <c r="C514" s="11"/>
      <c r="D514" s="11"/>
      <c r="E514" s="11"/>
      <c r="F514" s="17" t="str">
        <f>IF(E514=0,"",IFERROR(E514*Config!B18,0))</f>
        <v/>
      </c>
      <c r="G514" s="13" t="str">
        <f t="shared" si="35"/>
        <v/>
      </c>
      <c r="H514" s="11"/>
      <c r="I514" s="11"/>
      <c r="J514" s="16" t="str">
        <f t="shared" si="36"/>
        <v/>
      </c>
      <c r="K514" s="18" t="str">
        <f>IF(A514="","",IFERROR(SUMIF(Transactions!A$4:A$1003,A514,Transactions!F$4:F$1003),0))</f>
        <v/>
      </c>
      <c r="L514" s="15" t="str">
        <f t="shared" si="37"/>
        <v/>
      </c>
      <c r="M514" s="12" t="str">
        <f t="shared" ca="1" si="38"/>
        <v/>
      </c>
      <c r="N514" s="19" t="str">
        <f t="shared" ca="1" si="39"/>
        <v/>
      </c>
    </row>
    <row r="515" spans="1:14" ht="15.75" customHeight="1" x14ac:dyDescent="0.25">
      <c r="A515" s="11"/>
      <c r="B515" s="11"/>
      <c r="C515" s="11"/>
      <c r="D515" s="11"/>
      <c r="E515" s="11"/>
      <c r="F515" s="17" t="str">
        <f>IF(E515=0,"",IFERROR(E515*Config!B18,0))</f>
        <v/>
      </c>
      <c r="G515" s="13" t="str">
        <f t="shared" si="35"/>
        <v/>
      </c>
      <c r="H515" s="11"/>
      <c r="I515" s="11"/>
      <c r="J515" s="16" t="str">
        <f t="shared" si="36"/>
        <v/>
      </c>
      <c r="K515" s="18" t="str">
        <f>IF(A515="","",IFERROR(SUMIF(Transactions!A$4:A$1003,A515,Transactions!F$4:F$1003),0))</f>
        <v/>
      </c>
      <c r="L515" s="15" t="str">
        <f t="shared" si="37"/>
        <v/>
      </c>
      <c r="M515" s="12" t="str">
        <f t="shared" ca="1" si="38"/>
        <v/>
      </c>
      <c r="N515" s="19" t="str">
        <f t="shared" ca="1" si="39"/>
        <v/>
      </c>
    </row>
    <row r="516" spans="1:14" ht="15.75" customHeight="1" x14ac:dyDescent="0.25">
      <c r="A516" s="11"/>
      <c r="B516" s="11"/>
      <c r="C516" s="11"/>
      <c r="D516" s="11"/>
      <c r="E516" s="11"/>
      <c r="F516" s="17" t="str">
        <f>IF(E516=0,"",IFERROR(E516*Config!B18,0))</f>
        <v/>
      </c>
      <c r="G516" s="13" t="str">
        <f t="shared" ref="G516:G579" si="40">IF(E516=0,"",MAX(0,E516-F516))</f>
        <v/>
      </c>
      <c r="H516" s="11"/>
      <c r="I516" s="11"/>
      <c r="J516" s="16" t="str">
        <f t="shared" ref="J516:J579" si="41">IF(E516=0,"",IFERROR(-PMT(H516/100/12,I516,-E516),0))</f>
        <v/>
      </c>
      <c r="K516" s="18" t="str">
        <f>IF(A516="","",IFERROR(SUMIF(Transactions!A$4:A$1003,A516,Transactions!F$4:F$1003),0))</f>
        <v/>
      </c>
      <c r="L516" s="15" t="str">
        <f t="shared" ref="L516:L579" si="42">IF(E516=0,"",MAX(0,E516-K516))</f>
        <v/>
      </c>
      <c r="M516" s="12" t="str">
        <f t="shared" ref="M516:M579" ca="1" si="43">IF(A516="","",IF(L516&lt;=0,"✅ Fully Paid",IF(AND(D516&lt;&gt;"",TODAY()&gt;D516+I516*30),"⚠ Overdue","🟢 Active")))</f>
        <v/>
      </c>
      <c r="N516" s="19" t="str">
        <f t="shared" ref="N516:N579" ca="1" si="44">IF(L516&lt;=0,TODAY(),"")</f>
        <v/>
      </c>
    </row>
    <row r="517" spans="1:14" ht="15.75" customHeight="1" x14ac:dyDescent="0.25">
      <c r="A517" s="11"/>
      <c r="B517" s="11"/>
      <c r="C517" s="11"/>
      <c r="D517" s="11"/>
      <c r="E517" s="11"/>
      <c r="F517" s="17" t="str">
        <f>IF(E517=0,"",IFERROR(E517*Config!B18,0))</f>
        <v/>
      </c>
      <c r="G517" s="13" t="str">
        <f t="shared" si="40"/>
        <v/>
      </c>
      <c r="H517" s="11"/>
      <c r="I517" s="11"/>
      <c r="J517" s="16" t="str">
        <f t="shared" si="41"/>
        <v/>
      </c>
      <c r="K517" s="18" t="str">
        <f>IF(A517="","",IFERROR(SUMIF(Transactions!A$4:A$1003,A517,Transactions!F$4:F$1003),0))</f>
        <v/>
      </c>
      <c r="L517" s="15" t="str">
        <f t="shared" si="42"/>
        <v/>
      </c>
      <c r="M517" s="12" t="str">
        <f t="shared" ca="1" si="43"/>
        <v/>
      </c>
      <c r="N517" s="19" t="str">
        <f t="shared" ca="1" si="44"/>
        <v/>
      </c>
    </row>
    <row r="518" spans="1:14" ht="15.75" customHeight="1" x14ac:dyDescent="0.25">
      <c r="A518" s="11"/>
      <c r="B518" s="11"/>
      <c r="C518" s="11"/>
      <c r="D518" s="11"/>
      <c r="E518" s="11"/>
      <c r="F518" s="17" t="str">
        <f>IF(E518=0,"",IFERROR(E518*Config!B18,0))</f>
        <v/>
      </c>
      <c r="G518" s="13" t="str">
        <f t="shared" si="40"/>
        <v/>
      </c>
      <c r="H518" s="11"/>
      <c r="I518" s="11"/>
      <c r="J518" s="16" t="str">
        <f t="shared" si="41"/>
        <v/>
      </c>
      <c r="K518" s="18" t="str">
        <f>IF(A518="","",IFERROR(SUMIF(Transactions!A$4:A$1003,A518,Transactions!F$4:F$1003),0))</f>
        <v/>
      </c>
      <c r="L518" s="15" t="str">
        <f t="shared" si="42"/>
        <v/>
      </c>
      <c r="M518" s="12" t="str">
        <f t="shared" ca="1" si="43"/>
        <v/>
      </c>
      <c r="N518" s="19" t="str">
        <f t="shared" ca="1" si="44"/>
        <v/>
      </c>
    </row>
    <row r="519" spans="1:14" ht="15.75" customHeight="1" x14ac:dyDescent="0.25">
      <c r="A519" s="11"/>
      <c r="B519" s="11"/>
      <c r="C519" s="11"/>
      <c r="D519" s="11"/>
      <c r="E519" s="11"/>
      <c r="F519" s="17" t="str">
        <f>IF(E519=0,"",IFERROR(E519*Config!B18,0))</f>
        <v/>
      </c>
      <c r="G519" s="13" t="str">
        <f t="shared" si="40"/>
        <v/>
      </c>
      <c r="H519" s="11"/>
      <c r="I519" s="11"/>
      <c r="J519" s="16" t="str">
        <f t="shared" si="41"/>
        <v/>
      </c>
      <c r="K519" s="18" t="str">
        <f>IF(A519="","",IFERROR(SUMIF(Transactions!A$4:A$1003,A519,Transactions!F$4:F$1003),0))</f>
        <v/>
      </c>
      <c r="L519" s="15" t="str">
        <f t="shared" si="42"/>
        <v/>
      </c>
      <c r="M519" s="12" t="str">
        <f t="shared" ca="1" si="43"/>
        <v/>
      </c>
      <c r="N519" s="19" t="str">
        <f t="shared" ca="1" si="44"/>
        <v/>
      </c>
    </row>
    <row r="520" spans="1:14" ht="15.75" customHeight="1" x14ac:dyDescent="0.25">
      <c r="A520" s="11"/>
      <c r="B520" s="11"/>
      <c r="C520" s="11"/>
      <c r="D520" s="11"/>
      <c r="E520" s="11"/>
      <c r="F520" s="17" t="str">
        <f>IF(E520=0,"",IFERROR(E520*Config!B18,0))</f>
        <v/>
      </c>
      <c r="G520" s="13" t="str">
        <f t="shared" si="40"/>
        <v/>
      </c>
      <c r="H520" s="11"/>
      <c r="I520" s="11"/>
      <c r="J520" s="16" t="str">
        <f t="shared" si="41"/>
        <v/>
      </c>
      <c r="K520" s="18" t="str">
        <f>IF(A520="","",IFERROR(SUMIF(Transactions!A$4:A$1003,A520,Transactions!F$4:F$1003),0))</f>
        <v/>
      </c>
      <c r="L520" s="15" t="str">
        <f t="shared" si="42"/>
        <v/>
      </c>
      <c r="M520" s="12" t="str">
        <f t="shared" ca="1" si="43"/>
        <v/>
      </c>
      <c r="N520" s="19" t="str">
        <f t="shared" ca="1" si="44"/>
        <v/>
      </c>
    </row>
    <row r="521" spans="1:14" ht="15.75" customHeight="1" x14ac:dyDescent="0.25">
      <c r="A521" s="11"/>
      <c r="B521" s="11"/>
      <c r="C521" s="11"/>
      <c r="D521" s="11"/>
      <c r="E521" s="11"/>
      <c r="F521" s="17" t="str">
        <f>IF(E521=0,"",IFERROR(E521*Config!B18,0))</f>
        <v/>
      </c>
      <c r="G521" s="13" t="str">
        <f t="shared" si="40"/>
        <v/>
      </c>
      <c r="H521" s="11"/>
      <c r="I521" s="11"/>
      <c r="J521" s="16" t="str">
        <f t="shared" si="41"/>
        <v/>
      </c>
      <c r="K521" s="18" t="str">
        <f>IF(A521="","",IFERROR(SUMIF(Transactions!A$4:A$1003,A521,Transactions!F$4:F$1003),0))</f>
        <v/>
      </c>
      <c r="L521" s="15" t="str">
        <f t="shared" si="42"/>
        <v/>
      </c>
      <c r="M521" s="12" t="str">
        <f t="shared" ca="1" si="43"/>
        <v/>
      </c>
      <c r="N521" s="19" t="str">
        <f t="shared" ca="1" si="44"/>
        <v/>
      </c>
    </row>
    <row r="522" spans="1:14" ht="15.75" customHeight="1" x14ac:dyDescent="0.25">
      <c r="A522" s="11"/>
      <c r="B522" s="11"/>
      <c r="C522" s="11"/>
      <c r="D522" s="11"/>
      <c r="E522" s="11"/>
      <c r="F522" s="17" t="str">
        <f>IF(E522=0,"",IFERROR(E522*Config!B18,0))</f>
        <v/>
      </c>
      <c r="G522" s="13" t="str">
        <f t="shared" si="40"/>
        <v/>
      </c>
      <c r="H522" s="11"/>
      <c r="I522" s="11"/>
      <c r="J522" s="16" t="str">
        <f t="shared" si="41"/>
        <v/>
      </c>
      <c r="K522" s="18" t="str">
        <f>IF(A522="","",IFERROR(SUMIF(Transactions!A$4:A$1003,A522,Transactions!F$4:F$1003),0))</f>
        <v/>
      </c>
      <c r="L522" s="15" t="str">
        <f t="shared" si="42"/>
        <v/>
      </c>
      <c r="M522" s="12" t="str">
        <f t="shared" ca="1" si="43"/>
        <v/>
      </c>
      <c r="N522" s="19" t="str">
        <f t="shared" ca="1" si="44"/>
        <v/>
      </c>
    </row>
    <row r="523" spans="1:14" ht="15.75" customHeight="1" x14ac:dyDescent="0.25">
      <c r="A523" s="11"/>
      <c r="B523" s="11"/>
      <c r="C523" s="11"/>
      <c r="D523" s="11"/>
      <c r="E523" s="11"/>
      <c r="F523" s="17" t="str">
        <f>IF(E523=0,"",IFERROR(E523*Config!B18,0))</f>
        <v/>
      </c>
      <c r="G523" s="13" t="str">
        <f t="shared" si="40"/>
        <v/>
      </c>
      <c r="H523" s="11"/>
      <c r="I523" s="11"/>
      <c r="J523" s="16" t="str">
        <f t="shared" si="41"/>
        <v/>
      </c>
      <c r="K523" s="18" t="str">
        <f>IF(A523="","",IFERROR(SUMIF(Transactions!A$4:A$1003,A523,Transactions!F$4:F$1003),0))</f>
        <v/>
      </c>
      <c r="L523" s="15" t="str">
        <f t="shared" si="42"/>
        <v/>
      </c>
      <c r="M523" s="12" t="str">
        <f t="shared" ca="1" si="43"/>
        <v/>
      </c>
      <c r="N523" s="19" t="str">
        <f t="shared" ca="1" si="44"/>
        <v/>
      </c>
    </row>
    <row r="524" spans="1:14" ht="15.75" customHeight="1" x14ac:dyDescent="0.25">
      <c r="A524" s="11"/>
      <c r="B524" s="11"/>
      <c r="C524" s="11"/>
      <c r="D524" s="11"/>
      <c r="E524" s="11"/>
      <c r="F524" s="17" t="str">
        <f>IF(E524=0,"",IFERROR(E524*Config!B18,0))</f>
        <v/>
      </c>
      <c r="G524" s="13" t="str">
        <f t="shared" si="40"/>
        <v/>
      </c>
      <c r="H524" s="11"/>
      <c r="I524" s="11"/>
      <c r="J524" s="16" t="str">
        <f t="shared" si="41"/>
        <v/>
      </c>
      <c r="K524" s="18" t="str">
        <f>IF(A524="","",IFERROR(SUMIF(Transactions!A$4:A$1003,A524,Transactions!F$4:F$1003),0))</f>
        <v/>
      </c>
      <c r="L524" s="15" t="str">
        <f t="shared" si="42"/>
        <v/>
      </c>
      <c r="M524" s="12" t="str">
        <f t="shared" ca="1" si="43"/>
        <v/>
      </c>
      <c r="N524" s="19" t="str">
        <f t="shared" ca="1" si="44"/>
        <v/>
      </c>
    </row>
    <row r="525" spans="1:14" ht="15.75" customHeight="1" x14ac:dyDescent="0.25">
      <c r="A525" s="11"/>
      <c r="B525" s="11"/>
      <c r="C525" s="11"/>
      <c r="D525" s="11"/>
      <c r="E525" s="11"/>
      <c r="F525" s="17" t="str">
        <f>IF(E525=0,"",IFERROR(E525*Config!B18,0))</f>
        <v/>
      </c>
      <c r="G525" s="13" t="str">
        <f t="shared" si="40"/>
        <v/>
      </c>
      <c r="H525" s="11"/>
      <c r="I525" s="11"/>
      <c r="J525" s="16" t="str">
        <f t="shared" si="41"/>
        <v/>
      </c>
      <c r="K525" s="18" t="str">
        <f>IF(A525="","",IFERROR(SUMIF(Transactions!A$4:A$1003,A525,Transactions!F$4:F$1003),0))</f>
        <v/>
      </c>
      <c r="L525" s="15" t="str">
        <f t="shared" si="42"/>
        <v/>
      </c>
      <c r="M525" s="12" t="str">
        <f t="shared" ca="1" si="43"/>
        <v/>
      </c>
      <c r="N525" s="19" t="str">
        <f t="shared" ca="1" si="44"/>
        <v/>
      </c>
    </row>
    <row r="526" spans="1:14" ht="15.75" customHeight="1" x14ac:dyDescent="0.25">
      <c r="A526" s="11"/>
      <c r="B526" s="11"/>
      <c r="C526" s="11"/>
      <c r="D526" s="11"/>
      <c r="E526" s="11"/>
      <c r="F526" s="17" t="str">
        <f>IF(E526=0,"",IFERROR(E526*Config!B18,0))</f>
        <v/>
      </c>
      <c r="G526" s="13" t="str">
        <f t="shared" si="40"/>
        <v/>
      </c>
      <c r="H526" s="11"/>
      <c r="I526" s="11"/>
      <c r="J526" s="16" t="str">
        <f t="shared" si="41"/>
        <v/>
      </c>
      <c r="K526" s="18" t="str">
        <f>IF(A526="","",IFERROR(SUMIF(Transactions!A$4:A$1003,A526,Transactions!F$4:F$1003),0))</f>
        <v/>
      </c>
      <c r="L526" s="15" t="str">
        <f t="shared" si="42"/>
        <v/>
      </c>
      <c r="M526" s="12" t="str">
        <f t="shared" ca="1" si="43"/>
        <v/>
      </c>
      <c r="N526" s="19" t="str">
        <f t="shared" ca="1" si="44"/>
        <v/>
      </c>
    </row>
    <row r="527" spans="1:14" ht="15.75" customHeight="1" x14ac:dyDescent="0.25">
      <c r="A527" s="11"/>
      <c r="B527" s="11"/>
      <c r="C527" s="11"/>
      <c r="D527" s="11"/>
      <c r="E527" s="11"/>
      <c r="F527" s="17" t="str">
        <f>IF(E527=0,"",IFERROR(E527*Config!B18,0))</f>
        <v/>
      </c>
      <c r="G527" s="13" t="str">
        <f t="shared" si="40"/>
        <v/>
      </c>
      <c r="H527" s="11"/>
      <c r="I527" s="11"/>
      <c r="J527" s="16" t="str">
        <f t="shared" si="41"/>
        <v/>
      </c>
      <c r="K527" s="18" t="str">
        <f>IF(A527="","",IFERROR(SUMIF(Transactions!A$4:A$1003,A527,Transactions!F$4:F$1003),0))</f>
        <v/>
      </c>
      <c r="L527" s="15" t="str">
        <f t="shared" si="42"/>
        <v/>
      </c>
      <c r="M527" s="12" t="str">
        <f t="shared" ca="1" si="43"/>
        <v/>
      </c>
      <c r="N527" s="19" t="str">
        <f t="shared" ca="1" si="44"/>
        <v/>
      </c>
    </row>
    <row r="528" spans="1:14" ht="15.75" customHeight="1" x14ac:dyDescent="0.25">
      <c r="A528" s="11"/>
      <c r="B528" s="11"/>
      <c r="C528" s="11"/>
      <c r="D528" s="11"/>
      <c r="E528" s="11"/>
      <c r="F528" s="17" t="str">
        <f>IF(E528=0,"",IFERROR(E528*Config!B18,0))</f>
        <v/>
      </c>
      <c r="G528" s="13" t="str">
        <f t="shared" si="40"/>
        <v/>
      </c>
      <c r="H528" s="11"/>
      <c r="I528" s="11"/>
      <c r="J528" s="16" t="str">
        <f t="shared" si="41"/>
        <v/>
      </c>
      <c r="K528" s="18" t="str">
        <f>IF(A528="","",IFERROR(SUMIF(Transactions!A$4:A$1003,A528,Transactions!F$4:F$1003),0))</f>
        <v/>
      </c>
      <c r="L528" s="15" t="str">
        <f t="shared" si="42"/>
        <v/>
      </c>
      <c r="M528" s="12" t="str">
        <f t="shared" ca="1" si="43"/>
        <v/>
      </c>
      <c r="N528" s="19" t="str">
        <f t="shared" ca="1" si="44"/>
        <v/>
      </c>
    </row>
    <row r="529" spans="1:14" ht="15.75" customHeight="1" x14ac:dyDescent="0.25">
      <c r="A529" s="11"/>
      <c r="B529" s="11"/>
      <c r="C529" s="11"/>
      <c r="D529" s="11"/>
      <c r="E529" s="11"/>
      <c r="F529" s="17" t="str">
        <f>IF(E529=0,"",IFERROR(E529*Config!B18,0))</f>
        <v/>
      </c>
      <c r="G529" s="13" t="str">
        <f t="shared" si="40"/>
        <v/>
      </c>
      <c r="H529" s="11"/>
      <c r="I529" s="11"/>
      <c r="J529" s="16" t="str">
        <f t="shared" si="41"/>
        <v/>
      </c>
      <c r="K529" s="18" t="str">
        <f>IF(A529="","",IFERROR(SUMIF(Transactions!A$4:A$1003,A529,Transactions!F$4:F$1003),0))</f>
        <v/>
      </c>
      <c r="L529" s="15" t="str">
        <f t="shared" si="42"/>
        <v/>
      </c>
      <c r="M529" s="12" t="str">
        <f t="shared" ca="1" si="43"/>
        <v/>
      </c>
      <c r="N529" s="19" t="str">
        <f t="shared" ca="1" si="44"/>
        <v/>
      </c>
    </row>
    <row r="530" spans="1:14" ht="15.75" customHeight="1" x14ac:dyDescent="0.25">
      <c r="A530" s="11"/>
      <c r="B530" s="11"/>
      <c r="C530" s="11"/>
      <c r="D530" s="11"/>
      <c r="E530" s="11"/>
      <c r="F530" s="17" t="str">
        <f>IF(E530=0,"",IFERROR(E530*Config!B18,0))</f>
        <v/>
      </c>
      <c r="G530" s="13" t="str">
        <f t="shared" si="40"/>
        <v/>
      </c>
      <c r="H530" s="11"/>
      <c r="I530" s="11"/>
      <c r="J530" s="16" t="str">
        <f t="shared" si="41"/>
        <v/>
      </c>
      <c r="K530" s="18" t="str">
        <f>IF(A530="","",IFERROR(SUMIF(Transactions!A$4:A$1003,A530,Transactions!F$4:F$1003),0))</f>
        <v/>
      </c>
      <c r="L530" s="15" t="str">
        <f t="shared" si="42"/>
        <v/>
      </c>
      <c r="M530" s="12" t="str">
        <f t="shared" ca="1" si="43"/>
        <v/>
      </c>
      <c r="N530" s="19" t="str">
        <f t="shared" ca="1" si="44"/>
        <v/>
      </c>
    </row>
    <row r="531" spans="1:14" ht="15.75" customHeight="1" x14ac:dyDescent="0.25">
      <c r="A531" s="11"/>
      <c r="B531" s="11"/>
      <c r="C531" s="11"/>
      <c r="D531" s="11"/>
      <c r="E531" s="11"/>
      <c r="F531" s="17" t="str">
        <f>IF(E531=0,"",IFERROR(E531*Config!B18,0))</f>
        <v/>
      </c>
      <c r="G531" s="13" t="str">
        <f t="shared" si="40"/>
        <v/>
      </c>
      <c r="H531" s="11"/>
      <c r="I531" s="11"/>
      <c r="J531" s="16" t="str">
        <f t="shared" si="41"/>
        <v/>
      </c>
      <c r="K531" s="18" t="str">
        <f>IF(A531="","",IFERROR(SUMIF(Transactions!A$4:A$1003,A531,Transactions!F$4:F$1003),0))</f>
        <v/>
      </c>
      <c r="L531" s="15" t="str">
        <f t="shared" si="42"/>
        <v/>
      </c>
      <c r="M531" s="12" t="str">
        <f t="shared" ca="1" si="43"/>
        <v/>
      </c>
      <c r="N531" s="19" t="str">
        <f t="shared" ca="1" si="44"/>
        <v/>
      </c>
    </row>
    <row r="532" spans="1:14" ht="15.75" customHeight="1" x14ac:dyDescent="0.25">
      <c r="A532" s="11"/>
      <c r="B532" s="11"/>
      <c r="C532" s="11"/>
      <c r="D532" s="11"/>
      <c r="E532" s="11"/>
      <c r="F532" s="17" t="str">
        <f>IF(E532=0,"",IFERROR(E532*Config!B18,0))</f>
        <v/>
      </c>
      <c r="G532" s="13" t="str">
        <f t="shared" si="40"/>
        <v/>
      </c>
      <c r="H532" s="11"/>
      <c r="I532" s="11"/>
      <c r="J532" s="16" t="str">
        <f t="shared" si="41"/>
        <v/>
      </c>
      <c r="K532" s="18" t="str">
        <f>IF(A532="","",IFERROR(SUMIF(Transactions!A$4:A$1003,A532,Transactions!F$4:F$1003),0))</f>
        <v/>
      </c>
      <c r="L532" s="15" t="str">
        <f t="shared" si="42"/>
        <v/>
      </c>
      <c r="M532" s="12" t="str">
        <f t="shared" ca="1" si="43"/>
        <v/>
      </c>
      <c r="N532" s="19" t="str">
        <f t="shared" ca="1" si="44"/>
        <v/>
      </c>
    </row>
    <row r="533" spans="1:14" ht="15.75" customHeight="1" x14ac:dyDescent="0.25">
      <c r="A533" s="11"/>
      <c r="B533" s="11"/>
      <c r="C533" s="11"/>
      <c r="D533" s="11"/>
      <c r="E533" s="11"/>
      <c r="F533" s="17" t="str">
        <f>IF(E533=0,"",IFERROR(E533*Config!B18,0))</f>
        <v/>
      </c>
      <c r="G533" s="13" t="str">
        <f t="shared" si="40"/>
        <v/>
      </c>
      <c r="H533" s="11"/>
      <c r="I533" s="11"/>
      <c r="J533" s="16" t="str">
        <f t="shared" si="41"/>
        <v/>
      </c>
      <c r="K533" s="18" t="str">
        <f>IF(A533="","",IFERROR(SUMIF(Transactions!A$4:A$1003,A533,Transactions!F$4:F$1003),0))</f>
        <v/>
      </c>
      <c r="L533" s="15" t="str">
        <f t="shared" si="42"/>
        <v/>
      </c>
      <c r="M533" s="12" t="str">
        <f t="shared" ca="1" si="43"/>
        <v/>
      </c>
      <c r="N533" s="19" t="str">
        <f t="shared" ca="1" si="44"/>
        <v/>
      </c>
    </row>
    <row r="534" spans="1:14" ht="15.75" customHeight="1" x14ac:dyDescent="0.25">
      <c r="A534" s="11"/>
      <c r="B534" s="11"/>
      <c r="C534" s="11"/>
      <c r="D534" s="11"/>
      <c r="E534" s="11"/>
      <c r="F534" s="17" t="str">
        <f>IF(E534=0,"",IFERROR(E534*Config!B18,0))</f>
        <v/>
      </c>
      <c r="G534" s="13" t="str">
        <f t="shared" si="40"/>
        <v/>
      </c>
      <c r="H534" s="11"/>
      <c r="I534" s="11"/>
      <c r="J534" s="16" t="str">
        <f t="shared" si="41"/>
        <v/>
      </c>
      <c r="K534" s="18" t="str">
        <f>IF(A534="","",IFERROR(SUMIF(Transactions!A$4:A$1003,A534,Transactions!F$4:F$1003),0))</f>
        <v/>
      </c>
      <c r="L534" s="15" t="str">
        <f t="shared" si="42"/>
        <v/>
      </c>
      <c r="M534" s="12" t="str">
        <f t="shared" ca="1" si="43"/>
        <v/>
      </c>
      <c r="N534" s="19" t="str">
        <f t="shared" ca="1" si="44"/>
        <v/>
      </c>
    </row>
    <row r="535" spans="1:14" ht="15.75" customHeight="1" x14ac:dyDescent="0.25">
      <c r="A535" s="11"/>
      <c r="B535" s="11"/>
      <c r="C535" s="11"/>
      <c r="D535" s="11"/>
      <c r="E535" s="11"/>
      <c r="F535" s="17" t="str">
        <f>IF(E535=0,"",IFERROR(E535*Config!B18,0))</f>
        <v/>
      </c>
      <c r="G535" s="13" t="str">
        <f t="shared" si="40"/>
        <v/>
      </c>
      <c r="H535" s="11"/>
      <c r="I535" s="11"/>
      <c r="J535" s="16" t="str">
        <f t="shared" si="41"/>
        <v/>
      </c>
      <c r="K535" s="18" t="str">
        <f>IF(A535="","",IFERROR(SUMIF(Transactions!A$4:A$1003,A535,Transactions!F$4:F$1003),0))</f>
        <v/>
      </c>
      <c r="L535" s="15" t="str">
        <f t="shared" si="42"/>
        <v/>
      </c>
      <c r="M535" s="12" t="str">
        <f t="shared" ca="1" si="43"/>
        <v/>
      </c>
      <c r="N535" s="19" t="str">
        <f t="shared" ca="1" si="44"/>
        <v/>
      </c>
    </row>
    <row r="536" spans="1:14" ht="15.75" customHeight="1" x14ac:dyDescent="0.25">
      <c r="A536" s="11"/>
      <c r="B536" s="11"/>
      <c r="C536" s="11"/>
      <c r="D536" s="11"/>
      <c r="E536" s="11"/>
      <c r="F536" s="17" t="str">
        <f>IF(E536=0,"",IFERROR(E536*Config!B18,0))</f>
        <v/>
      </c>
      <c r="G536" s="13" t="str">
        <f t="shared" si="40"/>
        <v/>
      </c>
      <c r="H536" s="11"/>
      <c r="I536" s="11"/>
      <c r="J536" s="16" t="str">
        <f t="shared" si="41"/>
        <v/>
      </c>
      <c r="K536" s="18" t="str">
        <f>IF(A536="","",IFERROR(SUMIF(Transactions!A$4:A$1003,A536,Transactions!F$4:F$1003),0))</f>
        <v/>
      </c>
      <c r="L536" s="15" t="str">
        <f t="shared" si="42"/>
        <v/>
      </c>
      <c r="M536" s="12" t="str">
        <f t="shared" ca="1" si="43"/>
        <v/>
      </c>
      <c r="N536" s="19" t="str">
        <f t="shared" ca="1" si="44"/>
        <v/>
      </c>
    </row>
    <row r="537" spans="1:14" ht="15.75" customHeight="1" x14ac:dyDescent="0.25">
      <c r="A537" s="11"/>
      <c r="B537" s="11"/>
      <c r="C537" s="11"/>
      <c r="D537" s="11"/>
      <c r="E537" s="11"/>
      <c r="F537" s="17" t="str">
        <f>IF(E537=0,"",IFERROR(E537*Config!B18,0))</f>
        <v/>
      </c>
      <c r="G537" s="13" t="str">
        <f t="shared" si="40"/>
        <v/>
      </c>
      <c r="H537" s="11"/>
      <c r="I537" s="11"/>
      <c r="J537" s="16" t="str">
        <f t="shared" si="41"/>
        <v/>
      </c>
      <c r="K537" s="18" t="str">
        <f>IF(A537="","",IFERROR(SUMIF(Transactions!A$4:A$1003,A537,Transactions!F$4:F$1003),0))</f>
        <v/>
      </c>
      <c r="L537" s="15" t="str">
        <f t="shared" si="42"/>
        <v/>
      </c>
      <c r="M537" s="12" t="str">
        <f t="shared" ca="1" si="43"/>
        <v/>
      </c>
      <c r="N537" s="19" t="str">
        <f t="shared" ca="1" si="44"/>
        <v/>
      </c>
    </row>
    <row r="538" spans="1:14" ht="15.75" customHeight="1" x14ac:dyDescent="0.25">
      <c r="A538" s="11"/>
      <c r="B538" s="11"/>
      <c r="C538" s="11"/>
      <c r="D538" s="11"/>
      <c r="E538" s="11"/>
      <c r="F538" s="17" t="str">
        <f>IF(E538=0,"",IFERROR(E538*Config!B18,0))</f>
        <v/>
      </c>
      <c r="G538" s="13" t="str">
        <f t="shared" si="40"/>
        <v/>
      </c>
      <c r="H538" s="11"/>
      <c r="I538" s="11"/>
      <c r="J538" s="16" t="str">
        <f t="shared" si="41"/>
        <v/>
      </c>
      <c r="K538" s="18" t="str">
        <f>IF(A538="","",IFERROR(SUMIF(Transactions!A$4:A$1003,A538,Transactions!F$4:F$1003),0))</f>
        <v/>
      </c>
      <c r="L538" s="15" t="str">
        <f t="shared" si="42"/>
        <v/>
      </c>
      <c r="M538" s="12" t="str">
        <f t="shared" ca="1" si="43"/>
        <v/>
      </c>
      <c r="N538" s="19" t="str">
        <f t="shared" ca="1" si="44"/>
        <v/>
      </c>
    </row>
    <row r="539" spans="1:14" ht="15.75" customHeight="1" x14ac:dyDescent="0.25">
      <c r="A539" s="11"/>
      <c r="B539" s="11"/>
      <c r="C539" s="11"/>
      <c r="D539" s="11"/>
      <c r="E539" s="11"/>
      <c r="F539" s="17" t="str">
        <f>IF(E539=0,"",IFERROR(E539*Config!B18,0))</f>
        <v/>
      </c>
      <c r="G539" s="13" t="str">
        <f t="shared" si="40"/>
        <v/>
      </c>
      <c r="H539" s="11"/>
      <c r="I539" s="11"/>
      <c r="J539" s="16" t="str">
        <f t="shared" si="41"/>
        <v/>
      </c>
      <c r="K539" s="18" t="str">
        <f>IF(A539="","",IFERROR(SUMIF(Transactions!A$4:A$1003,A539,Transactions!F$4:F$1003),0))</f>
        <v/>
      </c>
      <c r="L539" s="15" t="str">
        <f t="shared" si="42"/>
        <v/>
      </c>
      <c r="M539" s="12" t="str">
        <f t="shared" ca="1" si="43"/>
        <v/>
      </c>
      <c r="N539" s="19" t="str">
        <f t="shared" ca="1" si="44"/>
        <v/>
      </c>
    </row>
    <row r="540" spans="1:14" ht="15.75" customHeight="1" x14ac:dyDescent="0.25">
      <c r="A540" s="11"/>
      <c r="B540" s="11"/>
      <c r="C540" s="11"/>
      <c r="D540" s="11"/>
      <c r="E540" s="11"/>
      <c r="F540" s="17" t="str">
        <f>IF(E540=0,"",IFERROR(E540*Config!B18,0))</f>
        <v/>
      </c>
      <c r="G540" s="13" t="str">
        <f t="shared" si="40"/>
        <v/>
      </c>
      <c r="H540" s="11"/>
      <c r="I540" s="11"/>
      <c r="J540" s="16" t="str">
        <f t="shared" si="41"/>
        <v/>
      </c>
      <c r="K540" s="18" t="str">
        <f>IF(A540="","",IFERROR(SUMIF(Transactions!A$4:A$1003,A540,Transactions!F$4:F$1003),0))</f>
        <v/>
      </c>
      <c r="L540" s="15" t="str">
        <f t="shared" si="42"/>
        <v/>
      </c>
      <c r="M540" s="12" t="str">
        <f t="shared" ca="1" si="43"/>
        <v/>
      </c>
      <c r="N540" s="19" t="str">
        <f t="shared" ca="1" si="44"/>
        <v/>
      </c>
    </row>
    <row r="541" spans="1:14" ht="15.75" customHeight="1" x14ac:dyDescent="0.25">
      <c r="A541" s="11"/>
      <c r="B541" s="11"/>
      <c r="C541" s="11"/>
      <c r="D541" s="11"/>
      <c r="E541" s="11"/>
      <c r="F541" s="17" t="str">
        <f>IF(E541=0,"",IFERROR(E541*Config!B18,0))</f>
        <v/>
      </c>
      <c r="G541" s="13" t="str">
        <f t="shared" si="40"/>
        <v/>
      </c>
      <c r="H541" s="11"/>
      <c r="I541" s="11"/>
      <c r="J541" s="16" t="str">
        <f t="shared" si="41"/>
        <v/>
      </c>
      <c r="K541" s="18" t="str">
        <f>IF(A541="","",IFERROR(SUMIF(Transactions!A$4:A$1003,A541,Transactions!F$4:F$1003),0))</f>
        <v/>
      </c>
      <c r="L541" s="15" t="str">
        <f t="shared" si="42"/>
        <v/>
      </c>
      <c r="M541" s="12" t="str">
        <f t="shared" ca="1" si="43"/>
        <v/>
      </c>
      <c r="N541" s="19" t="str">
        <f t="shared" ca="1" si="44"/>
        <v/>
      </c>
    </row>
    <row r="542" spans="1:14" ht="15.75" customHeight="1" x14ac:dyDescent="0.25">
      <c r="A542" s="11"/>
      <c r="B542" s="11"/>
      <c r="C542" s="11"/>
      <c r="D542" s="11"/>
      <c r="E542" s="11"/>
      <c r="F542" s="17" t="str">
        <f>IF(E542=0,"",IFERROR(E542*Config!B18,0))</f>
        <v/>
      </c>
      <c r="G542" s="13" t="str">
        <f t="shared" si="40"/>
        <v/>
      </c>
      <c r="H542" s="11"/>
      <c r="I542" s="11"/>
      <c r="J542" s="16" t="str">
        <f t="shared" si="41"/>
        <v/>
      </c>
      <c r="K542" s="18" t="str">
        <f>IF(A542="","",IFERROR(SUMIF(Transactions!A$4:A$1003,A542,Transactions!F$4:F$1003),0))</f>
        <v/>
      </c>
      <c r="L542" s="15" t="str">
        <f t="shared" si="42"/>
        <v/>
      </c>
      <c r="M542" s="12" t="str">
        <f t="shared" ca="1" si="43"/>
        <v/>
      </c>
      <c r="N542" s="19" t="str">
        <f t="shared" ca="1" si="44"/>
        <v/>
      </c>
    </row>
    <row r="543" spans="1:14" ht="15.75" customHeight="1" x14ac:dyDescent="0.25">
      <c r="A543" s="11"/>
      <c r="B543" s="11"/>
      <c r="C543" s="11"/>
      <c r="D543" s="11"/>
      <c r="E543" s="11"/>
      <c r="F543" s="17" t="str">
        <f>IF(E543=0,"",IFERROR(E543*Config!B18,0))</f>
        <v/>
      </c>
      <c r="G543" s="13" t="str">
        <f t="shared" si="40"/>
        <v/>
      </c>
      <c r="H543" s="11"/>
      <c r="I543" s="11"/>
      <c r="J543" s="16" t="str">
        <f t="shared" si="41"/>
        <v/>
      </c>
      <c r="K543" s="18" t="str">
        <f>IF(A543="","",IFERROR(SUMIF(Transactions!A$4:A$1003,A543,Transactions!F$4:F$1003),0))</f>
        <v/>
      </c>
      <c r="L543" s="15" t="str">
        <f t="shared" si="42"/>
        <v/>
      </c>
      <c r="M543" s="12" t="str">
        <f t="shared" ca="1" si="43"/>
        <v/>
      </c>
      <c r="N543" s="19" t="str">
        <f t="shared" ca="1" si="44"/>
        <v/>
      </c>
    </row>
    <row r="544" spans="1:14" ht="15.75" customHeight="1" x14ac:dyDescent="0.25">
      <c r="A544" s="11"/>
      <c r="B544" s="11"/>
      <c r="C544" s="11"/>
      <c r="D544" s="11"/>
      <c r="E544" s="11"/>
      <c r="F544" s="17" t="str">
        <f>IF(E544=0,"",IFERROR(E544*Config!B18,0))</f>
        <v/>
      </c>
      <c r="G544" s="13" t="str">
        <f t="shared" si="40"/>
        <v/>
      </c>
      <c r="H544" s="11"/>
      <c r="I544" s="11"/>
      <c r="J544" s="16" t="str">
        <f t="shared" si="41"/>
        <v/>
      </c>
      <c r="K544" s="18" t="str">
        <f>IF(A544="","",IFERROR(SUMIF(Transactions!A$4:A$1003,A544,Transactions!F$4:F$1003),0))</f>
        <v/>
      </c>
      <c r="L544" s="15" t="str">
        <f t="shared" si="42"/>
        <v/>
      </c>
      <c r="M544" s="12" t="str">
        <f t="shared" ca="1" si="43"/>
        <v/>
      </c>
      <c r="N544" s="19" t="str">
        <f t="shared" ca="1" si="44"/>
        <v/>
      </c>
    </row>
    <row r="545" spans="1:14" ht="15.75" customHeight="1" x14ac:dyDescent="0.25">
      <c r="A545" s="11"/>
      <c r="B545" s="11"/>
      <c r="C545" s="11"/>
      <c r="D545" s="11"/>
      <c r="E545" s="11"/>
      <c r="F545" s="17" t="str">
        <f>IF(E545=0,"",IFERROR(E545*Config!B18,0))</f>
        <v/>
      </c>
      <c r="G545" s="13" t="str">
        <f t="shared" si="40"/>
        <v/>
      </c>
      <c r="H545" s="11"/>
      <c r="I545" s="11"/>
      <c r="J545" s="16" t="str">
        <f t="shared" si="41"/>
        <v/>
      </c>
      <c r="K545" s="18" t="str">
        <f>IF(A545="","",IFERROR(SUMIF(Transactions!A$4:A$1003,A545,Transactions!F$4:F$1003),0))</f>
        <v/>
      </c>
      <c r="L545" s="15" t="str">
        <f t="shared" si="42"/>
        <v/>
      </c>
      <c r="M545" s="12" t="str">
        <f t="shared" ca="1" si="43"/>
        <v/>
      </c>
      <c r="N545" s="19" t="str">
        <f t="shared" ca="1" si="44"/>
        <v/>
      </c>
    </row>
    <row r="546" spans="1:14" ht="15.75" customHeight="1" x14ac:dyDescent="0.25">
      <c r="A546" s="11"/>
      <c r="B546" s="11"/>
      <c r="C546" s="11"/>
      <c r="D546" s="11"/>
      <c r="E546" s="11"/>
      <c r="F546" s="17" t="str">
        <f>IF(E546=0,"",IFERROR(E546*Config!B18,0))</f>
        <v/>
      </c>
      <c r="G546" s="13" t="str">
        <f t="shared" si="40"/>
        <v/>
      </c>
      <c r="H546" s="11"/>
      <c r="I546" s="11"/>
      <c r="J546" s="16" t="str">
        <f t="shared" si="41"/>
        <v/>
      </c>
      <c r="K546" s="18" t="str">
        <f>IF(A546="","",IFERROR(SUMIF(Transactions!A$4:A$1003,A546,Transactions!F$4:F$1003),0))</f>
        <v/>
      </c>
      <c r="L546" s="15" t="str">
        <f t="shared" si="42"/>
        <v/>
      </c>
      <c r="M546" s="12" t="str">
        <f t="shared" ca="1" si="43"/>
        <v/>
      </c>
      <c r="N546" s="19" t="str">
        <f t="shared" ca="1" si="44"/>
        <v/>
      </c>
    </row>
    <row r="547" spans="1:14" ht="15.75" customHeight="1" x14ac:dyDescent="0.25">
      <c r="A547" s="11"/>
      <c r="B547" s="11"/>
      <c r="C547" s="11"/>
      <c r="D547" s="11"/>
      <c r="E547" s="11"/>
      <c r="F547" s="17" t="str">
        <f>IF(E547=0,"",IFERROR(E547*Config!B18,0))</f>
        <v/>
      </c>
      <c r="G547" s="13" t="str">
        <f t="shared" si="40"/>
        <v/>
      </c>
      <c r="H547" s="11"/>
      <c r="I547" s="11"/>
      <c r="J547" s="16" t="str">
        <f t="shared" si="41"/>
        <v/>
      </c>
      <c r="K547" s="18" t="str">
        <f>IF(A547="","",IFERROR(SUMIF(Transactions!A$4:A$1003,A547,Transactions!F$4:F$1003),0))</f>
        <v/>
      </c>
      <c r="L547" s="15" t="str">
        <f t="shared" si="42"/>
        <v/>
      </c>
      <c r="M547" s="12" t="str">
        <f t="shared" ca="1" si="43"/>
        <v/>
      </c>
      <c r="N547" s="19" t="str">
        <f t="shared" ca="1" si="44"/>
        <v/>
      </c>
    </row>
    <row r="548" spans="1:14" ht="15.75" customHeight="1" x14ac:dyDescent="0.25">
      <c r="A548" s="11"/>
      <c r="B548" s="11"/>
      <c r="C548" s="11"/>
      <c r="D548" s="11"/>
      <c r="E548" s="11"/>
      <c r="F548" s="17" t="str">
        <f>IF(E548=0,"",IFERROR(E548*Config!B18,0))</f>
        <v/>
      </c>
      <c r="G548" s="13" t="str">
        <f t="shared" si="40"/>
        <v/>
      </c>
      <c r="H548" s="11"/>
      <c r="I548" s="11"/>
      <c r="J548" s="16" t="str">
        <f t="shared" si="41"/>
        <v/>
      </c>
      <c r="K548" s="18" t="str">
        <f>IF(A548="","",IFERROR(SUMIF(Transactions!A$4:A$1003,A548,Transactions!F$4:F$1003),0))</f>
        <v/>
      </c>
      <c r="L548" s="15" t="str">
        <f t="shared" si="42"/>
        <v/>
      </c>
      <c r="M548" s="12" t="str">
        <f t="shared" ca="1" si="43"/>
        <v/>
      </c>
      <c r="N548" s="19" t="str">
        <f t="shared" ca="1" si="44"/>
        <v/>
      </c>
    </row>
    <row r="549" spans="1:14" ht="15.75" customHeight="1" x14ac:dyDescent="0.25">
      <c r="A549" s="11"/>
      <c r="B549" s="11"/>
      <c r="C549" s="11"/>
      <c r="D549" s="11"/>
      <c r="E549" s="11"/>
      <c r="F549" s="17" t="str">
        <f>IF(E549=0,"",IFERROR(E549*Config!B18,0))</f>
        <v/>
      </c>
      <c r="G549" s="13" t="str">
        <f t="shared" si="40"/>
        <v/>
      </c>
      <c r="H549" s="11"/>
      <c r="I549" s="11"/>
      <c r="J549" s="16" t="str">
        <f t="shared" si="41"/>
        <v/>
      </c>
      <c r="K549" s="18" t="str">
        <f>IF(A549="","",IFERROR(SUMIF(Transactions!A$4:A$1003,A549,Transactions!F$4:F$1003),0))</f>
        <v/>
      </c>
      <c r="L549" s="15" t="str">
        <f t="shared" si="42"/>
        <v/>
      </c>
      <c r="M549" s="12" t="str">
        <f t="shared" ca="1" si="43"/>
        <v/>
      </c>
      <c r="N549" s="19" t="str">
        <f t="shared" ca="1" si="44"/>
        <v/>
      </c>
    </row>
    <row r="550" spans="1:14" ht="15.75" customHeight="1" x14ac:dyDescent="0.25">
      <c r="A550" s="11"/>
      <c r="B550" s="11"/>
      <c r="C550" s="11"/>
      <c r="D550" s="11"/>
      <c r="E550" s="11"/>
      <c r="F550" s="17" t="str">
        <f>IF(E550=0,"",IFERROR(E550*Config!B18,0))</f>
        <v/>
      </c>
      <c r="G550" s="13" t="str">
        <f t="shared" si="40"/>
        <v/>
      </c>
      <c r="H550" s="11"/>
      <c r="I550" s="11"/>
      <c r="J550" s="16" t="str">
        <f t="shared" si="41"/>
        <v/>
      </c>
      <c r="K550" s="18" t="str">
        <f>IF(A550="","",IFERROR(SUMIF(Transactions!A$4:A$1003,A550,Transactions!F$4:F$1003),0))</f>
        <v/>
      </c>
      <c r="L550" s="15" t="str">
        <f t="shared" si="42"/>
        <v/>
      </c>
      <c r="M550" s="12" t="str">
        <f t="shared" ca="1" si="43"/>
        <v/>
      </c>
      <c r="N550" s="19" t="str">
        <f t="shared" ca="1" si="44"/>
        <v/>
      </c>
    </row>
    <row r="551" spans="1:14" ht="15.75" customHeight="1" x14ac:dyDescent="0.25">
      <c r="A551" s="11"/>
      <c r="B551" s="11"/>
      <c r="C551" s="11"/>
      <c r="D551" s="11"/>
      <c r="E551" s="11"/>
      <c r="F551" s="17" t="str">
        <f>IF(E551=0,"",IFERROR(E551*Config!B18,0))</f>
        <v/>
      </c>
      <c r="G551" s="13" t="str">
        <f t="shared" si="40"/>
        <v/>
      </c>
      <c r="H551" s="11"/>
      <c r="I551" s="11"/>
      <c r="J551" s="16" t="str">
        <f t="shared" si="41"/>
        <v/>
      </c>
      <c r="K551" s="18" t="str">
        <f>IF(A551="","",IFERROR(SUMIF(Transactions!A$4:A$1003,A551,Transactions!F$4:F$1003),0))</f>
        <v/>
      </c>
      <c r="L551" s="15" t="str">
        <f t="shared" si="42"/>
        <v/>
      </c>
      <c r="M551" s="12" t="str">
        <f t="shared" ca="1" si="43"/>
        <v/>
      </c>
      <c r="N551" s="19" t="str">
        <f t="shared" ca="1" si="44"/>
        <v/>
      </c>
    </row>
    <row r="552" spans="1:14" ht="15.75" customHeight="1" x14ac:dyDescent="0.25">
      <c r="A552" s="11"/>
      <c r="B552" s="11"/>
      <c r="C552" s="11"/>
      <c r="D552" s="11"/>
      <c r="E552" s="11"/>
      <c r="F552" s="17" t="str">
        <f>IF(E552=0,"",IFERROR(E552*Config!B18,0))</f>
        <v/>
      </c>
      <c r="G552" s="13" t="str">
        <f t="shared" si="40"/>
        <v/>
      </c>
      <c r="H552" s="11"/>
      <c r="I552" s="11"/>
      <c r="J552" s="16" t="str">
        <f t="shared" si="41"/>
        <v/>
      </c>
      <c r="K552" s="18" t="str">
        <f>IF(A552="","",IFERROR(SUMIF(Transactions!A$4:A$1003,A552,Transactions!F$4:F$1003),0))</f>
        <v/>
      </c>
      <c r="L552" s="15" t="str">
        <f t="shared" si="42"/>
        <v/>
      </c>
      <c r="M552" s="12" t="str">
        <f t="shared" ca="1" si="43"/>
        <v/>
      </c>
      <c r="N552" s="19" t="str">
        <f t="shared" ca="1" si="44"/>
        <v/>
      </c>
    </row>
    <row r="553" spans="1:14" ht="15.75" customHeight="1" x14ac:dyDescent="0.25">
      <c r="A553" s="11"/>
      <c r="B553" s="11"/>
      <c r="C553" s="11"/>
      <c r="D553" s="11"/>
      <c r="E553" s="11"/>
      <c r="F553" s="17" t="str">
        <f>IF(E553=0,"",IFERROR(E553*Config!B18,0))</f>
        <v/>
      </c>
      <c r="G553" s="13" t="str">
        <f t="shared" si="40"/>
        <v/>
      </c>
      <c r="H553" s="11"/>
      <c r="I553" s="11"/>
      <c r="J553" s="16" t="str">
        <f t="shared" si="41"/>
        <v/>
      </c>
      <c r="K553" s="18" t="str">
        <f>IF(A553="","",IFERROR(SUMIF(Transactions!A$4:A$1003,A553,Transactions!F$4:F$1003),0))</f>
        <v/>
      </c>
      <c r="L553" s="15" t="str">
        <f t="shared" si="42"/>
        <v/>
      </c>
      <c r="M553" s="12" t="str">
        <f t="shared" ca="1" si="43"/>
        <v/>
      </c>
      <c r="N553" s="19" t="str">
        <f t="shared" ca="1" si="44"/>
        <v/>
      </c>
    </row>
    <row r="554" spans="1:14" ht="15.75" customHeight="1" x14ac:dyDescent="0.25">
      <c r="A554" s="11"/>
      <c r="B554" s="11"/>
      <c r="C554" s="11"/>
      <c r="D554" s="11"/>
      <c r="E554" s="11"/>
      <c r="F554" s="17" t="str">
        <f>IF(E554=0,"",IFERROR(E554*Config!B18,0))</f>
        <v/>
      </c>
      <c r="G554" s="13" t="str">
        <f t="shared" si="40"/>
        <v/>
      </c>
      <c r="H554" s="11"/>
      <c r="I554" s="11"/>
      <c r="J554" s="16" t="str">
        <f t="shared" si="41"/>
        <v/>
      </c>
      <c r="K554" s="18" t="str">
        <f>IF(A554="","",IFERROR(SUMIF(Transactions!A$4:A$1003,A554,Transactions!F$4:F$1003),0))</f>
        <v/>
      </c>
      <c r="L554" s="15" t="str">
        <f t="shared" si="42"/>
        <v/>
      </c>
      <c r="M554" s="12" t="str">
        <f t="shared" ca="1" si="43"/>
        <v/>
      </c>
      <c r="N554" s="19" t="str">
        <f t="shared" ca="1" si="44"/>
        <v/>
      </c>
    </row>
    <row r="555" spans="1:14" ht="15.75" customHeight="1" x14ac:dyDescent="0.25">
      <c r="A555" s="11"/>
      <c r="B555" s="11"/>
      <c r="C555" s="11"/>
      <c r="D555" s="11"/>
      <c r="E555" s="11"/>
      <c r="F555" s="17" t="str">
        <f>IF(E555=0,"",IFERROR(E555*Config!B18,0))</f>
        <v/>
      </c>
      <c r="G555" s="13" t="str">
        <f t="shared" si="40"/>
        <v/>
      </c>
      <c r="H555" s="11"/>
      <c r="I555" s="11"/>
      <c r="J555" s="16" t="str">
        <f t="shared" si="41"/>
        <v/>
      </c>
      <c r="K555" s="18" t="str">
        <f>IF(A555="","",IFERROR(SUMIF(Transactions!A$4:A$1003,A555,Transactions!F$4:F$1003),0))</f>
        <v/>
      </c>
      <c r="L555" s="15" t="str">
        <f t="shared" si="42"/>
        <v/>
      </c>
      <c r="M555" s="12" t="str">
        <f t="shared" ca="1" si="43"/>
        <v/>
      </c>
      <c r="N555" s="19" t="str">
        <f t="shared" ca="1" si="44"/>
        <v/>
      </c>
    </row>
    <row r="556" spans="1:14" ht="15.75" customHeight="1" x14ac:dyDescent="0.25">
      <c r="A556" s="11"/>
      <c r="B556" s="11"/>
      <c r="C556" s="11"/>
      <c r="D556" s="11"/>
      <c r="E556" s="11"/>
      <c r="F556" s="17" t="str">
        <f>IF(E556=0,"",IFERROR(E556*Config!B18,0))</f>
        <v/>
      </c>
      <c r="G556" s="13" t="str">
        <f t="shared" si="40"/>
        <v/>
      </c>
      <c r="H556" s="11"/>
      <c r="I556" s="11"/>
      <c r="J556" s="16" t="str">
        <f t="shared" si="41"/>
        <v/>
      </c>
      <c r="K556" s="18" t="str">
        <f>IF(A556="","",IFERROR(SUMIF(Transactions!A$4:A$1003,A556,Transactions!F$4:F$1003),0))</f>
        <v/>
      </c>
      <c r="L556" s="15" t="str">
        <f t="shared" si="42"/>
        <v/>
      </c>
      <c r="M556" s="12" t="str">
        <f t="shared" ca="1" si="43"/>
        <v/>
      </c>
      <c r="N556" s="19" t="str">
        <f t="shared" ca="1" si="44"/>
        <v/>
      </c>
    </row>
    <row r="557" spans="1:14" ht="15.75" customHeight="1" x14ac:dyDescent="0.25">
      <c r="A557" s="11"/>
      <c r="B557" s="11"/>
      <c r="C557" s="11"/>
      <c r="D557" s="11"/>
      <c r="E557" s="11"/>
      <c r="F557" s="17" t="str">
        <f>IF(E557=0,"",IFERROR(E557*Config!B18,0))</f>
        <v/>
      </c>
      <c r="G557" s="13" t="str">
        <f t="shared" si="40"/>
        <v/>
      </c>
      <c r="H557" s="11"/>
      <c r="I557" s="11"/>
      <c r="J557" s="16" t="str">
        <f t="shared" si="41"/>
        <v/>
      </c>
      <c r="K557" s="18" t="str">
        <f>IF(A557="","",IFERROR(SUMIF(Transactions!A$4:A$1003,A557,Transactions!F$4:F$1003),0))</f>
        <v/>
      </c>
      <c r="L557" s="15" t="str">
        <f t="shared" si="42"/>
        <v/>
      </c>
      <c r="M557" s="12" t="str">
        <f t="shared" ca="1" si="43"/>
        <v/>
      </c>
      <c r="N557" s="19" t="str">
        <f t="shared" ca="1" si="44"/>
        <v/>
      </c>
    </row>
    <row r="558" spans="1:14" ht="15.75" customHeight="1" x14ac:dyDescent="0.25">
      <c r="A558" s="11"/>
      <c r="B558" s="11"/>
      <c r="C558" s="11"/>
      <c r="D558" s="11"/>
      <c r="E558" s="11"/>
      <c r="F558" s="17" t="str">
        <f>IF(E558=0,"",IFERROR(E558*Config!B18,0))</f>
        <v/>
      </c>
      <c r="G558" s="13" t="str">
        <f t="shared" si="40"/>
        <v/>
      </c>
      <c r="H558" s="11"/>
      <c r="I558" s="11"/>
      <c r="J558" s="16" t="str">
        <f t="shared" si="41"/>
        <v/>
      </c>
      <c r="K558" s="18" t="str">
        <f>IF(A558="","",IFERROR(SUMIF(Transactions!A$4:A$1003,A558,Transactions!F$4:F$1003),0))</f>
        <v/>
      </c>
      <c r="L558" s="15" t="str">
        <f t="shared" si="42"/>
        <v/>
      </c>
      <c r="M558" s="12" t="str">
        <f t="shared" ca="1" si="43"/>
        <v/>
      </c>
      <c r="N558" s="19" t="str">
        <f t="shared" ca="1" si="44"/>
        <v/>
      </c>
    </row>
    <row r="559" spans="1:14" ht="15.75" customHeight="1" x14ac:dyDescent="0.25">
      <c r="A559" s="11"/>
      <c r="B559" s="11"/>
      <c r="C559" s="11"/>
      <c r="D559" s="11"/>
      <c r="E559" s="11"/>
      <c r="F559" s="17" t="str">
        <f>IF(E559=0,"",IFERROR(E559*Config!B18,0))</f>
        <v/>
      </c>
      <c r="G559" s="13" t="str">
        <f t="shared" si="40"/>
        <v/>
      </c>
      <c r="H559" s="11"/>
      <c r="I559" s="11"/>
      <c r="J559" s="16" t="str">
        <f t="shared" si="41"/>
        <v/>
      </c>
      <c r="K559" s="18" t="str">
        <f>IF(A559="","",IFERROR(SUMIF(Transactions!A$4:A$1003,A559,Transactions!F$4:F$1003),0))</f>
        <v/>
      </c>
      <c r="L559" s="15" t="str">
        <f t="shared" si="42"/>
        <v/>
      </c>
      <c r="M559" s="12" t="str">
        <f t="shared" ca="1" si="43"/>
        <v/>
      </c>
      <c r="N559" s="19" t="str">
        <f t="shared" ca="1" si="44"/>
        <v/>
      </c>
    </row>
    <row r="560" spans="1:14" ht="15.75" customHeight="1" x14ac:dyDescent="0.25">
      <c r="A560" s="11"/>
      <c r="B560" s="11"/>
      <c r="C560" s="11"/>
      <c r="D560" s="11"/>
      <c r="E560" s="11"/>
      <c r="F560" s="17" t="str">
        <f>IF(E560=0,"",IFERROR(E560*Config!B18,0))</f>
        <v/>
      </c>
      <c r="G560" s="13" t="str">
        <f t="shared" si="40"/>
        <v/>
      </c>
      <c r="H560" s="11"/>
      <c r="I560" s="11"/>
      <c r="J560" s="16" t="str">
        <f t="shared" si="41"/>
        <v/>
      </c>
      <c r="K560" s="18" t="str">
        <f>IF(A560="","",IFERROR(SUMIF(Transactions!A$4:A$1003,A560,Transactions!F$4:F$1003),0))</f>
        <v/>
      </c>
      <c r="L560" s="15" t="str">
        <f t="shared" si="42"/>
        <v/>
      </c>
      <c r="M560" s="12" t="str">
        <f t="shared" ca="1" si="43"/>
        <v/>
      </c>
      <c r="N560" s="19" t="str">
        <f t="shared" ca="1" si="44"/>
        <v/>
      </c>
    </row>
    <row r="561" spans="1:14" ht="15.75" customHeight="1" x14ac:dyDescent="0.25">
      <c r="A561" s="11"/>
      <c r="B561" s="11"/>
      <c r="C561" s="11"/>
      <c r="D561" s="11"/>
      <c r="E561" s="11"/>
      <c r="F561" s="17" t="str">
        <f>IF(E561=0,"",IFERROR(E561*Config!B18,0))</f>
        <v/>
      </c>
      <c r="G561" s="13" t="str">
        <f t="shared" si="40"/>
        <v/>
      </c>
      <c r="H561" s="11"/>
      <c r="I561" s="11"/>
      <c r="J561" s="16" t="str">
        <f t="shared" si="41"/>
        <v/>
      </c>
      <c r="K561" s="18" t="str">
        <f>IF(A561="","",IFERROR(SUMIF(Transactions!A$4:A$1003,A561,Transactions!F$4:F$1003),0))</f>
        <v/>
      </c>
      <c r="L561" s="15" t="str">
        <f t="shared" si="42"/>
        <v/>
      </c>
      <c r="M561" s="12" t="str">
        <f t="shared" ca="1" si="43"/>
        <v/>
      </c>
      <c r="N561" s="19" t="str">
        <f t="shared" ca="1" si="44"/>
        <v/>
      </c>
    </row>
    <row r="562" spans="1:14" ht="15.75" customHeight="1" x14ac:dyDescent="0.25">
      <c r="A562" s="11"/>
      <c r="B562" s="11"/>
      <c r="C562" s="11"/>
      <c r="D562" s="11"/>
      <c r="E562" s="11"/>
      <c r="F562" s="17" t="str">
        <f>IF(E562=0,"",IFERROR(E562*Config!B18,0))</f>
        <v/>
      </c>
      <c r="G562" s="13" t="str">
        <f t="shared" si="40"/>
        <v/>
      </c>
      <c r="H562" s="11"/>
      <c r="I562" s="11"/>
      <c r="J562" s="16" t="str">
        <f t="shared" si="41"/>
        <v/>
      </c>
      <c r="K562" s="18" t="str">
        <f>IF(A562="","",IFERROR(SUMIF(Transactions!A$4:A$1003,A562,Transactions!F$4:F$1003),0))</f>
        <v/>
      </c>
      <c r="L562" s="15" t="str">
        <f t="shared" si="42"/>
        <v/>
      </c>
      <c r="M562" s="12" t="str">
        <f t="shared" ca="1" si="43"/>
        <v/>
      </c>
      <c r="N562" s="19" t="str">
        <f t="shared" ca="1" si="44"/>
        <v/>
      </c>
    </row>
    <row r="563" spans="1:14" ht="15.75" customHeight="1" x14ac:dyDescent="0.25">
      <c r="A563" s="11"/>
      <c r="B563" s="11"/>
      <c r="C563" s="11"/>
      <c r="D563" s="11"/>
      <c r="E563" s="11"/>
      <c r="F563" s="17" t="str">
        <f>IF(E563=0,"",IFERROR(E563*Config!B18,0))</f>
        <v/>
      </c>
      <c r="G563" s="13" t="str">
        <f t="shared" si="40"/>
        <v/>
      </c>
      <c r="H563" s="11"/>
      <c r="I563" s="11"/>
      <c r="J563" s="16" t="str">
        <f t="shared" si="41"/>
        <v/>
      </c>
      <c r="K563" s="18" t="str">
        <f>IF(A563="","",IFERROR(SUMIF(Transactions!A$4:A$1003,A563,Transactions!F$4:F$1003),0))</f>
        <v/>
      </c>
      <c r="L563" s="15" t="str">
        <f t="shared" si="42"/>
        <v/>
      </c>
      <c r="M563" s="12" t="str">
        <f t="shared" ca="1" si="43"/>
        <v/>
      </c>
      <c r="N563" s="19" t="str">
        <f t="shared" ca="1" si="44"/>
        <v/>
      </c>
    </row>
    <row r="564" spans="1:14" ht="15.75" customHeight="1" x14ac:dyDescent="0.25">
      <c r="A564" s="11"/>
      <c r="B564" s="11"/>
      <c r="C564" s="11"/>
      <c r="D564" s="11"/>
      <c r="E564" s="11"/>
      <c r="F564" s="17" t="str">
        <f>IF(E564=0,"",IFERROR(E564*Config!B18,0))</f>
        <v/>
      </c>
      <c r="G564" s="13" t="str">
        <f t="shared" si="40"/>
        <v/>
      </c>
      <c r="H564" s="11"/>
      <c r="I564" s="11"/>
      <c r="J564" s="16" t="str">
        <f t="shared" si="41"/>
        <v/>
      </c>
      <c r="K564" s="18" t="str">
        <f>IF(A564="","",IFERROR(SUMIF(Transactions!A$4:A$1003,A564,Transactions!F$4:F$1003),0))</f>
        <v/>
      </c>
      <c r="L564" s="15" t="str">
        <f t="shared" si="42"/>
        <v/>
      </c>
      <c r="M564" s="12" t="str">
        <f t="shared" ca="1" si="43"/>
        <v/>
      </c>
      <c r="N564" s="19" t="str">
        <f t="shared" ca="1" si="44"/>
        <v/>
      </c>
    </row>
    <row r="565" spans="1:14" ht="15.75" customHeight="1" x14ac:dyDescent="0.25">
      <c r="A565" s="11"/>
      <c r="B565" s="11"/>
      <c r="C565" s="11"/>
      <c r="D565" s="11"/>
      <c r="E565" s="11"/>
      <c r="F565" s="17" t="str">
        <f>IF(E565=0,"",IFERROR(E565*Config!B18,0))</f>
        <v/>
      </c>
      <c r="G565" s="13" t="str">
        <f t="shared" si="40"/>
        <v/>
      </c>
      <c r="H565" s="11"/>
      <c r="I565" s="11"/>
      <c r="J565" s="16" t="str">
        <f t="shared" si="41"/>
        <v/>
      </c>
      <c r="K565" s="18" t="str">
        <f>IF(A565="","",IFERROR(SUMIF(Transactions!A$4:A$1003,A565,Transactions!F$4:F$1003),0))</f>
        <v/>
      </c>
      <c r="L565" s="15" t="str">
        <f t="shared" si="42"/>
        <v/>
      </c>
      <c r="M565" s="12" t="str">
        <f t="shared" ca="1" si="43"/>
        <v/>
      </c>
      <c r="N565" s="19" t="str">
        <f t="shared" ca="1" si="44"/>
        <v/>
      </c>
    </row>
    <row r="566" spans="1:14" ht="15.75" customHeight="1" x14ac:dyDescent="0.25">
      <c r="A566" s="11"/>
      <c r="B566" s="11"/>
      <c r="C566" s="11"/>
      <c r="D566" s="11"/>
      <c r="E566" s="11"/>
      <c r="F566" s="17" t="str">
        <f>IF(E566=0,"",IFERROR(E566*Config!B18,0))</f>
        <v/>
      </c>
      <c r="G566" s="13" t="str">
        <f t="shared" si="40"/>
        <v/>
      </c>
      <c r="H566" s="11"/>
      <c r="I566" s="11"/>
      <c r="J566" s="16" t="str">
        <f t="shared" si="41"/>
        <v/>
      </c>
      <c r="K566" s="18" t="str">
        <f>IF(A566="","",IFERROR(SUMIF(Transactions!A$4:A$1003,A566,Transactions!F$4:F$1003),0))</f>
        <v/>
      </c>
      <c r="L566" s="15" t="str">
        <f t="shared" si="42"/>
        <v/>
      </c>
      <c r="M566" s="12" t="str">
        <f t="shared" ca="1" si="43"/>
        <v/>
      </c>
      <c r="N566" s="19" t="str">
        <f t="shared" ca="1" si="44"/>
        <v/>
      </c>
    </row>
    <row r="567" spans="1:14" ht="15.75" customHeight="1" x14ac:dyDescent="0.25">
      <c r="A567" s="11"/>
      <c r="B567" s="11"/>
      <c r="C567" s="11"/>
      <c r="D567" s="11"/>
      <c r="E567" s="11"/>
      <c r="F567" s="17" t="str">
        <f>IF(E567=0,"",IFERROR(E567*Config!B18,0))</f>
        <v/>
      </c>
      <c r="G567" s="13" t="str">
        <f t="shared" si="40"/>
        <v/>
      </c>
      <c r="H567" s="11"/>
      <c r="I567" s="11"/>
      <c r="J567" s="16" t="str">
        <f t="shared" si="41"/>
        <v/>
      </c>
      <c r="K567" s="18" t="str">
        <f>IF(A567="","",IFERROR(SUMIF(Transactions!A$4:A$1003,A567,Transactions!F$4:F$1003),0))</f>
        <v/>
      </c>
      <c r="L567" s="15" t="str">
        <f t="shared" si="42"/>
        <v/>
      </c>
      <c r="M567" s="12" t="str">
        <f t="shared" ca="1" si="43"/>
        <v/>
      </c>
      <c r="N567" s="19" t="str">
        <f t="shared" ca="1" si="44"/>
        <v/>
      </c>
    </row>
    <row r="568" spans="1:14" ht="15.75" customHeight="1" x14ac:dyDescent="0.25">
      <c r="A568" s="11"/>
      <c r="B568" s="11"/>
      <c r="C568" s="11"/>
      <c r="D568" s="11"/>
      <c r="E568" s="11"/>
      <c r="F568" s="17" t="str">
        <f>IF(E568=0,"",IFERROR(E568*Config!B18,0))</f>
        <v/>
      </c>
      <c r="G568" s="13" t="str">
        <f t="shared" si="40"/>
        <v/>
      </c>
      <c r="H568" s="11"/>
      <c r="I568" s="11"/>
      <c r="J568" s="16" t="str">
        <f t="shared" si="41"/>
        <v/>
      </c>
      <c r="K568" s="18" t="str">
        <f>IF(A568="","",IFERROR(SUMIF(Transactions!A$4:A$1003,A568,Transactions!F$4:F$1003),0))</f>
        <v/>
      </c>
      <c r="L568" s="15" t="str">
        <f t="shared" si="42"/>
        <v/>
      </c>
      <c r="M568" s="12" t="str">
        <f t="shared" ca="1" si="43"/>
        <v/>
      </c>
      <c r="N568" s="19" t="str">
        <f t="shared" ca="1" si="44"/>
        <v/>
      </c>
    </row>
    <row r="569" spans="1:14" ht="15.75" customHeight="1" x14ac:dyDescent="0.25">
      <c r="A569" s="11"/>
      <c r="B569" s="11"/>
      <c r="C569" s="11"/>
      <c r="D569" s="11"/>
      <c r="E569" s="11"/>
      <c r="F569" s="17" t="str">
        <f>IF(E569=0,"",IFERROR(E569*Config!B18,0))</f>
        <v/>
      </c>
      <c r="G569" s="13" t="str">
        <f t="shared" si="40"/>
        <v/>
      </c>
      <c r="H569" s="11"/>
      <c r="I569" s="11"/>
      <c r="J569" s="16" t="str">
        <f t="shared" si="41"/>
        <v/>
      </c>
      <c r="K569" s="18" t="str">
        <f>IF(A569="","",IFERROR(SUMIF(Transactions!A$4:A$1003,A569,Transactions!F$4:F$1003),0))</f>
        <v/>
      </c>
      <c r="L569" s="15" t="str">
        <f t="shared" si="42"/>
        <v/>
      </c>
      <c r="M569" s="12" t="str">
        <f t="shared" ca="1" si="43"/>
        <v/>
      </c>
      <c r="N569" s="19" t="str">
        <f t="shared" ca="1" si="44"/>
        <v/>
      </c>
    </row>
    <row r="570" spans="1:14" ht="15.75" customHeight="1" x14ac:dyDescent="0.25">
      <c r="A570" s="11"/>
      <c r="B570" s="11"/>
      <c r="C570" s="11"/>
      <c r="D570" s="11"/>
      <c r="E570" s="11"/>
      <c r="F570" s="17" t="str">
        <f>IF(E570=0,"",IFERROR(E570*Config!B18,0))</f>
        <v/>
      </c>
      <c r="G570" s="13" t="str">
        <f t="shared" si="40"/>
        <v/>
      </c>
      <c r="H570" s="11"/>
      <c r="I570" s="11"/>
      <c r="J570" s="16" t="str">
        <f t="shared" si="41"/>
        <v/>
      </c>
      <c r="K570" s="18" t="str">
        <f>IF(A570="","",IFERROR(SUMIF(Transactions!A$4:A$1003,A570,Transactions!F$4:F$1003),0))</f>
        <v/>
      </c>
      <c r="L570" s="15" t="str">
        <f t="shared" si="42"/>
        <v/>
      </c>
      <c r="M570" s="12" t="str">
        <f t="shared" ca="1" si="43"/>
        <v/>
      </c>
      <c r="N570" s="19" t="str">
        <f t="shared" ca="1" si="44"/>
        <v/>
      </c>
    </row>
    <row r="571" spans="1:14" ht="15.75" customHeight="1" x14ac:dyDescent="0.25">
      <c r="A571" s="11"/>
      <c r="B571" s="11"/>
      <c r="C571" s="11"/>
      <c r="D571" s="11"/>
      <c r="E571" s="11"/>
      <c r="F571" s="17" t="str">
        <f>IF(E571=0,"",IFERROR(E571*Config!B18,0))</f>
        <v/>
      </c>
      <c r="G571" s="13" t="str">
        <f t="shared" si="40"/>
        <v/>
      </c>
      <c r="H571" s="11"/>
      <c r="I571" s="11"/>
      <c r="J571" s="16" t="str">
        <f t="shared" si="41"/>
        <v/>
      </c>
      <c r="K571" s="18" t="str">
        <f>IF(A571="","",IFERROR(SUMIF(Transactions!A$4:A$1003,A571,Transactions!F$4:F$1003),0))</f>
        <v/>
      </c>
      <c r="L571" s="15" t="str">
        <f t="shared" si="42"/>
        <v/>
      </c>
      <c r="M571" s="12" t="str">
        <f t="shared" ca="1" si="43"/>
        <v/>
      </c>
      <c r="N571" s="19" t="str">
        <f t="shared" ca="1" si="44"/>
        <v/>
      </c>
    </row>
    <row r="572" spans="1:14" ht="15.75" customHeight="1" x14ac:dyDescent="0.25">
      <c r="A572" s="11"/>
      <c r="B572" s="11"/>
      <c r="C572" s="11"/>
      <c r="D572" s="11"/>
      <c r="E572" s="11"/>
      <c r="F572" s="17" t="str">
        <f>IF(E572=0,"",IFERROR(E572*Config!B18,0))</f>
        <v/>
      </c>
      <c r="G572" s="13" t="str">
        <f t="shared" si="40"/>
        <v/>
      </c>
      <c r="H572" s="11"/>
      <c r="I572" s="11"/>
      <c r="J572" s="16" t="str">
        <f t="shared" si="41"/>
        <v/>
      </c>
      <c r="K572" s="18" t="str">
        <f>IF(A572="","",IFERROR(SUMIF(Transactions!A$4:A$1003,A572,Transactions!F$4:F$1003),0))</f>
        <v/>
      </c>
      <c r="L572" s="15" t="str">
        <f t="shared" si="42"/>
        <v/>
      </c>
      <c r="M572" s="12" t="str">
        <f t="shared" ca="1" si="43"/>
        <v/>
      </c>
      <c r="N572" s="19" t="str">
        <f t="shared" ca="1" si="44"/>
        <v/>
      </c>
    </row>
    <row r="573" spans="1:14" ht="15.75" customHeight="1" x14ac:dyDescent="0.25">
      <c r="A573" s="11"/>
      <c r="B573" s="11"/>
      <c r="C573" s="11"/>
      <c r="D573" s="11"/>
      <c r="E573" s="11"/>
      <c r="F573" s="17" t="str">
        <f>IF(E573=0,"",IFERROR(E573*Config!B18,0))</f>
        <v/>
      </c>
      <c r="G573" s="13" t="str">
        <f t="shared" si="40"/>
        <v/>
      </c>
      <c r="H573" s="11"/>
      <c r="I573" s="11"/>
      <c r="J573" s="16" t="str">
        <f t="shared" si="41"/>
        <v/>
      </c>
      <c r="K573" s="18" t="str">
        <f>IF(A573="","",IFERROR(SUMIF(Transactions!A$4:A$1003,A573,Transactions!F$4:F$1003),0))</f>
        <v/>
      </c>
      <c r="L573" s="15" t="str">
        <f t="shared" si="42"/>
        <v/>
      </c>
      <c r="M573" s="12" t="str">
        <f t="shared" ca="1" si="43"/>
        <v/>
      </c>
      <c r="N573" s="19" t="str">
        <f t="shared" ca="1" si="44"/>
        <v/>
      </c>
    </row>
    <row r="574" spans="1:14" ht="15.75" customHeight="1" x14ac:dyDescent="0.25">
      <c r="A574" s="11"/>
      <c r="B574" s="11"/>
      <c r="C574" s="11"/>
      <c r="D574" s="11"/>
      <c r="E574" s="11"/>
      <c r="F574" s="17" t="str">
        <f>IF(E574=0,"",IFERROR(E574*Config!B18,0))</f>
        <v/>
      </c>
      <c r="G574" s="13" t="str">
        <f t="shared" si="40"/>
        <v/>
      </c>
      <c r="H574" s="11"/>
      <c r="I574" s="11"/>
      <c r="J574" s="16" t="str">
        <f t="shared" si="41"/>
        <v/>
      </c>
      <c r="K574" s="18" t="str">
        <f>IF(A574="","",IFERROR(SUMIF(Transactions!A$4:A$1003,A574,Transactions!F$4:F$1003),0))</f>
        <v/>
      </c>
      <c r="L574" s="15" t="str">
        <f t="shared" si="42"/>
        <v/>
      </c>
      <c r="M574" s="12" t="str">
        <f t="shared" ca="1" si="43"/>
        <v/>
      </c>
      <c r="N574" s="19" t="str">
        <f t="shared" ca="1" si="44"/>
        <v/>
      </c>
    </row>
    <row r="575" spans="1:14" ht="15.75" customHeight="1" x14ac:dyDescent="0.25">
      <c r="A575" s="11"/>
      <c r="B575" s="11"/>
      <c r="C575" s="11"/>
      <c r="D575" s="11"/>
      <c r="E575" s="11"/>
      <c r="F575" s="17" t="str">
        <f>IF(E575=0,"",IFERROR(E575*Config!B18,0))</f>
        <v/>
      </c>
      <c r="G575" s="13" t="str">
        <f t="shared" si="40"/>
        <v/>
      </c>
      <c r="H575" s="11"/>
      <c r="I575" s="11"/>
      <c r="J575" s="16" t="str">
        <f t="shared" si="41"/>
        <v/>
      </c>
      <c r="K575" s="18" t="str">
        <f>IF(A575="","",IFERROR(SUMIF(Transactions!A$4:A$1003,A575,Transactions!F$4:F$1003),0))</f>
        <v/>
      </c>
      <c r="L575" s="15" t="str">
        <f t="shared" si="42"/>
        <v/>
      </c>
      <c r="M575" s="12" t="str">
        <f t="shared" ca="1" si="43"/>
        <v/>
      </c>
      <c r="N575" s="19" t="str">
        <f t="shared" ca="1" si="44"/>
        <v/>
      </c>
    </row>
    <row r="576" spans="1:14" ht="15.75" customHeight="1" x14ac:dyDescent="0.25">
      <c r="A576" s="11"/>
      <c r="B576" s="11"/>
      <c r="C576" s="11"/>
      <c r="D576" s="11"/>
      <c r="E576" s="11"/>
      <c r="F576" s="17" t="str">
        <f>IF(E576=0,"",IFERROR(E576*Config!B18,0))</f>
        <v/>
      </c>
      <c r="G576" s="13" t="str">
        <f t="shared" si="40"/>
        <v/>
      </c>
      <c r="H576" s="11"/>
      <c r="I576" s="11"/>
      <c r="J576" s="16" t="str">
        <f t="shared" si="41"/>
        <v/>
      </c>
      <c r="K576" s="18" t="str">
        <f>IF(A576="","",IFERROR(SUMIF(Transactions!A$4:A$1003,A576,Transactions!F$4:F$1003),0))</f>
        <v/>
      </c>
      <c r="L576" s="15" t="str">
        <f t="shared" si="42"/>
        <v/>
      </c>
      <c r="M576" s="12" t="str">
        <f t="shared" ca="1" si="43"/>
        <v/>
      </c>
      <c r="N576" s="19" t="str">
        <f t="shared" ca="1" si="44"/>
        <v/>
      </c>
    </row>
    <row r="577" spans="1:14" ht="15.75" customHeight="1" x14ac:dyDescent="0.25">
      <c r="A577" s="11"/>
      <c r="B577" s="11"/>
      <c r="C577" s="11"/>
      <c r="D577" s="11"/>
      <c r="E577" s="11"/>
      <c r="F577" s="17" t="str">
        <f>IF(E577=0,"",IFERROR(E577*Config!B18,0))</f>
        <v/>
      </c>
      <c r="G577" s="13" t="str">
        <f t="shared" si="40"/>
        <v/>
      </c>
      <c r="H577" s="11"/>
      <c r="I577" s="11"/>
      <c r="J577" s="16" t="str">
        <f t="shared" si="41"/>
        <v/>
      </c>
      <c r="K577" s="18" t="str">
        <f>IF(A577="","",IFERROR(SUMIF(Transactions!A$4:A$1003,A577,Transactions!F$4:F$1003),0))</f>
        <v/>
      </c>
      <c r="L577" s="15" t="str">
        <f t="shared" si="42"/>
        <v/>
      </c>
      <c r="M577" s="12" t="str">
        <f t="shared" ca="1" si="43"/>
        <v/>
      </c>
      <c r="N577" s="19" t="str">
        <f t="shared" ca="1" si="44"/>
        <v/>
      </c>
    </row>
    <row r="578" spans="1:14" ht="15.75" customHeight="1" x14ac:dyDescent="0.25">
      <c r="A578" s="11"/>
      <c r="B578" s="11"/>
      <c r="C578" s="11"/>
      <c r="D578" s="11"/>
      <c r="E578" s="11"/>
      <c r="F578" s="17" t="str">
        <f>IF(E578=0,"",IFERROR(E578*Config!B18,0))</f>
        <v/>
      </c>
      <c r="G578" s="13" t="str">
        <f t="shared" si="40"/>
        <v/>
      </c>
      <c r="H578" s="11"/>
      <c r="I578" s="11"/>
      <c r="J578" s="16" t="str">
        <f t="shared" si="41"/>
        <v/>
      </c>
      <c r="K578" s="18" t="str">
        <f>IF(A578="","",IFERROR(SUMIF(Transactions!A$4:A$1003,A578,Transactions!F$4:F$1003),0))</f>
        <v/>
      </c>
      <c r="L578" s="15" t="str">
        <f t="shared" si="42"/>
        <v/>
      </c>
      <c r="M578" s="12" t="str">
        <f t="shared" ca="1" si="43"/>
        <v/>
      </c>
      <c r="N578" s="19" t="str">
        <f t="shared" ca="1" si="44"/>
        <v/>
      </c>
    </row>
    <row r="579" spans="1:14" ht="15.75" customHeight="1" x14ac:dyDescent="0.25">
      <c r="A579" s="11"/>
      <c r="B579" s="11"/>
      <c r="C579" s="11"/>
      <c r="D579" s="11"/>
      <c r="E579" s="11"/>
      <c r="F579" s="17" t="str">
        <f>IF(E579=0,"",IFERROR(E579*Config!B18,0))</f>
        <v/>
      </c>
      <c r="G579" s="13" t="str">
        <f t="shared" si="40"/>
        <v/>
      </c>
      <c r="H579" s="11"/>
      <c r="I579" s="11"/>
      <c r="J579" s="16" t="str">
        <f t="shared" si="41"/>
        <v/>
      </c>
      <c r="K579" s="18" t="str">
        <f>IF(A579="","",IFERROR(SUMIF(Transactions!A$4:A$1003,A579,Transactions!F$4:F$1003),0))</f>
        <v/>
      </c>
      <c r="L579" s="15" t="str">
        <f t="shared" si="42"/>
        <v/>
      </c>
      <c r="M579" s="12" t="str">
        <f t="shared" ca="1" si="43"/>
        <v/>
      </c>
      <c r="N579" s="19" t="str">
        <f t="shared" ca="1" si="44"/>
        <v/>
      </c>
    </row>
    <row r="580" spans="1:14" ht="15.75" customHeight="1" x14ac:dyDescent="0.25">
      <c r="A580" s="11"/>
      <c r="B580" s="11"/>
      <c r="C580" s="11"/>
      <c r="D580" s="11"/>
      <c r="E580" s="11"/>
      <c r="F580" s="17" t="str">
        <f>IF(E580=0,"",IFERROR(E580*Config!B18,0))</f>
        <v/>
      </c>
      <c r="G580" s="13" t="str">
        <f t="shared" ref="G580:G643" si="45">IF(E580=0,"",MAX(0,E580-F580))</f>
        <v/>
      </c>
      <c r="H580" s="11"/>
      <c r="I580" s="11"/>
      <c r="J580" s="16" t="str">
        <f t="shared" ref="J580:J643" si="46">IF(E580=0,"",IFERROR(-PMT(H580/100/12,I580,-E580),0))</f>
        <v/>
      </c>
      <c r="K580" s="18" t="str">
        <f>IF(A580="","",IFERROR(SUMIF(Transactions!A$4:A$1003,A580,Transactions!F$4:F$1003),0))</f>
        <v/>
      </c>
      <c r="L580" s="15" t="str">
        <f t="shared" ref="L580:L643" si="47">IF(E580=0,"",MAX(0,E580-K580))</f>
        <v/>
      </c>
      <c r="M580" s="12" t="str">
        <f t="shared" ref="M580:M643" ca="1" si="48">IF(A580="","",IF(L580&lt;=0,"✅ Fully Paid",IF(AND(D580&lt;&gt;"",TODAY()&gt;D580+I580*30),"⚠ Overdue","🟢 Active")))</f>
        <v/>
      </c>
      <c r="N580" s="19" t="str">
        <f t="shared" ref="N580:N643" ca="1" si="49">IF(L580&lt;=0,TODAY(),"")</f>
        <v/>
      </c>
    </row>
    <row r="581" spans="1:14" ht="15.75" customHeight="1" x14ac:dyDescent="0.25">
      <c r="A581" s="11"/>
      <c r="B581" s="11"/>
      <c r="C581" s="11"/>
      <c r="D581" s="11"/>
      <c r="E581" s="11"/>
      <c r="F581" s="17" t="str">
        <f>IF(E581=0,"",IFERROR(E581*Config!B18,0))</f>
        <v/>
      </c>
      <c r="G581" s="13" t="str">
        <f t="shared" si="45"/>
        <v/>
      </c>
      <c r="H581" s="11"/>
      <c r="I581" s="11"/>
      <c r="J581" s="16" t="str">
        <f t="shared" si="46"/>
        <v/>
      </c>
      <c r="K581" s="18" t="str">
        <f>IF(A581="","",IFERROR(SUMIF(Transactions!A$4:A$1003,A581,Transactions!F$4:F$1003),0))</f>
        <v/>
      </c>
      <c r="L581" s="15" t="str">
        <f t="shared" si="47"/>
        <v/>
      </c>
      <c r="M581" s="12" t="str">
        <f t="shared" ca="1" si="48"/>
        <v/>
      </c>
      <c r="N581" s="19" t="str">
        <f t="shared" ca="1" si="49"/>
        <v/>
      </c>
    </row>
    <row r="582" spans="1:14" ht="15.75" customHeight="1" x14ac:dyDescent="0.25">
      <c r="A582" s="11"/>
      <c r="B582" s="11"/>
      <c r="C582" s="11"/>
      <c r="D582" s="11"/>
      <c r="E582" s="11"/>
      <c r="F582" s="17" t="str">
        <f>IF(E582=0,"",IFERROR(E582*Config!B18,0))</f>
        <v/>
      </c>
      <c r="G582" s="13" t="str">
        <f t="shared" si="45"/>
        <v/>
      </c>
      <c r="H582" s="11"/>
      <c r="I582" s="11"/>
      <c r="J582" s="16" t="str">
        <f t="shared" si="46"/>
        <v/>
      </c>
      <c r="K582" s="18" t="str">
        <f>IF(A582="","",IFERROR(SUMIF(Transactions!A$4:A$1003,A582,Transactions!F$4:F$1003),0))</f>
        <v/>
      </c>
      <c r="L582" s="15" t="str">
        <f t="shared" si="47"/>
        <v/>
      </c>
      <c r="M582" s="12" t="str">
        <f t="shared" ca="1" si="48"/>
        <v/>
      </c>
      <c r="N582" s="19" t="str">
        <f t="shared" ca="1" si="49"/>
        <v/>
      </c>
    </row>
    <row r="583" spans="1:14" ht="15.75" customHeight="1" x14ac:dyDescent="0.25">
      <c r="A583" s="11"/>
      <c r="B583" s="11"/>
      <c r="C583" s="11"/>
      <c r="D583" s="11"/>
      <c r="E583" s="11"/>
      <c r="F583" s="17" t="str">
        <f>IF(E583=0,"",IFERROR(E583*Config!B18,0))</f>
        <v/>
      </c>
      <c r="G583" s="13" t="str">
        <f t="shared" si="45"/>
        <v/>
      </c>
      <c r="H583" s="11"/>
      <c r="I583" s="11"/>
      <c r="J583" s="16" t="str">
        <f t="shared" si="46"/>
        <v/>
      </c>
      <c r="K583" s="18" t="str">
        <f>IF(A583="","",IFERROR(SUMIF(Transactions!A$4:A$1003,A583,Transactions!F$4:F$1003),0))</f>
        <v/>
      </c>
      <c r="L583" s="15" t="str">
        <f t="shared" si="47"/>
        <v/>
      </c>
      <c r="M583" s="12" t="str">
        <f t="shared" ca="1" si="48"/>
        <v/>
      </c>
      <c r="N583" s="19" t="str">
        <f t="shared" ca="1" si="49"/>
        <v/>
      </c>
    </row>
    <row r="584" spans="1:14" ht="15.75" customHeight="1" x14ac:dyDescent="0.25">
      <c r="A584" s="11"/>
      <c r="B584" s="11"/>
      <c r="C584" s="11"/>
      <c r="D584" s="11"/>
      <c r="E584" s="11"/>
      <c r="F584" s="17" t="str">
        <f>IF(E584=0,"",IFERROR(E584*Config!B18,0))</f>
        <v/>
      </c>
      <c r="G584" s="13" t="str">
        <f t="shared" si="45"/>
        <v/>
      </c>
      <c r="H584" s="11"/>
      <c r="I584" s="11"/>
      <c r="J584" s="16" t="str">
        <f t="shared" si="46"/>
        <v/>
      </c>
      <c r="K584" s="18" t="str">
        <f>IF(A584="","",IFERROR(SUMIF(Transactions!A$4:A$1003,A584,Transactions!F$4:F$1003),0))</f>
        <v/>
      </c>
      <c r="L584" s="15" t="str">
        <f t="shared" si="47"/>
        <v/>
      </c>
      <c r="M584" s="12" t="str">
        <f t="shared" ca="1" si="48"/>
        <v/>
      </c>
      <c r="N584" s="19" t="str">
        <f t="shared" ca="1" si="49"/>
        <v/>
      </c>
    </row>
    <row r="585" spans="1:14" ht="15.75" customHeight="1" x14ac:dyDescent="0.25">
      <c r="A585" s="11"/>
      <c r="B585" s="11"/>
      <c r="C585" s="11"/>
      <c r="D585" s="11"/>
      <c r="E585" s="11"/>
      <c r="F585" s="17" t="str">
        <f>IF(E585=0,"",IFERROR(E585*Config!B18,0))</f>
        <v/>
      </c>
      <c r="G585" s="13" t="str">
        <f t="shared" si="45"/>
        <v/>
      </c>
      <c r="H585" s="11"/>
      <c r="I585" s="11"/>
      <c r="J585" s="16" t="str">
        <f t="shared" si="46"/>
        <v/>
      </c>
      <c r="K585" s="18" t="str">
        <f>IF(A585="","",IFERROR(SUMIF(Transactions!A$4:A$1003,A585,Transactions!F$4:F$1003),0))</f>
        <v/>
      </c>
      <c r="L585" s="15" t="str">
        <f t="shared" si="47"/>
        <v/>
      </c>
      <c r="M585" s="12" t="str">
        <f t="shared" ca="1" si="48"/>
        <v/>
      </c>
      <c r="N585" s="19" t="str">
        <f t="shared" ca="1" si="49"/>
        <v/>
      </c>
    </row>
    <row r="586" spans="1:14" ht="15.75" customHeight="1" x14ac:dyDescent="0.25">
      <c r="A586" s="11"/>
      <c r="B586" s="11"/>
      <c r="C586" s="11"/>
      <c r="D586" s="11"/>
      <c r="E586" s="11"/>
      <c r="F586" s="17" t="str">
        <f>IF(E586=0,"",IFERROR(E586*Config!B18,0))</f>
        <v/>
      </c>
      <c r="G586" s="13" t="str">
        <f t="shared" si="45"/>
        <v/>
      </c>
      <c r="H586" s="11"/>
      <c r="I586" s="11"/>
      <c r="J586" s="16" t="str">
        <f t="shared" si="46"/>
        <v/>
      </c>
      <c r="K586" s="18" t="str">
        <f>IF(A586="","",IFERROR(SUMIF(Transactions!A$4:A$1003,A586,Transactions!F$4:F$1003),0))</f>
        <v/>
      </c>
      <c r="L586" s="15" t="str">
        <f t="shared" si="47"/>
        <v/>
      </c>
      <c r="M586" s="12" t="str">
        <f t="shared" ca="1" si="48"/>
        <v/>
      </c>
      <c r="N586" s="19" t="str">
        <f t="shared" ca="1" si="49"/>
        <v/>
      </c>
    </row>
    <row r="587" spans="1:14" ht="15.75" customHeight="1" x14ac:dyDescent="0.25">
      <c r="A587" s="11"/>
      <c r="B587" s="11"/>
      <c r="C587" s="11"/>
      <c r="D587" s="11"/>
      <c r="E587" s="11"/>
      <c r="F587" s="17" t="str">
        <f>IF(E587=0,"",IFERROR(E587*Config!B18,0))</f>
        <v/>
      </c>
      <c r="G587" s="13" t="str">
        <f t="shared" si="45"/>
        <v/>
      </c>
      <c r="H587" s="11"/>
      <c r="I587" s="11"/>
      <c r="J587" s="16" t="str">
        <f t="shared" si="46"/>
        <v/>
      </c>
      <c r="K587" s="18" t="str">
        <f>IF(A587="","",IFERROR(SUMIF(Transactions!A$4:A$1003,A587,Transactions!F$4:F$1003),0))</f>
        <v/>
      </c>
      <c r="L587" s="15" t="str">
        <f t="shared" si="47"/>
        <v/>
      </c>
      <c r="M587" s="12" t="str">
        <f t="shared" ca="1" si="48"/>
        <v/>
      </c>
      <c r="N587" s="19" t="str">
        <f t="shared" ca="1" si="49"/>
        <v/>
      </c>
    </row>
    <row r="588" spans="1:14" ht="15.75" customHeight="1" x14ac:dyDescent="0.25">
      <c r="A588" s="11"/>
      <c r="B588" s="11"/>
      <c r="C588" s="11"/>
      <c r="D588" s="11"/>
      <c r="E588" s="11"/>
      <c r="F588" s="17" t="str">
        <f>IF(E588=0,"",IFERROR(E588*Config!B18,0))</f>
        <v/>
      </c>
      <c r="G588" s="13" t="str">
        <f t="shared" si="45"/>
        <v/>
      </c>
      <c r="H588" s="11"/>
      <c r="I588" s="11"/>
      <c r="J588" s="16" t="str">
        <f t="shared" si="46"/>
        <v/>
      </c>
      <c r="K588" s="18" t="str">
        <f>IF(A588="","",IFERROR(SUMIF(Transactions!A$4:A$1003,A588,Transactions!F$4:F$1003),0))</f>
        <v/>
      </c>
      <c r="L588" s="15" t="str">
        <f t="shared" si="47"/>
        <v/>
      </c>
      <c r="M588" s="12" t="str">
        <f t="shared" ca="1" si="48"/>
        <v/>
      </c>
      <c r="N588" s="19" t="str">
        <f t="shared" ca="1" si="49"/>
        <v/>
      </c>
    </row>
    <row r="589" spans="1:14" ht="15.75" customHeight="1" x14ac:dyDescent="0.25">
      <c r="A589" s="11"/>
      <c r="B589" s="11"/>
      <c r="C589" s="11"/>
      <c r="D589" s="11"/>
      <c r="E589" s="11"/>
      <c r="F589" s="17" t="str">
        <f>IF(E589=0,"",IFERROR(E589*Config!B18,0))</f>
        <v/>
      </c>
      <c r="G589" s="13" t="str">
        <f t="shared" si="45"/>
        <v/>
      </c>
      <c r="H589" s="11"/>
      <c r="I589" s="11"/>
      <c r="J589" s="16" t="str">
        <f t="shared" si="46"/>
        <v/>
      </c>
      <c r="K589" s="18" t="str">
        <f>IF(A589="","",IFERROR(SUMIF(Transactions!A$4:A$1003,A589,Transactions!F$4:F$1003),0))</f>
        <v/>
      </c>
      <c r="L589" s="15" t="str">
        <f t="shared" si="47"/>
        <v/>
      </c>
      <c r="M589" s="12" t="str">
        <f t="shared" ca="1" si="48"/>
        <v/>
      </c>
      <c r="N589" s="19" t="str">
        <f t="shared" ca="1" si="49"/>
        <v/>
      </c>
    </row>
    <row r="590" spans="1:14" ht="15.75" customHeight="1" x14ac:dyDescent="0.25">
      <c r="A590" s="11"/>
      <c r="B590" s="11"/>
      <c r="C590" s="11"/>
      <c r="D590" s="11"/>
      <c r="E590" s="11"/>
      <c r="F590" s="17" t="str">
        <f>IF(E590=0,"",IFERROR(E590*Config!B18,0))</f>
        <v/>
      </c>
      <c r="G590" s="13" t="str">
        <f t="shared" si="45"/>
        <v/>
      </c>
      <c r="H590" s="11"/>
      <c r="I590" s="11"/>
      <c r="J590" s="16" t="str">
        <f t="shared" si="46"/>
        <v/>
      </c>
      <c r="K590" s="18" t="str">
        <f>IF(A590="","",IFERROR(SUMIF(Transactions!A$4:A$1003,A590,Transactions!F$4:F$1003),0))</f>
        <v/>
      </c>
      <c r="L590" s="15" t="str">
        <f t="shared" si="47"/>
        <v/>
      </c>
      <c r="M590" s="12" t="str">
        <f t="shared" ca="1" si="48"/>
        <v/>
      </c>
      <c r="N590" s="19" t="str">
        <f t="shared" ca="1" si="49"/>
        <v/>
      </c>
    </row>
    <row r="591" spans="1:14" ht="15.75" customHeight="1" x14ac:dyDescent="0.25">
      <c r="A591" s="11"/>
      <c r="B591" s="11"/>
      <c r="C591" s="11"/>
      <c r="D591" s="11"/>
      <c r="E591" s="11"/>
      <c r="F591" s="17" t="str">
        <f>IF(E591=0,"",IFERROR(E591*Config!B18,0))</f>
        <v/>
      </c>
      <c r="G591" s="13" t="str">
        <f t="shared" si="45"/>
        <v/>
      </c>
      <c r="H591" s="11"/>
      <c r="I591" s="11"/>
      <c r="J591" s="16" t="str">
        <f t="shared" si="46"/>
        <v/>
      </c>
      <c r="K591" s="18" t="str">
        <f>IF(A591="","",IFERROR(SUMIF(Transactions!A$4:A$1003,A591,Transactions!F$4:F$1003),0))</f>
        <v/>
      </c>
      <c r="L591" s="15" t="str">
        <f t="shared" si="47"/>
        <v/>
      </c>
      <c r="M591" s="12" t="str">
        <f t="shared" ca="1" si="48"/>
        <v/>
      </c>
      <c r="N591" s="19" t="str">
        <f t="shared" ca="1" si="49"/>
        <v/>
      </c>
    </row>
    <row r="592" spans="1:14" ht="15.75" customHeight="1" x14ac:dyDescent="0.25">
      <c r="A592" s="11"/>
      <c r="B592" s="11"/>
      <c r="C592" s="11"/>
      <c r="D592" s="11"/>
      <c r="E592" s="11"/>
      <c r="F592" s="17" t="str">
        <f>IF(E592=0,"",IFERROR(E592*Config!B18,0))</f>
        <v/>
      </c>
      <c r="G592" s="13" t="str">
        <f t="shared" si="45"/>
        <v/>
      </c>
      <c r="H592" s="11"/>
      <c r="I592" s="11"/>
      <c r="J592" s="16" t="str">
        <f t="shared" si="46"/>
        <v/>
      </c>
      <c r="K592" s="18" t="str">
        <f>IF(A592="","",IFERROR(SUMIF(Transactions!A$4:A$1003,A592,Transactions!F$4:F$1003),0))</f>
        <v/>
      </c>
      <c r="L592" s="15" t="str">
        <f t="shared" si="47"/>
        <v/>
      </c>
      <c r="M592" s="12" t="str">
        <f t="shared" ca="1" si="48"/>
        <v/>
      </c>
      <c r="N592" s="19" t="str">
        <f t="shared" ca="1" si="49"/>
        <v/>
      </c>
    </row>
    <row r="593" spans="1:14" ht="15.75" customHeight="1" x14ac:dyDescent="0.25">
      <c r="A593" s="11"/>
      <c r="B593" s="11"/>
      <c r="C593" s="11"/>
      <c r="D593" s="11"/>
      <c r="E593" s="11"/>
      <c r="F593" s="17" t="str">
        <f>IF(E593=0,"",IFERROR(E593*Config!B18,0))</f>
        <v/>
      </c>
      <c r="G593" s="13" t="str">
        <f t="shared" si="45"/>
        <v/>
      </c>
      <c r="H593" s="11"/>
      <c r="I593" s="11"/>
      <c r="J593" s="16" t="str">
        <f t="shared" si="46"/>
        <v/>
      </c>
      <c r="K593" s="18" t="str">
        <f>IF(A593="","",IFERROR(SUMIF(Transactions!A$4:A$1003,A593,Transactions!F$4:F$1003),0))</f>
        <v/>
      </c>
      <c r="L593" s="15" t="str">
        <f t="shared" si="47"/>
        <v/>
      </c>
      <c r="M593" s="12" t="str">
        <f t="shared" ca="1" si="48"/>
        <v/>
      </c>
      <c r="N593" s="19" t="str">
        <f t="shared" ca="1" si="49"/>
        <v/>
      </c>
    </row>
    <row r="594" spans="1:14" ht="15.75" customHeight="1" x14ac:dyDescent="0.25">
      <c r="A594" s="11"/>
      <c r="B594" s="11"/>
      <c r="C594" s="11"/>
      <c r="D594" s="11"/>
      <c r="E594" s="11"/>
      <c r="F594" s="17" t="str">
        <f>IF(E594=0,"",IFERROR(E594*Config!B18,0))</f>
        <v/>
      </c>
      <c r="G594" s="13" t="str">
        <f t="shared" si="45"/>
        <v/>
      </c>
      <c r="H594" s="11"/>
      <c r="I594" s="11"/>
      <c r="J594" s="16" t="str">
        <f t="shared" si="46"/>
        <v/>
      </c>
      <c r="K594" s="18" t="str">
        <f>IF(A594="","",IFERROR(SUMIF(Transactions!A$4:A$1003,A594,Transactions!F$4:F$1003),0))</f>
        <v/>
      </c>
      <c r="L594" s="15" t="str">
        <f t="shared" si="47"/>
        <v/>
      </c>
      <c r="M594" s="12" t="str">
        <f t="shared" ca="1" si="48"/>
        <v/>
      </c>
      <c r="N594" s="19" t="str">
        <f t="shared" ca="1" si="49"/>
        <v/>
      </c>
    </row>
    <row r="595" spans="1:14" ht="15.75" customHeight="1" x14ac:dyDescent="0.25">
      <c r="A595" s="11"/>
      <c r="B595" s="11"/>
      <c r="C595" s="11"/>
      <c r="D595" s="11"/>
      <c r="E595" s="11"/>
      <c r="F595" s="17" t="str">
        <f>IF(E595=0,"",IFERROR(E595*Config!B18,0))</f>
        <v/>
      </c>
      <c r="G595" s="13" t="str">
        <f t="shared" si="45"/>
        <v/>
      </c>
      <c r="H595" s="11"/>
      <c r="I595" s="11"/>
      <c r="J595" s="16" t="str">
        <f t="shared" si="46"/>
        <v/>
      </c>
      <c r="K595" s="18" t="str">
        <f>IF(A595="","",IFERROR(SUMIF(Transactions!A$4:A$1003,A595,Transactions!F$4:F$1003),0))</f>
        <v/>
      </c>
      <c r="L595" s="15" t="str">
        <f t="shared" si="47"/>
        <v/>
      </c>
      <c r="M595" s="12" t="str">
        <f t="shared" ca="1" si="48"/>
        <v/>
      </c>
      <c r="N595" s="19" t="str">
        <f t="shared" ca="1" si="49"/>
        <v/>
      </c>
    </row>
    <row r="596" spans="1:14" ht="15.75" customHeight="1" x14ac:dyDescent="0.25">
      <c r="A596" s="11"/>
      <c r="B596" s="11"/>
      <c r="C596" s="11"/>
      <c r="D596" s="11"/>
      <c r="E596" s="11"/>
      <c r="F596" s="17" t="str">
        <f>IF(E596=0,"",IFERROR(E596*Config!B18,0))</f>
        <v/>
      </c>
      <c r="G596" s="13" t="str">
        <f t="shared" si="45"/>
        <v/>
      </c>
      <c r="H596" s="11"/>
      <c r="I596" s="11"/>
      <c r="J596" s="16" t="str">
        <f t="shared" si="46"/>
        <v/>
      </c>
      <c r="K596" s="18" t="str">
        <f>IF(A596="","",IFERROR(SUMIF(Transactions!A$4:A$1003,A596,Transactions!F$4:F$1003),0))</f>
        <v/>
      </c>
      <c r="L596" s="15" t="str">
        <f t="shared" si="47"/>
        <v/>
      </c>
      <c r="M596" s="12" t="str">
        <f t="shared" ca="1" si="48"/>
        <v/>
      </c>
      <c r="N596" s="19" t="str">
        <f t="shared" ca="1" si="49"/>
        <v/>
      </c>
    </row>
    <row r="597" spans="1:14" ht="15.75" customHeight="1" x14ac:dyDescent="0.25">
      <c r="A597" s="11"/>
      <c r="B597" s="11"/>
      <c r="C597" s="11"/>
      <c r="D597" s="11"/>
      <c r="E597" s="11"/>
      <c r="F597" s="17" t="str">
        <f>IF(E597=0,"",IFERROR(E597*Config!B18,0))</f>
        <v/>
      </c>
      <c r="G597" s="13" t="str">
        <f t="shared" si="45"/>
        <v/>
      </c>
      <c r="H597" s="11"/>
      <c r="I597" s="11"/>
      <c r="J597" s="16" t="str">
        <f t="shared" si="46"/>
        <v/>
      </c>
      <c r="K597" s="18" t="str">
        <f>IF(A597="","",IFERROR(SUMIF(Transactions!A$4:A$1003,A597,Transactions!F$4:F$1003),0))</f>
        <v/>
      </c>
      <c r="L597" s="15" t="str">
        <f t="shared" si="47"/>
        <v/>
      </c>
      <c r="M597" s="12" t="str">
        <f t="shared" ca="1" si="48"/>
        <v/>
      </c>
      <c r="N597" s="19" t="str">
        <f t="shared" ca="1" si="49"/>
        <v/>
      </c>
    </row>
    <row r="598" spans="1:14" ht="15.75" customHeight="1" x14ac:dyDescent="0.25">
      <c r="A598" s="11"/>
      <c r="B598" s="11"/>
      <c r="C598" s="11"/>
      <c r="D598" s="11"/>
      <c r="E598" s="11"/>
      <c r="F598" s="17" t="str">
        <f>IF(E598=0,"",IFERROR(E598*Config!B18,0))</f>
        <v/>
      </c>
      <c r="G598" s="13" t="str">
        <f t="shared" si="45"/>
        <v/>
      </c>
      <c r="H598" s="11"/>
      <c r="I598" s="11"/>
      <c r="J598" s="16" t="str">
        <f t="shared" si="46"/>
        <v/>
      </c>
      <c r="K598" s="18" t="str">
        <f>IF(A598="","",IFERROR(SUMIF(Transactions!A$4:A$1003,A598,Transactions!F$4:F$1003),0))</f>
        <v/>
      </c>
      <c r="L598" s="15" t="str">
        <f t="shared" si="47"/>
        <v/>
      </c>
      <c r="M598" s="12" t="str">
        <f t="shared" ca="1" si="48"/>
        <v/>
      </c>
      <c r="N598" s="19" t="str">
        <f t="shared" ca="1" si="49"/>
        <v/>
      </c>
    </row>
    <row r="599" spans="1:14" ht="15.75" customHeight="1" x14ac:dyDescent="0.25">
      <c r="A599" s="11"/>
      <c r="B599" s="11"/>
      <c r="C599" s="11"/>
      <c r="D599" s="11"/>
      <c r="E599" s="11"/>
      <c r="F599" s="17" t="str">
        <f>IF(E599=0,"",IFERROR(E599*Config!B18,0))</f>
        <v/>
      </c>
      <c r="G599" s="13" t="str">
        <f t="shared" si="45"/>
        <v/>
      </c>
      <c r="H599" s="11"/>
      <c r="I599" s="11"/>
      <c r="J599" s="16" t="str">
        <f t="shared" si="46"/>
        <v/>
      </c>
      <c r="K599" s="18" t="str">
        <f>IF(A599="","",IFERROR(SUMIF(Transactions!A$4:A$1003,A599,Transactions!F$4:F$1003),0))</f>
        <v/>
      </c>
      <c r="L599" s="15" t="str">
        <f t="shared" si="47"/>
        <v/>
      </c>
      <c r="M599" s="12" t="str">
        <f t="shared" ca="1" si="48"/>
        <v/>
      </c>
      <c r="N599" s="19" t="str">
        <f t="shared" ca="1" si="49"/>
        <v/>
      </c>
    </row>
    <row r="600" spans="1:14" ht="15.75" customHeight="1" x14ac:dyDescent="0.25">
      <c r="A600" s="11"/>
      <c r="B600" s="11"/>
      <c r="C600" s="11"/>
      <c r="D600" s="11"/>
      <c r="E600" s="11"/>
      <c r="F600" s="17" t="str">
        <f>IF(E600=0,"",IFERROR(E600*Config!B18,0))</f>
        <v/>
      </c>
      <c r="G600" s="13" t="str">
        <f t="shared" si="45"/>
        <v/>
      </c>
      <c r="H600" s="11"/>
      <c r="I600" s="11"/>
      <c r="J600" s="16" t="str">
        <f t="shared" si="46"/>
        <v/>
      </c>
      <c r="K600" s="18" t="str">
        <f>IF(A600="","",IFERROR(SUMIF(Transactions!A$4:A$1003,A600,Transactions!F$4:F$1003),0))</f>
        <v/>
      </c>
      <c r="L600" s="15" t="str">
        <f t="shared" si="47"/>
        <v/>
      </c>
      <c r="M600" s="12" t="str">
        <f t="shared" ca="1" si="48"/>
        <v/>
      </c>
      <c r="N600" s="19" t="str">
        <f t="shared" ca="1" si="49"/>
        <v/>
      </c>
    </row>
    <row r="601" spans="1:14" ht="15.75" customHeight="1" x14ac:dyDescent="0.25">
      <c r="A601" s="11"/>
      <c r="B601" s="11"/>
      <c r="C601" s="11"/>
      <c r="D601" s="11"/>
      <c r="E601" s="11"/>
      <c r="F601" s="17" t="str">
        <f>IF(E601=0,"",IFERROR(E601*Config!B18,0))</f>
        <v/>
      </c>
      <c r="G601" s="13" t="str">
        <f t="shared" si="45"/>
        <v/>
      </c>
      <c r="H601" s="11"/>
      <c r="I601" s="11"/>
      <c r="J601" s="16" t="str">
        <f t="shared" si="46"/>
        <v/>
      </c>
      <c r="K601" s="18" t="str">
        <f>IF(A601="","",IFERROR(SUMIF(Transactions!A$4:A$1003,A601,Transactions!F$4:F$1003),0))</f>
        <v/>
      </c>
      <c r="L601" s="15" t="str">
        <f t="shared" si="47"/>
        <v/>
      </c>
      <c r="M601" s="12" t="str">
        <f t="shared" ca="1" si="48"/>
        <v/>
      </c>
      <c r="N601" s="19" t="str">
        <f t="shared" ca="1" si="49"/>
        <v/>
      </c>
    </row>
    <row r="602" spans="1:14" ht="15.75" customHeight="1" x14ac:dyDescent="0.25">
      <c r="A602" s="11"/>
      <c r="B602" s="11"/>
      <c r="C602" s="11"/>
      <c r="D602" s="11"/>
      <c r="E602" s="11"/>
      <c r="F602" s="17" t="str">
        <f>IF(E602=0,"",IFERROR(E602*Config!B18,0))</f>
        <v/>
      </c>
      <c r="G602" s="13" t="str">
        <f t="shared" si="45"/>
        <v/>
      </c>
      <c r="H602" s="11"/>
      <c r="I602" s="11"/>
      <c r="J602" s="16" t="str">
        <f t="shared" si="46"/>
        <v/>
      </c>
      <c r="K602" s="18" t="str">
        <f>IF(A602="","",IFERROR(SUMIF(Transactions!A$4:A$1003,A602,Transactions!F$4:F$1003),0))</f>
        <v/>
      </c>
      <c r="L602" s="15" t="str">
        <f t="shared" si="47"/>
        <v/>
      </c>
      <c r="M602" s="12" t="str">
        <f t="shared" ca="1" si="48"/>
        <v/>
      </c>
      <c r="N602" s="19" t="str">
        <f t="shared" ca="1" si="49"/>
        <v/>
      </c>
    </row>
    <row r="603" spans="1:14" ht="15.75" customHeight="1" x14ac:dyDescent="0.25">
      <c r="A603" s="11"/>
      <c r="B603" s="11"/>
      <c r="C603" s="11"/>
      <c r="D603" s="11"/>
      <c r="E603" s="11"/>
      <c r="F603" s="17" t="str">
        <f>IF(E603=0,"",IFERROR(E603*Config!B18,0))</f>
        <v/>
      </c>
      <c r="G603" s="13" t="str">
        <f t="shared" si="45"/>
        <v/>
      </c>
      <c r="H603" s="11"/>
      <c r="I603" s="11"/>
      <c r="J603" s="16" t="str">
        <f t="shared" si="46"/>
        <v/>
      </c>
      <c r="K603" s="18" t="str">
        <f>IF(A603="","",IFERROR(SUMIF(Transactions!A$4:A$1003,A603,Transactions!F$4:F$1003),0))</f>
        <v/>
      </c>
      <c r="L603" s="15" t="str">
        <f t="shared" si="47"/>
        <v/>
      </c>
      <c r="M603" s="12" t="str">
        <f t="shared" ca="1" si="48"/>
        <v/>
      </c>
      <c r="N603" s="19" t="str">
        <f t="shared" ca="1" si="49"/>
        <v/>
      </c>
    </row>
    <row r="604" spans="1:14" ht="15.75" customHeight="1" x14ac:dyDescent="0.25">
      <c r="A604" s="11"/>
      <c r="B604" s="11"/>
      <c r="C604" s="11"/>
      <c r="D604" s="11"/>
      <c r="E604" s="11"/>
      <c r="F604" s="17" t="str">
        <f>IF(E604=0,"",IFERROR(E604*Config!B18,0))</f>
        <v/>
      </c>
      <c r="G604" s="13" t="str">
        <f t="shared" si="45"/>
        <v/>
      </c>
      <c r="H604" s="11"/>
      <c r="I604" s="11"/>
      <c r="J604" s="16" t="str">
        <f t="shared" si="46"/>
        <v/>
      </c>
      <c r="K604" s="18" t="str">
        <f>IF(A604="","",IFERROR(SUMIF(Transactions!A$4:A$1003,A604,Transactions!F$4:F$1003),0))</f>
        <v/>
      </c>
      <c r="L604" s="15" t="str">
        <f t="shared" si="47"/>
        <v/>
      </c>
      <c r="M604" s="12" t="str">
        <f t="shared" ca="1" si="48"/>
        <v/>
      </c>
      <c r="N604" s="19" t="str">
        <f t="shared" ca="1" si="49"/>
        <v/>
      </c>
    </row>
    <row r="605" spans="1:14" ht="15.75" customHeight="1" x14ac:dyDescent="0.25">
      <c r="A605" s="11"/>
      <c r="B605" s="11"/>
      <c r="C605" s="11"/>
      <c r="D605" s="11"/>
      <c r="E605" s="11"/>
      <c r="F605" s="17" t="str">
        <f>IF(E605=0,"",IFERROR(E605*Config!B18,0))</f>
        <v/>
      </c>
      <c r="G605" s="13" t="str">
        <f t="shared" si="45"/>
        <v/>
      </c>
      <c r="H605" s="11"/>
      <c r="I605" s="11"/>
      <c r="J605" s="16" t="str">
        <f t="shared" si="46"/>
        <v/>
      </c>
      <c r="K605" s="18" t="str">
        <f>IF(A605="","",IFERROR(SUMIF(Transactions!A$4:A$1003,A605,Transactions!F$4:F$1003),0))</f>
        <v/>
      </c>
      <c r="L605" s="15" t="str">
        <f t="shared" si="47"/>
        <v/>
      </c>
      <c r="M605" s="12" t="str">
        <f t="shared" ca="1" si="48"/>
        <v/>
      </c>
      <c r="N605" s="19" t="str">
        <f t="shared" ca="1" si="49"/>
        <v/>
      </c>
    </row>
    <row r="606" spans="1:14" ht="15.75" customHeight="1" x14ac:dyDescent="0.25">
      <c r="A606" s="11"/>
      <c r="B606" s="11"/>
      <c r="C606" s="11"/>
      <c r="D606" s="11"/>
      <c r="E606" s="11"/>
      <c r="F606" s="17" t="str">
        <f>IF(E606=0,"",IFERROR(E606*Config!B18,0))</f>
        <v/>
      </c>
      <c r="G606" s="13" t="str">
        <f t="shared" si="45"/>
        <v/>
      </c>
      <c r="H606" s="11"/>
      <c r="I606" s="11"/>
      <c r="J606" s="16" t="str">
        <f t="shared" si="46"/>
        <v/>
      </c>
      <c r="K606" s="18" t="str">
        <f>IF(A606="","",IFERROR(SUMIF(Transactions!A$4:A$1003,A606,Transactions!F$4:F$1003),0))</f>
        <v/>
      </c>
      <c r="L606" s="15" t="str">
        <f t="shared" si="47"/>
        <v/>
      </c>
      <c r="M606" s="12" t="str">
        <f t="shared" ca="1" si="48"/>
        <v/>
      </c>
      <c r="N606" s="19" t="str">
        <f t="shared" ca="1" si="49"/>
        <v/>
      </c>
    </row>
    <row r="607" spans="1:14" ht="15.75" customHeight="1" x14ac:dyDescent="0.25">
      <c r="A607" s="11"/>
      <c r="B607" s="11"/>
      <c r="C607" s="11"/>
      <c r="D607" s="11"/>
      <c r="E607" s="11"/>
      <c r="F607" s="17" t="str">
        <f>IF(E607=0,"",IFERROR(E607*Config!B18,0))</f>
        <v/>
      </c>
      <c r="G607" s="13" t="str">
        <f t="shared" si="45"/>
        <v/>
      </c>
      <c r="H607" s="11"/>
      <c r="I607" s="11"/>
      <c r="J607" s="16" t="str">
        <f t="shared" si="46"/>
        <v/>
      </c>
      <c r="K607" s="18" t="str">
        <f>IF(A607="","",IFERROR(SUMIF(Transactions!A$4:A$1003,A607,Transactions!F$4:F$1003),0))</f>
        <v/>
      </c>
      <c r="L607" s="15" t="str">
        <f t="shared" si="47"/>
        <v/>
      </c>
      <c r="M607" s="12" t="str">
        <f t="shared" ca="1" si="48"/>
        <v/>
      </c>
      <c r="N607" s="19" t="str">
        <f t="shared" ca="1" si="49"/>
        <v/>
      </c>
    </row>
    <row r="608" spans="1:14" ht="15.75" customHeight="1" x14ac:dyDescent="0.25">
      <c r="A608" s="11"/>
      <c r="B608" s="11"/>
      <c r="C608" s="11"/>
      <c r="D608" s="11"/>
      <c r="E608" s="11"/>
      <c r="F608" s="17" t="str">
        <f>IF(E608=0,"",IFERROR(E608*Config!B18,0))</f>
        <v/>
      </c>
      <c r="G608" s="13" t="str">
        <f t="shared" si="45"/>
        <v/>
      </c>
      <c r="H608" s="11"/>
      <c r="I608" s="11"/>
      <c r="J608" s="16" t="str">
        <f t="shared" si="46"/>
        <v/>
      </c>
      <c r="K608" s="18" t="str">
        <f>IF(A608="","",IFERROR(SUMIF(Transactions!A$4:A$1003,A608,Transactions!F$4:F$1003),0))</f>
        <v/>
      </c>
      <c r="L608" s="15" t="str">
        <f t="shared" si="47"/>
        <v/>
      </c>
      <c r="M608" s="12" t="str">
        <f t="shared" ca="1" si="48"/>
        <v/>
      </c>
      <c r="N608" s="19" t="str">
        <f t="shared" ca="1" si="49"/>
        <v/>
      </c>
    </row>
    <row r="609" spans="1:14" ht="15.75" customHeight="1" x14ac:dyDescent="0.25">
      <c r="A609" s="11"/>
      <c r="B609" s="11"/>
      <c r="C609" s="11"/>
      <c r="D609" s="11"/>
      <c r="E609" s="11"/>
      <c r="F609" s="17" t="str">
        <f>IF(E609=0,"",IFERROR(E609*Config!B18,0))</f>
        <v/>
      </c>
      <c r="G609" s="13" t="str">
        <f t="shared" si="45"/>
        <v/>
      </c>
      <c r="H609" s="11"/>
      <c r="I609" s="11"/>
      <c r="J609" s="16" t="str">
        <f t="shared" si="46"/>
        <v/>
      </c>
      <c r="K609" s="18" t="str">
        <f>IF(A609="","",IFERROR(SUMIF(Transactions!A$4:A$1003,A609,Transactions!F$4:F$1003),0))</f>
        <v/>
      </c>
      <c r="L609" s="15" t="str">
        <f t="shared" si="47"/>
        <v/>
      </c>
      <c r="M609" s="12" t="str">
        <f t="shared" ca="1" si="48"/>
        <v/>
      </c>
      <c r="N609" s="19" t="str">
        <f t="shared" ca="1" si="49"/>
        <v/>
      </c>
    </row>
    <row r="610" spans="1:14" ht="15.75" customHeight="1" x14ac:dyDescent="0.25">
      <c r="A610" s="11"/>
      <c r="B610" s="11"/>
      <c r="C610" s="11"/>
      <c r="D610" s="11"/>
      <c r="E610" s="11"/>
      <c r="F610" s="17" t="str">
        <f>IF(E610=0,"",IFERROR(E610*Config!B18,0))</f>
        <v/>
      </c>
      <c r="G610" s="13" t="str">
        <f t="shared" si="45"/>
        <v/>
      </c>
      <c r="H610" s="11"/>
      <c r="I610" s="11"/>
      <c r="J610" s="16" t="str">
        <f t="shared" si="46"/>
        <v/>
      </c>
      <c r="K610" s="18" t="str">
        <f>IF(A610="","",IFERROR(SUMIF(Transactions!A$4:A$1003,A610,Transactions!F$4:F$1003),0))</f>
        <v/>
      </c>
      <c r="L610" s="15" t="str">
        <f t="shared" si="47"/>
        <v/>
      </c>
      <c r="M610" s="12" t="str">
        <f t="shared" ca="1" si="48"/>
        <v/>
      </c>
      <c r="N610" s="19" t="str">
        <f t="shared" ca="1" si="49"/>
        <v/>
      </c>
    </row>
    <row r="611" spans="1:14" ht="15.75" customHeight="1" x14ac:dyDescent="0.25">
      <c r="A611" s="11"/>
      <c r="B611" s="11"/>
      <c r="C611" s="11"/>
      <c r="D611" s="11"/>
      <c r="E611" s="11"/>
      <c r="F611" s="17" t="str">
        <f>IF(E611=0,"",IFERROR(E611*Config!B18,0))</f>
        <v/>
      </c>
      <c r="G611" s="13" t="str">
        <f t="shared" si="45"/>
        <v/>
      </c>
      <c r="H611" s="11"/>
      <c r="I611" s="11"/>
      <c r="J611" s="16" t="str">
        <f t="shared" si="46"/>
        <v/>
      </c>
      <c r="K611" s="18" t="str">
        <f>IF(A611="","",IFERROR(SUMIF(Transactions!A$4:A$1003,A611,Transactions!F$4:F$1003),0))</f>
        <v/>
      </c>
      <c r="L611" s="15" t="str">
        <f t="shared" si="47"/>
        <v/>
      </c>
      <c r="M611" s="12" t="str">
        <f t="shared" ca="1" si="48"/>
        <v/>
      </c>
      <c r="N611" s="19" t="str">
        <f t="shared" ca="1" si="49"/>
        <v/>
      </c>
    </row>
    <row r="612" spans="1:14" ht="15.75" customHeight="1" x14ac:dyDescent="0.25">
      <c r="A612" s="11"/>
      <c r="B612" s="11"/>
      <c r="C612" s="11"/>
      <c r="D612" s="11"/>
      <c r="E612" s="11"/>
      <c r="F612" s="17" t="str">
        <f>IF(E612=0,"",IFERROR(E612*Config!B18,0))</f>
        <v/>
      </c>
      <c r="G612" s="13" t="str">
        <f t="shared" si="45"/>
        <v/>
      </c>
      <c r="H612" s="11"/>
      <c r="I612" s="11"/>
      <c r="J612" s="16" t="str">
        <f t="shared" si="46"/>
        <v/>
      </c>
      <c r="K612" s="18" t="str">
        <f>IF(A612="","",IFERROR(SUMIF(Transactions!A$4:A$1003,A612,Transactions!F$4:F$1003),0))</f>
        <v/>
      </c>
      <c r="L612" s="15" t="str">
        <f t="shared" si="47"/>
        <v/>
      </c>
      <c r="M612" s="12" t="str">
        <f t="shared" ca="1" si="48"/>
        <v/>
      </c>
      <c r="N612" s="19" t="str">
        <f t="shared" ca="1" si="49"/>
        <v/>
      </c>
    </row>
    <row r="613" spans="1:14" ht="15.75" customHeight="1" x14ac:dyDescent="0.25">
      <c r="A613" s="11"/>
      <c r="B613" s="11"/>
      <c r="C613" s="11"/>
      <c r="D613" s="11"/>
      <c r="E613" s="11"/>
      <c r="F613" s="17" t="str">
        <f>IF(E613=0,"",IFERROR(E613*Config!B18,0))</f>
        <v/>
      </c>
      <c r="G613" s="13" t="str">
        <f t="shared" si="45"/>
        <v/>
      </c>
      <c r="H613" s="11"/>
      <c r="I613" s="11"/>
      <c r="J613" s="16" t="str">
        <f t="shared" si="46"/>
        <v/>
      </c>
      <c r="K613" s="18" t="str">
        <f>IF(A613="","",IFERROR(SUMIF(Transactions!A$4:A$1003,A613,Transactions!F$4:F$1003),0))</f>
        <v/>
      </c>
      <c r="L613" s="15" t="str">
        <f t="shared" si="47"/>
        <v/>
      </c>
      <c r="M613" s="12" t="str">
        <f t="shared" ca="1" si="48"/>
        <v/>
      </c>
      <c r="N613" s="19" t="str">
        <f t="shared" ca="1" si="49"/>
        <v/>
      </c>
    </row>
    <row r="614" spans="1:14" ht="15.75" customHeight="1" x14ac:dyDescent="0.25">
      <c r="A614" s="11"/>
      <c r="B614" s="11"/>
      <c r="C614" s="11"/>
      <c r="D614" s="11"/>
      <c r="E614" s="11"/>
      <c r="F614" s="17" t="str">
        <f>IF(E614=0,"",IFERROR(E614*Config!B18,0))</f>
        <v/>
      </c>
      <c r="G614" s="13" t="str">
        <f t="shared" si="45"/>
        <v/>
      </c>
      <c r="H614" s="11"/>
      <c r="I614" s="11"/>
      <c r="J614" s="16" t="str">
        <f t="shared" si="46"/>
        <v/>
      </c>
      <c r="K614" s="18" t="str">
        <f>IF(A614="","",IFERROR(SUMIF(Transactions!A$4:A$1003,A614,Transactions!F$4:F$1003),0))</f>
        <v/>
      </c>
      <c r="L614" s="15" t="str">
        <f t="shared" si="47"/>
        <v/>
      </c>
      <c r="M614" s="12" t="str">
        <f t="shared" ca="1" si="48"/>
        <v/>
      </c>
      <c r="N614" s="19" t="str">
        <f t="shared" ca="1" si="49"/>
        <v/>
      </c>
    </row>
    <row r="615" spans="1:14" ht="15.75" customHeight="1" x14ac:dyDescent="0.25">
      <c r="A615" s="11"/>
      <c r="B615" s="11"/>
      <c r="C615" s="11"/>
      <c r="D615" s="11"/>
      <c r="E615" s="11"/>
      <c r="F615" s="17" t="str">
        <f>IF(E615=0,"",IFERROR(E615*Config!B18,0))</f>
        <v/>
      </c>
      <c r="G615" s="13" t="str">
        <f t="shared" si="45"/>
        <v/>
      </c>
      <c r="H615" s="11"/>
      <c r="I615" s="11"/>
      <c r="J615" s="16" t="str">
        <f t="shared" si="46"/>
        <v/>
      </c>
      <c r="K615" s="18" t="str">
        <f>IF(A615="","",IFERROR(SUMIF(Transactions!A$4:A$1003,A615,Transactions!F$4:F$1003),0))</f>
        <v/>
      </c>
      <c r="L615" s="15" t="str">
        <f t="shared" si="47"/>
        <v/>
      </c>
      <c r="M615" s="12" t="str">
        <f t="shared" ca="1" si="48"/>
        <v/>
      </c>
      <c r="N615" s="19" t="str">
        <f t="shared" ca="1" si="49"/>
        <v/>
      </c>
    </row>
    <row r="616" spans="1:14" ht="15.75" customHeight="1" x14ac:dyDescent="0.25">
      <c r="A616" s="11"/>
      <c r="B616" s="11"/>
      <c r="C616" s="11"/>
      <c r="D616" s="11"/>
      <c r="E616" s="11"/>
      <c r="F616" s="17" t="str">
        <f>IF(E616=0,"",IFERROR(E616*Config!B18,0))</f>
        <v/>
      </c>
      <c r="G616" s="13" t="str">
        <f t="shared" si="45"/>
        <v/>
      </c>
      <c r="H616" s="11"/>
      <c r="I616" s="11"/>
      <c r="J616" s="16" t="str">
        <f t="shared" si="46"/>
        <v/>
      </c>
      <c r="K616" s="18" t="str">
        <f>IF(A616="","",IFERROR(SUMIF(Transactions!A$4:A$1003,A616,Transactions!F$4:F$1003),0))</f>
        <v/>
      </c>
      <c r="L616" s="15" t="str">
        <f t="shared" si="47"/>
        <v/>
      </c>
      <c r="M616" s="12" t="str">
        <f t="shared" ca="1" si="48"/>
        <v/>
      </c>
      <c r="N616" s="19" t="str">
        <f t="shared" ca="1" si="49"/>
        <v/>
      </c>
    </row>
    <row r="617" spans="1:14" ht="15.75" customHeight="1" x14ac:dyDescent="0.25">
      <c r="A617" s="11"/>
      <c r="B617" s="11"/>
      <c r="C617" s="11"/>
      <c r="D617" s="11"/>
      <c r="E617" s="11"/>
      <c r="F617" s="17" t="str">
        <f>IF(E617=0,"",IFERROR(E617*Config!B18,0))</f>
        <v/>
      </c>
      <c r="G617" s="13" t="str">
        <f t="shared" si="45"/>
        <v/>
      </c>
      <c r="H617" s="11"/>
      <c r="I617" s="11"/>
      <c r="J617" s="16" t="str">
        <f t="shared" si="46"/>
        <v/>
      </c>
      <c r="K617" s="18" t="str">
        <f>IF(A617="","",IFERROR(SUMIF(Transactions!A$4:A$1003,A617,Transactions!F$4:F$1003),0))</f>
        <v/>
      </c>
      <c r="L617" s="15" t="str">
        <f t="shared" si="47"/>
        <v/>
      </c>
      <c r="M617" s="12" t="str">
        <f t="shared" ca="1" si="48"/>
        <v/>
      </c>
      <c r="N617" s="19" t="str">
        <f t="shared" ca="1" si="49"/>
        <v/>
      </c>
    </row>
    <row r="618" spans="1:14" ht="15.75" customHeight="1" x14ac:dyDescent="0.25">
      <c r="A618" s="11"/>
      <c r="B618" s="11"/>
      <c r="C618" s="11"/>
      <c r="D618" s="11"/>
      <c r="E618" s="11"/>
      <c r="F618" s="17" t="str">
        <f>IF(E618=0,"",IFERROR(E618*Config!B18,0))</f>
        <v/>
      </c>
      <c r="G618" s="13" t="str">
        <f t="shared" si="45"/>
        <v/>
      </c>
      <c r="H618" s="11"/>
      <c r="I618" s="11"/>
      <c r="J618" s="16" t="str">
        <f t="shared" si="46"/>
        <v/>
      </c>
      <c r="K618" s="18" t="str">
        <f>IF(A618="","",IFERROR(SUMIF(Transactions!A$4:A$1003,A618,Transactions!F$4:F$1003),0))</f>
        <v/>
      </c>
      <c r="L618" s="15" t="str">
        <f t="shared" si="47"/>
        <v/>
      </c>
      <c r="M618" s="12" t="str">
        <f t="shared" ca="1" si="48"/>
        <v/>
      </c>
      <c r="N618" s="19" t="str">
        <f t="shared" ca="1" si="49"/>
        <v/>
      </c>
    </row>
    <row r="619" spans="1:14" ht="15.75" customHeight="1" x14ac:dyDescent="0.25">
      <c r="A619" s="11"/>
      <c r="B619" s="11"/>
      <c r="C619" s="11"/>
      <c r="D619" s="11"/>
      <c r="E619" s="11"/>
      <c r="F619" s="17" t="str">
        <f>IF(E619=0,"",IFERROR(E619*Config!B18,0))</f>
        <v/>
      </c>
      <c r="G619" s="13" t="str">
        <f t="shared" si="45"/>
        <v/>
      </c>
      <c r="H619" s="11"/>
      <c r="I619" s="11"/>
      <c r="J619" s="16" t="str">
        <f t="shared" si="46"/>
        <v/>
      </c>
      <c r="K619" s="18" t="str">
        <f>IF(A619="","",IFERROR(SUMIF(Transactions!A$4:A$1003,A619,Transactions!F$4:F$1003),0))</f>
        <v/>
      </c>
      <c r="L619" s="15" t="str">
        <f t="shared" si="47"/>
        <v/>
      </c>
      <c r="M619" s="12" t="str">
        <f t="shared" ca="1" si="48"/>
        <v/>
      </c>
      <c r="N619" s="19" t="str">
        <f t="shared" ca="1" si="49"/>
        <v/>
      </c>
    </row>
    <row r="620" spans="1:14" ht="15.75" customHeight="1" x14ac:dyDescent="0.25">
      <c r="A620" s="11"/>
      <c r="B620" s="11"/>
      <c r="C620" s="11"/>
      <c r="D620" s="11"/>
      <c r="E620" s="11"/>
      <c r="F620" s="17" t="str">
        <f>IF(E620=0,"",IFERROR(E620*Config!B18,0))</f>
        <v/>
      </c>
      <c r="G620" s="13" t="str">
        <f t="shared" si="45"/>
        <v/>
      </c>
      <c r="H620" s="11"/>
      <c r="I620" s="11"/>
      <c r="J620" s="16" t="str">
        <f t="shared" si="46"/>
        <v/>
      </c>
      <c r="K620" s="18" t="str">
        <f>IF(A620="","",IFERROR(SUMIF(Transactions!A$4:A$1003,A620,Transactions!F$4:F$1003),0))</f>
        <v/>
      </c>
      <c r="L620" s="15" t="str">
        <f t="shared" si="47"/>
        <v/>
      </c>
      <c r="M620" s="12" t="str">
        <f t="shared" ca="1" si="48"/>
        <v/>
      </c>
      <c r="N620" s="19" t="str">
        <f t="shared" ca="1" si="49"/>
        <v/>
      </c>
    </row>
    <row r="621" spans="1:14" ht="15.75" customHeight="1" x14ac:dyDescent="0.25">
      <c r="A621" s="11"/>
      <c r="B621" s="11"/>
      <c r="C621" s="11"/>
      <c r="D621" s="11"/>
      <c r="E621" s="11"/>
      <c r="F621" s="17" t="str">
        <f>IF(E621=0,"",IFERROR(E621*Config!B18,0))</f>
        <v/>
      </c>
      <c r="G621" s="13" t="str">
        <f t="shared" si="45"/>
        <v/>
      </c>
      <c r="H621" s="11"/>
      <c r="I621" s="11"/>
      <c r="J621" s="16" t="str">
        <f t="shared" si="46"/>
        <v/>
      </c>
      <c r="K621" s="18" t="str">
        <f>IF(A621="","",IFERROR(SUMIF(Transactions!A$4:A$1003,A621,Transactions!F$4:F$1003),0))</f>
        <v/>
      </c>
      <c r="L621" s="15" t="str">
        <f t="shared" si="47"/>
        <v/>
      </c>
      <c r="M621" s="12" t="str">
        <f t="shared" ca="1" si="48"/>
        <v/>
      </c>
      <c r="N621" s="19" t="str">
        <f t="shared" ca="1" si="49"/>
        <v/>
      </c>
    </row>
    <row r="622" spans="1:14" ht="15.75" customHeight="1" x14ac:dyDescent="0.25">
      <c r="A622" s="11"/>
      <c r="B622" s="11"/>
      <c r="C622" s="11"/>
      <c r="D622" s="11"/>
      <c r="E622" s="11"/>
      <c r="F622" s="17" t="str">
        <f>IF(E622=0,"",IFERROR(E622*Config!B18,0))</f>
        <v/>
      </c>
      <c r="G622" s="13" t="str">
        <f t="shared" si="45"/>
        <v/>
      </c>
      <c r="H622" s="11"/>
      <c r="I622" s="11"/>
      <c r="J622" s="16" t="str">
        <f t="shared" si="46"/>
        <v/>
      </c>
      <c r="K622" s="18" t="str">
        <f>IF(A622="","",IFERROR(SUMIF(Transactions!A$4:A$1003,A622,Transactions!F$4:F$1003),0))</f>
        <v/>
      </c>
      <c r="L622" s="15" t="str">
        <f t="shared" si="47"/>
        <v/>
      </c>
      <c r="M622" s="12" t="str">
        <f t="shared" ca="1" si="48"/>
        <v/>
      </c>
      <c r="N622" s="19" t="str">
        <f t="shared" ca="1" si="49"/>
        <v/>
      </c>
    </row>
    <row r="623" spans="1:14" ht="15.75" customHeight="1" x14ac:dyDescent="0.25">
      <c r="A623" s="11"/>
      <c r="B623" s="11"/>
      <c r="C623" s="11"/>
      <c r="D623" s="11"/>
      <c r="E623" s="11"/>
      <c r="F623" s="17" t="str">
        <f>IF(E623=0,"",IFERROR(E623*Config!B18,0))</f>
        <v/>
      </c>
      <c r="G623" s="13" t="str">
        <f t="shared" si="45"/>
        <v/>
      </c>
      <c r="H623" s="11"/>
      <c r="I623" s="11"/>
      <c r="J623" s="16" t="str">
        <f t="shared" si="46"/>
        <v/>
      </c>
      <c r="K623" s="18" t="str">
        <f>IF(A623="","",IFERROR(SUMIF(Transactions!A$4:A$1003,A623,Transactions!F$4:F$1003),0))</f>
        <v/>
      </c>
      <c r="L623" s="15" t="str">
        <f t="shared" si="47"/>
        <v/>
      </c>
      <c r="M623" s="12" t="str">
        <f t="shared" ca="1" si="48"/>
        <v/>
      </c>
      <c r="N623" s="19" t="str">
        <f t="shared" ca="1" si="49"/>
        <v/>
      </c>
    </row>
    <row r="624" spans="1:14" ht="15.75" customHeight="1" x14ac:dyDescent="0.25">
      <c r="A624" s="11"/>
      <c r="B624" s="11"/>
      <c r="C624" s="11"/>
      <c r="D624" s="11"/>
      <c r="E624" s="11"/>
      <c r="F624" s="17" t="str">
        <f>IF(E624=0,"",IFERROR(E624*Config!B18,0))</f>
        <v/>
      </c>
      <c r="G624" s="13" t="str">
        <f t="shared" si="45"/>
        <v/>
      </c>
      <c r="H624" s="11"/>
      <c r="I624" s="11"/>
      <c r="J624" s="16" t="str">
        <f t="shared" si="46"/>
        <v/>
      </c>
      <c r="K624" s="18" t="str">
        <f>IF(A624="","",IFERROR(SUMIF(Transactions!A$4:A$1003,A624,Transactions!F$4:F$1003),0))</f>
        <v/>
      </c>
      <c r="L624" s="15" t="str">
        <f t="shared" si="47"/>
        <v/>
      </c>
      <c r="M624" s="12" t="str">
        <f t="shared" ca="1" si="48"/>
        <v/>
      </c>
      <c r="N624" s="19" t="str">
        <f t="shared" ca="1" si="49"/>
        <v/>
      </c>
    </row>
    <row r="625" spans="1:14" ht="15.75" customHeight="1" x14ac:dyDescent="0.25">
      <c r="A625" s="11"/>
      <c r="B625" s="11"/>
      <c r="C625" s="11"/>
      <c r="D625" s="11"/>
      <c r="E625" s="11"/>
      <c r="F625" s="17" t="str">
        <f>IF(E625=0,"",IFERROR(E625*Config!B18,0))</f>
        <v/>
      </c>
      <c r="G625" s="13" t="str">
        <f t="shared" si="45"/>
        <v/>
      </c>
      <c r="H625" s="11"/>
      <c r="I625" s="11"/>
      <c r="J625" s="16" t="str">
        <f t="shared" si="46"/>
        <v/>
      </c>
      <c r="K625" s="18" t="str">
        <f>IF(A625="","",IFERROR(SUMIF(Transactions!A$4:A$1003,A625,Transactions!F$4:F$1003),0))</f>
        <v/>
      </c>
      <c r="L625" s="15" t="str">
        <f t="shared" si="47"/>
        <v/>
      </c>
      <c r="M625" s="12" t="str">
        <f t="shared" ca="1" si="48"/>
        <v/>
      </c>
      <c r="N625" s="19" t="str">
        <f t="shared" ca="1" si="49"/>
        <v/>
      </c>
    </row>
    <row r="626" spans="1:14" ht="15.75" customHeight="1" x14ac:dyDescent="0.25">
      <c r="A626" s="11"/>
      <c r="B626" s="11"/>
      <c r="C626" s="11"/>
      <c r="D626" s="11"/>
      <c r="E626" s="11"/>
      <c r="F626" s="17" t="str">
        <f>IF(E626=0,"",IFERROR(E626*Config!B18,0))</f>
        <v/>
      </c>
      <c r="G626" s="13" t="str">
        <f t="shared" si="45"/>
        <v/>
      </c>
      <c r="H626" s="11"/>
      <c r="I626" s="11"/>
      <c r="J626" s="16" t="str">
        <f t="shared" si="46"/>
        <v/>
      </c>
      <c r="K626" s="18" t="str">
        <f>IF(A626="","",IFERROR(SUMIF(Transactions!A$4:A$1003,A626,Transactions!F$4:F$1003),0))</f>
        <v/>
      </c>
      <c r="L626" s="15" t="str">
        <f t="shared" si="47"/>
        <v/>
      </c>
      <c r="M626" s="12" t="str">
        <f t="shared" ca="1" si="48"/>
        <v/>
      </c>
      <c r="N626" s="19" t="str">
        <f t="shared" ca="1" si="49"/>
        <v/>
      </c>
    </row>
    <row r="627" spans="1:14" ht="15.75" customHeight="1" x14ac:dyDescent="0.25">
      <c r="A627" s="11"/>
      <c r="B627" s="11"/>
      <c r="C627" s="11"/>
      <c r="D627" s="11"/>
      <c r="E627" s="11"/>
      <c r="F627" s="17" t="str">
        <f>IF(E627=0,"",IFERROR(E627*Config!B18,0))</f>
        <v/>
      </c>
      <c r="G627" s="13" t="str">
        <f t="shared" si="45"/>
        <v/>
      </c>
      <c r="H627" s="11"/>
      <c r="I627" s="11"/>
      <c r="J627" s="16" t="str">
        <f t="shared" si="46"/>
        <v/>
      </c>
      <c r="K627" s="18" t="str">
        <f>IF(A627="","",IFERROR(SUMIF(Transactions!A$4:A$1003,A627,Transactions!F$4:F$1003),0))</f>
        <v/>
      </c>
      <c r="L627" s="15" t="str">
        <f t="shared" si="47"/>
        <v/>
      </c>
      <c r="M627" s="12" t="str">
        <f t="shared" ca="1" si="48"/>
        <v/>
      </c>
      <c r="N627" s="19" t="str">
        <f t="shared" ca="1" si="49"/>
        <v/>
      </c>
    </row>
    <row r="628" spans="1:14" ht="15.75" customHeight="1" x14ac:dyDescent="0.25">
      <c r="A628" s="11"/>
      <c r="B628" s="11"/>
      <c r="C628" s="11"/>
      <c r="D628" s="11"/>
      <c r="E628" s="11"/>
      <c r="F628" s="17" t="str">
        <f>IF(E628=0,"",IFERROR(E628*Config!B18,0))</f>
        <v/>
      </c>
      <c r="G628" s="13" t="str">
        <f t="shared" si="45"/>
        <v/>
      </c>
      <c r="H628" s="11"/>
      <c r="I628" s="11"/>
      <c r="J628" s="16" t="str">
        <f t="shared" si="46"/>
        <v/>
      </c>
      <c r="K628" s="18" t="str">
        <f>IF(A628="","",IFERROR(SUMIF(Transactions!A$4:A$1003,A628,Transactions!F$4:F$1003),0))</f>
        <v/>
      </c>
      <c r="L628" s="15" t="str">
        <f t="shared" si="47"/>
        <v/>
      </c>
      <c r="M628" s="12" t="str">
        <f t="shared" ca="1" si="48"/>
        <v/>
      </c>
      <c r="N628" s="19" t="str">
        <f t="shared" ca="1" si="49"/>
        <v/>
      </c>
    </row>
    <row r="629" spans="1:14" ht="15.75" customHeight="1" x14ac:dyDescent="0.25">
      <c r="A629" s="11"/>
      <c r="B629" s="11"/>
      <c r="C629" s="11"/>
      <c r="D629" s="11"/>
      <c r="E629" s="11"/>
      <c r="F629" s="17" t="str">
        <f>IF(E629=0,"",IFERROR(E629*Config!B18,0))</f>
        <v/>
      </c>
      <c r="G629" s="13" t="str">
        <f t="shared" si="45"/>
        <v/>
      </c>
      <c r="H629" s="11"/>
      <c r="I629" s="11"/>
      <c r="J629" s="16" t="str">
        <f t="shared" si="46"/>
        <v/>
      </c>
      <c r="K629" s="18" t="str">
        <f>IF(A629="","",IFERROR(SUMIF(Transactions!A$4:A$1003,A629,Transactions!F$4:F$1003),0))</f>
        <v/>
      </c>
      <c r="L629" s="15" t="str">
        <f t="shared" si="47"/>
        <v/>
      </c>
      <c r="M629" s="12" t="str">
        <f t="shared" ca="1" si="48"/>
        <v/>
      </c>
      <c r="N629" s="19" t="str">
        <f t="shared" ca="1" si="49"/>
        <v/>
      </c>
    </row>
    <row r="630" spans="1:14" ht="15.75" customHeight="1" x14ac:dyDescent="0.25">
      <c r="A630" s="11"/>
      <c r="B630" s="11"/>
      <c r="C630" s="11"/>
      <c r="D630" s="11"/>
      <c r="E630" s="11"/>
      <c r="F630" s="17" t="str">
        <f>IF(E630=0,"",IFERROR(E630*Config!B18,0))</f>
        <v/>
      </c>
      <c r="G630" s="13" t="str">
        <f t="shared" si="45"/>
        <v/>
      </c>
      <c r="H630" s="11"/>
      <c r="I630" s="11"/>
      <c r="J630" s="16" t="str">
        <f t="shared" si="46"/>
        <v/>
      </c>
      <c r="K630" s="18" t="str">
        <f>IF(A630="","",IFERROR(SUMIF(Transactions!A$4:A$1003,A630,Transactions!F$4:F$1003),0))</f>
        <v/>
      </c>
      <c r="L630" s="15" t="str">
        <f t="shared" si="47"/>
        <v/>
      </c>
      <c r="M630" s="12" t="str">
        <f t="shared" ca="1" si="48"/>
        <v/>
      </c>
      <c r="N630" s="19" t="str">
        <f t="shared" ca="1" si="49"/>
        <v/>
      </c>
    </row>
    <row r="631" spans="1:14" ht="15.75" customHeight="1" x14ac:dyDescent="0.25">
      <c r="A631" s="11"/>
      <c r="B631" s="11"/>
      <c r="C631" s="11"/>
      <c r="D631" s="11"/>
      <c r="E631" s="11"/>
      <c r="F631" s="17" t="str">
        <f>IF(E631=0,"",IFERROR(E631*Config!B18,0))</f>
        <v/>
      </c>
      <c r="G631" s="13" t="str">
        <f t="shared" si="45"/>
        <v/>
      </c>
      <c r="H631" s="11"/>
      <c r="I631" s="11"/>
      <c r="J631" s="16" t="str">
        <f t="shared" si="46"/>
        <v/>
      </c>
      <c r="K631" s="18" t="str">
        <f>IF(A631="","",IFERROR(SUMIF(Transactions!A$4:A$1003,A631,Transactions!F$4:F$1003),0))</f>
        <v/>
      </c>
      <c r="L631" s="15" t="str">
        <f t="shared" si="47"/>
        <v/>
      </c>
      <c r="M631" s="12" t="str">
        <f t="shared" ca="1" si="48"/>
        <v/>
      </c>
      <c r="N631" s="19" t="str">
        <f t="shared" ca="1" si="49"/>
        <v/>
      </c>
    </row>
    <row r="632" spans="1:14" ht="15.75" customHeight="1" x14ac:dyDescent="0.25">
      <c r="A632" s="11"/>
      <c r="B632" s="11"/>
      <c r="C632" s="11"/>
      <c r="D632" s="11"/>
      <c r="E632" s="11"/>
      <c r="F632" s="17" t="str">
        <f>IF(E632=0,"",IFERROR(E632*Config!B18,0))</f>
        <v/>
      </c>
      <c r="G632" s="13" t="str">
        <f t="shared" si="45"/>
        <v/>
      </c>
      <c r="H632" s="11"/>
      <c r="I632" s="11"/>
      <c r="J632" s="16" t="str">
        <f t="shared" si="46"/>
        <v/>
      </c>
      <c r="K632" s="18" t="str">
        <f>IF(A632="","",IFERROR(SUMIF(Transactions!A$4:A$1003,A632,Transactions!F$4:F$1003),0))</f>
        <v/>
      </c>
      <c r="L632" s="15" t="str">
        <f t="shared" si="47"/>
        <v/>
      </c>
      <c r="M632" s="12" t="str">
        <f t="shared" ca="1" si="48"/>
        <v/>
      </c>
      <c r="N632" s="19" t="str">
        <f t="shared" ca="1" si="49"/>
        <v/>
      </c>
    </row>
    <row r="633" spans="1:14" ht="15.75" customHeight="1" x14ac:dyDescent="0.25">
      <c r="A633" s="11"/>
      <c r="B633" s="11"/>
      <c r="C633" s="11"/>
      <c r="D633" s="11"/>
      <c r="E633" s="11"/>
      <c r="F633" s="17" t="str">
        <f>IF(E633=0,"",IFERROR(E633*Config!B18,0))</f>
        <v/>
      </c>
      <c r="G633" s="13" t="str">
        <f t="shared" si="45"/>
        <v/>
      </c>
      <c r="H633" s="11"/>
      <c r="I633" s="11"/>
      <c r="J633" s="16" t="str">
        <f t="shared" si="46"/>
        <v/>
      </c>
      <c r="K633" s="18" t="str">
        <f>IF(A633="","",IFERROR(SUMIF(Transactions!A$4:A$1003,A633,Transactions!F$4:F$1003),0))</f>
        <v/>
      </c>
      <c r="L633" s="15" t="str">
        <f t="shared" si="47"/>
        <v/>
      </c>
      <c r="M633" s="12" t="str">
        <f t="shared" ca="1" si="48"/>
        <v/>
      </c>
      <c r="N633" s="19" t="str">
        <f t="shared" ca="1" si="49"/>
        <v/>
      </c>
    </row>
    <row r="634" spans="1:14" ht="15.75" customHeight="1" x14ac:dyDescent="0.25">
      <c r="A634" s="11"/>
      <c r="B634" s="11"/>
      <c r="C634" s="11"/>
      <c r="D634" s="11"/>
      <c r="E634" s="11"/>
      <c r="F634" s="17" t="str">
        <f>IF(E634=0,"",IFERROR(E634*Config!B18,0))</f>
        <v/>
      </c>
      <c r="G634" s="13" t="str">
        <f t="shared" si="45"/>
        <v/>
      </c>
      <c r="H634" s="11"/>
      <c r="I634" s="11"/>
      <c r="J634" s="16" t="str">
        <f t="shared" si="46"/>
        <v/>
      </c>
      <c r="K634" s="18" t="str">
        <f>IF(A634="","",IFERROR(SUMIF(Transactions!A$4:A$1003,A634,Transactions!F$4:F$1003),0))</f>
        <v/>
      </c>
      <c r="L634" s="15" t="str">
        <f t="shared" si="47"/>
        <v/>
      </c>
      <c r="M634" s="12" t="str">
        <f t="shared" ca="1" si="48"/>
        <v/>
      </c>
      <c r="N634" s="19" t="str">
        <f t="shared" ca="1" si="49"/>
        <v/>
      </c>
    </row>
    <row r="635" spans="1:14" ht="15.75" customHeight="1" x14ac:dyDescent="0.25">
      <c r="A635" s="11"/>
      <c r="B635" s="11"/>
      <c r="C635" s="11"/>
      <c r="D635" s="11"/>
      <c r="E635" s="11"/>
      <c r="F635" s="17" t="str">
        <f>IF(E635=0,"",IFERROR(E635*Config!B18,0))</f>
        <v/>
      </c>
      <c r="G635" s="13" t="str">
        <f t="shared" si="45"/>
        <v/>
      </c>
      <c r="H635" s="11"/>
      <c r="I635" s="11"/>
      <c r="J635" s="16" t="str">
        <f t="shared" si="46"/>
        <v/>
      </c>
      <c r="K635" s="18" t="str">
        <f>IF(A635="","",IFERROR(SUMIF(Transactions!A$4:A$1003,A635,Transactions!F$4:F$1003),0))</f>
        <v/>
      </c>
      <c r="L635" s="15" t="str">
        <f t="shared" si="47"/>
        <v/>
      </c>
      <c r="M635" s="12" t="str">
        <f t="shared" ca="1" si="48"/>
        <v/>
      </c>
      <c r="N635" s="19" t="str">
        <f t="shared" ca="1" si="49"/>
        <v/>
      </c>
    </row>
    <row r="636" spans="1:14" ht="15.75" customHeight="1" x14ac:dyDescent="0.25">
      <c r="A636" s="11"/>
      <c r="B636" s="11"/>
      <c r="C636" s="11"/>
      <c r="D636" s="11"/>
      <c r="E636" s="11"/>
      <c r="F636" s="17" t="str">
        <f>IF(E636=0,"",IFERROR(E636*Config!B18,0))</f>
        <v/>
      </c>
      <c r="G636" s="13" t="str">
        <f t="shared" si="45"/>
        <v/>
      </c>
      <c r="H636" s="11"/>
      <c r="I636" s="11"/>
      <c r="J636" s="16" t="str">
        <f t="shared" si="46"/>
        <v/>
      </c>
      <c r="K636" s="18" t="str">
        <f>IF(A636="","",IFERROR(SUMIF(Transactions!A$4:A$1003,A636,Transactions!F$4:F$1003),0))</f>
        <v/>
      </c>
      <c r="L636" s="15" t="str">
        <f t="shared" si="47"/>
        <v/>
      </c>
      <c r="M636" s="12" t="str">
        <f t="shared" ca="1" si="48"/>
        <v/>
      </c>
      <c r="N636" s="19" t="str">
        <f t="shared" ca="1" si="49"/>
        <v/>
      </c>
    </row>
    <row r="637" spans="1:14" ht="15.75" customHeight="1" x14ac:dyDescent="0.25">
      <c r="A637" s="11"/>
      <c r="B637" s="11"/>
      <c r="C637" s="11"/>
      <c r="D637" s="11"/>
      <c r="E637" s="11"/>
      <c r="F637" s="17" t="str">
        <f>IF(E637=0,"",IFERROR(E637*Config!B18,0))</f>
        <v/>
      </c>
      <c r="G637" s="13" t="str">
        <f t="shared" si="45"/>
        <v/>
      </c>
      <c r="H637" s="11"/>
      <c r="I637" s="11"/>
      <c r="J637" s="16" t="str">
        <f t="shared" si="46"/>
        <v/>
      </c>
      <c r="K637" s="18" t="str">
        <f>IF(A637="","",IFERROR(SUMIF(Transactions!A$4:A$1003,A637,Transactions!F$4:F$1003),0))</f>
        <v/>
      </c>
      <c r="L637" s="15" t="str">
        <f t="shared" si="47"/>
        <v/>
      </c>
      <c r="M637" s="12" t="str">
        <f t="shared" ca="1" si="48"/>
        <v/>
      </c>
      <c r="N637" s="19" t="str">
        <f t="shared" ca="1" si="49"/>
        <v/>
      </c>
    </row>
    <row r="638" spans="1:14" ht="15.75" customHeight="1" x14ac:dyDescent="0.25">
      <c r="A638" s="11"/>
      <c r="B638" s="11"/>
      <c r="C638" s="11"/>
      <c r="D638" s="11"/>
      <c r="E638" s="11"/>
      <c r="F638" s="17" t="str">
        <f>IF(E638=0,"",IFERROR(E638*Config!B18,0))</f>
        <v/>
      </c>
      <c r="G638" s="13" t="str">
        <f t="shared" si="45"/>
        <v/>
      </c>
      <c r="H638" s="11"/>
      <c r="I638" s="11"/>
      <c r="J638" s="16" t="str">
        <f t="shared" si="46"/>
        <v/>
      </c>
      <c r="K638" s="18" t="str">
        <f>IF(A638="","",IFERROR(SUMIF(Transactions!A$4:A$1003,A638,Transactions!F$4:F$1003),0))</f>
        <v/>
      </c>
      <c r="L638" s="15" t="str">
        <f t="shared" si="47"/>
        <v/>
      </c>
      <c r="M638" s="12" t="str">
        <f t="shared" ca="1" si="48"/>
        <v/>
      </c>
      <c r="N638" s="19" t="str">
        <f t="shared" ca="1" si="49"/>
        <v/>
      </c>
    </row>
    <row r="639" spans="1:14" ht="15.75" customHeight="1" x14ac:dyDescent="0.25">
      <c r="A639" s="11"/>
      <c r="B639" s="11"/>
      <c r="C639" s="11"/>
      <c r="D639" s="11"/>
      <c r="E639" s="11"/>
      <c r="F639" s="17" t="str">
        <f>IF(E639=0,"",IFERROR(E639*Config!B18,0))</f>
        <v/>
      </c>
      <c r="G639" s="13" t="str">
        <f t="shared" si="45"/>
        <v/>
      </c>
      <c r="H639" s="11"/>
      <c r="I639" s="11"/>
      <c r="J639" s="16" t="str">
        <f t="shared" si="46"/>
        <v/>
      </c>
      <c r="K639" s="18" t="str">
        <f>IF(A639="","",IFERROR(SUMIF(Transactions!A$4:A$1003,A639,Transactions!F$4:F$1003),0))</f>
        <v/>
      </c>
      <c r="L639" s="15" t="str">
        <f t="shared" si="47"/>
        <v/>
      </c>
      <c r="M639" s="12" t="str">
        <f t="shared" ca="1" si="48"/>
        <v/>
      </c>
      <c r="N639" s="19" t="str">
        <f t="shared" ca="1" si="49"/>
        <v/>
      </c>
    </row>
    <row r="640" spans="1:14" ht="15.75" customHeight="1" x14ac:dyDescent="0.25">
      <c r="A640" s="11"/>
      <c r="B640" s="11"/>
      <c r="C640" s="11"/>
      <c r="D640" s="11"/>
      <c r="E640" s="11"/>
      <c r="F640" s="17" t="str">
        <f>IF(E640=0,"",IFERROR(E640*Config!B18,0))</f>
        <v/>
      </c>
      <c r="G640" s="13" t="str">
        <f t="shared" si="45"/>
        <v/>
      </c>
      <c r="H640" s="11"/>
      <c r="I640" s="11"/>
      <c r="J640" s="16" t="str">
        <f t="shared" si="46"/>
        <v/>
      </c>
      <c r="K640" s="18" t="str">
        <f>IF(A640="","",IFERROR(SUMIF(Transactions!A$4:A$1003,A640,Transactions!F$4:F$1003),0))</f>
        <v/>
      </c>
      <c r="L640" s="15" t="str">
        <f t="shared" si="47"/>
        <v/>
      </c>
      <c r="M640" s="12" t="str">
        <f t="shared" ca="1" si="48"/>
        <v/>
      </c>
      <c r="N640" s="19" t="str">
        <f t="shared" ca="1" si="49"/>
        <v/>
      </c>
    </row>
    <row r="641" spans="1:14" ht="15.75" customHeight="1" x14ac:dyDescent="0.25">
      <c r="A641" s="11"/>
      <c r="B641" s="11"/>
      <c r="C641" s="11"/>
      <c r="D641" s="11"/>
      <c r="E641" s="11"/>
      <c r="F641" s="17" t="str">
        <f>IF(E641=0,"",IFERROR(E641*Config!B18,0))</f>
        <v/>
      </c>
      <c r="G641" s="13" t="str">
        <f t="shared" si="45"/>
        <v/>
      </c>
      <c r="H641" s="11"/>
      <c r="I641" s="11"/>
      <c r="J641" s="16" t="str">
        <f t="shared" si="46"/>
        <v/>
      </c>
      <c r="K641" s="18" t="str">
        <f>IF(A641="","",IFERROR(SUMIF(Transactions!A$4:A$1003,A641,Transactions!F$4:F$1003),0))</f>
        <v/>
      </c>
      <c r="L641" s="15" t="str">
        <f t="shared" si="47"/>
        <v/>
      </c>
      <c r="M641" s="12" t="str">
        <f t="shared" ca="1" si="48"/>
        <v/>
      </c>
      <c r="N641" s="19" t="str">
        <f t="shared" ca="1" si="49"/>
        <v/>
      </c>
    </row>
    <row r="642" spans="1:14" ht="15.75" customHeight="1" x14ac:dyDescent="0.25">
      <c r="A642" s="11"/>
      <c r="B642" s="11"/>
      <c r="C642" s="11"/>
      <c r="D642" s="11"/>
      <c r="E642" s="11"/>
      <c r="F642" s="17" t="str">
        <f>IF(E642=0,"",IFERROR(E642*Config!B18,0))</f>
        <v/>
      </c>
      <c r="G642" s="13" t="str">
        <f t="shared" si="45"/>
        <v/>
      </c>
      <c r="H642" s="11"/>
      <c r="I642" s="11"/>
      <c r="J642" s="16" t="str">
        <f t="shared" si="46"/>
        <v/>
      </c>
      <c r="K642" s="18" t="str">
        <f>IF(A642="","",IFERROR(SUMIF(Transactions!A$4:A$1003,A642,Transactions!F$4:F$1003),0))</f>
        <v/>
      </c>
      <c r="L642" s="15" t="str">
        <f t="shared" si="47"/>
        <v/>
      </c>
      <c r="M642" s="12" t="str">
        <f t="shared" ca="1" si="48"/>
        <v/>
      </c>
      <c r="N642" s="19" t="str">
        <f t="shared" ca="1" si="49"/>
        <v/>
      </c>
    </row>
    <row r="643" spans="1:14" ht="15.75" customHeight="1" x14ac:dyDescent="0.25">
      <c r="A643" s="11"/>
      <c r="B643" s="11"/>
      <c r="C643" s="11"/>
      <c r="D643" s="11"/>
      <c r="E643" s="11"/>
      <c r="F643" s="17" t="str">
        <f>IF(E643=0,"",IFERROR(E643*Config!B18,0))</f>
        <v/>
      </c>
      <c r="G643" s="13" t="str">
        <f t="shared" si="45"/>
        <v/>
      </c>
      <c r="H643" s="11"/>
      <c r="I643" s="11"/>
      <c r="J643" s="16" t="str">
        <f t="shared" si="46"/>
        <v/>
      </c>
      <c r="K643" s="18" t="str">
        <f>IF(A643="","",IFERROR(SUMIF(Transactions!A$4:A$1003,A643,Transactions!F$4:F$1003),0))</f>
        <v/>
      </c>
      <c r="L643" s="15" t="str">
        <f t="shared" si="47"/>
        <v/>
      </c>
      <c r="M643" s="12" t="str">
        <f t="shared" ca="1" si="48"/>
        <v/>
      </c>
      <c r="N643" s="19" t="str">
        <f t="shared" ca="1" si="49"/>
        <v/>
      </c>
    </row>
    <row r="644" spans="1:14" ht="15.75" customHeight="1" x14ac:dyDescent="0.25">
      <c r="A644" s="11"/>
      <c r="B644" s="11"/>
      <c r="C644" s="11"/>
      <c r="D644" s="11"/>
      <c r="E644" s="11"/>
      <c r="F644" s="17" t="str">
        <f>IF(E644=0,"",IFERROR(E644*Config!B18,0))</f>
        <v/>
      </c>
      <c r="G644" s="13" t="str">
        <f t="shared" ref="G644:G707" si="50">IF(E644=0,"",MAX(0,E644-F644))</f>
        <v/>
      </c>
      <c r="H644" s="11"/>
      <c r="I644" s="11"/>
      <c r="J644" s="16" t="str">
        <f t="shared" ref="J644:J707" si="51">IF(E644=0,"",IFERROR(-PMT(H644/100/12,I644,-E644),0))</f>
        <v/>
      </c>
      <c r="K644" s="18" t="str">
        <f>IF(A644="","",IFERROR(SUMIF(Transactions!A$4:A$1003,A644,Transactions!F$4:F$1003),0))</f>
        <v/>
      </c>
      <c r="L644" s="15" t="str">
        <f t="shared" ref="L644:L707" si="52">IF(E644=0,"",MAX(0,E644-K644))</f>
        <v/>
      </c>
      <c r="M644" s="12" t="str">
        <f t="shared" ref="M644:M707" ca="1" si="53">IF(A644="","",IF(L644&lt;=0,"✅ Fully Paid",IF(AND(D644&lt;&gt;"",TODAY()&gt;D644+I644*30),"⚠ Overdue","🟢 Active")))</f>
        <v/>
      </c>
      <c r="N644" s="19" t="str">
        <f t="shared" ref="N644:N707" ca="1" si="54">IF(L644&lt;=0,TODAY(),"")</f>
        <v/>
      </c>
    </row>
    <row r="645" spans="1:14" ht="15.75" customHeight="1" x14ac:dyDescent="0.25">
      <c r="A645" s="11"/>
      <c r="B645" s="11"/>
      <c r="C645" s="11"/>
      <c r="D645" s="11"/>
      <c r="E645" s="11"/>
      <c r="F645" s="17" t="str">
        <f>IF(E645=0,"",IFERROR(E645*Config!B18,0))</f>
        <v/>
      </c>
      <c r="G645" s="13" t="str">
        <f t="shared" si="50"/>
        <v/>
      </c>
      <c r="H645" s="11"/>
      <c r="I645" s="11"/>
      <c r="J645" s="16" t="str">
        <f t="shared" si="51"/>
        <v/>
      </c>
      <c r="K645" s="18" t="str">
        <f>IF(A645="","",IFERROR(SUMIF(Transactions!A$4:A$1003,A645,Transactions!F$4:F$1003),0))</f>
        <v/>
      </c>
      <c r="L645" s="15" t="str">
        <f t="shared" si="52"/>
        <v/>
      </c>
      <c r="M645" s="12" t="str">
        <f t="shared" ca="1" si="53"/>
        <v/>
      </c>
      <c r="N645" s="19" t="str">
        <f t="shared" ca="1" si="54"/>
        <v/>
      </c>
    </row>
    <row r="646" spans="1:14" ht="15.75" customHeight="1" x14ac:dyDescent="0.25">
      <c r="A646" s="11"/>
      <c r="B646" s="11"/>
      <c r="C646" s="11"/>
      <c r="D646" s="11"/>
      <c r="E646" s="11"/>
      <c r="F646" s="17" t="str">
        <f>IF(E646=0,"",IFERROR(E646*Config!B18,0))</f>
        <v/>
      </c>
      <c r="G646" s="13" t="str">
        <f t="shared" si="50"/>
        <v/>
      </c>
      <c r="H646" s="11"/>
      <c r="I646" s="11"/>
      <c r="J646" s="16" t="str">
        <f t="shared" si="51"/>
        <v/>
      </c>
      <c r="K646" s="18" t="str">
        <f>IF(A646="","",IFERROR(SUMIF(Transactions!A$4:A$1003,A646,Transactions!F$4:F$1003),0))</f>
        <v/>
      </c>
      <c r="L646" s="15" t="str">
        <f t="shared" si="52"/>
        <v/>
      </c>
      <c r="M646" s="12" t="str">
        <f t="shared" ca="1" si="53"/>
        <v/>
      </c>
      <c r="N646" s="19" t="str">
        <f t="shared" ca="1" si="54"/>
        <v/>
      </c>
    </row>
    <row r="647" spans="1:14" ht="15.75" customHeight="1" x14ac:dyDescent="0.25">
      <c r="A647" s="11"/>
      <c r="B647" s="11"/>
      <c r="C647" s="11"/>
      <c r="D647" s="11"/>
      <c r="E647" s="11"/>
      <c r="F647" s="17" t="str">
        <f>IF(E647=0,"",IFERROR(E647*Config!B18,0))</f>
        <v/>
      </c>
      <c r="G647" s="13" t="str">
        <f t="shared" si="50"/>
        <v/>
      </c>
      <c r="H647" s="11"/>
      <c r="I647" s="11"/>
      <c r="J647" s="16" t="str">
        <f t="shared" si="51"/>
        <v/>
      </c>
      <c r="K647" s="18" t="str">
        <f>IF(A647="","",IFERROR(SUMIF(Transactions!A$4:A$1003,A647,Transactions!F$4:F$1003),0))</f>
        <v/>
      </c>
      <c r="L647" s="15" t="str">
        <f t="shared" si="52"/>
        <v/>
      </c>
      <c r="M647" s="12" t="str">
        <f t="shared" ca="1" si="53"/>
        <v/>
      </c>
      <c r="N647" s="19" t="str">
        <f t="shared" ca="1" si="54"/>
        <v/>
      </c>
    </row>
    <row r="648" spans="1:14" ht="15.75" customHeight="1" x14ac:dyDescent="0.25">
      <c r="A648" s="11"/>
      <c r="B648" s="11"/>
      <c r="C648" s="11"/>
      <c r="D648" s="11"/>
      <c r="E648" s="11"/>
      <c r="F648" s="17" t="str">
        <f>IF(E648=0,"",IFERROR(E648*Config!B18,0))</f>
        <v/>
      </c>
      <c r="G648" s="13" t="str">
        <f t="shared" si="50"/>
        <v/>
      </c>
      <c r="H648" s="11"/>
      <c r="I648" s="11"/>
      <c r="J648" s="16" t="str">
        <f t="shared" si="51"/>
        <v/>
      </c>
      <c r="K648" s="18" t="str">
        <f>IF(A648="","",IFERROR(SUMIF(Transactions!A$4:A$1003,A648,Transactions!F$4:F$1003),0))</f>
        <v/>
      </c>
      <c r="L648" s="15" t="str">
        <f t="shared" si="52"/>
        <v/>
      </c>
      <c r="M648" s="12" t="str">
        <f t="shared" ca="1" si="53"/>
        <v/>
      </c>
      <c r="N648" s="19" t="str">
        <f t="shared" ca="1" si="54"/>
        <v/>
      </c>
    </row>
    <row r="649" spans="1:14" ht="15.75" customHeight="1" x14ac:dyDescent="0.25">
      <c r="A649" s="11"/>
      <c r="B649" s="11"/>
      <c r="C649" s="11"/>
      <c r="D649" s="11"/>
      <c r="E649" s="11"/>
      <c r="F649" s="17" t="str">
        <f>IF(E649=0,"",IFERROR(E649*Config!B18,0))</f>
        <v/>
      </c>
      <c r="G649" s="13" t="str">
        <f t="shared" si="50"/>
        <v/>
      </c>
      <c r="H649" s="11"/>
      <c r="I649" s="11"/>
      <c r="J649" s="16" t="str">
        <f t="shared" si="51"/>
        <v/>
      </c>
      <c r="K649" s="18" t="str">
        <f>IF(A649="","",IFERROR(SUMIF(Transactions!A$4:A$1003,A649,Transactions!F$4:F$1003),0))</f>
        <v/>
      </c>
      <c r="L649" s="15" t="str">
        <f t="shared" si="52"/>
        <v/>
      </c>
      <c r="M649" s="12" t="str">
        <f t="shared" ca="1" si="53"/>
        <v/>
      </c>
      <c r="N649" s="19" t="str">
        <f t="shared" ca="1" si="54"/>
        <v/>
      </c>
    </row>
    <row r="650" spans="1:14" ht="15.75" customHeight="1" x14ac:dyDescent="0.25">
      <c r="A650" s="11"/>
      <c r="B650" s="11"/>
      <c r="C650" s="11"/>
      <c r="D650" s="11"/>
      <c r="E650" s="11"/>
      <c r="F650" s="17" t="str">
        <f>IF(E650=0,"",IFERROR(E650*Config!B18,0))</f>
        <v/>
      </c>
      <c r="G650" s="13" t="str">
        <f t="shared" si="50"/>
        <v/>
      </c>
      <c r="H650" s="11"/>
      <c r="I650" s="11"/>
      <c r="J650" s="16" t="str">
        <f t="shared" si="51"/>
        <v/>
      </c>
      <c r="K650" s="18" t="str">
        <f>IF(A650="","",IFERROR(SUMIF(Transactions!A$4:A$1003,A650,Transactions!F$4:F$1003),0))</f>
        <v/>
      </c>
      <c r="L650" s="15" t="str">
        <f t="shared" si="52"/>
        <v/>
      </c>
      <c r="M650" s="12" t="str">
        <f t="shared" ca="1" si="53"/>
        <v/>
      </c>
      <c r="N650" s="19" t="str">
        <f t="shared" ca="1" si="54"/>
        <v/>
      </c>
    </row>
    <row r="651" spans="1:14" ht="15.75" customHeight="1" x14ac:dyDescent="0.25">
      <c r="A651" s="11"/>
      <c r="B651" s="11"/>
      <c r="C651" s="11"/>
      <c r="D651" s="11"/>
      <c r="E651" s="11"/>
      <c r="F651" s="17" t="str">
        <f>IF(E651=0,"",IFERROR(E651*Config!B18,0))</f>
        <v/>
      </c>
      <c r="G651" s="13" t="str">
        <f t="shared" si="50"/>
        <v/>
      </c>
      <c r="H651" s="11"/>
      <c r="I651" s="11"/>
      <c r="J651" s="16" t="str">
        <f t="shared" si="51"/>
        <v/>
      </c>
      <c r="K651" s="18" t="str">
        <f>IF(A651="","",IFERROR(SUMIF(Transactions!A$4:A$1003,A651,Transactions!F$4:F$1003),0))</f>
        <v/>
      </c>
      <c r="L651" s="15" t="str">
        <f t="shared" si="52"/>
        <v/>
      </c>
      <c r="M651" s="12" t="str">
        <f t="shared" ca="1" si="53"/>
        <v/>
      </c>
      <c r="N651" s="19" t="str">
        <f t="shared" ca="1" si="54"/>
        <v/>
      </c>
    </row>
    <row r="652" spans="1:14" ht="15.75" customHeight="1" x14ac:dyDescent="0.25">
      <c r="A652" s="11"/>
      <c r="B652" s="11"/>
      <c r="C652" s="11"/>
      <c r="D652" s="11"/>
      <c r="E652" s="11"/>
      <c r="F652" s="17" t="str">
        <f>IF(E652=0,"",IFERROR(E652*Config!B18,0))</f>
        <v/>
      </c>
      <c r="G652" s="13" t="str">
        <f t="shared" si="50"/>
        <v/>
      </c>
      <c r="H652" s="11"/>
      <c r="I652" s="11"/>
      <c r="J652" s="16" t="str">
        <f t="shared" si="51"/>
        <v/>
      </c>
      <c r="K652" s="18" t="str">
        <f>IF(A652="","",IFERROR(SUMIF(Transactions!A$4:A$1003,A652,Transactions!F$4:F$1003),0))</f>
        <v/>
      </c>
      <c r="L652" s="15" t="str">
        <f t="shared" si="52"/>
        <v/>
      </c>
      <c r="M652" s="12" t="str">
        <f t="shared" ca="1" si="53"/>
        <v/>
      </c>
      <c r="N652" s="19" t="str">
        <f t="shared" ca="1" si="54"/>
        <v/>
      </c>
    </row>
    <row r="653" spans="1:14" ht="15.75" customHeight="1" x14ac:dyDescent="0.25">
      <c r="A653" s="11"/>
      <c r="B653" s="11"/>
      <c r="C653" s="11"/>
      <c r="D653" s="11"/>
      <c r="E653" s="11"/>
      <c r="F653" s="17" t="str">
        <f>IF(E653=0,"",IFERROR(E653*Config!B18,0))</f>
        <v/>
      </c>
      <c r="G653" s="13" t="str">
        <f t="shared" si="50"/>
        <v/>
      </c>
      <c r="H653" s="11"/>
      <c r="I653" s="11"/>
      <c r="J653" s="16" t="str">
        <f t="shared" si="51"/>
        <v/>
      </c>
      <c r="K653" s="18" t="str">
        <f>IF(A653="","",IFERROR(SUMIF(Transactions!A$4:A$1003,A653,Transactions!F$4:F$1003),0))</f>
        <v/>
      </c>
      <c r="L653" s="15" t="str">
        <f t="shared" si="52"/>
        <v/>
      </c>
      <c r="M653" s="12" t="str">
        <f t="shared" ca="1" si="53"/>
        <v/>
      </c>
      <c r="N653" s="19" t="str">
        <f t="shared" ca="1" si="54"/>
        <v/>
      </c>
    </row>
    <row r="654" spans="1:14" ht="15.75" customHeight="1" x14ac:dyDescent="0.25">
      <c r="A654" s="11"/>
      <c r="B654" s="11"/>
      <c r="C654" s="11"/>
      <c r="D654" s="11"/>
      <c r="E654" s="11"/>
      <c r="F654" s="17" t="str">
        <f>IF(E654=0,"",IFERROR(E654*Config!B18,0))</f>
        <v/>
      </c>
      <c r="G654" s="13" t="str">
        <f t="shared" si="50"/>
        <v/>
      </c>
      <c r="H654" s="11"/>
      <c r="I654" s="11"/>
      <c r="J654" s="16" t="str">
        <f t="shared" si="51"/>
        <v/>
      </c>
      <c r="K654" s="18" t="str">
        <f>IF(A654="","",IFERROR(SUMIF(Transactions!A$4:A$1003,A654,Transactions!F$4:F$1003),0))</f>
        <v/>
      </c>
      <c r="L654" s="15" t="str">
        <f t="shared" si="52"/>
        <v/>
      </c>
      <c r="M654" s="12" t="str">
        <f t="shared" ca="1" si="53"/>
        <v/>
      </c>
      <c r="N654" s="19" t="str">
        <f t="shared" ca="1" si="54"/>
        <v/>
      </c>
    </row>
    <row r="655" spans="1:14" ht="15.75" customHeight="1" x14ac:dyDescent="0.25">
      <c r="A655" s="11"/>
      <c r="B655" s="11"/>
      <c r="C655" s="11"/>
      <c r="D655" s="11"/>
      <c r="E655" s="11"/>
      <c r="F655" s="17" t="str">
        <f>IF(E655=0,"",IFERROR(E655*Config!B18,0))</f>
        <v/>
      </c>
      <c r="G655" s="13" t="str">
        <f t="shared" si="50"/>
        <v/>
      </c>
      <c r="H655" s="11"/>
      <c r="I655" s="11"/>
      <c r="J655" s="16" t="str">
        <f t="shared" si="51"/>
        <v/>
      </c>
      <c r="K655" s="18" t="str">
        <f>IF(A655="","",IFERROR(SUMIF(Transactions!A$4:A$1003,A655,Transactions!F$4:F$1003),0))</f>
        <v/>
      </c>
      <c r="L655" s="15" t="str">
        <f t="shared" si="52"/>
        <v/>
      </c>
      <c r="M655" s="12" t="str">
        <f t="shared" ca="1" si="53"/>
        <v/>
      </c>
      <c r="N655" s="19" t="str">
        <f t="shared" ca="1" si="54"/>
        <v/>
      </c>
    </row>
    <row r="656" spans="1:14" ht="15.75" customHeight="1" x14ac:dyDescent="0.25">
      <c r="A656" s="11"/>
      <c r="B656" s="11"/>
      <c r="C656" s="11"/>
      <c r="D656" s="11"/>
      <c r="E656" s="11"/>
      <c r="F656" s="17" t="str">
        <f>IF(E656=0,"",IFERROR(E656*Config!B18,0))</f>
        <v/>
      </c>
      <c r="G656" s="13" t="str">
        <f t="shared" si="50"/>
        <v/>
      </c>
      <c r="H656" s="11"/>
      <c r="I656" s="11"/>
      <c r="J656" s="16" t="str">
        <f t="shared" si="51"/>
        <v/>
      </c>
      <c r="K656" s="18" t="str">
        <f>IF(A656="","",IFERROR(SUMIF(Transactions!A$4:A$1003,A656,Transactions!F$4:F$1003),0))</f>
        <v/>
      </c>
      <c r="L656" s="15" t="str">
        <f t="shared" si="52"/>
        <v/>
      </c>
      <c r="M656" s="12" t="str">
        <f t="shared" ca="1" si="53"/>
        <v/>
      </c>
      <c r="N656" s="19" t="str">
        <f t="shared" ca="1" si="54"/>
        <v/>
      </c>
    </row>
    <row r="657" spans="1:14" ht="15.75" customHeight="1" x14ac:dyDescent="0.25">
      <c r="A657" s="11"/>
      <c r="B657" s="11"/>
      <c r="C657" s="11"/>
      <c r="D657" s="11"/>
      <c r="E657" s="11"/>
      <c r="F657" s="17" t="str">
        <f>IF(E657=0,"",IFERROR(E657*Config!B18,0))</f>
        <v/>
      </c>
      <c r="G657" s="13" t="str">
        <f t="shared" si="50"/>
        <v/>
      </c>
      <c r="H657" s="11"/>
      <c r="I657" s="11"/>
      <c r="J657" s="16" t="str">
        <f t="shared" si="51"/>
        <v/>
      </c>
      <c r="K657" s="18" t="str">
        <f>IF(A657="","",IFERROR(SUMIF(Transactions!A$4:A$1003,A657,Transactions!F$4:F$1003),0))</f>
        <v/>
      </c>
      <c r="L657" s="15" t="str">
        <f t="shared" si="52"/>
        <v/>
      </c>
      <c r="M657" s="12" t="str">
        <f t="shared" ca="1" si="53"/>
        <v/>
      </c>
      <c r="N657" s="19" t="str">
        <f t="shared" ca="1" si="54"/>
        <v/>
      </c>
    </row>
    <row r="658" spans="1:14" ht="15.75" customHeight="1" x14ac:dyDescent="0.25">
      <c r="A658" s="11"/>
      <c r="B658" s="11"/>
      <c r="C658" s="11"/>
      <c r="D658" s="11"/>
      <c r="E658" s="11"/>
      <c r="F658" s="17" t="str">
        <f>IF(E658=0,"",IFERROR(E658*Config!B18,0))</f>
        <v/>
      </c>
      <c r="G658" s="13" t="str">
        <f t="shared" si="50"/>
        <v/>
      </c>
      <c r="H658" s="11"/>
      <c r="I658" s="11"/>
      <c r="J658" s="16" t="str">
        <f t="shared" si="51"/>
        <v/>
      </c>
      <c r="K658" s="18" t="str">
        <f>IF(A658="","",IFERROR(SUMIF(Transactions!A$4:A$1003,A658,Transactions!F$4:F$1003),0))</f>
        <v/>
      </c>
      <c r="L658" s="15" t="str">
        <f t="shared" si="52"/>
        <v/>
      </c>
      <c r="M658" s="12" t="str">
        <f t="shared" ca="1" si="53"/>
        <v/>
      </c>
      <c r="N658" s="19" t="str">
        <f t="shared" ca="1" si="54"/>
        <v/>
      </c>
    </row>
    <row r="659" spans="1:14" ht="15.75" customHeight="1" x14ac:dyDescent="0.25">
      <c r="A659" s="11"/>
      <c r="B659" s="11"/>
      <c r="C659" s="11"/>
      <c r="D659" s="11"/>
      <c r="E659" s="11"/>
      <c r="F659" s="17" t="str">
        <f>IF(E659=0,"",IFERROR(E659*Config!B18,0))</f>
        <v/>
      </c>
      <c r="G659" s="13" t="str">
        <f t="shared" si="50"/>
        <v/>
      </c>
      <c r="H659" s="11"/>
      <c r="I659" s="11"/>
      <c r="J659" s="16" t="str">
        <f t="shared" si="51"/>
        <v/>
      </c>
      <c r="K659" s="18" t="str">
        <f>IF(A659="","",IFERROR(SUMIF(Transactions!A$4:A$1003,A659,Transactions!F$4:F$1003),0))</f>
        <v/>
      </c>
      <c r="L659" s="15" t="str">
        <f t="shared" si="52"/>
        <v/>
      </c>
      <c r="M659" s="12" t="str">
        <f t="shared" ca="1" si="53"/>
        <v/>
      </c>
      <c r="N659" s="19" t="str">
        <f t="shared" ca="1" si="54"/>
        <v/>
      </c>
    </row>
    <row r="660" spans="1:14" ht="15.75" customHeight="1" x14ac:dyDescent="0.25">
      <c r="A660" s="11"/>
      <c r="B660" s="11"/>
      <c r="C660" s="11"/>
      <c r="D660" s="11"/>
      <c r="E660" s="11"/>
      <c r="F660" s="17" t="str">
        <f>IF(E660=0,"",IFERROR(E660*Config!B18,0))</f>
        <v/>
      </c>
      <c r="G660" s="13" t="str">
        <f t="shared" si="50"/>
        <v/>
      </c>
      <c r="H660" s="11"/>
      <c r="I660" s="11"/>
      <c r="J660" s="16" t="str">
        <f t="shared" si="51"/>
        <v/>
      </c>
      <c r="K660" s="18" t="str">
        <f>IF(A660="","",IFERROR(SUMIF(Transactions!A$4:A$1003,A660,Transactions!F$4:F$1003),0))</f>
        <v/>
      </c>
      <c r="L660" s="15" t="str">
        <f t="shared" si="52"/>
        <v/>
      </c>
      <c r="M660" s="12" t="str">
        <f t="shared" ca="1" si="53"/>
        <v/>
      </c>
      <c r="N660" s="19" t="str">
        <f t="shared" ca="1" si="54"/>
        <v/>
      </c>
    </row>
    <row r="661" spans="1:14" ht="15.75" customHeight="1" x14ac:dyDescent="0.25">
      <c r="A661" s="11"/>
      <c r="B661" s="11"/>
      <c r="C661" s="11"/>
      <c r="D661" s="11"/>
      <c r="E661" s="11"/>
      <c r="F661" s="17" t="str">
        <f>IF(E661=0,"",IFERROR(E661*Config!B18,0))</f>
        <v/>
      </c>
      <c r="G661" s="13" t="str">
        <f t="shared" si="50"/>
        <v/>
      </c>
      <c r="H661" s="11"/>
      <c r="I661" s="11"/>
      <c r="J661" s="16" t="str">
        <f t="shared" si="51"/>
        <v/>
      </c>
      <c r="K661" s="18" t="str">
        <f>IF(A661="","",IFERROR(SUMIF(Transactions!A$4:A$1003,A661,Transactions!F$4:F$1003),0))</f>
        <v/>
      </c>
      <c r="L661" s="15" t="str">
        <f t="shared" si="52"/>
        <v/>
      </c>
      <c r="M661" s="12" t="str">
        <f t="shared" ca="1" si="53"/>
        <v/>
      </c>
      <c r="N661" s="19" t="str">
        <f t="shared" ca="1" si="54"/>
        <v/>
      </c>
    </row>
    <row r="662" spans="1:14" ht="15.75" customHeight="1" x14ac:dyDescent="0.25">
      <c r="A662" s="11"/>
      <c r="B662" s="11"/>
      <c r="C662" s="11"/>
      <c r="D662" s="11"/>
      <c r="E662" s="11"/>
      <c r="F662" s="17" t="str">
        <f>IF(E662=0,"",IFERROR(E662*Config!B18,0))</f>
        <v/>
      </c>
      <c r="G662" s="13" t="str">
        <f t="shared" si="50"/>
        <v/>
      </c>
      <c r="H662" s="11"/>
      <c r="I662" s="11"/>
      <c r="J662" s="16" t="str">
        <f t="shared" si="51"/>
        <v/>
      </c>
      <c r="K662" s="18" t="str">
        <f>IF(A662="","",IFERROR(SUMIF(Transactions!A$4:A$1003,A662,Transactions!F$4:F$1003),0))</f>
        <v/>
      </c>
      <c r="L662" s="15" t="str">
        <f t="shared" si="52"/>
        <v/>
      </c>
      <c r="M662" s="12" t="str">
        <f t="shared" ca="1" si="53"/>
        <v/>
      </c>
      <c r="N662" s="19" t="str">
        <f t="shared" ca="1" si="54"/>
        <v/>
      </c>
    </row>
    <row r="663" spans="1:14" ht="15.75" customHeight="1" x14ac:dyDescent="0.25">
      <c r="A663" s="11"/>
      <c r="B663" s="11"/>
      <c r="C663" s="11"/>
      <c r="D663" s="11"/>
      <c r="E663" s="11"/>
      <c r="F663" s="17" t="str">
        <f>IF(E663=0,"",IFERROR(E663*Config!B18,0))</f>
        <v/>
      </c>
      <c r="G663" s="13" t="str">
        <f t="shared" si="50"/>
        <v/>
      </c>
      <c r="H663" s="11"/>
      <c r="I663" s="11"/>
      <c r="J663" s="16" t="str">
        <f t="shared" si="51"/>
        <v/>
      </c>
      <c r="K663" s="18" t="str">
        <f>IF(A663="","",IFERROR(SUMIF(Transactions!A$4:A$1003,A663,Transactions!F$4:F$1003),0))</f>
        <v/>
      </c>
      <c r="L663" s="15" t="str">
        <f t="shared" si="52"/>
        <v/>
      </c>
      <c r="M663" s="12" t="str">
        <f t="shared" ca="1" si="53"/>
        <v/>
      </c>
      <c r="N663" s="19" t="str">
        <f t="shared" ca="1" si="54"/>
        <v/>
      </c>
    </row>
    <row r="664" spans="1:14" ht="15.75" customHeight="1" x14ac:dyDescent="0.25">
      <c r="A664" s="11"/>
      <c r="B664" s="11"/>
      <c r="C664" s="11"/>
      <c r="D664" s="11"/>
      <c r="E664" s="11"/>
      <c r="F664" s="17" t="str">
        <f>IF(E664=0,"",IFERROR(E664*Config!B18,0))</f>
        <v/>
      </c>
      <c r="G664" s="13" t="str">
        <f t="shared" si="50"/>
        <v/>
      </c>
      <c r="H664" s="11"/>
      <c r="I664" s="11"/>
      <c r="J664" s="16" t="str">
        <f t="shared" si="51"/>
        <v/>
      </c>
      <c r="K664" s="18" t="str">
        <f>IF(A664="","",IFERROR(SUMIF(Transactions!A$4:A$1003,A664,Transactions!F$4:F$1003),0))</f>
        <v/>
      </c>
      <c r="L664" s="15" t="str">
        <f t="shared" si="52"/>
        <v/>
      </c>
      <c r="M664" s="12" t="str">
        <f t="shared" ca="1" si="53"/>
        <v/>
      </c>
      <c r="N664" s="19" t="str">
        <f t="shared" ca="1" si="54"/>
        <v/>
      </c>
    </row>
    <row r="665" spans="1:14" ht="15.75" customHeight="1" x14ac:dyDescent="0.25">
      <c r="A665" s="11"/>
      <c r="B665" s="11"/>
      <c r="C665" s="11"/>
      <c r="D665" s="11"/>
      <c r="E665" s="11"/>
      <c r="F665" s="17" t="str">
        <f>IF(E665=0,"",IFERROR(E665*Config!B18,0))</f>
        <v/>
      </c>
      <c r="G665" s="13" t="str">
        <f t="shared" si="50"/>
        <v/>
      </c>
      <c r="H665" s="11"/>
      <c r="I665" s="11"/>
      <c r="J665" s="16" t="str">
        <f t="shared" si="51"/>
        <v/>
      </c>
      <c r="K665" s="18" t="str">
        <f>IF(A665="","",IFERROR(SUMIF(Transactions!A$4:A$1003,A665,Transactions!F$4:F$1003),0))</f>
        <v/>
      </c>
      <c r="L665" s="15" t="str">
        <f t="shared" si="52"/>
        <v/>
      </c>
      <c r="M665" s="12" t="str">
        <f t="shared" ca="1" si="53"/>
        <v/>
      </c>
      <c r="N665" s="19" t="str">
        <f t="shared" ca="1" si="54"/>
        <v/>
      </c>
    </row>
    <row r="666" spans="1:14" ht="15.75" customHeight="1" x14ac:dyDescent="0.25">
      <c r="A666" s="11"/>
      <c r="B666" s="11"/>
      <c r="C666" s="11"/>
      <c r="D666" s="11"/>
      <c r="E666" s="11"/>
      <c r="F666" s="17" t="str">
        <f>IF(E666=0,"",IFERROR(E666*Config!B18,0))</f>
        <v/>
      </c>
      <c r="G666" s="13" t="str">
        <f t="shared" si="50"/>
        <v/>
      </c>
      <c r="H666" s="11"/>
      <c r="I666" s="11"/>
      <c r="J666" s="16" t="str">
        <f t="shared" si="51"/>
        <v/>
      </c>
      <c r="K666" s="18" t="str">
        <f>IF(A666="","",IFERROR(SUMIF(Transactions!A$4:A$1003,A666,Transactions!F$4:F$1003),0))</f>
        <v/>
      </c>
      <c r="L666" s="15" t="str">
        <f t="shared" si="52"/>
        <v/>
      </c>
      <c r="M666" s="12" t="str">
        <f t="shared" ca="1" si="53"/>
        <v/>
      </c>
      <c r="N666" s="19" t="str">
        <f t="shared" ca="1" si="54"/>
        <v/>
      </c>
    </row>
    <row r="667" spans="1:14" ht="15.75" customHeight="1" x14ac:dyDescent="0.25">
      <c r="A667" s="11"/>
      <c r="B667" s="11"/>
      <c r="C667" s="11"/>
      <c r="D667" s="11"/>
      <c r="E667" s="11"/>
      <c r="F667" s="17" t="str">
        <f>IF(E667=0,"",IFERROR(E667*Config!B18,0))</f>
        <v/>
      </c>
      <c r="G667" s="13" t="str">
        <f t="shared" si="50"/>
        <v/>
      </c>
      <c r="H667" s="11"/>
      <c r="I667" s="11"/>
      <c r="J667" s="16" t="str">
        <f t="shared" si="51"/>
        <v/>
      </c>
      <c r="K667" s="18" t="str">
        <f>IF(A667="","",IFERROR(SUMIF(Transactions!A$4:A$1003,A667,Transactions!F$4:F$1003),0))</f>
        <v/>
      </c>
      <c r="L667" s="15" t="str">
        <f t="shared" si="52"/>
        <v/>
      </c>
      <c r="M667" s="12" t="str">
        <f t="shared" ca="1" si="53"/>
        <v/>
      </c>
      <c r="N667" s="19" t="str">
        <f t="shared" ca="1" si="54"/>
        <v/>
      </c>
    </row>
    <row r="668" spans="1:14" ht="15.75" customHeight="1" x14ac:dyDescent="0.25">
      <c r="A668" s="11"/>
      <c r="B668" s="11"/>
      <c r="C668" s="11"/>
      <c r="D668" s="11"/>
      <c r="E668" s="11"/>
      <c r="F668" s="17" t="str">
        <f>IF(E668=0,"",IFERROR(E668*Config!B18,0))</f>
        <v/>
      </c>
      <c r="G668" s="13" t="str">
        <f t="shared" si="50"/>
        <v/>
      </c>
      <c r="H668" s="11"/>
      <c r="I668" s="11"/>
      <c r="J668" s="16" t="str">
        <f t="shared" si="51"/>
        <v/>
      </c>
      <c r="K668" s="18" t="str">
        <f>IF(A668="","",IFERROR(SUMIF(Transactions!A$4:A$1003,A668,Transactions!F$4:F$1003),0))</f>
        <v/>
      </c>
      <c r="L668" s="15" t="str">
        <f t="shared" si="52"/>
        <v/>
      </c>
      <c r="M668" s="12" t="str">
        <f t="shared" ca="1" si="53"/>
        <v/>
      </c>
      <c r="N668" s="19" t="str">
        <f t="shared" ca="1" si="54"/>
        <v/>
      </c>
    </row>
    <row r="669" spans="1:14" ht="15.75" customHeight="1" x14ac:dyDescent="0.25">
      <c r="A669" s="11"/>
      <c r="B669" s="11"/>
      <c r="C669" s="11"/>
      <c r="D669" s="11"/>
      <c r="E669" s="11"/>
      <c r="F669" s="17" t="str">
        <f>IF(E669=0,"",IFERROR(E669*Config!B18,0))</f>
        <v/>
      </c>
      <c r="G669" s="13" t="str">
        <f t="shared" si="50"/>
        <v/>
      </c>
      <c r="H669" s="11"/>
      <c r="I669" s="11"/>
      <c r="J669" s="16" t="str">
        <f t="shared" si="51"/>
        <v/>
      </c>
      <c r="K669" s="18" t="str">
        <f>IF(A669="","",IFERROR(SUMIF(Transactions!A$4:A$1003,A669,Transactions!F$4:F$1003),0))</f>
        <v/>
      </c>
      <c r="L669" s="15" t="str">
        <f t="shared" si="52"/>
        <v/>
      </c>
      <c r="M669" s="12" t="str">
        <f t="shared" ca="1" si="53"/>
        <v/>
      </c>
      <c r="N669" s="19" t="str">
        <f t="shared" ca="1" si="54"/>
        <v/>
      </c>
    </row>
    <row r="670" spans="1:14" ht="15.75" customHeight="1" x14ac:dyDescent="0.25">
      <c r="A670" s="11"/>
      <c r="B670" s="11"/>
      <c r="C670" s="11"/>
      <c r="D670" s="11"/>
      <c r="E670" s="11"/>
      <c r="F670" s="17" t="str">
        <f>IF(E670=0,"",IFERROR(E670*Config!B18,0))</f>
        <v/>
      </c>
      <c r="G670" s="13" t="str">
        <f t="shared" si="50"/>
        <v/>
      </c>
      <c r="H670" s="11"/>
      <c r="I670" s="11"/>
      <c r="J670" s="16" t="str">
        <f t="shared" si="51"/>
        <v/>
      </c>
      <c r="K670" s="18" t="str">
        <f>IF(A670="","",IFERROR(SUMIF(Transactions!A$4:A$1003,A670,Transactions!F$4:F$1003),0))</f>
        <v/>
      </c>
      <c r="L670" s="15" t="str">
        <f t="shared" si="52"/>
        <v/>
      </c>
      <c r="M670" s="12" t="str">
        <f t="shared" ca="1" si="53"/>
        <v/>
      </c>
      <c r="N670" s="19" t="str">
        <f t="shared" ca="1" si="54"/>
        <v/>
      </c>
    </row>
    <row r="671" spans="1:14" ht="15.75" customHeight="1" x14ac:dyDescent="0.25">
      <c r="A671" s="11"/>
      <c r="B671" s="11"/>
      <c r="C671" s="11"/>
      <c r="D671" s="11"/>
      <c r="E671" s="11"/>
      <c r="F671" s="17" t="str">
        <f>IF(E671=0,"",IFERROR(E671*Config!B18,0))</f>
        <v/>
      </c>
      <c r="G671" s="13" t="str">
        <f t="shared" si="50"/>
        <v/>
      </c>
      <c r="H671" s="11"/>
      <c r="I671" s="11"/>
      <c r="J671" s="16" t="str">
        <f t="shared" si="51"/>
        <v/>
      </c>
      <c r="K671" s="18" t="str">
        <f>IF(A671="","",IFERROR(SUMIF(Transactions!A$4:A$1003,A671,Transactions!F$4:F$1003),0))</f>
        <v/>
      </c>
      <c r="L671" s="15" t="str">
        <f t="shared" si="52"/>
        <v/>
      </c>
      <c r="M671" s="12" t="str">
        <f t="shared" ca="1" si="53"/>
        <v/>
      </c>
      <c r="N671" s="19" t="str">
        <f t="shared" ca="1" si="54"/>
        <v/>
      </c>
    </row>
    <row r="672" spans="1:14" ht="15.75" customHeight="1" x14ac:dyDescent="0.25">
      <c r="A672" s="11"/>
      <c r="B672" s="11"/>
      <c r="C672" s="11"/>
      <c r="D672" s="11"/>
      <c r="E672" s="11"/>
      <c r="F672" s="17" t="str">
        <f>IF(E672=0,"",IFERROR(E672*Config!B18,0))</f>
        <v/>
      </c>
      <c r="G672" s="13" t="str">
        <f t="shared" si="50"/>
        <v/>
      </c>
      <c r="H672" s="11"/>
      <c r="I672" s="11"/>
      <c r="J672" s="16" t="str">
        <f t="shared" si="51"/>
        <v/>
      </c>
      <c r="K672" s="18" t="str">
        <f>IF(A672="","",IFERROR(SUMIF(Transactions!A$4:A$1003,A672,Transactions!F$4:F$1003),0))</f>
        <v/>
      </c>
      <c r="L672" s="15" t="str">
        <f t="shared" si="52"/>
        <v/>
      </c>
      <c r="M672" s="12" t="str">
        <f t="shared" ca="1" si="53"/>
        <v/>
      </c>
      <c r="N672" s="19" t="str">
        <f t="shared" ca="1" si="54"/>
        <v/>
      </c>
    </row>
    <row r="673" spans="1:14" ht="15.75" customHeight="1" x14ac:dyDescent="0.25">
      <c r="A673" s="11"/>
      <c r="B673" s="11"/>
      <c r="C673" s="11"/>
      <c r="D673" s="11"/>
      <c r="E673" s="11"/>
      <c r="F673" s="17" t="str">
        <f>IF(E673=0,"",IFERROR(E673*Config!B18,0))</f>
        <v/>
      </c>
      <c r="G673" s="13" t="str">
        <f t="shared" si="50"/>
        <v/>
      </c>
      <c r="H673" s="11"/>
      <c r="I673" s="11"/>
      <c r="J673" s="16" t="str">
        <f t="shared" si="51"/>
        <v/>
      </c>
      <c r="K673" s="18" t="str">
        <f>IF(A673="","",IFERROR(SUMIF(Transactions!A$4:A$1003,A673,Transactions!F$4:F$1003),0))</f>
        <v/>
      </c>
      <c r="L673" s="15" t="str">
        <f t="shared" si="52"/>
        <v/>
      </c>
      <c r="M673" s="12" t="str">
        <f t="shared" ca="1" si="53"/>
        <v/>
      </c>
      <c r="N673" s="19" t="str">
        <f t="shared" ca="1" si="54"/>
        <v/>
      </c>
    </row>
    <row r="674" spans="1:14" ht="15.75" customHeight="1" x14ac:dyDescent="0.25">
      <c r="A674" s="11"/>
      <c r="B674" s="11"/>
      <c r="C674" s="11"/>
      <c r="D674" s="11"/>
      <c r="E674" s="11"/>
      <c r="F674" s="17" t="str">
        <f>IF(E674=0,"",IFERROR(E674*Config!B18,0))</f>
        <v/>
      </c>
      <c r="G674" s="13" t="str">
        <f t="shared" si="50"/>
        <v/>
      </c>
      <c r="H674" s="11"/>
      <c r="I674" s="11"/>
      <c r="J674" s="16" t="str">
        <f t="shared" si="51"/>
        <v/>
      </c>
      <c r="K674" s="18" t="str">
        <f>IF(A674="","",IFERROR(SUMIF(Transactions!A$4:A$1003,A674,Transactions!F$4:F$1003),0))</f>
        <v/>
      </c>
      <c r="L674" s="15" t="str">
        <f t="shared" si="52"/>
        <v/>
      </c>
      <c r="M674" s="12" t="str">
        <f t="shared" ca="1" si="53"/>
        <v/>
      </c>
      <c r="N674" s="19" t="str">
        <f t="shared" ca="1" si="54"/>
        <v/>
      </c>
    </row>
    <row r="675" spans="1:14" ht="15.75" customHeight="1" x14ac:dyDescent="0.25">
      <c r="A675" s="11"/>
      <c r="B675" s="11"/>
      <c r="C675" s="11"/>
      <c r="D675" s="11"/>
      <c r="E675" s="11"/>
      <c r="F675" s="17" t="str">
        <f>IF(E675=0,"",IFERROR(E675*Config!B18,0))</f>
        <v/>
      </c>
      <c r="G675" s="13" t="str">
        <f t="shared" si="50"/>
        <v/>
      </c>
      <c r="H675" s="11"/>
      <c r="I675" s="11"/>
      <c r="J675" s="16" t="str">
        <f t="shared" si="51"/>
        <v/>
      </c>
      <c r="K675" s="18" t="str">
        <f>IF(A675="","",IFERROR(SUMIF(Transactions!A$4:A$1003,A675,Transactions!F$4:F$1003),0))</f>
        <v/>
      </c>
      <c r="L675" s="15" t="str">
        <f t="shared" si="52"/>
        <v/>
      </c>
      <c r="M675" s="12" t="str">
        <f t="shared" ca="1" si="53"/>
        <v/>
      </c>
      <c r="N675" s="19" t="str">
        <f t="shared" ca="1" si="54"/>
        <v/>
      </c>
    </row>
    <row r="676" spans="1:14" ht="15.75" customHeight="1" x14ac:dyDescent="0.25">
      <c r="A676" s="11"/>
      <c r="B676" s="11"/>
      <c r="C676" s="11"/>
      <c r="D676" s="11"/>
      <c r="E676" s="11"/>
      <c r="F676" s="17" t="str">
        <f>IF(E676=0,"",IFERROR(E676*Config!B18,0))</f>
        <v/>
      </c>
      <c r="G676" s="13" t="str">
        <f t="shared" si="50"/>
        <v/>
      </c>
      <c r="H676" s="11"/>
      <c r="I676" s="11"/>
      <c r="J676" s="16" t="str">
        <f t="shared" si="51"/>
        <v/>
      </c>
      <c r="K676" s="18" t="str">
        <f>IF(A676="","",IFERROR(SUMIF(Transactions!A$4:A$1003,A676,Transactions!F$4:F$1003),0))</f>
        <v/>
      </c>
      <c r="L676" s="15" t="str">
        <f t="shared" si="52"/>
        <v/>
      </c>
      <c r="M676" s="12" t="str">
        <f t="shared" ca="1" si="53"/>
        <v/>
      </c>
      <c r="N676" s="19" t="str">
        <f t="shared" ca="1" si="54"/>
        <v/>
      </c>
    </row>
    <row r="677" spans="1:14" ht="15.75" customHeight="1" x14ac:dyDescent="0.25">
      <c r="A677" s="11"/>
      <c r="B677" s="11"/>
      <c r="C677" s="11"/>
      <c r="D677" s="11"/>
      <c r="E677" s="11"/>
      <c r="F677" s="17" t="str">
        <f>IF(E677=0,"",IFERROR(E677*Config!B18,0))</f>
        <v/>
      </c>
      <c r="G677" s="13" t="str">
        <f t="shared" si="50"/>
        <v/>
      </c>
      <c r="H677" s="11"/>
      <c r="I677" s="11"/>
      <c r="J677" s="16" t="str">
        <f t="shared" si="51"/>
        <v/>
      </c>
      <c r="K677" s="18" t="str">
        <f>IF(A677="","",IFERROR(SUMIF(Transactions!A$4:A$1003,A677,Transactions!F$4:F$1003),0))</f>
        <v/>
      </c>
      <c r="L677" s="15" t="str">
        <f t="shared" si="52"/>
        <v/>
      </c>
      <c r="M677" s="12" t="str">
        <f t="shared" ca="1" si="53"/>
        <v/>
      </c>
      <c r="N677" s="19" t="str">
        <f t="shared" ca="1" si="54"/>
        <v/>
      </c>
    </row>
    <row r="678" spans="1:14" ht="15.75" customHeight="1" x14ac:dyDescent="0.25">
      <c r="A678" s="11"/>
      <c r="B678" s="11"/>
      <c r="C678" s="11"/>
      <c r="D678" s="11"/>
      <c r="E678" s="11"/>
      <c r="F678" s="17" t="str">
        <f>IF(E678=0,"",IFERROR(E678*Config!B18,0))</f>
        <v/>
      </c>
      <c r="G678" s="13" t="str">
        <f t="shared" si="50"/>
        <v/>
      </c>
      <c r="H678" s="11"/>
      <c r="I678" s="11"/>
      <c r="J678" s="16" t="str">
        <f t="shared" si="51"/>
        <v/>
      </c>
      <c r="K678" s="18" t="str">
        <f>IF(A678="","",IFERROR(SUMIF(Transactions!A$4:A$1003,A678,Transactions!F$4:F$1003),0))</f>
        <v/>
      </c>
      <c r="L678" s="15" t="str">
        <f t="shared" si="52"/>
        <v/>
      </c>
      <c r="M678" s="12" t="str">
        <f t="shared" ca="1" si="53"/>
        <v/>
      </c>
      <c r="N678" s="19" t="str">
        <f t="shared" ca="1" si="54"/>
        <v/>
      </c>
    </row>
    <row r="679" spans="1:14" ht="15.75" customHeight="1" x14ac:dyDescent="0.25">
      <c r="A679" s="11"/>
      <c r="B679" s="11"/>
      <c r="C679" s="11"/>
      <c r="D679" s="11"/>
      <c r="E679" s="11"/>
      <c r="F679" s="17" t="str">
        <f>IF(E679=0,"",IFERROR(E679*Config!B18,0))</f>
        <v/>
      </c>
      <c r="G679" s="13" t="str">
        <f t="shared" si="50"/>
        <v/>
      </c>
      <c r="H679" s="11"/>
      <c r="I679" s="11"/>
      <c r="J679" s="16" t="str">
        <f t="shared" si="51"/>
        <v/>
      </c>
      <c r="K679" s="18" t="str">
        <f>IF(A679="","",IFERROR(SUMIF(Transactions!A$4:A$1003,A679,Transactions!F$4:F$1003),0))</f>
        <v/>
      </c>
      <c r="L679" s="15" t="str">
        <f t="shared" si="52"/>
        <v/>
      </c>
      <c r="M679" s="12" t="str">
        <f t="shared" ca="1" si="53"/>
        <v/>
      </c>
      <c r="N679" s="19" t="str">
        <f t="shared" ca="1" si="54"/>
        <v/>
      </c>
    </row>
    <row r="680" spans="1:14" ht="15.75" customHeight="1" x14ac:dyDescent="0.25">
      <c r="A680" s="11"/>
      <c r="B680" s="11"/>
      <c r="C680" s="11"/>
      <c r="D680" s="11"/>
      <c r="E680" s="11"/>
      <c r="F680" s="17" t="str">
        <f>IF(E680=0,"",IFERROR(E680*Config!B18,0))</f>
        <v/>
      </c>
      <c r="G680" s="13" t="str">
        <f t="shared" si="50"/>
        <v/>
      </c>
      <c r="H680" s="11"/>
      <c r="I680" s="11"/>
      <c r="J680" s="16" t="str">
        <f t="shared" si="51"/>
        <v/>
      </c>
      <c r="K680" s="18" t="str">
        <f>IF(A680="","",IFERROR(SUMIF(Transactions!A$4:A$1003,A680,Transactions!F$4:F$1003),0))</f>
        <v/>
      </c>
      <c r="L680" s="15" t="str">
        <f t="shared" si="52"/>
        <v/>
      </c>
      <c r="M680" s="12" t="str">
        <f t="shared" ca="1" si="53"/>
        <v/>
      </c>
      <c r="N680" s="19" t="str">
        <f t="shared" ca="1" si="54"/>
        <v/>
      </c>
    </row>
    <row r="681" spans="1:14" ht="15.75" customHeight="1" x14ac:dyDescent="0.25">
      <c r="A681" s="11"/>
      <c r="B681" s="11"/>
      <c r="C681" s="11"/>
      <c r="D681" s="11"/>
      <c r="E681" s="11"/>
      <c r="F681" s="17" t="str">
        <f>IF(E681=0,"",IFERROR(E681*Config!B18,0))</f>
        <v/>
      </c>
      <c r="G681" s="13" t="str">
        <f t="shared" si="50"/>
        <v/>
      </c>
      <c r="H681" s="11"/>
      <c r="I681" s="11"/>
      <c r="J681" s="16" t="str">
        <f t="shared" si="51"/>
        <v/>
      </c>
      <c r="K681" s="18" t="str">
        <f>IF(A681="","",IFERROR(SUMIF(Transactions!A$4:A$1003,A681,Transactions!F$4:F$1003),0))</f>
        <v/>
      </c>
      <c r="L681" s="15" t="str">
        <f t="shared" si="52"/>
        <v/>
      </c>
      <c r="M681" s="12" t="str">
        <f t="shared" ca="1" si="53"/>
        <v/>
      </c>
      <c r="N681" s="19" t="str">
        <f t="shared" ca="1" si="54"/>
        <v/>
      </c>
    </row>
    <row r="682" spans="1:14" ht="15.75" customHeight="1" x14ac:dyDescent="0.25">
      <c r="A682" s="11"/>
      <c r="B682" s="11"/>
      <c r="C682" s="11"/>
      <c r="D682" s="11"/>
      <c r="E682" s="11"/>
      <c r="F682" s="17" t="str">
        <f>IF(E682=0,"",IFERROR(E682*Config!B18,0))</f>
        <v/>
      </c>
      <c r="G682" s="13" t="str">
        <f t="shared" si="50"/>
        <v/>
      </c>
      <c r="H682" s="11"/>
      <c r="I682" s="11"/>
      <c r="J682" s="16" t="str">
        <f t="shared" si="51"/>
        <v/>
      </c>
      <c r="K682" s="18" t="str">
        <f>IF(A682="","",IFERROR(SUMIF(Transactions!A$4:A$1003,A682,Transactions!F$4:F$1003),0))</f>
        <v/>
      </c>
      <c r="L682" s="15" t="str">
        <f t="shared" si="52"/>
        <v/>
      </c>
      <c r="M682" s="12" t="str">
        <f t="shared" ca="1" si="53"/>
        <v/>
      </c>
      <c r="N682" s="19" t="str">
        <f t="shared" ca="1" si="54"/>
        <v/>
      </c>
    </row>
    <row r="683" spans="1:14" ht="15.75" customHeight="1" x14ac:dyDescent="0.25">
      <c r="A683" s="11"/>
      <c r="B683" s="11"/>
      <c r="C683" s="11"/>
      <c r="D683" s="11"/>
      <c r="E683" s="11"/>
      <c r="F683" s="17" t="str">
        <f>IF(E683=0,"",IFERROR(E683*Config!B18,0))</f>
        <v/>
      </c>
      <c r="G683" s="13" t="str">
        <f t="shared" si="50"/>
        <v/>
      </c>
      <c r="H683" s="11"/>
      <c r="I683" s="11"/>
      <c r="J683" s="16" t="str">
        <f t="shared" si="51"/>
        <v/>
      </c>
      <c r="K683" s="18" t="str">
        <f>IF(A683="","",IFERROR(SUMIF(Transactions!A$4:A$1003,A683,Transactions!F$4:F$1003),0))</f>
        <v/>
      </c>
      <c r="L683" s="15" t="str">
        <f t="shared" si="52"/>
        <v/>
      </c>
      <c r="M683" s="12" t="str">
        <f t="shared" ca="1" si="53"/>
        <v/>
      </c>
      <c r="N683" s="19" t="str">
        <f t="shared" ca="1" si="54"/>
        <v/>
      </c>
    </row>
    <row r="684" spans="1:14" ht="15.75" customHeight="1" x14ac:dyDescent="0.25">
      <c r="A684" s="11"/>
      <c r="B684" s="11"/>
      <c r="C684" s="11"/>
      <c r="D684" s="11"/>
      <c r="E684" s="11"/>
      <c r="F684" s="17" t="str">
        <f>IF(E684=0,"",IFERROR(E684*Config!B18,0))</f>
        <v/>
      </c>
      <c r="G684" s="13" t="str">
        <f t="shared" si="50"/>
        <v/>
      </c>
      <c r="H684" s="11"/>
      <c r="I684" s="11"/>
      <c r="J684" s="16" t="str">
        <f t="shared" si="51"/>
        <v/>
      </c>
      <c r="K684" s="18" t="str">
        <f>IF(A684="","",IFERROR(SUMIF(Transactions!A$4:A$1003,A684,Transactions!F$4:F$1003),0))</f>
        <v/>
      </c>
      <c r="L684" s="15" t="str">
        <f t="shared" si="52"/>
        <v/>
      </c>
      <c r="M684" s="12" t="str">
        <f t="shared" ca="1" si="53"/>
        <v/>
      </c>
      <c r="N684" s="19" t="str">
        <f t="shared" ca="1" si="54"/>
        <v/>
      </c>
    </row>
    <row r="685" spans="1:14" ht="15.75" customHeight="1" x14ac:dyDescent="0.25">
      <c r="A685" s="11"/>
      <c r="B685" s="11"/>
      <c r="C685" s="11"/>
      <c r="D685" s="11"/>
      <c r="E685" s="11"/>
      <c r="F685" s="17" t="str">
        <f>IF(E685=0,"",IFERROR(E685*Config!B18,0))</f>
        <v/>
      </c>
      <c r="G685" s="13" t="str">
        <f t="shared" si="50"/>
        <v/>
      </c>
      <c r="H685" s="11"/>
      <c r="I685" s="11"/>
      <c r="J685" s="16" t="str">
        <f t="shared" si="51"/>
        <v/>
      </c>
      <c r="K685" s="18" t="str">
        <f>IF(A685="","",IFERROR(SUMIF(Transactions!A$4:A$1003,A685,Transactions!F$4:F$1003),0))</f>
        <v/>
      </c>
      <c r="L685" s="15" t="str">
        <f t="shared" si="52"/>
        <v/>
      </c>
      <c r="M685" s="12" t="str">
        <f t="shared" ca="1" si="53"/>
        <v/>
      </c>
      <c r="N685" s="19" t="str">
        <f t="shared" ca="1" si="54"/>
        <v/>
      </c>
    </row>
    <row r="686" spans="1:14" ht="15.75" customHeight="1" x14ac:dyDescent="0.25">
      <c r="A686" s="11"/>
      <c r="B686" s="11"/>
      <c r="C686" s="11"/>
      <c r="D686" s="11"/>
      <c r="E686" s="11"/>
      <c r="F686" s="17" t="str">
        <f>IF(E686=0,"",IFERROR(E686*Config!B18,0))</f>
        <v/>
      </c>
      <c r="G686" s="13" t="str">
        <f t="shared" si="50"/>
        <v/>
      </c>
      <c r="H686" s="11"/>
      <c r="I686" s="11"/>
      <c r="J686" s="16" t="str">
        <f t="shared" si="51"/>
        <v/>
      </c>
      <c r="K686" s="18" t="str">
        <f>IF(A686="","",IFERROR(SUMIF(Transactions!A$4:A$1003,A686,Transactions!F$4:F$1003),0))</f>
        <v/>
      </c>
      <c r="L686" s="15" t="str">
        <f t="shared" si="52"/>
        <v/>
      </c>
      <c r="M686" s="12" t="str">
        <f t="shared" ca="1" si="53"/>
        <v/>
      </c>
      <c r="N686" s="19" t="str">
        <f t="shared" ca="1" si="54"/>
        <v/>
      </c>
    </row>
    <row r="687" spans="1:14" ht="15.75" customHeight="1" x14ac:dyDescent="0.25">
      <c r="A687" s="11"/>
      <c r="B687" s="11"/>
      <c r="C687" s="11"/>
      <c r="D687" s="11"/>
      <c r="E687" s="11"/>
      <c r="F687" s="17" t="str">
        <f>IF(E687=0,"",IFERROR(E687*Config!B18,0))</f>
        <v/>
      </c>
      <c r="G687" s="13" t="str">
        <f t="shared" si="50"/>
        <v/>
      </c>
      <c r="H687" s="11"/>
      <c r="I687" s="11"/>
      <c r="J687" s="16" t="str">
        <f t="shared" si="51"/>
        <v/>
      </c>
      <c r="K687" s="18" t="str">
        <f>IF(A687="","",IFERROR(SUMIF(Transactions!A$4:A$1003,A687,Transactions!F$4:F$1003),0))</f>
        <v/>
      </c>
      <c r="L687" s="15" t="str">
        <f t="shared" si="52"/>
        <v/>
      </c>
      <c r="M687" s="12" t="str">
        <f t="shared" ca="1" si="53"/>
        <v/>
      </c>
      <c r="N687" s="19" t="str">
        <f t="shared" ca="1" si="54"/>
        <v/>
      </c>
    </row>
    <row r="688" spans="1:14" ht="15.75" customHeight="1" x14ac:dyDescent="0.25">
      <c r="A688" s="11"/>
      <c r="B688" s="11"/>
      <c r="C688" s="11"/>
      <c r="D688" s="11"/>
      <c r="E688" s="11"/>
      <c r="F688" s="17" t="str">
        <f>IF(E688=0,"",IFERROR(E688*Config!B18,0))</f>
        <v/>
      </c>
      <c r="G688" s="13" t="str">
        <f t="shared" si="50"/>
        <v/>
      </c>
      <c r="H688" s="11"/>
      <c r="I688" s="11"/>
      <c r="J688" s="16" t="str">
        <f t="shared" si="51"/>
        <v/>
      </c>
      <c r="K688" s="18" t="str">
        <f>IF(A688="","",IFERROR(SUMIF(Transactions!A$4:A$1003,A688,Transactions!F$4:F$1003),0))</f>
        <v/>
      </c>
      <c r="L688" s="15" t="str">
        <f t="shared" si="52"/>
        <v/>
      </c>
      <c r="M688" s="12" t="str">
        <f t="shared" ca="1" si="53"/>
        <v/>
      </c>
      <c r="N688" s="19" t="str">
        <f t="shared" ca="1" si="54"/>
        <v/>
      </c>
    </row>
    <row r="689" spans="1:14" ht="15.75" customHeight="1" x14ac:dyDescent="0.25">
      <c r="A689" s="11"/>
      <c r="B689" s="11"/>
      <c r="C689" s="11"/>
      <c r="D689" s="11"/>
      <c r="E689" s="11"/>
      <c r="F689" s="17" t="str">
        <f>IF(E689=0,"",IFERROR(E689*Config!B18,0))</f>
        <v/>
      </c>
      <c r="G689" s="13" t="str">
        <f t="shared" si="50"/>
        <v/>
      </c>
      <c r="H689" s="11"/>
      <c r="I689" s="11"/>
      <c r="J689" s="16" t="str">
        <f t="shared" si="51"/>
        <v/>
      </c>
      <c r="K689" s="18" t="str">
        <f>IF(A689="","",IFERROR(SUMIF(Transactions!A$4:A$1003,A689,Transactions!F$4:F$1003),0))</f>
        <v/>
      </c>
      <c r="L689" s="15" t="str">
        <f t="shared" si="52"/>
        <v/>
      </c>
      <c r="M689" s="12" t="str">
        <f t="shared" ca="1" si="53"/>
        <v/>
      </c>
      <c r="N689" s="19" t="str">
        <f t="shared" ca="1" si="54"/>
        <v/>
      </c>
    </row>
    <row r="690" spans="1:14" ht="15.75" customHeight="1" x14ac:dyDescent="0.25">
      <c r="A690" s="11"/>
      <c r="B690" s="11"/>
      <c r="C690" s="11"/>
      <c r="D690" s="11"/>
      <c r="E690" s="11"/>
      <c r="F690" s="17" t="str">
        <f>IF(E690=0,"",IFERROR(E690*Config!B18,0))</f>
        <v/>
      </c>
      <c r="G690" s="13" t="str">
        <f t="shared" si="50"/>
        <v/>
      </c>
      <c r="H690" s="11"/>
      <c r="I690" s="11"/>
      <c r="J690" s="16" t="str">
        <f t="shared" si="51"/>
        <v/>
      </c>
      <c r="K690" s="18" t="str">
        <f>IF(A690="","",IFERROR(SUMIF(Transactions!A$4:A$1003,A690,Transactions!F$4:F$1003),0))</f>
        <v/>
      </c>
      <c r="L690" s="15" t="str">
        <f t="shared" si="52"/>
        <v/>
      </c>
      <c r="M690" s="12" t="str">
        <f t="shared" ca="1" si="53"/>
        <v/>
      </c>
      <c r="N690" s="19" t="str">
        <f t="shared" ca="1" si="54"/>
        <v/>
      </c>
    </row>
    <row r="691" spans="1:14" ht="15.75" customHeight="1" x14ac:dyDescent="0.25">
      <c r="A691" s="11"/>
      <c r="B691" s="11"/>
      <c r="C691" s="11"/>
      <c r="D691" s="11"/>
      <c r="E691" s="11"/>
      <c r="F691" s="17" t="str">
        <f>IF(E691=0,"",IFERROR(E691*Config!B18,0))</f>
        <v/>
      </c>
      <c r="G691" s="13" t="str">
        <f t="shared" si="50"/>
        <v/>
      </c>
      <c r="H691" s="11"/>
      <c r="I691" s="11"/>
      <c r="J691" s="16" t="str">
        <f t="shared" si="51"/>
        <v/>
      </c>
      <c r="K691" s="18" t="str">
        <f>IF(A691="","",IFERROR(SUMIF(Transactions!A$4:A$1003,A691,Transactions!F$4:F$1003),0))</f>
        <v/>
      </c>
      <c r="L691" s="15" t="str">
        <f t="shared" si="52"/>
        <v/>
      </c>
      <c r="M691" s="12" t="str">
        <f t="shared" ca="1" si="53"/>
        <v/>
      </c>
      <c r="N691" s="19" t="str">
        <f t="shared" ca="1" si="54"/>
        <v/>
      </c>
    </row>
    <row r="692" spans="1:14" ht="15.75" customHeight="1" x14ac:dyDescent="0.25">
      <c r="A692" s="11"/>
      <c r="B692" s="11"/>
      <c r="C692" s="11"/>
      <c r="D692" s="11"/>
      <c r="E692" s="11"/>
      <c r="F692" s="17" t="str">
        <f>IF(E692=0,"",IFERROR(E692*Config!B18,0))</f>
        <v/>
      </c>
      <c r="G692" s="13" t="str">
        <f t="shared" si="50"/>
        <v/>
      </c>
      <c r="H692" s="11"/>
      <c r="I692" s="11"/>
      <c r="J692" s="16" t="str">
        <f t="shared" si="51"/>
        <v/>
      </c>
      <c r="K692" s="18" t="str">
        <f>IF(A692="","",IFERROR(SUMIF(Transactions!A$4:A$1003,A692,Transactions!F$4:F$1003),0))</f>
        <v/>
      </c>
      <c r="L692" s="15" t="str">
        <f t="shared" si="52"/>
        <v/>
      </c>
      <c r="M692" s="12" t="str">
        <f t="shared" ca="1" si="53"/>
        <v/>
      </c>
      <c r="N692" s="19" t="str">
        <f t="shared" ca="1" si="54"/>
        <v/>
      </c>
    </row>
    <row r="693" spans="1:14" ht="15.75" customHeight="1" x14ac:dyDescent="0.25">
      <c r="A693" s="11"/>
      <c r="B693" s="11"/>
      <c r="C693" s="11"/>
      <c r="D693" s="11"/>
      <c r="E693" s="11"/>
      <c r="F693" s="17" t="str">
        <f>IF(E693=0,"",IFERROR(E693*Config!B18,0))</f>
        <v/>
      </c>
      <c r="G693" s="13" t="str">
        <f t="shared" si="50"/>
        <v/>
      </c>
      <c r="H693" s="11"/>
      <c r="I693" s="11"/>
      <c r="J693" s="16" t="str">
        <f t="shared" si="51"/>
        <v/>
      </c>
      <c r="K693" s="18" t="str">
        <f>IF(A693="","",IFERROR(SUMIF(Transactions!A$4:A$1003,A693,Transactions!F$4:F$1003),0))</f>
        <v/>
      </c>
      <c r="L693" s="15" t="str">
        <f t="shared" si="52"/>
        <v/>
      </c>
      <c r="M693" s="12" t="str">
        <f t="shared" ca="1" si="53"/>
        <v/>
      </c>
      <c r="N693" s="19" t="str">
        <f t="shared" ca="1" si="54"/>
        <v/>
      </c>
    </row>
    <row r="694" spans="1:14" ht="15.75" customHeight="1" x14ac:dyDescent="0.25">
      <c r="A694" s="11"/>
      <c r="B694" s="11"/>
      <c r="C694" s="11"/>
      <c r="D694" s="11"/>
      <c r="E694" s="11"/>
      <c r="F694" s="17" t="str">
        <f>IF(E694=0,"",IFERROR(E694*Config!B18,0))</f>
        <v/>
      </c>
      <c r="G694" s="13" t="str">
        <f t="shared" si="50"/>
        <v/>
      </c>
      <c r="H694" s="11"/>
      <c r="I694" s="11"/>
      <c r="J694" s="16" t="str">
        <f t="shared" si="51"/>
        <v/>
      </c>
      <c r="K694" s="18" t="str">
        <f>IF(A694="","",IFERROR(SUMIF(Transactions!A$4:A$1003,A694,Transactions!F$4:F$1003),0))</f>
        <v/>
      </c>
      <c r="L694" s="15" t="str">
        <f t="shared" si="52"/>
        <v/>
      </c>
      <c r="M694" s="12" t="str">
        <f t="shared" ca="1" si="53"/>
        <v/>
      </c>
      <c r="N694" s="19" t="str">
        <f t="shared" ca="1" si="54"/>
        <v/>
      </c>
    </row>
    <row r="695" spans="1:14" ht="15.75" customHeight="1" x14ac:dyDescent="0.25">
      <c r="A695" s="11"/>
      <c r="B695" s="11"/>
      <c r="C695" s="11"/>
      <c r="D695" s="11"/>
      <c r="E695" s="11"/>
      <c r="F695" s="17" t="str">
        <f>IF(E695=0,"",IFERROR(E695*Config!B18,0))</f>
        <v/>
      </c>
      <c r="G695" s="13" t="str">
        <f t="shared" si="50"/>
        <v/>
      </c>
      <c r="H695" s="11"/>
      <c r="I695" s="11"/>
      <c r="J695" s="16" t="str">
        <f t="shared" si="51"/>
        <v/>
      </c>
      <c r="K695" s="18" t="str">
        <f>IF(A695="","",IFERROR(SUMIF(Transactions!A$4:A$1003,A695,Transactions!F$4:F$1003),0))</f>
        <v/>
      </c>
      <c r="L695" s="15" t="str">
        <f t="shared" si="52"/>
        <v/>
      </c>
      <c r="M695" s="12" t="str">
        <f t="shared" ca="1" si="53"/>
        <v/>
      </c>
      <c r="N695" s="19" t="str">
        <f t="shared" ca="1" si="54"/>
        <v/>
      </c>
    </row>
    <row r="696" spans="1:14" ht="15.75" customHeight="1" x14ac:dyDescent="0.25">
      <c r="A696" s="11"/>
      <c r="B696" s="11"/>
      <c r="C696" s="11"/>
      <c r="D696" s="11"/>
      <c r="E696" s="11"/>
      <c r="F696" s="17" t="str">
        <f>IF(E696=0,"",IFERROR(E696*Config!B18,0))</f>
        <v/>
      </c>
      <c r="G696" s="13" t="str">
        <f t="shared" si="50"/>
        <v/>
      </c>
      <c r="H696" s="11"/>
      <c r="I696" s="11"/>
      <c r="J696" s="16" t="str">
        <f t="shared" si="51"/>
        <v/>
      </c>
      <c r="K696" s="18" t="str">
        <f>IF(A696="","",IFERROR(SUMIF(Transactions!A$4:A$1003,A696,Transactions!F$4:F$1003),0))</f>
        <v/>
      </c>
      <c r="L696" s="15" t="str">
        <f t="shared" si="52"/>
        <v/>
      </c>
      <c r="M696" s="12" t="str">
        <f t="shared" ca="1" si="53"/>
        <v/>
      </c>
      <c r="N696" s="19" t="str">
        <f t="shared" ca="1" si="54"/>
        <v/>
      </c>
    </row>
    <row r="697" spans="1:14" ht="15.75" customHeight="1" x14ac:dyDescent="0.25">
      <c r="A697" s="11"/>
      <c r="B697" s="11"/>
      <c r="C697" s="11"/>
      <c r="D697" s="11"/>
      <c r="E697" s="11"/>
      <c r="F697" s="17" t="str">
        <f>IF(E697=0,"",IFERROR(E697*Config!B18,0))</f>
        <v/>
      </c>
      <c r="G697" s="13" t="str">
        <f t="shared" si="50"/>
        <v/>
      </c>
      <c r="H697" s="11"/>
      <c r="I697" s="11"/>
      <c r="J697" s="16" t="str">
        <f t="shared" si="51"/>
        <v/>
      </c>
      <c r="K697" s="18" t="str">
        <f>IF(A697="","",IFERROR(SUMIF(Transactions!A$4:A$1003,A697,Transactions!F$4:F$1003),0))</f>
        <v/>
      </c>
      <c r="L697" s="15" t="str">
        <f t="shared" si="52"/>
        <v/>
      </c>
      <c r="M697" s="12" t="str">
        <f t="shared" ca="1" si="53"/>
        <v/>
      </c>
      <c r="N697" s="19" t="str">
        <f t="shared" ca="1" si="54"/>
        <v/>
      </c>
    </row>
    <row r="698" spans="1:14" ht="15.75" customHeight="1" x14ac:dyDescent="0.25">
      <c r="A698" s="11"/>
      <c r="B698" s="11"/>
      <c r="C698" s="11"/>
      <c r="D698" s="11"/>
      <c r="E698" s="11"/>
      <c r="F698" s="17" t="str">
        <f>IF(E698=0,"",IFERROR(E698*Config!B18,0))</f>
        <v/>
      </c>
      <c r="G698" s="13" t="str">
        <f t="shared" si="50"/>
        <v/>
      </c>
      <c r="H698" s="11"/>
      <c r="I698" s="11"/>
      <c r="J698" s="16" t="str">
        <f t="shared" si="51"/>
        <v/>
      </c>
      <c r="K698" s="18" t="str">
        <f>IF(A698="","",IFERROR(SUMIF(Transactions!A$4:A$1003,A698,Transactions!F$4:F$1003),0))</f>
        <v/>
      </c>
      <c r="L698" s="15" t="str">
        <f t="shared" si="52"/>
        <v/>
      </c>
      <c r="M698" s="12" t="str">
        <f t="shared" ca="1" si="53"/>
        <v/>
      </c>
      <c r="N698" s="19" t="str">
        <f t="shared" ca="1" si="54"/>
        <v/>
      </c>
    </row>
    <row r="699" spans="1:14" ht="15.75" customHeight="1" x14ac:dyDescent="0.25">
      <c r="A699" s="11"/>
      <c r="B699" s="11"/>
      <c r="C699" s="11"/>
      <c r="D699" s="11"/>
      <c r="E699" s="11"/>
      <c r="F699" s="17" t="str">
        <f>IF(E699=0,"",IFERROR(E699*Config!B18,0))</f>
        <v/>
      </c>
      <c r="G699" s="13" t="str">
        <f t="shared" si="50"/>
        <v/>
      </c>
      <c r="H699" s="11"/>
      <c r="I699" s="11"/>
      <c r="J699" s="16" t="str">
        <f t="shared" si="51"/>
        <v/>
      </c>
      <c r="K699" s="18" t="str">
        <f>IF(A699="","",IFERROR(SUMIF(Transactions!A$4:A$1003,A699,Transactions!F$4:F$1003),0))</f>
        <v/>
      </c>
      <c r="L699" s="15" t="str">
        <f t="shared" si="52"/>
        <v/>
      </c>
      <c r="M699" s="12" t="str">
        <f t="shared" ca="1" si="53"/>
        <v/>
      </c>
      <c r="N699" s="19" t="str">
        <f t="shared" ca="1" si="54"/>
        <v/>
      </c>
    </row>
    <row r="700" spans="1:14" ht="15.75" customHeight="1" x14ac:dyDescent="0.25">
      <c r="A700" s="11"/>
      <c r="B700" s="11"/>
      <c r="C700" s="11"/>
      <c r="D700" s="11"/>
      <c r="E700" s="11"/>
      <c r="F700" s="17" t="str">
        <f>IF(E700=0,"",IFERROR(E700*Config!B18,0))</f>
        <v/>
      </c>
      <c r="G700" s="13" t="str">
        <f t="shared" si="50"/>
        <v/>
      </c>
      <c r="H700" s="11"/>
      <c r="I700" s="11"/>
      <c r="J700" s="16" t="str">
        <f t="shared" si="51"/>
        <v/>
      </c>
      <c r="K700" s="18" t="str">
        <f>IF(A700="","",IFERROR(SUMIF(Transactions!A$4:A$1003,A700,Transactions!F$4:F$1003),0))</f>
        <v/>
      </c>
      <c r="L700" s="15" t="str">
        <f t="shared" si="52"/>
        <v/>
      </c>
      <c r="M700" s="12" t="str">
        <f t="shared" ca="1" si="53"/>
        <v/>
      </c>
      <c r="N700" s="19" t="str">
        <f t="shared" ca="1" si="54"/>
        <v/>
      </c>
    </row>
    <row r="701" spans="1:14" ht="15.75" customHeight="1" x14ac:dyDescent="0.25">
      <c r="A701" s="11"/>
      <c r="B701" s="11"/>
      <c r="C701" s="11"/>
      <c r="D701" s="11"/>
      <c r="E701" s="11"/>
      <c r="F701" s="17" t="str">
        <f>IF(E701=0,"",IFERROR(E701*Config!B18,0))</f>
        <v/>
      </c>
      <c r="G701" s="13" t="str">
        <f t="shared" si="50"/>
        <v/>
      </c>
      <c r="H701" s="11"/>
      <c r="I701" s="11"/>
      <c r="J701" s="16" t="str">
        <f t="shared" si="51"/>
        <v/>
      </c>
      <c r="K701" s="18" t="str">
        <f>IF(A701="","",IFERROR(SUMIF(Transactions!A$4:A$1003,A701,Transactions!F$4:F$1003),0))</f>
        <v/>
      </c>
      <c r="L701" s="15" t="str">
        <f t="shared" si="52"/>
        <v/>
      </c>
      <c r="M701" s="12" t="str">
        <f t="shared" ca="1" si="53"/>
        <v/>
      </c>
      <c r="N701" s="19" t="str">
        <f t="shared" ca="1" si="54"/>
        <v/>
      </c>
    </row>
    <row r="702" spans="1:14" ht="15.75" customHeight="1" x14ac:dyDescent="0.25">
      <c r="A702" s="11"/>
      <c r="B702" s="11"/>
      <c r="C702" s="11"/>
      <c r="D702" s="11"/>
      <c r="E702" s="11"/>
      <c r="F702" s="17" t="str">
        <f>IF(E702=0,"",IFERROR(E702*Config!B18,0))</f>
        <v/>
      </c>
      <c r="G702" s="13" t="str">
        <f t="shared" si="50"/>
        <v/>
      </c>
      <c r="H702" s="11"/>
      <c r="I702" s="11"/>
      <c r="J702" s="16" t="str">
        <f t="shared" si="51"/>
        <v/>
      </c>
      <c r="K702" s="18" t="str">
        <f>IF(A702="","",IFERROR(SUMIF(Transactions!A$4:A$1003,A702,Transactions!F$4:F$1003),0))</f>
        <v/>
      </c>
      <c r="L702" s="15" t="str">
        <f t="shared" si="52"/>
        <v/>
      </c>
      <c r="M702" s="12" t="str">
        <f t="shared" ca="1" si="53"/>
        <v/>
      </c>
      <c r="N702" s="19" t="str">
        <f t="shared" ca="1" si="54"/>
        <v/>
      </c>
    </row>
    <row r="703" spans="1:14" ht="15.75" customHeight="1" x14ac:dyDescent="0.25">
      <c r="A703" s="11"/>
      <c r="B703" s="11"/>
      <c r="C703" s="11"/>
      <c r="D703" s="11"/>
      <c r="E703" s="11"/>
      <c r="F703" s="17" t="str">
        <f>IF(E703=0,"",IFERROR(E703*Config!B18,0))</f>
        <v/>
      </c>
      <c r="G703" s="13" t="str">
        <f t="shared" si="50"/>
        <v/>
      </c>
      <c r="H703" s="11"/>
      <c r="I703" s="11"/>
      <c r="J703" s="16" t="str">
        <f t="shared" si="51"/>
        <v/>
      </c>
      <c r="K703" s="18" t="str">
        <f>IF(A703="","",IFERROR(SUMIF(Transactions!A$4:A$1003,A703,Transactions!F$4:F$1003),0))</f>
        <v/>
      </c>
      <c r="L703" s="15" t="str">
        <f t="shared" si="52"/>
        <v/>
      </c>
      <c r="M703" s="12" t="str">
        <f t="shared" ca="1" si="53"/>
        <v/>
      </c>
      <c r="N703" s="19" t="str">
        <f t="shared" ca="1" si="54"/>
        <v/>
      </c>
    </row>
    <row r="704" spans="1:14" ht="15.75" customHeight="1" x14ac:dyDescent="0.25">
      <c r="A704" s="11"/>
      <c r="B704" s="11"/>
      <c r="C704" s="11"/>
      <c r="D704" s="11"/>
      <c r="E704" s="11"/>
      <c r="F704" s="17" t="str">
        <f>IF(E704=0,"",IFERROR(E704*Config!B18,0))</f>
        <v/>
      </c>
      <c r="G704" s="13" t="str">
        <f t="shared" si="50"/>
        <v/>
      </c>
      <c r="H704" s="11"/>
      <c r="I704" s="11"/>
      <c r="J704" s="16" t="str">
        <f t="shared" si="51"/>
        <v/>
      </c>
      <c r="K704" s="18" t="str">
        <f>IF(A704="","",IFERROR(SUMIF(Transactions!A$4:A$1003,A704,Transactions!F$4:F$1003),0))</f>
        <v/>
      </c>
      <c r="L704" s="15" t="str">
        <f t="shared" si="52"/>
        <v/>
      </c>
      <c r="M704" s="12" t="str">
        <f t="shared" ca="1" si="53"/>
        <v/>
      </c>
      <c r="N704" s="19" t="str">
        <f t="shared" ca="1" si="54"/>
        <v/>
      </c>
    </row>
    <row r="705" spans="1:14" ht="15.75" customHeight="1" x14ac:dyDescent="0.25">
      <c r="A705" s="11"/>
      <c r="B705" s="11"/>
      <c r="C705" s="11"/>
      <c r="D705" s="11"/>
      <c r="E705" s="11"/>
      <c r="F705" s="17" t="str">
        <f>IF(E705=0,"",IFERROR(E705*Config!B18,0))</f>
        <v/>
      </c>
      <c r="G705" s="13" t="str">
        <f t="shared" si="50"/>
        <v/>
      </c>
      <c r="H705" s="11"/>
      <c r="I705" s="11"/>
      <c r="J705" s="16" t="str">
        <f t="shared" si="51"/>
        <v/>
      </c>
      <c r="K705" s="18" t="str">
        <f>IF(A705="","",IFERROR(SUMIF(Transactions!A$4:A$1003,A705,Transactions!F$4:F$1003),0))</f>
        <v/>
      </c>
      <c r="L705" s="15" t="str">
        <f t="shared" si="52"/>
        <v/>
      </c>
      <c r="M705" s="12" t="str">
        <f t="shared" ca="1" si="53"/>
        <v/>
      </c>
      <c r="N705" s="19" t="str">
        <f t="shared" ca="1" si="54"/>
        <v/>
      </c>
    </row>
    <row r="706" spans="1:14" ht="15.75" customHeight="1" x14ac:dyDescent="0.25">
      <c r="A706" s="11"/>
      <c r="B706" s="11"/>
      <c r="C706" s="11"/>
      <c r="D706" s="11"/>
      <c r="E706" s="11"/>
      <c r="F706" s="17" t="str">
        <f>IF(E706=0,"",IFERROR(E706*Config!B18,0))</f>
        <v/>
      </c>
      <c r="G706" s="13" t="str">
        <f t="shared" si="50"/>
        <v/>
      </c>
      <c r="H706" s="11"/>
      <c r="I706" s="11"/>
      <c r="J706" s="16" t="str">
        <f t="shared" si="51"/>
        <v/>
      </c>
      <c r="K706" s="18" t="str">
        <f>IF(A706="","",IFERROR(SUMIF(Transactions!A$4:A$1003,A706,Transactions!F$4:F$1003),0))</f>
        <v/>
      </c>
      <c r="L706" s="15" t="str">
        <f t="shared" si="52"/>
        <v/>
      </c>
      <c r="M706" s="12" t="str">
        <f t="shared" ca="1" si="53"/>
        <v/>
      </c>
      <c r="N706" s="19" t="str">
        <f t="shared" ca="1" si="54"/>
        <v/>
      </c>
    </row>
    <row r="707" spans="1:14" ht="15.75" customHeight="1" x14ac:dyDescent="0.25">
      <c r="A707" s="11"/>
      <c r="B707" s="11"/>
      <c r="C707" s="11"/>
      <c r="D707" s="11"/>
      <c r="E707" s="11"/>
      <c r="F707" s="17" t="str">
        <f>IF(E707=0,"",IFERROR(E707*Config!B18,0))</f>
        <v/>
      </c>
      <c r="G707" s="13" t="str">
        <f t="shared" si="50"/>
        <v/>
      </c>
      <c r="H707" s="11"/>
      <c r="I707" s="11"/>
      <c r="J707" s="16" t="str">
        <f t="shared" si="51"/>
        <v/>
      </c>
      <c r="K707" s="18" t="str">
        <f>IF(A707="","",IFERROR(SUMIF(Transactions!A$4:A$1003,A707,Transactions!F$4:F$1003),0))</f>
        <v/>
      </c>
      <c r="L707" s="15" t="str">
        <f t="shared" si="52"/>
        <v/>
      </c>
      <c r="M707" s="12" t="str">
        <f t="shared" ca="1" si="53"/>
        <v/>
      </c>
      <c r="N707" s="19" t="str">
        <f t="shared" ca="1" si="54"/>
        <v/>
      </c>
    </row>
    <row r="708" spans="1:14" ht="15.75" customHeight="1" x14ac:dyDescent="0.25">
      <c r="A708" s="11"/>
      <c r="B708" s="11"/>
      <c r="C708" s="11"/>
      <c r="D708" s="11"/>
      <c r="E708" s="11"/>
      <c r="F708" s="17" t="str">
        <f>IF(E708=0,"",IFERROR(E708*Config!B18,0))</f>
        <v/>
      </c>
      <c r="G708" s="13" t="str">
        <f t="shared" ref="G708:G771" si="55">IF(E708=0,"",MAX(0,E708-F708))</f>
        <v/>
      </c>
      <c r="H708" s="11"/>
      <c r="I708" s="11"/>
      <c r="J708" s="16" t="str">
        <f t="shared" ref="J708:J771" si="56">IF(E708=0,"",IFERROR(-PMT(H708/100/12,I708,-E708),0))</f>
        <v/>
      </c>
      <c r="K708" s="18" t="str">
        <f>IF(A708="","",IFERROR(SUMIF(Transactions!A$4:A$1003,A708,Transactions!F$4:F$1003),0))</f>
        <v/>
      </c>
      <c r="L708" s="15" t="str">
        <f t="shared" ref="L708:L771" si="57">IF(E708=0,"",MAX(0,E708-K708))</f>
        <v/>
      </c>
      <c r="M708" s="12" t="str">
        <f t="shared" ref="M708:M771" ca="1" si="58">IF(A708="","",IF(L708&lt;=0,"✅ Fully Paid",IF(AND(D708&lt;&gt;"",TODAY()&gt;D708+I708*30),"⚠ Overdue","🟢 Active")))</f>
        <v/>
      </c>
      <c r="N708" s="19" t="str">
        <f t="shared" ref="N708:N771" ca="1" si="59">IF(L708&lt;=0,TODAY(),"")</f>
        <v/>
      </c>
    </row>
    <row r="709" spans="1:14" ht="15.75" customHeight="1" x14ac:dyDescent="0.25">
      <c r="A709" s="11"/>
      <c r="B709" s="11"/>
      <c r="C709" s="11"/>
      <c r="D709" s="11"/>
      <c r="E709" s="11"/>
      <c r="F709" s="17" t="str">
        <f>IF(E709=0,"",IFERROR(E709*Config!B18,0))</f>
        <v/>
      </c>
      <c r="G709" s="13" t="str">
        <f t="shared" si="55"/>
        <v/>
      </c>
      <c r="H709" s="11"/>
      <c r="I709" s="11"/>
      <c r="J709" s="16" t="str">
        <f t="shared" si="56"/>
        <v/>
      </c>
      <c r="K709" s="18" t="str">
        <f>IF(A709="","",IFERROR(SUMIF(Transactions!A$4:A$1003,A709,Transactions!F$4:F$1003),0))</f>
        <v/>
      </c>
      <c r="L709" s="15" t="str">
        <f t="shared" si="57"/>
        <v/>
      </c>
      <c r="M709" s="12" t="str">
        <f t="shared" ca="1" si="58"/>
        <v/>
      </c>
      <c r="N709" s="19" t="str">
        <f t="shared" ca="1" si="59"/>
        <v/>
      </c>
    </row>
    <row r="710" spans="1:14" ht="15.75" customHeight="1" x14ac:dyDescent="0.25">
      <c r="A710" s="11"/>
      <c r="B710" s="11"/>
      <c r="C710" s="11"/>
      <c r="D710" s="11"/>
      <c r="E710" s="11"/>
      <c r="F710" s="17" t="str">
        <f>IF(E710=0,"",IFERROR(E710*Config!B18,0))</f>
        <v/>
      </c>
      <c r="G710" s="13" t="str">
        <f t="shared" si="55"/>
        <v/>
      </c>
      <c r="H710" s="11"/>
      <c r="I710" s="11"/>
      <c r="J710" s="16" t="str">
        <f t="shared" si="56"/>
        <v/>
      </c>
      <c r="K710" s="18" t="str">
        <f>IF(A710="","",IFERROR(SUMIF(Transactions!A$4:A$1003,A710,Transactions!F$4:F$1003),0))</f>
        <v/>
      </c>
      <c r="L710" s="15" t="str">
        <f t="shared" si="57"/>
        <v/>
      </c>
      <c r="M710" s="12" t="str">
        <f t="shared" ca="1" si="58"/>
        <v/>
      </c>
      <c r="N710" s="19" t="str">
        <f t="shared" ca="1" si="59"/>
        <v/>
      </c>
    </row>
    <row r="711" spans="1:14" ht="15.75" customHeight="1" x14ac:dyDescent="0.25">
      <c r="A711" s="11"/>
      <c r="B711" s="11"/>
      <c r="C711" s="11"/>
      <c r="D711" s="11"/>
      <c r="E711" s="11"/>
      <c r="F711" s="17" t="str">
        <f>IF(E711=0,"",IFERROR(E711*Config!B18,0))</f>
        <v/>
      </c>
      <c r="G711" s="13" t="str">
        <f t="shared" si="55"/>
        <v/>
      </c>
      <c r="H711" s="11"/>
      <c r="I711" s="11"/>
      <c r="J711" s="16" t="str">
        <f t="shared" si="56"/>
        <v/>
      </c>
      <c r="K711" s="18" t="str">
        <f>IF(A711="","",IFERROR(SUMIF(Transactions!A$4:A$1003,A711,Transactions!F$4:F$1003),0))</f>
        <v/>
      </c>
      <c r="L711" s="15" t="str">
        <f t="shared" si="57"/>
        <v/>
      </c>
      <c r="M711" s="12" t="str">
        <f t="shared" ca="1" si="58"/>
        <v/>
      </c>
      <c r="N711" s="19" t="str">
        <f t="shared" ca="1" si="59"/>
        <v/>
      </c>
    </row>
    <row r="712" spans="1:14" ht="15.75" customHeight="1" x14ac:dyDescent="0.25">
      <c r="A712" s="11"/>
      <c r="B712" s="11"/>
      <c r="C712" s="11"/>
      <c r="D712" s="11"/>
      <c r="E712" s="11"/>
      <c r="F712" s="17" t="str">
        <f>IF(E712=0,"",IFERROR(E712*Config!B18,0))</f>
        <v/>
      </c>
      <c r="G712" s="13" t="str">
        <f t="shared" si="55"/>
        <v/>
      </c>
      <c r="H712" s="11"/>
      <c r="I712" s="11"/>
      <c r="J712" s="16" t="str">
        <f t="shared" si="56"/>
        <v/>
      </c>
      <c r="K712" s="18" t="str">
        <f>IF(A712="","",IFERROR(SUMIF(Transactions!A$4:A$1003,A712,Transactions!F$4:F$1003),0))</f>
        <v/>
      </c>
      <c r="L712" s="15" t="str">
        <f t="shared" si="57"/>
        <v/>
      </c>
      <c r="M712" s="12" t="str">
        <f t="shared" ca="1" si="58"/>
        <v/>
      </c>
      <c r="N712" s="19" t="str">
        <f t="shared" ca="1" si="59"/>
        <v/>
      </c>
    </row>
    <row r="713" spans="1:14" ht="15.75" customHeight="1" x14ac:dyDescent="0.25">
      <c r="A713" s="11"/>
      <c r="B713" s="11"/>
      <c r="C713" s="11"/>
      <c r="D713" s="11"/>
      <c r="E713" s="11"/>
      <c r="F713" s="17" t="str">
        <f>IF(E713=0,"",IFERROR(E713*Config!B18,0))</f>
        <v/>
      </c>
      <c r="G713" s="13" t="str">
        <f t="shared" si="55"/>
        <v/>
      </c>
      <c r="H713" s="11"/>
      <c r="I713" s="11"/>
      <c r="J713" s="16" t="str">
        <f t="shared" si="56"/>
        <v/>
      </c>
      <c r="K713" s="18" t="str">
        <f>IF(A713="","",IFERROR(SUMIF(Transactions!A$4:A$1003,A713,Transactions!F$4:F$1003),0))</f>
        <v/>
      </c>
      <c r="L713" s="15" t="str">
        <f t="shared" si="57"/>
        <v/>
      </c>
      <c r="M713" s="12" t="str">
        <f t="shared" ca="1" si="58"/>
        <v/>
      </c>
      <c r="N713" s="19" t="str">
        <f t="shared" ca="1" si="59"/>
        <v/>
      </c>
    </row>
    <row r="714" spans="1:14" ht="15.75" customHeight="1" x14ac:dyDescent="0.25">
      <c r="A714" s="11"/>
      <c r="B714" s="11"/>
      <c r="C714" s="11"/>
      <c r="D714" s="11"/>
      <c r="E714" s="11"/>
      <c r="F714" s="17" t="str">
        <f>IF(E714=0,"",IFERROR(E714*Config!B18,0))</f>
        <v/>
      </c>
      <c r="G714" s="13" t="str">
        <f t="shared" si="55"/>
        <v/>
      </c>
      <c r="H714" s="11"/>
      <c r="I714" s="11"/>
      <c r="J714" s="16" t="str">
        <f t="shared" si="56"/>
        <v/>
      </c>
      <c r="K714" s="18" t="str">
        <f>IF(A714="","",IFERROR(SUMIF(Transactions!A$4:A$1003,A714,Transactions!F$4:F$1003),0))</f>
        <v/>
      </c>
      <c r="L714" s="15" t="str">
        <f t="shared" si="57"/>
        <v/>
      </c>
      <c r="M714" s="12" t="str">
        <f t="shared" ca="1" si="58"/>
        <v/>
      </c>
      <c r="N714" s="19" t="str">
        <f t="shared" ca="1" si="59"/>
        <v/>
      </c>
    </row>
    <row r="715" spans="1:14" ht="15.75" customHeight="1" x14ac:dyDescent="0.25">
      <c r="A715" s="11"/>
      <c r="B715" s="11"/>
      <c r="C715" s="11"/>
      <c r="D715" s="11"/>
      <c r="E715" s="11"/>
      <c r="F715" s="17" t="str">
        <f>IF(E715=0,"",IFERROR(E715*Config!B18,0))</f>
        <v/>
      </c>
      <c r="G715" s="13" t="str">
        <f t="shared" si="55"/>
        <v/>
      </c>
      <c r="H715" s="11"/>
      <c r="I715" s="11"/>
      <c r="J715" s="16" t="str">
        <f t="shared" si="56"/>
        <v/>
      </c>
      <c r="K715" s="18" t="str">
        <f>IF(A715="","",IFERROR(SUMIF(Transactions!A$4:A$1003,A715,Transactions!F$4:F$1003),0))</f>
        <v/>
      </c>
      <c r="L715" s="15" t="str">
        <f t="shared" si="57"/>
        <v/>
      </c>
      <c r="M715" s="12" t="str">
        <f t="shared" ca="1" si="58"/>
        <v/>
      </c>
      <c r="N715" s="19" t="str">
        <f t="shared" ca="1" si="59"/>
        <v/>
      </c>
    </row>
    <row r="716" spans="1:14" ht="15.75" customHeight="1" x14ac:dyDescent="0.25">
      <c r="A716" s="11"/>
      <c r="B716" s="11"/>
      <c r="C716" s="11"/>
      <c r="D716" s="11"/>
      <c r="E716" s="11"/>
      <c r="F716" s="17" t="str">
        <f>IF(E716=0,"",IFERROR(E716*Config!B18,0))</f>
        <v/>
      </c>
      <c r="G716" s="13" t="str">
        <f t="shared" si="55"/>
        <v/>
      </c>
      <c r="H716" s="11"/>
      <c r="I716" s="11"/>
      <c r="J716" s="16" t="str">
        <f t="shared" si="56"/>
        <v/>
      </c>
      <c r="K716" s="18" t="str">
        <f>IF(A716="","",IFERROR(SUMIF(Transactions!A$4:A$1003,A716,Transactions!F$4:F$1003),0))</f>
        <v/>
      </c>
      <c r="L716" s="15" t="str">
        <f t="shared" si="57"/>
        <v/>
      </c>
      <c r="M716" s="12" t="str">
        <f t="shared" ca="1" si="58"/>
        <v/>
      </c>
      <c r="N716" s="19" t="str">
        <f t="shared" ca="1" si="59"/>
        <v/>
      </c>
    </row>
    <row r="717" spans="1:14" ht="15.75" customHeight="1" x14ac:dyDescent="0.25">
      <c r="A717" s="11"/>
      <c r="B717" s="11"/>
      <c r="C717" s="11"/>
      <c r="D717" s="11"/>
      <c r="E717" s="11"/>
      <c r="F717" s="17" t="str">
        <f>IF(E717=0,"",IFERROR(E717*Config!B18,0))</f>
        <v/>
      </c>
      <c r="G717" s="13" t="str">
        <f t="shared" si="55"/>
        <v/>
      </c>
      <c r="H717" s="11"/>
      <c r="I717" s="11"/>
      <c r="J717" s="16" t="str">
        <f t="shared" si="56"/>
        <v/>
      </c>
      <c r="K717" s="18" t="str">
        <f>IF(A717="","",IFERROR(SUMIF(Transactions!A$4:A$1003,A717,Transactions!F$4:F$1003),0))</f>
        <v/>
      </c>
      <c r="L717" s="15" t="str">
        <f t="shared" si="57"/>
        <v/>
      </c>
      <c r="M717" s="12" t="str">
        <f t="shared" ca="1" si="58"/>
        <v/>
      </c>
      <c r="N717" s="19" t="str">
        <f t="shared" ca="1" si="59"/>
        <v/>
      </c>
    </row>
    <row r="718" spans="1:14" ht="15.75" customHeight="1" x14ac:dyDescent="0.25">
      <c r="A718" s="11"/>
      <c r="B718" s="11"/>
      <c r="C718" s="11"/>
      <c r="D718" s="11"/>
      <c r="E718" s="11"/>
      <c r="F718" s="17" t="str">
        <f>IF(E718=0,"",IFERROR(E718*Config!B18,0))</f>
        <v/>
      </c>
      <c r="G718" s="13" t="str">
        <f t="shared" si="55"/>
        <v/>
      </c>
      <c r="H718" s="11"/>
      <c r="I718" s="11"/>
      <c r="J718" s="16" t="str">
        <f t="shared" si="56"/>
        <v/>
      </c>
      <c r="K718" s="18" t="str">
        <f>IF(A718="","",IFERROR(SUMIF(Transactions!A$4:A$1003,A718,Transactions!F$4:F$1003),0))</f>
        <v/>
      </c>
      <c r="L718" s="15" t="str">
        <f t="shared" si="57"/>
        <v/>
      </c>
      <c r="M718" s="12" t="str">
        <f t="shared" ca="1" si="58"/>
        <v/>
      </c>
      <c r="N718" s="19" t="str">
        <f t="shared" ca="1" si="59"/>
        <v/>
      </c>
    </row>
    <row r="719" spans="1:14" ht="15.75" customHeight="1" x14ac:dyDescent="0.25">
      <c r="A719" s="11"/>
      <c r="B719" s="11"/>
      <c r="C719" s="11"/>
      <c r="D719" s="11"/>
      <c r="E719" s="11"/>
      <c r="F719" s="17" t="str">
        <f>IF(E719=0,"",IFERROR(E719*Config!B18,0))</f>
        <v/>
      </c>
      <c r="G719" s="13" t="str">
        <f t="shared" si="55"/>
        <v/>
      </c>
      <c r="H719" s="11"/>
      <c r="I719" s="11"/>
      <c r="J719" s="16" t="str">
        <f t="shared" si="56"/>
        <v/>
      </c>
      <c r="K719" s="18" t="str">
        <f>IF(A719="","",IFERROR(SUMIF(Transactions!A$4:A$1003,A719,Transactions!F$4:F$1003),0))</f>
        <v/>
      </c>
      <c r="L719" s="15" t="str">
        <f t="shared" si="57"/>
        <v/>
      </c>
      <c r="M719" s="12" t="str">
        <f t="shared" ca="1" si="58"/>
        <v/>
      </c>
      <c r="N719" s="19" t="str">
        <f t="shared" ca="1" si="59"/>
        <v/>
      </c>
    </row>
    <row r="720" spans="1:14" ht="15.75" customHeight="1" x14ac:dyDescent="0.25">
      <c r="A720" s="11"/>
      <c r="B720" s="11"/>
      <c r="C720" s="11"/>
      <c r="D720" s="11"/>
      <c r="E720" s="11"/>
      <c r="F720" s="17" t="str">
        <f>IF(E720=0,"",IFERROR(E720*Config!B18,0))</f>
        <v/>
      </c>
      <c r="G720" s="13" t="str">
        <f t="shared" si="55"/>
        <v/>
      </c>
      <c r="H720" s="11"/>
      <c r="I720" s="11"/>
      <c r="J720" s="16" t="str">
        <f t="shared" si="56"/>
        <v/>
      </c>
      <c r="K720" s="18" t="str">
        <f>IF(A720="","",IFERROR(SUMIF(Transactions!A$4:A$1003,A720,Transactions!F$4:F$1003),0))</f>
        <v/>
      </c>
      <c r="L720" s="15" t="str">
        <f t="shared" si="57"/>
        <v/>
      </c>
      <c r="M720" s="12" t="str">
        <f t="shared" ca="1" si="58"/>
        <v/>
      </c>
      <c r="N720" s="19" t="str">
        <f t="shared" ca="1" si="59"/>
        <v/>
      </c>
    </row>
    <row r="721" spans="1:14" ht="15.75" customHeight="1" x14ac:dyDescent="0.25">
      <c r="A721" s="11"/>
      <c r="B721" s="11"/>
      <c r="C721" s="11"/>
      <c r="D721" s="11"/>
      <c r="E721" s="11"/>
      <c r="F721" s="17" t="str">
        <f>IF(E721=0,"",IFERROR(E721*Config!B18,0))</f>
        <v/>
      </c>
      <c r="G721" s="13" t="str">
        <f t="shared" si="55"/>
        <v/>
      </c>
      <c r="H721" s="11"/>
      <c r="I721" s="11"/>
      <c r="J721" s="16" t="str">
        <f t="shared" si="56"/>
        <v/>
      </c>
      <c r="K721" s="18" t="str">
        <f>IF(A721="","",IFERROR(SUMIF(Transactions!A$4:A$1003,A721,Transactions!F$4:F$1003),0))</f>
        <v/>
      </c>
      <c r="L721" s="15" t="str">
        <f t="shared" si="57"/>
        <v/>
      </c>
      <c r="M721" s="12" t="str">
        <f t="shared" ca="1" si="58"/>
        <v/>
      </c>
      <c r="N721" s="19" t="str">
        <f t="shared" ca="1" si="59"/>
        <v/>
      </c>
    </row>
    <row r="722" spans="1:14" ht="15.75" customHeight="1" x14ac:dyDescent="0.25">
      <c r="A722" s="11"/>
      <c r="B722" s="11"/>
      <c r="C722" s="11"/>
      <c r="D722" s="11"/>
      <c r="E722" s="11"/>
      <c r="F722" s="17" t="str">
        <f>IF(E722=0,"",IFERROR(E722*Config!B18,0))</f>
        <v/>
      </c>
      <c r="G722" s="13" t="str">
        <f t="shared" si="55"/>
        <v/>
      </c>
      <c r="H722" s="11"/>
      <c r="I722" s="11"/>
      <c r="J722" s="16" t="str">
        <f t="shared" si="56"/>
        <v/>
      </c>
      <c r="K722" s="18" t="str">
        <f>IF(A722="","",IFERROR(SUMIF(Transactions!A$4:A$1003,A722,Transactions!F$4:F$1003),0))</f>
        <v/>
      </c>
      <c r="L722" s="15" t="str">
        <f t="shared" si="57"/>
        <v/>
      </c>
      <c r="M722" s="12" t="str">
        <f t="shared" ca="1" si="58"/>
        <v/>
      </c>
      <c r="N722" s="19" t="str">
        <f t="shared" ca="1" si="59"/>
        <v/>
      </c>
    </row>
    <row r="723" spans="1:14" ht="15.75" customHeight="1" x14ac:dyDescent="0.25">
      <c r="A723" s="11"/>
      <c r="B723" s="11"/>
      <c r="C723" s="11"/>
      <c r="D723" s="11"/>
      <c r="E723" s="11"/>
      <c r="F723" s="17" t="str">
        <f>IF(E723=0,"",IFERROR(E723*Config!B18,0))</f>
        <v/>
      </c>
      <c r="G723" s="13" t="str">
        <f t="shared" si="55"/>
        <v/>
      </c>
      <c r="H723" s="11"/>
      <c r="I723" s="11"/>
      <c r="J723" s="16" t="str">
        <f t="shared" si="56"/>
        <v/>
      </c>
      <c r="K723" s="18" t="str">
        <f>IF(A723="","",IFERROR(SUMIF(Transactions!A$4:A$1003,A723,Transactions!F$4:F$1003),0))</f>
        <v/>
      </c>
      <c r="L723" s="15" t="str">
        <f t="shared" si="57"/>
        <v/>
      </c>
      <c r="M723" s="12" t="str">
        <f t="shared" ca="1" si="58"/>
        <v/>
      </c>
      <c r="N723" s="19" t="str">
        <f t="shared" ca="1" si="59"/>
        <v/>
      </c>
    </row>
    <row r="724" spans="1:14" ht="15.75" customHeight="1" x14ac:dyDescent="0.25">
      <c r="A724" s="11"/>
      <c r="B724" s="11"/>
      <c r="C724" s="11"/>
      <c r="D724" s="11"/>
      <c r="E724" s="11"/>
      <c r="F724" s="17" t="str">
        <f>IF(E724=0,"",IFERROR(E724*Config!B18,0))</f>
        <v/>
      </c>
      <c r="G724" s="13" t="str">
        <f t="shared" si="55"/>
        <v/>
      </c>
      <c r="H724" s="11"/>
      <c r="I724" s="11"/>
      <c r="J724" s="16" t="str">
        <f t="shared" si="56"/>
        <v/>
      </c>
      <c r="K724" s="18" t="str">
        <f>IF(A724="","",IFERROR(SUMIF(Transactions!A$4:A$1003,A724,Transactions!F$4:F$1003),0))</f>
        <v/>
      </c>
      <c r="L724" s="15" t="str">
        <f t="shared" si="57"/>
        <v/>
      </c>
      <c r="M724" s="12" t="str">
        <f t="shared" ca="1" si="58"/>
        <v/>
      </c>
      <c r="N724" s="19" t="str">
        <f t="shared" ca="1" si="59"/>
        <v/>
      </c>
    </row>
    <row r="725" spans="1:14" ht="15.75" customHeight="1" x14ac:dyDescent="0.25">
      <c r="A725" s="11"/>
      <c r="B725" s="11"/>
      <c r="C725" s="11"/>
      <c r="D725" s="11"/>
      <c r="E725" s="11"/>
      <c r="F725" s="17" t="str">
        <f>IF(E725=0,"",IFERROR(E725*Config!B18,0))</f>
        <v/>
      </c>
      <c r="G725" s="13" t="str">
        <f t="shared" si="55"/>
        <v/>
      </c>
      <c r="H725" s="11"/>
      <c r="I725" s="11"/>
      <c r="J725" s="16" t="str">
        <f t="shared" si="56"/>
        <v/>
      </c>
      <c r="K725" s="18" t="str">
        <f>IF(A725="","",IFERROR(SUMIF(Transactions!A$4:A$1003,A725,Transactions!F$4:F$1003),0))</f>
        <v/>
      </c>
      <c r="L725" s="15" t="str">
        <f t="shared" si="57"/>
        <v/>
      </c>
      <c r="M725" s="12" t="str">
        <f t="shared" ca="1" si="58"/>
        <v/>
      </c>
      <c r="N725" s="19" t="str">
        <f t="shared" ca="1" si="59"/>
        <v/>
      </c>
    </row>
    <row r="726" spans="1:14" ht="15.75" customHeight="1" x14ac:dyDescent="0.25">
      <c r="A726" s="11"/>
      <c r="B726" s="11"/>
      <c r="C726" s="11"/>
      <c r="D726" s="11"/>
      <c r="E726" s="11"/>
      <c r="F726" s="17" t="str">
        <f>IF(E726=0,"",IFERROR(E726*Config!B18,0))</f>
        <v/>
      </c>
      <c r="G726" s="13" t="str">
        <f t="shared" si="55"/>
        <v/>
      </c>
      <c r="H726" s="11"/>
      <c r="I726" s="11"/>
      <c r="J726" s="16" t="str">
        <f t="shared" si="56"/>
        <v/>
      </c>
      <c r="K726" s="18" t="str">
        <f>IF(A726="","",IFERROR(SUMIF(Transactions!A$4:A$1003,A726,Transactions!F$4:F$1003),0))</f>
        <v/>
      </c>
      <c r="L726" s="15" t="str">
        <f t="shared" si="57"/>
        <v/>
      </c>
      <c r="M726" s="12" t="str">
        <f t="shared" ca="1" si="58"/>
        <v/>
      </c>
      <c r="N726" s="19" t="str">
        <f t="shared" ca="1" si="59"/>
        <v/>
      </c>
    </row>
    <row r="727" spans="1:14" ht="15.75" customHeight="1" x14ac:dyDescent="0.25">
      <c r="A727" s="11"/>
      <c r="B727" s="11"/>
      <c r="C727" s="11"/>
      <c r="D727" s="11"/>
      <c r="E727" s="11"/>
      <c r="F727" s="17" t="str">
        <f>IF(E727=0,"",IFERROR(E727*Config!B18,0))</f>
        <v/>
      </c>
      <c r="G727" s="13" t="str">
        <f t="shared" si="55"/>
        <v/>
      </c>
      <c r="H727" s="11"/>
      <c r="I727" s="11"/>
      <c r="J727" s="16" t="str">
        <f t="shared" si="56"/>
        <v/>
      </c>
      <c r="K727" s="18" t="str">
        <f>IF(A727="","",IFERROR(SUMIF(Transactions!A$4:A$1003,A727,Transactions!F$4:F$1003),0))</f>
        <v/>
      </c>
      <c r="L727" s="15" t="str">
        <f t="shared" si="57"/>
        <v/>
      </c>
      <c r="M727" s="12" t="str">
        <f t="shared" ca="1" si="58"/>
        <v/>
      </c>
      <c r="N727" s="19" t="str">
        <f t="shared" ca="1" si="59"/>
        <v/>
      </c>
    </row>
    <row r="728" spans="1:14" ht="15.75" customHeight="1" x14ac:dyDescent="0.25">
      <c r="A728" s="11"/>
      <c r="B728" s="11"/>
      <c r="C728" s="11"/>
      <c r="D728" s="11"/>
      <c r="E728" s="11"/>
      <c r="F728" s="17" t="str">
        <f>IF(E728=0,"",IFERROR(E728*Config!B18,0))</f>
        <v/>
      </c>
      <c r="G728" s="13" t="str">
        <f t="shared" si="55"/>
        <v/>
      </c>
      <c r="H728" s="11"/>
      <c r="I728" s="11"/>
      <c r="J728" s="16" t="str">
        <f t="shared" si="56"/>
        <v/>
      </c>
      <c r="K728" s="18" t="str">
        <f>IF(A728="","",IFERROR(SUMIF(Transactions!A$4:A$1003,A728,Transactions!F$4:F$1003),0))</f>
        <v/>
      </c>
      <c r="L728" s="15" t="str">
        <f t="shared" si="57"/>
        <v/>
      </c>
      <c r="M728" s="12" t="str">
        <f t="shared" ca="1" si="58"/>
        <v/>
      </c>
      <c r="N728" s="19" t="str">
        <f t="shared" ca="1" si="59"/>
        <v/>
      </c>
    </row>
    <row r="729" spans="1:14" ht="15.75" customHeight="1" x14ac:dyDescent="0.25">
      <c r="A729" s="11"/>
      <c r="B729" s="11"/>
      <c r="C729" s="11"/>
      <c r="D729" s="11"/>
      <c r="E729" s="11"/>
      <c r="F729" s="17" t="str">
        <f>IF(E729=0,"",IFERROR(E729*Config!B18,0))</f>
        <v/>
      </c>
      <c r="G729" s="13" t="str">
        <f t="shared" si="55"/>
        <v/>
      </c>
      <c r="H729" s="11"/>
      <c r="I729" s="11"/>
      <c r="J729" s="16" t="str">
        <f t="shared" si="56"/>
        <v/>
      </c>
      <c r="K729" s="18" t="str">
        <f>IF(A729="","",IFERROR(SUMIF(Transactions!A$4:A$1003,A729,Transactions!F$4:F$1003),0))</f>
        <v/>
      </c>
      <c r="L729" s="15" t="str">
        <f t="shared" si="57"/>
        <v/>
      </c>
      <c r="M729" s="12" t="str">
        <f t="shared" ca="1" si="58"/>
        <v/>
      </c>
      <c r="N729" s="19" t="str">
        <f t="shared" ca="1" si="59"/>
        <v/>
      </c>
    </row>
    <row r="730" spans="1:14" ht="15.75" customHeight="1" x14ac:dyDescent="0.25">
      <c r="A730" s="11"/>
      <c r="B730" s="11"/>
      <c r="C730" s="11"/>
      <c r="D730" s="11"/>
      <c r="E730" s="11"/>
      <c r="F730" s="17" t="str">
        <f>IF(E730=0,"",IFERROR(E730*Config!B18,0))</f>
        <v/>
      </c>
      <c r="G730" s="13" t="str">
        <f t="shared" si="55"/>
        <v/>
      </c>
      <c r="H730" s="11"/>
      <c r="I730" s="11"/>
      <c r="J730" s="16" t="str">
        <f t="shared" si="56"/>
        <v/>
      </c>
      <c r="K730" s="18" t="str">
        <f>IF(A730="","",IFERROR(SUMIF(Transactions!A$4:A$1003,A730,Transactions!F$4:F$1003),0))</f>
        <v/>
      </c>
      <c r="L730" s="15" t="str">
        <f t="shared" si="57"/>
        <v/>
      </c>
      <c r="M730" s="12" t="str">
        <f t="shared" ca="1" si="58"/>
        <v/>
      </c>
      <c r="N730" s="19" t="str">
        <f t="shared" ca="1" si="59"/>
        <v/>
      </c>
    </row>
    <row r="731" spans="1:14" ht="15.75" customHeight="1" x14ac:dyDescent="0.25">
      <c r="A731" s="11"/>
      <c r="B731" s="11"/>
      <c r="C731" s="11"/>
      <c r="D731" s="11"/>
      <c r="E731" s="11"/>
      <c r="F731" s="17" t="str">
        <f>IF(E731=0,"",IFERROR(E731*Config!B18,0))</f>
        <v/>
      </c>
      <c r="G731" s="13" t="str">
        <f t="shared" si="55"/>
        <v/>
      </c>
      <c r="H731" s="11"/>
      <c r="I731" s="11"/>
      <c r="J731" s="16" t="str">
        <f t="shared" si="56"/>
        <v/>
      </c>
      <c r="K731" s="18" t="str">
        <f>IF(A731="","",IFERROR(SUMIF(Transactions!A$4:A$1003,A731,Transactions!F$4:F$1003),0))</f>
        <v/>
      </c>
      <c r="L731" s="15" t="str">
        <f t="shared" si="57"/>
        <v/>
      </c>
      <c r="M731" s="12" t="str">
        <f t="shared" ca="1" si="58"/>
        <v/>
      </c>
      <c r="N731" s="19" t="str">
        <f t="shared" ca="1" si="59"/>
        <v/>
      </c>
    </row>
    <row r="732" spans="1:14" ht="15.75" customHeight="1" x14ac:dyDescent="0.25">
      <c r="A732" s="11"/>
      <c r="B732" s="11"/>
      <c r="C732" s="11"/>
      <c r="D732" s="11"/>
      <c r="E732" s="11"/>
      <c r="F732" s="17" t="str">
        <f>IF(E732=0,"",IFERROR(E732*Config!B18,0))</f>
        <v/>
      </c>
      <c r="G732" s="13" t="str">
        <f t="shared" si="55"/>
        <v/>
      </c>
      <c r="H732" s="11"/>
      <c r="I732" s="11"/>
      <c r="J732" s="16" t="str">
        <f t="shared" si="56"/>
        <v/>
      </c>
      <c r="K732" s="18" t="str">
        <f>IF(A732="","",IFERROR(SUMIF(Transactions!A$4:A$1003,A732,Transactions!F$4:F$1003),0))</f>
        <v/>
      </c>
      <c r="L732" s="15" t="str">
        <f t="shared" si="57"/>
        <v/>
      </c>
      <c r="M732" s="12" t="str">
        <f t="shared" ca="1" si="58"/>
        <v/>
      </c>
      <c r="N732" s="19" t="str">
        <f t="shared" ca="1" si="59"/>
        <v/>
      </c>
    </row>
    <row r="733" spans="1:14" ht="15.75" customHeight="1" x14ac:dyDescent="0.25">
      <c r="A733" s="11"/>
      <c r="B733" s="11"/>
      <c r="C733" s="11"/>
      <c r="D733" s="11"/>
      <c r="E733" s="11"/>
      <c r="F733" s="17" t="str">
        <f>IF(E733=0,"",IFERROR(E733*Config!B18,0))</f>
        <v/>
      </c>
      <c r="G733" s="13" t="str">
        <f t="shared" si="55"/>
        <v/>
      </c>
      <c r="H733" s="11"/>
      <c r="I733" s="11"/>
      <c r="J733" s="16" t="str">
        <f t="shared" si="56"/>
        <v/>
      </c>
      <c r="K733" s="18" t="str">
        <f>IF(A733="","",IFERROR(SUMIF(Transactions!A$4:A$1003,A733,Transactions!F$4:F$1003),0))</f>
        <v/>
      </c>
      <c r="L733" s="15" t="str">
        <f t="shared" si="57"/>
        <v/>
      </c>
      <c r="M733" s="12" t="str">
        <f t="shared" ca="1" si="58"/>
        <v/>
      </c>
      <c r="N733" s="19" t="str">
        <f t="shared" ca="1" si="59"/>
        <v/>
      </c>
    </row>
    <row r="734" spans="1:14" ht="15.75" customHeight="1" x14ac:dyDescent="0.25">
      <c r="A734" s="11"/>
      <c r="B734" s="11"/>
      <c r="C734" s="11"/>
      <c r="D734" s="11"/>
      <c r="E734" s="11"/>
      <c r="F734" s="17" t="str">
        <f>IF(E734=0,"",IFERROR(E734*Config!B18,0))</f>
        <v/>
      </c>
      <c r="G734" s="13" t="str">
        <f t="shared" si="55"/>
        <v/>
      </c>
      <c r="H734" s="11"/>
      <c r="I734" s="11"/>
      <c r="J734" s="16" t="str">
        <f t="shared" si="56"/>
        <v/>
      </c>
      <c r="K734" s="18" t="str">
        <f>IF(A734="","",IFERROR(SUMIF(Transactions!A$4:A$1003,A734,Transactions!F$4:F$1003),0))</f>
        <v/>
      </c>
      <c r="L734" s="15" t="str">
        <f t="shared" si="57"/>
        <v/>
      </c>
      <c r="M734" s="12" t="str">
        <f t="shared" ca="1" si="58"/>
        <v/>
      </c>
      <c r="N734" s="19" t="str">
        <f t="shared" ca="1" si="59"/>
        <v/>
      </c>
    </row>
    <row r="735" spans="1:14" ht="15.75" customHeight="1" x14ac:dyDescent="0.25">
      <c r="A735" s="11"/>
      <c r="B735" s="11"/>
      <c r="C735" s="11"/>
      <c r="D735" s="11"/>
      <c r="E735" s="11"/>
      <c r="F735" s="17" t="str">
        <f>IF(E735=0,"",IFERROR(E735*Config!B18,0))</f>
        <v/>
      </c>
      <c r="G735" s="13" t="str">
        <f t="shared" si="55"/>
        <v/>
      </c>
      <c r="H735" s="11"/>
      <c r="I735" s="11"/>
      <c r="J735" s="16" t="str">
        <f t="shared" si="56"/>
        <v/>
      </c>
      <c r="K735" s="18" t="str">
        <f>IF(A735="","",IFERROR(SUMIF(Transactions!A$4:A$1003,A735,Transactions!F$4:F$1003),0))</f>
        <v/>
      </c>
      <c r="L735" s="15" t="str">
        <f t="shared" si="57"/>
        <v/>
      </c>
      <c r="M735" s="12" t="str">
        <f t="shared" ca="1" si="58"/>
        <v/>
      </c>
      <c r="N735" s="19" t="str">
        <f t="shared" ca="1" si="59"/>
        <v/>
      </c>
    </row>
    <row r="736" spans="1:14" ht="15.75" customHeight="1" x14ac:dyDescent="0.25">
      <c r="A736" s="11"/>
      <c r="B736" s="11"/>
      <c r="C736" s="11"/>
      <c r="D736" s="11"/>
      <c r="E736" s="11"/>
      <c r="F736" s="17" t="str">
        <f>IF(E736=0,"",IFERROR(E736*Config!B18,0))</f>
        <v/>
      </c>
      <c r="G736" s="13" t="str">
        <f t="shared" si="55"/>
        <v/>
      </c>
      <c r="H736" s="11"/>
      <c r="I736" s="11"/>
      <c r="J736" s="16" t="str">
        <f t="shared" si="56"/>
        <v/>
      </c>
      <c r="K736" s="18" t="str">
        <f>IF(A736="","",IFERROR(SUMIF(Transactions!A$4:A$1003,A736,Transactions!F$4:F$1003),0))</f>
        <v/>
      </c>
      <c r="L736" s="15" t="str">
        <f t="shared" si="57"/>
        <v/>
      </c>
      <c r="M736" s="12" t="str">
        <f t="shared" ca="1" si="58"/>
        <v/>
      </c>
      <c r="N736" s="19" t="str">
        <f t="shared" ca="1" si="59"/>
        <v/>
      </c>
    </row>
    <row r="737" spans="1:14" ht="15.75" customHeight="1" x14ac:dyDescent="0.25">
      <c r="A737" s="11"/>
      <c r="B737" s="11"/>
      <c r="C737" s="11"/>
      <c r="D737" s="11"/>
      <c r="E737" s="11"/>
      <c r="F737" s="17" t="str">
        <f>IF(E737=0,"",IFERROR(E737*Config!B18,0))</f>
        <v/>
      </c>
      <c r="G737" s="13" t="str">
        <f t="shared" si="55"/>
        <v/>
      </c>
      <c r="H737" s="11"/>
      <c r="I737" s="11"/>
      <c r="J737" s="16" t="str">
        <f t="shared" si="56"/>
        <v/>
      </c>
      <c r="K737" s="18" t="str">
        <f>IF(A737="","",IFERROR(SUMIF(Transactions!A$4:A$1003,A737,Transactions!F$4:F$1003),0))</f>
        <v/>
      </c>
      <c r="L737" s="15" t="str">
        <f t="shared" si="57"/>
        <v/>
      </c>
      <c r="M737" s="12" t="str">
        <f t="shared" ca="1" si="58"/>
        <v/>
      </c>
      <c r="N737" s="19" t="str">
        <f t="shared" ca="1" si="59"/>
        <v/>
      </c>
    </row>
    <row r="738" spans="1:14" ht="15.75" customHeight="1" x14ac:dyDescent="0.25">
      <c r="A738" s="11"/>
      <c r="B738" s="11"/>
      <c r="C738" s="11"/>
      <c r="D738" s="11"/>
      <c r="E738" s="11"/>
      <c r="F738" s="17" t="str">
        <f>IF(E738=0,"",IFERROR(E738*Config!B18,0))</f>
        <v/>
      </c>
      <c r="G738" s="13" t="str">
        <f t="shared" si="55"/>
        <v/>
      </c>
      <c r="H738" s="11"/>
      <c r="I738" s="11"/>
      <c r="J738" s="16" t="str">
        <f t="shared" si="56"/>
        <v/>
      </c>
      <c r="K738" s="18" t="str">
        <f>IF(A738="","",IFERROR(SUMIF(Transactions!A$4:A$1003,A738,Transactions!F$4:F$1003),0))</f>
        <v/>
      </c>
      <c r="L738" s="15" t="str">
        <f t="shared" si="57"/>
        <v/>
      </c>
      <c r="M738" s="12" t="str">
        <f t="shared" ca="1" si="58"/>
        <v/>
      </c>
      <c r="N738" s="19" t="str">
        <f t="shared" ca="1" si="59"/>
        <v/>
      </c>
    </row>
    <row r="739" spans="1:14" ht="15.75" customHeight="1" x14ac:dyDescent="0.25">
      <c r="A739" s="11"/>
      <c r="B739" s="11"/>
      <c r="C739" s="11"/>
      <c r="D739" s="11"/>
      <c r="E739" s="11"/>
      <c r="F739" s="17" t="str">
        <f>IF(E739=0,"",IFERROR(E739*Config!B18,0))</f>
        <v/>
      </c>
      <c r="G739" s="13" t="str">
        <f t="shared" si="55"/>
        <v/>
      </c>
      <c r="H739" s="11"/>
      <c r="I739" s="11"/>
      <c r="J739" s="16" t="str">
        <f t="shared" si="56"/>
        <v/>
      </c>
      <c r="K739" s="18" t="str">
        <f>IF(A739="","",IFERROR(SUMIF(Transactions!A$4:A$1003,A739,Transactions!F$4:F$1003),0))</f>
        <v/>
      </c>
      <c r="L739" s="15" t="str">
        <f t="shared" si="57"/>
        <v/>
      </c>
      <c r="M739" s="12" t="str">
        <f t="shared" ca="1" si="58"/>
        <v/>
      </c>
      <c r="N739" s="19" t="str">
        <f t="shared" ca="1" si="59"/>
        <v/>
      </c>
    </row>
    <row r="740" spans="1:14" ht="15.75" customHeight="1" x14ac:dyDescent="0.25">
      <c r="A740" s="11"/>
      <c r="B740" s="11"/>
      <c r="C740" s="11"/>
      <c r="D740" s="11"/>
      <c r="E740" s="11"/>
      <c r="F740" s="17" t="str">
        <f>IF(E740=0,"",IFERROR(E740*Config!B18,0))</f>
        <v/>
      </c>
      <c r="G740" s="13" t="str">
        <f t="shared" si="55"/>
        <v/>
      </c>
      <c r="H740" s="11"/>
      <c r="I740" s="11"/>
      <c r="J740" s="16" t="str">
        <f t="shared" si="56"/>
        <v/>
      </c>
      <c r="K740" s="18" t="str">
        <f>IF(A740="","",IFERROR(SUMIF(Transactions!A$4:A$1003,A740,Transactions!F$4:F$1003),0))</f>
        <v/>
      </c>
      <c r="L740" s="15" t="str">
        <f t="shared" si="57"/>
        <v/>
      </c>
      <c r="M740" s="12" t="str">
        <f t="shared" ca="1" si="58"/>
        <v/>
      </c>
      <c r="N740" s="19" t="str">
        <f t="shared" ca="1" si="59"/>
        <v/>
      </c>
    </row>
    <row r="741" spans="1:14" ht="15.75" customHeight="1" x14ac:dyDescent="0.25">
      <c r="A741" s="11"/>
      <c r="B741" s="11"/>
      <c r="C741" s="11"/>
      <c r="D741" s="11"/>
      <c r="E741" s="11"/>
      <c r="F741" s="17" t="str">
        <f>IF(E741=0,"",IFERROR(E741*Config!B18,0))</f>
        <v/>
      </c>
      <c r="G741" s="13" t="str">
        <f t="shared" si="55"/>
        <v/>
      </c>
      <c r="H741" s="11"/>
      <c r="I741" s="11"/>
      <c r="J741" s="16" t="str">
        <f t="shared" si="56"/>
        <v/>
      </c>
      <c r="K741" s="18" t="str">
        <f>IF(A741="","",IFERROR(SUMIF(Transactions!A$4:A$1003,A741,Transactions!F$4:F$1003),0))</f>
        <v/>
      </c>
      <c r="L741" s="15" t="str">
        <f t="shared" si="57"/>
        <v/>
      </c>
      <c r="M741" s="12" t="str">
        <f t="shared" ca="1" si="58"/>
        <v/>
      </c>
      <c r="N741" s="19" t="str">
        <f t="shared" ca="1" si="59"/>
        <v/>
      </c>
    </row>
    <row r="742" spans="1:14" ht="15.75" customHeight="1" x14ac:dyDescent="0.25">
      <c r="A742" s="11"/>
      <c r="B742" s="11"/>
      <c r="C742" s="11"/>
      <c r="D742" s="11"/>
      <c r="E742" s="11"/>
      <c r="F742" s="17" t="str">
        <f>IF(E742=0,"",IFERROR(E742*Config!B18,0))</f>
        <v/>
      </c>
      <c r="G742" s="13" t="str">
        <f t="shared" si="55"/>
        <v/>
      </c>
      <c r="H742" s="11"/>
      <c r="I742" s="11"/>
      <c r="J742" s="16" t="str">
        <f t="shared" si="56"/>
        <v/>
      </c>
      <c r="K742" s="18" t="str">
        <f>IF(A742="","",IFERROR(SUMIF(Transactions!A$4:A$1003,A742,Transactions!F$4:F$1003),0))</f>
        <v/>
      </c>
      <c r="L742" s="15" t="str">
        <f t="shared" si="57"/>
        <v/>
      </c>
      <c r="M742" s="12" t="str">
        <f t="shared" ca="1" si="58"/>
        <v/>
      </c>
      <c r="N742" s="19" t="str">
        <f t="shared" ca="1" si="59"/>
        <v/>
      </c>
    </row>
    <row r="743" spans="1:14" ht="15.75" customHeight="1" x14ac:dyDescent="0.25">
      <c r="A743" s="11"/>
      <c r="B743" s="11"/>
      <c r="C743" s="11"/>
      <c r="D743" s="11"/>
      <c r="E743" s="11"/>
      <c r="F743" s="17" t="str">
        <f>IF(E743=0,"",IFERROR(E743*Config!B18,0))</f>
        <v/>
      </c>
      <c r="G743" s="13" t="str">
        <f t="shared" si="55"/>
        <v/>
      </c>
      <c r="H743" s="11"/>
      <c r="I743" s="11"/>
      <c r="J743" s="16" t="str">
        <f t="shared" si="56"/>
        <v/>
      </c>
      <c r="K743" s="18" t="str">
        <f>IF(A743="","",IFERROR(SUMIF(Transactions!A$4:A$1003,A743,Transactions!F$4:F$1003),0))</f>
        <v/>
      </c>
      <c r="L743" s="15" t="str">
        <f t="shared" si="57"/>
        <v/>
      </c>
      <c r="M743" s="12" t="str">
        <f t="shared" ca="1" si="58"/>
        <v/>
      </c>
      <c r="N743" s="19" t="str">
        <f t="shared" ca="1" si="59"/>
        <v/>
      </c>
    </row>
    <row r="744" spans="1:14" ht="15.75" customHeight="1" x14ac:dyDescent="0.25">
      <c r="A744" s="11"/>
      <c r="B744" s="11"/>
      <c r="C744" s="11"/>
      <c r="D744" s="11"/>
      <c r="E744" s="11"/>
      <c r="F744" s="17" t="str">
        <f>IF(E744=0,"",IFERROR(E744*Config!B18,0))</f>
        <v/>
      </c>
      <c r="G744" s="13" t="str">
        <f t="shared" si="55"/>
        <v/>
      </c>
      <c r="H744" s="11"/>
      <c r="I744" s="11"/>
      <c r="J744" s="16" t="str">
        <f t="shared" si="56"/>
        <v/>
      </c>
      <c r="K744" s="18" t="str">
        <f>IF(A744="","",IFERROR(SUMIF(Transactions!A$4:A$1003,A744,Transactions!F$4:F$1003),0))</f>
        <v/>
      </c>
      <c r="L744" s="15" t="str">
        <f t="shared" si="57"/>
        <v/>
      </c>
      <c r="M744" s="12" t="str">
        <f t="shared" ca="1" si="58"/>
        <v/>
      </c>
      <c r="N744" s="19" t="str">
        <f t="shared" ca="1" si="59"/>
        <v/>
      </c>
    </row>
    <row r="745" spans="1:14" ht="15.75" customHeight="1" x14ac:dyDescent="0.25">
      <c r="A745" s="11"/>
      <c r="B745" s="11"/>
      <c r="C745" s="11"/>
      <c r="D745" s="11"/>
      <c r="E745" s="11"/>
      <c r="F745" s="17" t="str">
        <f>IF(E745=0,"",IFERROR(E745*Config!B18,0))</f>
        <v/>
      </c>
      <c r="G745" s="13" t="str">
        <f t="shared" si="55"/>
        <v/>
      </c>
      <c r="H745" s="11"/>
      <c r="I745" s="11"/>
      <c r="J745" s="16" t="str">
        <f t="shared" si="56"/>
        <v/>
      </c>
      <c r="K745" s="18" t="str">
        <f>IF(A745="","",IFERROR(SUMIF(Transactions!A$4:A$1003,A745,Transactions!F$4:F$1003),0))</f>
        <v/>
      </c>
      <c r="L745" s="15" t="str">
        <f t="shared" si="57"/>
        <v/>
      </c>
      <c r="M745" s="12" t="str">
        <f t="shared" ca="1" si="58"/>
        <v/>
      </c>
      <c r="N745" s="19" t="str">
        <f t="shared" ca="1" si="59"/>
        <v/>
      </c>
    </row>
    <row r="746" spans="1:14" ht="15.75" customHeight="1" x14ac:dyDescent="0.25">
      <c r="A746" s="11"/>
      <c r="B746" s="11"/>
      <c r="C746" s="11"/>
      <c r="D746" s="11"/>
      <c r="E746" s="11"/>
      <c r="F746" s="17" t="str">
        <f>IF(E746=0,"",IFERROR(E746*Config!B18,0))</f>
        <v/>
      </c>
      <c r="G746" s="13" t="str">
        <f t="shared" si="55"/>
        <v/>
      </c>
      <c r="H746" s="11"/>
      <c r="I746" s="11"/>
      <c r="J746" s="16" t="str">
        <f t="shared" si="56"/>
        <v/>
      </c>
      <c r="K746" s="18" t="str">
        <f>IF(A746="","",IFERROR(SUMIF(Transactions!A$4:A$1003,A746,Transactions!F$4:F$1003),0))</f>
        <v/>
      </c>
      <c r="L746" s="15" t="str">
        <f t="shared" si="57"/>
        <v/>
      </c>
      <c r="M746" s="12" t="str">
        <f t="shared" ca="1" si="58"/>
        <v/>
      </c>
      <c r="N746" s="19" t="str">
        <f t="shared" ca="1" si="59"/>
        <v/>
      </c>
    </row>
    <row r="747" spans="1:14" ht="15.75" customHeight="1" x14ac:dyDescent="0.25">
      <c r="A747" s="11"/>
      <c r="B747" s="11"/>
      <c r="C747" s="11"/>
      <c r="D747" s="11"/>
      <c r="E747" s="11"/>
      <c r="F747" s="17" t="str">
        <f>IF(E747=0,"",IFERROR(E747*Config!B18,0))</f>
        <v/>
      </c>
      <c r="G747" s="13" t="str">
        <f t="shared" si="55"/>
        <v/>
      </c>
      <c r="H747" s="11"/>
      <c r="I747" s="11"/>
      <c r="J747" s="16" t="str">
        <f t="shared" si="56"/>
        <v/>
      </c>
      <c r="K747" s="18" t="str">
        <f>IF(A747="","",IFERROR(SUMIF(Transactions!A$4:A$1003,A747,Transactions!F$4:F$1003),0))</f>
        <v/>
      </c>
      <c r="L747" s="15" t="str">
        <f t="shared" si="57"/>
        <v/>
      </c>
      <c r="M747" s="12" t="str">
        <f t="shared" ca="1" si="58"/>
        <v/>
      </c>
      <c r="N747" s="19" t="str">
        <f t="shared" ca="1" si="59"/>
        <v/>
      </c>
    </row>
    <row r="748" spans="1:14" ht="15.75" customHeight="1" x14ac:dyDescent="0.25">
      <c r="A748" s="11"/>
      <c r="B748" s="11"/>
      <c r="C748" s="11"/>
      <c r="D748" s="11"/>
      <c r="E748" s="11"/>
      <c r="F748" s="17" t="str">
        <f>IF(E748=0,"",IFERROR(E748*Config!B18,0))</f>
        <v/>
      </c>
      <c r="G748" s="13" t="str">
        <f t="shared" si="55"/>
        <v/>
      </c>
      <c r="H748" s="11"/>
      <c r="I748" s="11"/>
      <c r="J748" s="16" t="str">
        <f t="shared" si="56"/>
        <v/>
      </c>
      <c r="K748" s="18" t="str">
        <f>IF(A748="","",IFERROR(SUMIF(Transactions!A$4:A$1003,A748,Transactions!F$4:F$1003),0))</f>
        <v/>
      </c>
      <c r="L748" s="15" t="str">
        <f t="shared" si="57"/>
        <v/>
      </c>
      <c r="M748" s="12" t="str">
        <f t="shared" ca="1" si="58"/>
        <v/>
      </c>
      <c r="N748" s="19" t="str">
        <f t="shared" ca="1" si="59"/>
        <v/>
      </c>
    </row>
    <row r="749" spans="1:14" ht="15.75" customHeight="1" x14ac:dyDescent="0.25">
      <c r="A749" s="11"/>
      <c r="B749" s="11"/>
      <c r="C749" s="11"/>
      <c r="D749" s="11"/>
      <c r="E749" s="11"/>
      <c r="F749" s="17" t="str">
        <f>IF(E749=0,"",IFERROR(E749*Config!B18,0))</f>
        <v/>
      </c>
      <c r="G749" s="13" t="str">
        <f t="shared" si="55"/>
        <v/>
      </c>
      <c r="H749" s="11"/>
      <c r="I749" s="11"/>
      <c r="J749" s="16" t="str">
        <f t="shared" si="56"/>
        <v/>
      </c>
      <c r="K749" s="18" t="str">
        <f>IF(A749="","",IFERROR(SUMIF(Transactions!A$4:A$1003,A749,Transactions!F$4:F$1003),0))</f>
        <v/>
      </c>
      <c r="L749" s="15" t="str">
        <f t="shared" si="57"/>
        <v/>
      </c>
      <c r="M749" s="12" t="str">
        <f t="shared" ca="1" si="58"/>
        <v/>
      </c>
      <c r="N749" s="19" t="str">
        <f t="shared" ca="1" si="59"/>
        <v/>
      </c>
    </row>
    <row r="750" spans="1:14" ht="15.75" customHeight="1" x14ac:dyDescent="0.25">
      <c r="A750" s="11"/>
      <c r="B750" s="11"/>
      <c r="C750" s="11"/>
      <c r="D750" s="11"/>
      <c r="E750" s="11"/>
      <c r="F750" s="17" t="str">
        <f>IF(E750=0,"",IFERROR(E750*Config!B18,0))</f>
        <v/>
      </c>
      <c r="G750" s="13" t="str">
        <f t="shared" si="55"/>
        <v/>
      </c>
      <c r="H750" s="11"/>
      <c r="I750" s="11"/>
      <c r="J750" s="16" t="str">
        <f t="shared" si="56"/>
        <v/>
      </c>
      <c r="K750" s="18" t="str">
        <f>IF(A750="","",IFERROR(SUMIF(Transactions!A$4:A$1003,A750,Transactions!F$4:F$1003),0))</f>
        <v/>
      </c>
      <c r="L750" s="15" t="str">
        <f t="shared" si="57"/>
        <v/>
      </c>
      <c r="M750" s="12" t="str">
        <f t="shared" ca="1" si="58"/>
        <v/>
      </c>
      <c r="N750" s="19" t="str">
        <f t="shared" ca="1" si="59"/>
        <v/>
      </c>
    </row>
    <row r="751" spans="1:14" ht="15.75" customHeight="1" x14ac:dyDescent="0.25">
      <c r="A751" s="11"/>
      <c r="B751" s="11"/>
      <c r="C751" s="11"/>
      <c r="D751" s="11"/>
      <c r="E751" s="11"/>
      <c r="F751" s="17" t="str">
        <f>IF(E751=0,"",IFERROR(E751*Config!B18,0))</f>
        <v/>
      </c>
      <c r="G751" s="13" t="str">
        <f t="shared" si="55"/>
        <v/>
      </c>
      <c r="H751" s="11"/>
      <c r="I751" s="11"/>
      <c r="J751" s="16" t="str">
        <f t="shared" si="56"/>
        <v/>
      </c>
      <c r="K751" s="18" t="str">
        <f>IF(A751="","",IFERROR(SUMIF(Transactions!A$4:A$1003,A751,Transactions!F$4:F$1003),0))</f>
        <v/>
      </c>
      <c r="L751" s="15" t="str">
        <f t="shared" si="57"/>
        <v/>
      </c>
      <c r="M751" s="12" t="str">
        <f t="shared" ca="1" si="58"/>
        <v/>
      </c>
      <c r="N751" s="19" t="str">
        <f t="shared" ca="1" si="59"/>
        <v/>
      </c>
    </row>
    <row r="752" spans="1:14" ht="15.75" customHeight="1" x14ac:dyDescent="0.25">
      <c r="A752" s="11"/>
      <c r="B752" s="11"/>
      <c r="C752" s="11"/>
      <c r="D752" s="11"/>
      <c r="E752" s="11"/>
      <c r="F752" s="17" t="str">
        <f>IF(E752=0,"",IFERROR(E752*Config!B18,0))</f>
        <v/>
      </c>
      <c r="G752" s="13" t="str">
        <f t="shared" si="55"/>
        <v/>
      </c>
      <c r="H752" s="11"/>
      <c r="I752" s="11"/>
      <c r="J752" s="16" t="str">
        <f t="shared" si="56"/>
        <v/>
      </c>
      <c r="K752" s="18" t="str">
        <f>IF(A752="","",IFERROR(SUMIF(Transactions!A$4:A$1003,A752,Transactions!F$4:F$1003),0))</f>
        <v/>
      </c>
      <c r="L752" s="15" t="str">
        <f t="shared" si="57"/>
        <v/>
      </c>
      <c r="M752" s="12" t="str">
        <f t="shared" ca="1" si="58"/>
        <v/>
      </c>
      <c r="N752" s="19" t="str">
        <f t="shared" ca="1" si="59"/>
        <v/>
      </c>
    </row>
    <row r="753" spans="1:14" ht="15.75" customHeight="1" x14ac:dyDescent="0.25">
      <c r="A753" s="11"/>
      <c r="B753" s="11"/>
      <c r="C753" s="11"/>
      <c r="D753" s="11"/>
      <c r="E753" s="11"/>
      <c r="F753" s="17" t="str">
        <f>IF(E753=0,"",IFERROR(E753*Config!B18,0))</f>
        <v/>
      </c>
      <c r="G753" s="13" t="str">
        <f t="shared" si="55"/>
        <v/>
      </c>
      <c r="H753" s="11"/>
      <c r="I753" s="11"/>
      <c r="J753" s="16" t="str">
        <f t="shared" si="56"/>
        <v/>
      </c>
      <c r="K753" s="18" t="str">
        <f>IF(A753="","",IFERROR(SUMIF(Transactions!A$4:A$1003,A753,Transactions!F$4:F$1003),0))</f>
        <v/>
      </c>
      <c r="L753" s="15" t="str">
        <f t="shared" si="57"/>
        <v/>
      </c>
      <c r="M753" s="12" t="str">
        <f t="shared" ca="1" si="58"/>
        <v/>
      </c>
      <c r="N753" s="19" t="str">
        <f t="shared" ca="1" si="59"/>
        <v/>
      </c>
    </row>
    <row r="754" spans="1:14" ht="15.75" customHeight="1" x14ac:dyDescent="0.25">
      <c r="A754" s="11"/>
      <c r="B754" s="11"/>
      <c r="C754" s="11"/>
      <c r="D754" s="11"/>
      <c r="E754" s="11"/>
      <c r="F754" s="17" t="str">
        <f>IF(E754=0,"",IFERROR(E754*Config!B18,0))</f>
        <v/>
      </c>
      <c r="G754" s="13" t="str">
        <f t="shared" si="55"/>
        <v/>
      </c>
      <c r="H754" s="11"/>
      <c r="I754" s="11"/>
      <c r="J754" s="16" t="str">
        <f t="shared" si="56"/>
        <v/>
      </c>
      <c r="K754" s="18" t="str">
        <f>IF(A754="","",IFERROR(SUMIF(Transactions!A$4:A$1003,A754,Transactions!F$4:F$1003),0))</f>
        <v/>
      </c>
      <c r="L754" s="15" t="str">
        <f t="shared" si="57"/>
        <v/>
      </c>
      <c r="M754" s="12" t="str">
        <f t="shared" ca="1" si="58"/>
        <v/>
      </c>
      <c r="N754" s="19" t="str">
        <f t="shared" ca="1" si="59"/>
        <v/>
      </c>
    </row>
    <row r="755" spans="1:14" ht="15.75" customHeight="1" x14ac:dyDescent="0.25">
      <c r="A755" s="11"/>
      <c r="B755" s="11"/>
      <c r="C755" s="11"/>
      <c r="D755" s="11"/>
      <c r="E755" s="11"/>
      <c r="F755" s="17" t="str">
        <f>IF(E755=0,"",IFERROR(E755*Config!B18,0))</f>
        <v/>
      </c>
      <c r="G755" s="13" t="str">
        <f t="shared" si="55"/>
        <v/>
      </c>
      <c r="H755" s="11"/>
      <c r="I755" s="11"/>
      <c r="J755" s="16" t="str">
        <f t="shared" si="56"/>
        <v/>
      </c>
      <c r="K755" s="18" t="str">
        <f>IF(A755="","",IFERROR(SUMIF(Transactions!A$4:A$1003,A755,Transactions!F$4:F$1003),0))</f>
        <v/>
      </c>
      <c r="L755" s="15" t="str">
        <f t="shared" si="57"/>
        <v/>
      </c>
      <c r="M755" s="12" t="str">
        <f t="shared" ca="1" si="58"/>
        <v/>
      </c>
      <c r="N755" s="19" t="str">
        <f t="shared" ca="1" si="59"/>
        <v/>
      </c>
    </row>
    <row r="756" spans="1:14" ht="15.75" customHeight="1" x14ac:dyDescent="0.25">
      <c r="A756" s="11"/>
      <c r="B756" s="11"/>
      <c r="C756" s="11"/>
      <c r="D756" s="11"/>
      <c r="E756" s="11"/>
      <c r="F756" s="17" t="str">
        <f>IF(E756=0,"",IFERROR(E756*Config!B18,0))</f>
        <v/>
      </c>
      <c r="G756" s="13" t="str">
        <f t="shared" si="55"/>
        <v/>
      </c>
      <c r="H756" s="11"/>
      <c r="I756" s="11"/>
      <c r="J756" s="16" t="str">
        <f t="shared" si="56"/>
        <v/>
      </c>
      <c r="K756" s="18" t="str">
        <f>IF(A756="","",IFERROR(SUMIF(Transactions!A$4:A$1003,A756,Transactions!F$4:F$1003),0))</f>
        <v/>
      </c>
      <c r="L756" s="15" t="str">
        <f t="shared" si="57"/>
        <v/>
      </c>
      <c r="M756" s="12" t="str">
        <f t="shared" ca="1" si="58"/>
        <v/>
      </c>
      <c r="N756" s="19" t="str">
        <f t="shared" ca="1" si="59"/>
        <v/>
      </c>
    </row>
    <row r="757" spans="1:14" ht="15.75" customHeight="1" x14ac:dyDescent="0.25">
      <c r="A757" s="11"/>
      <c r="B757" s="11"/>
      <c r="C757" s="11"/>
      <c r="D757" s="11"/>
      <c r="E757" s="11"/>
      <c r="F757" s="17" t="str">
        <f>IF(E757=0,"",IFERROR(E757*Config!B18,0))</f>
        <v/>
      </c>
      <c r="G757" s="13" t="str">
        <f t="shared" si="55"/>
        <v/>
      </c>
      <c r="H757" s="11"/>
      <c r="I757" s="11"/>
      <c r="J757" s="16" t="str">
        <f t="shared" si="56"/>
        <v/>
      </c>
      <c r="K757" s="18" t="str">
        <f>IF(A757="","",IFERROR(SUMIF(Transactions!A$4:A$1003,A757,Transactions!F$4:F$1003),0))</f>
        <v/>
      </c>
      <c r="L757" s="15" t="str">
        <f t="shared" si="57"/>
        <v/>
      </c>
      <c r="M757" s="12" t="str">
        <f t="shared" ca="1" si="58"/>
        <v/>
      </c>
      <c r="N757" s="19" t="str">
        <f t="shared" ca="1" si="59"/>
        <v/>
      </c>
    </row>
    <row r="758" spans="1:14" ht="15.75" customHeight="1" x14ac:dyDescent="0.25">
      <c r="A758" s="11"/>
      <c r="B758" s="11"/>
      <c r="C758" s="11"/>
      <c r="D758" s="11"/>
      <c r="E758" s="11"/>
      <c r="F758" s="17" t="str">
        <f>IF(E758=0,"",IFERROR(E758*Config!B18,0))</f>
        <v/>
      </c>
      <c r="G758" s="13" t="str">
        <f t="shared" si="55"/>
        <v/>
      </c>
      <c r="H758" s="11"/>
      <c r="I758" s="11"/>
      <c r="J758" s="16" t="str">
        <f t="shared" si="56"/>
        <v/>
      </c>
      <c r="K758" s="18" t="str">
        <f>IF(A758="","",IFERROR(SUMIF(Transactions!A$4:A$1003,A758,Transactions!F$4:F$1003),0))</f>
        <v/>
      </c>
      <c r="L758" s="15" t="str">
        <f t="shared" si="57"/>
        <v/>
      </c>
      <c r="M758" s="12" t="str">
        <f t="shared" ca="1" si="58"/>
        <v/>
      </c>
      <c r="N758" s="19" t="str">
        <f t="shared" ca="1" si="59"/>
        <v/>
      </c>
    </row>
    <row r="759" spans="1:14" ht="15.75" customHeight="1" x14ac:dyDescent="0.25">
      <c r="A759" s="11"/>
      <c r="B759" s="11"/>
      <c r="C759" s="11"/>
      <c r="D759" s="11"/>
      <c r="E759" s="11"/>
      <c r="F759" s="17" t="str">
        <f>IF(E759=0,"",IFERROR(E759*Config!B18,0))</f>
        <v/>
      </c>
      <c r="G759" s="13" t="str">
        <f t="shared" si="55"/>
        <v/>
      </c>
      <c r="H759" s="11"/>
      <c r="I759" s="11"/>
      <c r="J759" s="16" t="str">
        <f t="shared" si="56"/>
        <v/>
      </c>
      <c r="K759" s="18" t="str">
        <f>IF(A759="","",IFERROR(SUMIF(Transactions!A$4:A$1003,A759,Transactions!F$4:F$1003),0))</f>
        <v/>
      </c>
      <c r="L759" s="15" t="str">
        <f t="shared" si="57"/>
        <v/>
      </c>
      <c r="M759" s="12" t="str">
        <f t="shared" ca="1" si="58"/>
        <v/>
      </c>
      <c r="N759" s="19" t="str">
        <f t="shared" ca="1" si="59"/>
        <v/>
      </c>
    </row>
    <row r="760" spans="1:14" ht="15.75" customHeight="1" x14ac:dyDescent="0.25">
      <c r="A760" s="11"/>
      <c r="B760" s="11"/>
      <c r="C760" s="11"/>
      <c r="D760" s="11"/>
      <c r="E760" s="11"/>
      <c r="F760" s="17" t="str">
        <f>IF(E760=0,"",IFERROR(E760*Config!B18,0))</f>
        <v/>
      </c>
      <c r="G760" s="13" t="str">
        <f t="shared" si="55"/>
        <v/>
      </c>
      <c r="H760" s="11"/>
      <c r="I760" s="11"/>
      <c r="J760" s="16" t="str">
        <f t="shared" si="56"/>
        <v/>
      </c>
      <c r="K760" s="18" t="str">
        <f>IF(A760="","",IFERROR(SUMIF(Transactions!A$4:A$1003,A760,Transactions!F$4:F$1003),0))</f>
        <v/>
      </c>
      <c r="L760" s="15" t="str">
        <f t="shared" si="57"/>
        <v/>
      </c>
      <c r="M760" s="12" t="str">
        <f t="shared" ca="1" si="58"/>
        <v/>
      </c>
      <c r="N760" s="19" t="str">
        <f t="shared" ca="1" si="59"/>
        <v/>
      </c>
    </row>
    <row r="761" spans="1:14" ht="15.75" customHeight="1" x14ac:dyDescent="0.25">
      <c r="A761" s="11"/>
      <c r="B761" s="11"/>
      <c r="C761" s="11"/>
      <c r="D761" s="11"/>
      <c r="E761" s="11"/>
      <c r="F761" s="17" t="str">
        <f>IF(E761=0,"",IFERROR(E761*Config!B18,0))</f>
        <v/>
      </c>
      <c r="G761" s="13" t="str">
        <f t="shared" si="55"/>
        <v/>
      </c>
      <c r="H761" s="11"/>
      <c r="I761" s="11"/>
      <c r="J761" s="16" t="str">
        <f t="shared" si="56"/>
        <v/>
      </c>
      <c r="K761" s="18" t="str">
        <f>IF(A761="","",IFERROR(SUMIF(Transactions!A$4:A$1003,A761,Transactions!F$4:F$1003),0))</f>
        <v/>
      </c>
      <c r="L761" s="15" t="str">
        <f t="shared" si="57"/>
        <v/>
      </c>
      <c r="M761" s="12" t="str">
        <f t="shared" ca="1" si="58"/>
        <v/>
      </c>
      <c r="N761" s="19" t="str">
        <f t="shared" ca="1" si="59"/>
        <v/>
      </c>
    </row>
    <row r="762" spans="1:14" ht="15.75" customHeight="1" x14ac:dyDescent="0.25">
      <c r="A762" s="11"/>
      <c r="B762" s="11"/>
      <c r="C762" s="11"/>
      <c r="D762" s="11"/>
      <c r="E762" s="11"/>
      <c r="F762" s="17" t="str">
        <f>IF(E762=0,"",IFERROR(E762*Config!B18,0))</f>
        <v/>
      </c>
      <c r="G762" s="13" t="str">
        <f t="shared" si="55"/>
        <v/>
      </c>
      <c r="H762" s="11"/>
      <c r="I762" s="11"/>
      <c r="J762" s="16" t="str">
        <f t="shared" si="56"/>
        <v/>
      </c>
      <c r="K762" s="18" t="str">
        <f>IF(A762="","",IFERROR(SUMIF(Transactions!A$4:A$1003,A762,Transactions!F$4:F$1003),0))</f>
        <v/>
      </c>
      <c r="L762" s="15" t="str">
        <f t="shared" si="57"/>
        <v/>
      </c>
      <c r="M762" s="12" t="str">
        <f t="shared" ca="1" si="58"/>
        <v/>
      </c>
      <c r="N762" s="19" t="str">
        <f t="shared" ca="1" si="59"/>
        <v/>
      </c>
    </row>
    <row r="763" spans="1:14" ht="15.75" customHeight="1" x14ac:dyDescent="0.25">
      <c r="A763" s="11"/>
      <c r="B763" s="11"/>
      <c r="C763" s="11"/>
      <c r="D763" s="11"/>
      <c r="E763" s="11"/>
      <c r="F763" s="17" t="str">
        <f>IF(E763=0,"",IFERROR(E763*Config!B18,0))</f>
        <v/>
      </c>
      <c r="G763" s="13" t="str">
        <f t="shared" si="55"/>
        <v/>
      </c>
      <c r="H763" s="11"/>
      <c r="I763" s="11"/>
      <c r="J763" s="16" t="str">
        <f t="shared" si="56"/>
        <v/>
      </c>
      <c r="K763" s="18" t="str">
        <f>IF(A763="","",IFERROR(SUMIF(Transactions!A$4:A$1003,A763,Transactions!F$4:F$1003),0))</f>
        <v/>
      </c>
      <c r="L763" s="15" t="str">
        <f t="shared" si="57"/>
        <v/>
      </c>
      <c r="M763" s="12" t="str">
        <f t="shared" ca="1" si="58"/>
        <v/>
      </c>
      <c r="N763" s="19" t="str">
        <f t="shared" ca="1" si="59"/>
        <v/>
      </c>
    </row>
    <row r="764" spans="1:14" ht="15.75" customHeight="1" x14ac:dyDescent="0.25">
      <c r="A764" s="11"/>
      <c r="B764" s="11"/>
      <c r="C764" s="11"/>
      <c r="D764" s="11"/>
      <c r="E764" s="11"/>
      <c r="F764" s="17" t="str">
        <f>IF(E764=0,"",IFERROR(E764*Config!B18,0))</f>
        <v/>
      </c>
      <c r="G764" s="13" t="str">
        <f t="shared" si="55"/>
        <v/>
      </c>
      <c r="H764" s="11"/>
      <c r="I764" s="11"/>
      <c r="J764" s="16" t="str">
        <f t="shared" si="56"/>
        <v/>
      </c>
      <c r="K764" s="18" t="str">
        <f>IF(A764="","",IFERROR(SUMIF(Transactions!A$4:A$1003,A764,Transactions!F$4:F$1003),0))</f>
        <v/>
      </c>
      <c r="L764" s="15" t="str">
        <f t="shared" si="57"/>
        <v/>
      </c>
      <c r="M764" s="12" t="str">
        <f t="shared" ca="1" si="58"/>
        <v/>
      </c>
      <c r="N764" s="19" t="str">
        <f t="shared" ca="1" si="59"/>
        <v/>
      </c>
    </row>
    <row r="765" spans="1:14" ht="15.75" customHeight="1" x14ac:dyDescent="0.25">
      <c r="A765" s="11"/>
      <c r="B765" s="11"/>
      <c r="C765" s="11"/>
      <c r="D765" s="11"/>
      <c r="E765" s="11"/>
      <c r="F765" s="17" t="str">
        <f>IF(E765=0,"",IFERROR(E765*Config!B18,0))</f>
        <v/>
      </c>
      <c r="G765" s="13" t="str">
        <f t="shared" si="55"/>
        <v/>
      </c>
      <c r="H765" s="11"/>
      <c r="I765" s="11"/>
      <c r="J765" s="16" t="str">
        <f t="shared" si="56"/>
        <v/>
      </c>
      <c r="K765" s="18" t="str">
        <f>IF(A765="","",IFERROR(SUMIF(Transactions!A$4:A$1003,A765,Transactions!F$4:F$1003),0))</f>
        <v/>
      </c>
      <c r="L765" s="15" t="str">
        <f t="shared" si="57"/>
        <v/>
      </c>
      <c r="M765" s="12" t="str">
        <f t="shared" ca="1" si="58"/>
        <v/>
      </c>
      <c r="N765" s="19" t="str">
        <f t="shared" ca="1" si="59"/>
        <v/>
      </c>
    </row>
    <row r="766" spans="1:14" ht="15.75" customHeight="1" x14ac:dyDescent="0.25">
      <c r="A766" s="11"/>
      <c r="B766" s="11"/>
      <c r="C766" s="11"/>
      <c r="D766" s="11"/>
      <c r="E766" s="11"/>
      <c r="F766" s="17" t="str">
        <f>IF(E766=0,"",IFERROR(E766*Config!B18,0))</f>
        <v/>
      </c>
      <c r="G766" s="13" t="str">
        <f t="shared" si="55"/>
        <v/>
      </c>
      <c r="H766" s="11"/>
      <c r="I766" s="11"/>
      <c r="J766" s="16" t="str">
        <f t="shared" si="56"/>
        <v/>
      </c>
      <c r="K766" s="18" t="str">
        <f>IF(A766="","",IFERROR(SUMIF(Transactions!A$4:A$1003,A766,Transactions!F$4:F$1003),0))</f>
        <v/>
      </c>
      <c r="L766" s="15" t="str">
        <f t="shared" si="57"/>
        <v/>
      </c>
      <c r="M766" s="12" t="str">
        <f t="shared" ca="1" si="58"/>
        <v/>
      </c>
      <c r="N766" s="19" t="str">
        <f t="shared" ca="1" si="59"/>
        <v/>
      </c>
    </row>
    <row r="767" spans="1:14" ht="15.75" customHeight="1" x14ac:dyDescent="0.25">
      <c r="A767" s="11"/>
      <c r="B767" s="11"/>
      <c r="C767" s="11"/>
      <c r="D767" s="11"/>
      <c r="E767" s="11"/>
      <c r="F767" s="17" t="str">
        <f>IF(E767=0,"",IFERROR(E767*Config!B18,0))</f>
        <v/>
      </c>
      <c r="G767" s="13" t="str">
        <f t="shared" si="55"/>
        <v/>
      </c>
      <c r="H767" s="11"/>
      <c r="I767" s="11"/>
      <c r="J767" s="16" t="str">
        <f t="shared" si="56"/>
        <v/>
      </c>
      <c r="K767" s="18" t="str">
        <f>IF(A767="","",IFERROR(SUMIF(Transactions!A$4:A$1003,A767,Transactions!F$4:F$1003),0))</f>
        <v/>
      </c>
      <c r="L767" s="15" t="str">
        <f t="shared" si="57"/>
        <v/>
      </c>
      <c r="M767" s="12" t="str">
        <f t="shared" ca="1" si="58"/>
        <v/>
      </c>
      <c r="N767" s="19" t="str">
        <f t="shared" ca="1" si="59"/>
        <v/>
      </c>
    </row>
    <row r="768" spans="1:14" ht="15.75" customHeight="1" x14ac:dyDescent="0.25">
      <c r="A768" s="11"/>
      <c r="B768" s="11"/>
      <c r="C768" s="11"/>
      <c r="D768" s="11"/>
      <c r="E768" s="11"/>
      <c r="F768" s="17" t="str">
        <f>IF(E768=0,"",IFERROR(E768*Config!B18,0))</f>
        <v/>
      </c>
      <c r="G768" s="13" t="str">
        <f t="shared" si="55"/>
        <v/>
      </c>
      <c r="H768" s="11"/>
      <c r="I768" s="11"/>
      <c r="J768" s="16" t="str">
        <f t="shared" si="56"/>
        <v/>
      </c>
      <c r="K768" s="18" t="str">
        <f>IF(A768="","",IFERROR(SUMIF(Transactions!A$4:A$1003,A768,Transactions!F$4:F$1003),0))</f>
        <v/>
      </c>
      <c r="L768" s="15" t="str">
        <f t="shared" si="57"/>
        <v/>
      </c>
      <c r="M768" s="12" t="str">
        <f t="shared" ca="1" si="58"/>
        <v/>
      </c>
      <c r="N768" s="19" t="str">
        <f t="shared" ca="1" si="59"/>
        <v/>
      </c>
    </row>
    <row r="769" spans="1:14" ht="15.75" customHeight="1" x14ac:dyDescent="0.25">
      <c r="A769" s="11"/>
      <c r="B769" s="11"/>
      <c r="C769" s="11"/>
      <c r="D769" s="11"/>
      <c r="E769" s="11"/>
      <c r="F769" s="17" t="str">
        <f>IF(E769=0,"",IFERROR(E769*Config!B18,0))</f>
        <v/>
      </c>
      <c r="G769" s="13" t="str">
        <f t="shared" si="55"/>
        <v/>
      </c>
      <c r="H769" s="11"/>
      <c r="I769" s="11"/>
      <c r="J769" s="16" t="str">
        <f t="shared" si="56"/>
        <v/>
      </c>
      <c r="K769" s="18" t="str">
        <f>IF(A769="","",IFERROR(SUMIF(Transactions!A$4:A$1003,A769,Transactions!F$4:F$1003),0))</f>
        <v/>
      </c>
      <c r="L769" s="15" t="str">
        <f t="shared" si="57"/>
        <v/>
      </c>
      <c r="M769" s="12" t="str">
        <f t="shared" ca="1" si="58"/>
        <v/>
      </c>
      <c r="N769" s="19" t="str">
        <f t="shared" ca="1" si="59"/>
        <v/>
      </c>
    </row>
    <row r="770" spans="1:14" ht="15.75" customHeight="1" x14ac:dyDescent="0.25">
      <c r="A770" s="11"/>
      <c r="B770" s="11"/>
      <c r="C770" s="11"/>
      <c r="D770" s="11"/>
      <c r="E770" s="11"/>
      <c r="F770" s="17" t="str">
        <f>IF(E770=0,"",IFERROR(E770*Config!B18,0))</f>
        <v/>
      </c>
      <c r="G770" s="13" t="str">
        <f t="shared" si="55"/>
        <v/>
      </c>
      <c r="H770" s="11"/>
      <c r="I770" s="11"/>
      <c r="J770" s="16" t="str">
        <f t="shared" si="56"/>
        <v/>
      </c>
      <c r="K770" s="18" t="str">
        <f>IF(A770="","",IFERROR(SUMIF(Transactions!A$4:A$1003,A770,Transactions!F$4:F$1003),0))</f>
        <v/>
      </c>
      <c r="L770" s="15" t="str">
        <f t="shared" si="57"/>
        <v/>
      </c>
      <c r="M770" s="12" t="str">
        <f t="shared" ca="1" si="58"/>
        <v/>
      </c>
      <c r="N770" s="19" t="str">
        <f t="shared" ca="1" si="59"/>
        <v/>
      </c>
    </row>
    <row r="771" spans="1:14" ht="15.75" customHeight="1" x14ac:dyDescent="0.25">
      <c r="A771" s="11"/>
      <c r="B771" s="11"/>
      <c r="C771" s="11"/>
      <c r="D771" s="11"/>
      <c r="E771" s="11"/>
      <c r="F771" s="17" t="str">
        <f>IF(E771=0,"",IFERROR(E771*Config!B18,0))</f>
        <v/>
      </c>
      <c r="G771" s="13" t="str">
        <f t="shared" si="55"/>
        <v/>
      </c>
      <c r="H771" s="11"/>
      <c r="I771" s="11"/>
      <c r="J771" s="16" t="str">
        <f t="shared" si="56"/>
        <v/>
      </c>
      <c r="K771" s="18" t="str">
        <f>IF(A771="","",IFERROR(SUMIF(Transactions!A$4:A$1003,A771,Transactions!F$4:F$1003),0))</f>
        <v/>
      </c>
      <c r="L771" s="15" t="str">
        <f t="shared" si="57"/>
        <v/>
      </c>
      <c r="M771" s="12" t="str">
        <f t="shared" ca="1" si="58"/>
        <v/>
      </c>
      <c r="N771" s="19" t="str">
        <f t="shared" ca="1" si="59"/>
        <v/>
      </c>
    </row>
    <row r="772" spans="1:14" ht="15.75" customHeight="1" x14ac:dyDescent="0.25">
      <c r="A772" s="11"/>
      <c r="B772" s="11"/>
      <c r="C772" s="11"/>
      <c r="D772" s="11"/>
      <c r="E772" s="11"/>
      <c r="F772" s="17" t="str">
        <f>IF(E772=0,"",IFERROR(E772*Config!B18,0))</f>
        <v/>
      </c>
      <c r="G772" s="13" t="str">
        <f t="shared" ref="G772:G835" si="60">IF(E772=0,"",MAX(0,E772-F772))</f>
        <v/>
      </c>
      <c r="H772" s="11"/>
      <c r="I772" s="11"/>
      <c r="J772" s="16" t="str">
        <f t="shared" ref="J772:J835" si="61">IF(E772=0,"",IFERROR(-PMT(H772/100/12,I772,-E772),0))</f>
        <v/>
      </c>
      <c r="K772" s="18" t="str">
        <f>IF(A772="","",IFERROR(SUMIF(Transactions!A$4:A$1003,A772,Transactions!F$4:F$1003),0))</f>
        <v/>
      </c>
      <c r="L772" s="15" t="str">
        <f t="shared" ref="L772:L835" si="62">IF(E772=0,"",MAX(0,E772-K772))</f>
        <v/>
      </c>
      <c r="M772" s="12" t="str">
        <f t="shared" ref="M772:M835" ca="1" si="63">IF(A772="","",IF(L772&lt;=0,"✅ Fully Paid",IF(AND(D772&lt;&gt;"",TODAY()&gt;D772+I772*30),"⚠ Overdue","🟢 Active")))</f>
        <v/>
      </c>
      <c r="N772" s="19" t="str">
        <f t="shared" ref="N772:N835" ca="1" si="64">IF(L772&lt;=0,TODAY(),"")</f>
        <v/>
      </c>
    </row>
    <row r="773" spans="1:14" ht="15.75" customHeight="1" x14ac:dyDescent="0.25">
      <c r="A773" s="11"/>
      <c r="B773" s="11"/>
      <c r="C773" s="11"/>
      <c r="D773" s="11"/>
      <c r="E773" s="11"/>
      <c r="F773" s="17" t="str">
        <f>IF(E773=0,"",IFERROR(E773*Config!B18,0))</f>
        <v/>
      </c>
      <c r="G773" s="13" t="str">
        <f t="shared" si="60"/>
        <v/>
      </c>
      <c r="H773" s="11"/>
      <c r="I773" s="11"/>
      <c r="J773" s="16" t="str">
        <f t="shared" si="61"/>
        <v/>
      </c>
      <c r="K773" s="18" t="str">
        <f>IF(A773="","",IFERROR(SUMIF(Transactions!A$4:A$1003,A773,Transactions!F$4:F$1003),0))</f>
        <v/>
      </c>
      <c r="L773" s="15" t="str">
        <f t="shared" si="62"/>
        <v/>
      </c>
      <c r="M773" s="12" t="str">
        <f t="shared" ca="1" si="63"/>
        <v/>
      </c>
      <c r="N773" s="19" t="str">
        <f t="shared" ca="1" si="64"/>
        <v/>
      </c>
    </row>
    <row r="774" spans="1:14" ht="15.75" customHeight="1" x14ac:dyDescent="0.25">
      <c r="A774" s="11"/>
      <c r="B774" s="11"/>
      <c r="C774" s="11"/>
      <c r="D774" s="11"/>
      <c r="E774" s="11"/>
      <c r="F774" s="17" t="str">
        <f>IF(E774=0,"",IFERROR(E774*Config!B18,0))</f>
        <v/>
      </c>
      <c r="G774" s="13" t="str">
        <f t="shared" si="60"/>
        <v/>
      </c>
      <c r="H774" s="11"/>
      <c r="I774" s="11"/>
      <c r="J774" s="16" t="str">
        <f t="shared" si="61"/>
        <v/>
      </c>
      <c r="K774" s="18" t="str">
        <f>IF(A774="","",IFERROR(SUMIF(Transactions!A$4:A$1003,A774,Transactions!F$4:F$1003),0))</f>
        <v/>
      </c>
      <c r="L774" s="15" t="str">
        <f t="shared" si="62"/>
        <v/>
      </c>
      <c r="M774" s="12" t="str">
        <f t="shared" ca="1" si="63"/>
        <v/>
      </c>
      <c r="N774" s="19" t="str">
        <f t="shared" ca="1" si="64"/>
        <v/>
      </c>
    </row>
    <row r="775" spans="1:14" ht="15.75" customHeight="1" x14ac:dyDescent="0.25">
      <c r="A775" s="11"/>
      <c r="B775" s="11"/>
      <c r="C775" s="11"/>
      <c r="D775" s="11"/>
      <c r="E775" s="11"/>
      <c r="F775" s="17" t="str">
        <f>IF(E775=0,"",IFERROR(E775*Config!B18,0))</f>
        <v/>
      </c>
      <c r="G775" s="13" t="str">
        <f t="shared" si="60"/>
        <v/>
      </c>
      <c r="H775" s="11"/>
      <c r="I775" s="11"/>
      <c r="J775" s="16" t="str">
        <f t="shared" si="61"/>
        <v/>
      </c>
      <c r="K775" s="18" t="str">
        <f>IF(A775="","",IFERROR(SUMIF(Transactions!A$4:A$1003,A775,Transactions!F$4:F$1003),0))</f>
        <v/>
      </c>
      <c r="L775" s="15" t="str">
        <f t="shared" si="62"/>
        <v/>
      </c>
      <c r="M775" s="12" t="str">
        <f t="shared" ca="1" si="63"/>
        <v/>
      </c>
      <c r="N775" s="19" t="str">
        <f t="shared" ca="1" si="64"/>
        <v/>
      </c>
    </row>
    <row r="776" spans="1:14" ht="15.75" customHeight="1" x14ac:dyDescent="0.25">
      <c r="A776" s="11"/>
      <c r="B776" s="11"/>
      <c r="C776" s="11"/>
      <c r="D776" s="11"/>
      <c r="E776" s="11"/>
      <c r="F776" s="17" t="str">
        <f>IF(E776=0,"",IFERROR(E776*Config!B18,0))</f>
        <v/>
      </c>
      <c r="G776" s="13" t="str">
        <f t="shared" si="60"/>
        <v/>
      </c>
      <c r="H776" s="11"/>
      <c r="I776" s="11"/>
      <c r="J776" s="16" t="str">
        <f t="shared" si="61"/>
        <v/>
      </c>
      <c r="K776" s="18" t="str">
        <f>IF(A776="","",IFERROR(SUMIF(Transactions!A$4:A$1003,A776,Transactions!F$4:F$1003),0))</f>
        <v/>
      </c>
      <c r="L776" s="15" t="str">
        <f t="shared" si="62"/>
        <v/>
      </c>
      <c r="M776" s="12" t="str">
        <f t="shared" ca="1" si="63"/>
        <v/>
      </c>
      <c r="N776" s="19" t="str">
        <f t="shared" ca="1" si="64"/>
        <v/>
      </c>
    </row>
    <row r="777" spans="1:14" ht="15.75" customHeight="1" x14ac:dyDescent="0.25">
      <c r="A777" s="11"/>
      <c r="B777" s="11"/>
      <c r="C777" s="11"/>
      <c r="D777" s="11"/>
      <c r="E777" s="11"/>
      <c r="F777" s="17" t="str">
        <f>IF(E777=0,"",IFERROR(E777*Config!B18,0))</f>
        <v/>
      </c>
      <c r="G777" s="13" t="str">
        <f t="shared" si="60"/>
        <v/>
      </c>
      <c r="H777" s="11"/>
      <c r="I777" s="11"/>
      <c r="J777" s="16" t="str">
        <f t="shared" si="61"/>
        <v/>
      </c>
      <c r="K777" s="18" t="str">
        <f>IF(A777="","",IFERROR(SUMIF(Transactions!A$4:A$1003,A777,Transactions!F$4:F$1003),0))</f>
        <v/>
      </c>
      <c r="L777" s="15" t="str">
        <f t="shared" si="62"/>
        <v/>
      </c>
      <c r="M777" s="12" t="str">
        <f t="shared" ca="1" si="63"/>
        <v/>
      </c>
      <c r="N777" s="19" t="str">
        <f t="shared" ca="1" si="64"/>
        <v/>
      </c>
    </row>
    <row r="778" spans="1:14" ht="15.75" customHeight="1" x14ac:dyDescent="0.25">
      <c r="A778" s="11"/>
      <c r="B778" s="11"/>
      <c r="C778" s="11"/>
      <c r="D778" s="11"/>
      <c r="E778" s="11"/>
      <c r="F778" s="17" t="str">
        <f>IF(E778=0,"",IFERROR(E778*Config!B18,0))</f>
        <v/>
      </c>
      <c r="G778" s="13" t="str">
        <f t="shared" si="60"/>
        <v/>
      </c>
      <c r="H778" s="11"/>
      <c r="I778" s="11"/>
      <c r="J778" s="16" t="str">
        <f t="shared" si="61"/>
        <v/>
      </c>
      <c r="K778" s="18" t="str">
        <f>IF(A778="","",IFERROR(SUMIF(Transactions!A$4:A$1003,A778,Transactions!F$4:F$1003),0))</f>
        <v/>
      </c>
      <c r="L778" s="15" t="str">
        <f t="shared" si="62"/>
        <v/>
      </c>
      <c r="M778" s="12" t="str">
        <f t="shared" ca="1" si="63"/>
        <v/>
      </c>
      <c r="N778" s="19" t="str">
        <f t="shared" ca="1" si="64"/>
        <v/>
      </c>
    </row>
    <row r="779" spans="1:14" ht="15.75" customHeight="1" x14ac:dyDescent="0.25">
      <c r="A779" s="11"/>
      <c r="B779" s="11"/>
      <c r="C779" s="11"/>
      <c r="D779" s="11"/>
      <c r="E779" s="11"/>
      <c r="F779" s="17" t="str">
        <f>IF(E779=0,"",IFERROR(E779*Config!B18,0))</f>
        <v/>
      </c>
      <c r="G779" s="13" t="str">
        <f t="shared" si="60"/>
        <v/>
      </c>
      <c r="H779" s="11"/>
      <c r="I779" s="11"/>
      <c r="J779" s="16" t="str">
        <f t="shared" si="61"/>
        <v/>
      </c>
      <c r="K779" s="18" t="str">
        <f>IF(A779="","",IFERROR(SUMIF(Transactions!A$4:A$1003,A779,Transactions!F$4:F$1003),0))</f>
        <v/>
      </c>
      <c r="L779" s="15" t="str">
        <f t="shared" si="62"/>
        <v/>
      </c>
      <c r="M779" s="12" t="str">
        <f t="shared" ca="1" si="63"/>
        <v/>
      </c>
      <c r="N779" s="19" t="str">
        <f t="shared" ca="1" si="64"/>
        <v/>
      </c>
    </row>
    <row r="780" spans="1:14" ht="15.75" customHeight="1" x14ac:dyDescent="0.25">
      <c r="A780" s="11"/>
      <c r="B780" s="11"/>
      <c r="C780" s="11"/>
      <c r="D780" s="11"/>
      <c r="E780" s="11"/>
      <c r="F780" s="17" t="str">
        <f>IF(E780=0,"",IFERROR(E780*Config!B18,0))</f>
        <v/>
      </c>
      <c r="G780" s="13" t="str">
        <f t="shared" si="60"/>
        <v/>
      </c>
      <c r="H780" s="11"/>
      <c r="I780" s="11"/>
      <c r="J780" s="16" t="str">
        <f t="shared" si="61"/>
        <v/>
      </c>
      <c r="K780" s="18" t="str">
        <f>IF(A780="","",IFERROR(SUMIF(Transactions!A$4:A$1003,A780,Transactions!F$4:F$1003),0))</f>
        <v/>
      </c>
      <c r="L780" s="15" t="str">
        <f t="shared" si="62"/>
        <v/>
      </c>
      <c r="M780" s="12" t="str">
        <f t="shared" ca="1" si="63"/>
        <v/>
      </c>
      <c r="N780" s="19" t="str">
        <f t="shared" ca="1" si="64"/>
        <v/>
      </c>
    </row>
    <row r="781" spans="1:14" ht="15.75" customHeight="1" x14ac:dyDescent="0.25">
      <c r="A781" s="11"/>
      <c r="B781" s="11"/>
      <c r="C781" s="11"/>
      <c r="D781" s="11"/>
      <c r="E781" s="11"/>
      <c r="F781" s="17" t="str">
        <f>IF(E781=0,"",IFERROR(E781*Config!B18,0))</f>
        <v/>
      </c>
      <c r="G781" s="13" t="str">
        <f t="shared" si="60"/>
        <v/>
      </c>
      <c r="H781" s="11"/>
      <c r="I781" s="11"/>
      <c r="J781" s="16" t="str">
        <f t="shared" si="61"/>
        <v/>
      </c>
      <c r="K781" s="18" t="str">
        <f>IF(A781="","",IFERROR(SUMIF(Transactions!A$4:A$1003,A781,Transactions!F$4:F$1003),0))</f>
        <v/>
      </c>
      <c r="L781" s="15" t="str">
        <f t="shared" si="62"/>
        <v/>
      </c>
      <c r="M781" s="12" t="str">
        <f t="shared" ca="1" si="63"/>
        <v/>
      </c>
      <c r="N781" s="19" t="str">
        <f t="shared" ca="1" si="64"/>
        <v/>
      </c>
    </row>
    <row r="782" spans="1:14" ht="15.75" customHeight="1" x14ac:dyDescent="0.25">
      <c r="A782" s="11"/>
      <c r="B782" s="11"/>
      <c r="C782" s="11"/>
      <c r="D782" s="11"/>
      <c r="E782" s="11"/>
      <c r="F782" s="17" t="str">
        <f>IF(E782=0,"",IFERROR(E782*Config!B18,0))</f>
        <v/>
      </c>
      <c r="G782" s="13" t="str">
        <f t="shared" si="60"/>
        <v/>
      </c>
      <c r="H782" s="11"/>
      <c r="I782" s="11"/>
      <c r="J782" s="16" t="str">
        <f t="shared" si="61"/>
        <v/>
      </c>
      <c r="K782" s="18" t="str">
        <f>IF(A782="","",IFERROR(SUMIF(Transactions!A$4:A$1003,A782,Transactions!F$4:F$1003),0))</f>
        <v/>
      </c>
      <c r="L782" s="15" t="str">
        <f t="shared" si="62"/>
        <v/>
      </c>
      <c r="M782" s="12" t="str">
        <f t="shared" ca="1" si="63"/>
        <v/>
      </c>
      <c r="N782" s="19" t="str">
        <f t="shared" ca="1" si="64"/>
        <v/>
      </c>
    </row>
    <row r="783" spans="1:14" ht="15.75" customHeight="1" x14ac:dyDescent="0.25">
      <c r="A783" s="11"/>
      <c r="B783" s="11"/>
      <c r="C783" s="11"/>
      <c r="D783" s="11"/>
      <c r="E783" s="11"/>
      <c r="F783" s="17" t="str">
        <f>IF(E783=0,"",IFERROR(E783*Config!B18,0))</f>
        <v/>
      </c>
      <c r="G783" s="13" t="str">
        <f t="shared" si="60"/>
        <v/>
      </c>
      <c r="H783" s="11"/>
      <c r="I783" s="11"/>
      <c r="J783" s="16" t="str">
        <f t="shared" si="61"/>
        <v/>
      </c>
      <c r="K783" s="18" t="str">
        <f>IF(A783="","",IFERROR(SUMIF(Transactions!A$4:A$1003,A783,Transactions!F$4:F$1003),0))</f>
        <v/>
      </c>
      <c r="L783" s="15" t="str">
        <f t="shared" si="62"/>
        <v/>
      </c>
      <c r="M783" s="12" t="str">
        <f t="shared" ca="1" si="63"/>
        <v/>
      </c>
      <c r="N783" s="19" t="str">
        <f t="shared" ca="1" si="64"/>
        <v/>
      </c>
    </row>
    <row r="784" spans="1:14" ht="15.75" customHeight="1" x14ac:dyDescent="0.25">
      <c r="A784" s="11"/>
      <c r="B784" s="11"/>
      <c r="C784" s="11"/>
      <c r="D784" s="11"/>
      <c r="E784" s="11"/>
      <c r="F784" s="17" t="str">
        <f>IF(E784=0,"",IFERROR(E784*Config!B18,0))</f>
        <v/>
      </c>
      <c r="G784" s="13" t="str">
        <f t="shared" si="60"/>
        <v/>
      </c>
      <c r="H784" s="11"/>
      <c r="I784" s="11"/>
      <c r="J784" s="16" t="str">
        <f t="shared" si="61"/>
        <v/>
      </c>
      <c r="K784" s="18" t="str">
        <f>IF(A784="","",IFERROR(SUMIF(Transactions!A$4:A$1003,A784,Transactions!F$4:F$1003),0))</f>
        <v/>
      </c>
      <c r="L784" s="15" t="str">
        <f t="shared" si="62"/>
        <v/>
      </c>
      <c r="M784" s="12" t="str">
        <f t="shared" ca="1" si="63"/>
        <v/>
      </c>
      <c r="N784" s="19" t="str">
        <f t="shared" ca="1" si="64"/>
        <v/>
      </c>
    </row>
    <row r="785" spans="1:14" ht="15.75" customHeight="1" x14ac:dyDescent="0.25">
      <c r="A785" s="11"/>
      <c r="B785" s="11"/>
      <c r="C785" s="11"/>
      <c r="D785" s="11"/>
      <c r="E785" s="11"/>
      <c r="F785" s="17" t="str">
        <f>IF(E785=0,"",IFERROR(E785*Config!B18,0))</f>
        <v/>
      </c>
      <c r="G785" s="13" t="str">
        <f t="shared" si="60"/>
        <v/>
      </c>
      <c r="H785" s="11"/>
      <c r="I785" s="11"/>
      <c r="J785" s="16" t="str">
        <f t="shared" si="61"/>
        <v/>
      </c>
      <c r="K785" s="18" t="str">
        <f>IF(A785="","",IFERROR(SUMIF(Transactions!A$4:A$1003,A785,Transactions!F$4:F$1003),0))</f>
        <v/>
      </c>
      <c r="L785" s="15" t="str">
        <f t="shared" si="62"/>
        <v/>
      </c>
      <c r="M785" s="12" t="str">
        <f t="shared" ca="1" si="63"/>
        <v/>
      </c>
      <c r="N785" s="19" t="str">
        <f t="shared" ca="1" si="64"/>
        <v/>
      </c>
    </row>
    <row r="786" spans="1:14" ht="15.75" customHeight="1" x14ac:dyDescent="0.25">
      <c r="A786" s="11"/>
      <c r="B786" s="11"/>
      <c r="C786" s="11"/>
      <c r="D786" s="11"/>
      <c r="E786" s="11"/>
      <c r="F786" s="17" t="str">
        <f>IF(E786=0,"",IFERROR(E786*Config!B18,0))</f>
        <v/>
      </c>
      <c r="G786" s="13" t="str">
        <f t="shared" si="60"/>
        <v/>
      </c>
      <c r="H786" s="11"/>
      <c r="I786" s="11"/>
      <c r="J786" s="16" t="str">
        <f t="shared" si="61"/>
        <v/>
      </c>
      <c r="K786" s="18" t="str">
        <f>IF(A786="","",IFERROR(SUMIF(Transactions!A$4:A$1003,A786,Transactions!F$4:F$1003),0))</f>
        <v/>
      </c>
      <c r="L786" s="15" t="str">
        <f t="shared" si="62"/>
        <v/>
      </c>
      <c r="M786" s="12" t="str">
        <f t="shared" ca="1" si="63"/>
        <v/>
      </c>
      <c r="N786" s="19" t="str">
        <f t="shared" ca="1" si="64"/>
        <v/>
      </c>
    </row>
    <row r="787" spans="1:14" ht="15.75" customHeight="1" x14ac:dyDescent="0.25">
      <c r="A787" s="11"/>
      <c r="B787" s="11"/>
      <c r="C787" s="11"/>
      <c r="D787" s="11"/>
      <c r="E787" s="11"/>
      <c r="F787" s="17" t="str">
        <f>IF(E787=0,"",IFERROR(E787*Config!B18,0))</f>
        <v/>
      </c>
      <c r="G787" s="13" t="str">
        <f t="shared" si="60"/>
        <v/>
      </c>
      <c r="H787" s="11"/>
      <c r="I787" s="11"/>
      <c r="J787" s="16" t="str">
        <f t="shared" si="61"/>
        <v/>
      </c>
      <c r="K787" s="18" t="str">
        <f>IF(A787="","",IFERROR(SUMIF(Transactions!A$4:A$1003,A787,Transactions!F$4:F$1003),0))</f>
        <v/>
      </c>
      <c r="L787" s="15" t="str">
        <f t="shared" si="62"/>
        <v/>
      </c>
      <c r="M787" s="12" t="str">
        <f t="shared" ca="1" si="63"/>
        <v/>
      </c>
      <c r="N787" s="19" t="str">
        <f t="shared" ca="1" si="64"/>
        <v/>
      </c>
    </row>
    <row r="788" spans="1:14" ht="15.75" customHeight="1" x14ac:dyDescent="0.25">
      <c r="A788" s="11"/>
      <c r="B788" s="11"/>
      <c r="C788" s="11"/>
      <c r="D788" s="11"/>
      <c r="E788" s="11"/>
      <c r="F788" s="17" t="str">
        <f>IF(E788=0,"",IFERROR(E788*Config!B18,0))</f>
        <v/>
      </c>
      <c r="G788" s="13" t="str">
        <f t="shared" si="60"/>
        <v/>
      </c>
      <c r="H788" s="11"/>
      <c r="I788" s="11"/>
      <c r="J788" s="16" t="str">
        <f t="shared" si="61"/>
        <v/>
      </c>
      <c r="K788" s="18" t="str">
        <f>IF(A788="","",IFERROR(SUMIF(Transactions!A$4:A$1003,A788,Transactions!F$4:F$1003),0))</f>
        <v/>
      </c>
      <c r="L788" s="15" t="str">
        <f t="shared" si="62"/>
        <v/>
      </c>
      <c r="M788" s="12" t="str">
        <f t="shared" ca="1" si="63"/>
        <v/>
      </c>
      <c r="N788" s="19" t="str">
        <f t="shared" ca="1" si="64"/>
        <v/>
      </c>
    </row>
    <row r="789" spans="1:14" ht="15.75" customHeight="1" x14ac:dyDescent="0.25">
      <c r="A789" s="11"/>
      <c r="B789" s="11"/>
      <c r="C789" s="11"/>
      <c r="D789" s="11"/>
      <c r="E789" s="11"/>
      <c r="F789" s="17" t="str">
        <f>IF(E789=0,"",IFERROR(E789*Config!B18,0))</f>
        <v/>
      </c>
      <c r="G789" s="13" t="str">
        <f t="shared" si="60"/>
        <v/>
      </c>
      <c r="H789" s="11"/>
      <c r="I789" s="11"/>
      <c r="J789" s="16" t="str">
        <f t="shared" si="61"/>
        <v/>
      </c>
      <c r="K789" s="18" t="str">
        <f>IF(A789="","",IFERROR(SUMIF(Transactions!A$4:A$1003,A789,Transactions!F$4:F$1003),0))</f>
        <v/>
      </c>
      <c r="L789" s="15" t="str">
        <f t="shared" si="62"/>
        <v/>
      </c>
      <c r="M789" s="12" t="str">
        <f t="shared" ca="1" si="63"/>
        <v/>
      </c>
      <c r="N789" s="19" t="str">
        <f t="shared" ca="1" si="64"/>
        <v/>
      </c>
    </row>
    <row r="790" spans="1:14" ht="15.75" customHeight="1" x14ac:dyDescent="0.25">
      <c r="A790" s="11"/>
      <c r="B790" s="11"/>
      <c r="C790" s="11"/>
      <c r="D790" s="11"/>
      <c r="E790" s="11"/>
      <c r="F790" s="17" t="str">
        <f>IF(E790=0,"",IFERROR(E790*Config!B18,0))</f>
        <v/>
      </c>
      <c r="G790" s="13" t="str">
        <f t="shared" si="60"/>
        <v/>
      </c>
      <c r="H790" s="11"/>
      <c r="I790" s="11"/>
      <c r="J790" s="16" t="str">
        <f t="shared" si="61"/>
        <v/>
      </c>
      <c r="K790" s="18" t="str">
        <f>IF(A790="","",IFERROR(SUMIF(Transactions!A$4:A$1003,A790,Transactions!F$4:F$1003),0))</f>
        <v/>
      </c>
      <c r="L790" s="15" t="str">
        <f t="shared" si="62"/>
        <v/>
      </c>
      <c r="M790" s="12" t="str">
        <f t="shared" ca="1" si="63"/>
        <v/>
      </c>
      <c r="N790" s="19" t="str">
        <f t="shared" ca="1" si="64"/>
        <v/>
      </c>
    </row>
    <row r="791" spans="1:14" ht="15.75" customHeight="1" x14ac:dyDescent="0.25">
      <c r="A791" s="11"/>
      <c r="B791" s="11"/>
      <c r="C791" s="11"/>
      <c r="D791" s="11"/>
      <c r="E791" s="11"/>
      <c r="F791" s="17" t="str">
        <f>IF(E791=0,"",IFERROR(E791*Config!B18,0))</f>
        <v/>
      </c>
      <c r="G791" s="13" t="str">
        <f t="shared" si="60"/>
        <v/>
      </c>
      <c r="H791" s="11"/>
      <c r="I791" s="11"/>
      <c r="J791" s="16" t="str">
        <f t="shared" si="61"/>
        <v/>
      </c>
      <c r="K791" s="18" t="str">
        <f>IF(A791="","",IFERROR(SUMIF(Transactions!A$4:A$1003,A791,Transactions!F$4:F$1003),0))</f>
        <v/>
      </c>
      <c r="L791" s="15" t="str">
        <f t="shared" si="62"/>
        <v/>
      </c>
      <c r="M791" s="12" t="str">
        <f t="shared" ca="1" si="63"/>
        <v/>
      </c>
      <c r="N791" s="19" t="str">
        <f t="shared" ca="1" si="64"/>
        <v/>
      </c>
    </row>
    <row r="792" spans="1:14" ht="15.75" customHeight="1" x14ac:dyDescent="0.25">
      <c r="A792" s="11"/>
      <c r="B792" s="11"/>
      <c r="C792" s="11"/>
      <c r="D792" s="11"/>
      <c r="E792" s="11"/>
      <c r="F792" s="17" t="str">
        <f>IF(E792=0,"",IFERROR(E792*Config!B18,0))</f>
        <v/>
      </c>
      <c r="G792" s="13" t="str">
        <f t="shared" si="60"/>
        <v/>
      </c>
      <c r="H792" s="11"/>
      <c r="I792" s="11"/>
      <c r="J792" s="16" t="str">
        <f t="shared" si="61"/>
        <v/>
      </c>
      <c r="K792" s="18" t="str">
        <f>IF(A792="","",IFERROR(SUMIF(Transactions!A$4:A$1003,A792,Transactions!F$4:F$1003),0))</f>
        <v/>
      </c>
      <c r="L792" s="15" t="str">
        <f t="shared" si="62"/>
        <v/>
      </c>
      <c r="M792" s="12" t="str">
        <f t="shared" ca="1" si="63"/>
        <v/>
      </c>
      <c r="N792" s="19" t="str">
        <f t="shared" ca="1" si="64"/>
        <v/>
      </c>
    </row>
    <row r="793" spans="1:14" ht="15.75" customHeight="1" x14ac:dyDescent="0.25">
      <c r="A793" s="11"/>
      <c r="B793" s="11"/>
      <c r="C793" s="11"/>
      <c r="D793" s="11"/>
      <c r="E793" s="11"/>
      <c r="F793" s="17" t="str">
        <f>IF(E793=0,"",IFERROR(E793*Config!B18,0))</f>
        <v/>
      </c>
      <c r="G793" s="13" t="str">
        <f t="shared" si="60"/>
        <v/>
      </c>
      <c r="H793" s="11"/>
      <c r="I793" s="11"/>
      <c r="J793" s="16" t="str">
        <f t="shared" si="61"/>
        <v/>
      </c>
      <c r="K793" s="18" t="str">
        <f>IF(A793="","",IFERROR(SUMIF(Transactions!A$4:A$1003,A793,Transactions!F$4:F$1003),0))</f>
        <v/>
      </c>
      <c r="L793" s="15" t="str">
        <f t="shared" si="62"/>
        <v/>
      </c>
      <c r="M793" s="12" t="str">
        <f t="shared" ca="1" si="63"/>
        <v/>
      </c>
      <c r="N793" s="19" t="str">
        <f t="shared" ca="1" si="64"/>
        <v/>
      </c>
    </row>
    <row r="794" spans="1:14" ht="15.75" customHeight="1" x14ac:dyDescent="0.25">
      <c r="A794" s="11"/>
      <c r="B794" s="11"/>
      <c r="C794" s="11"/>
      <c r="D794" s="11"/>
      <c r="E794" s="11"/>
      <c r="F794" s="17" t="str">
        <f>IF(E794=0,"",IFERROR(E794*Config!B18,0))</f>
        <v/>
      </c>
      <c r="G794" s="13" t="str">
        <f t="shared" si="60"/>
        <v/>
      </c>
      <c r="H794" s="11"/>
      <c r="I794" s="11"/>
      <c r="J794" s="16" t="str">
        <f t="shared" si="61"/>
        <v/>
      </c>
      <c r="K794" s="18" t="str">
        <f>IF(A794="","",IFERROR(SUMIF(Transactions!A$4:A$1003,A794,Transactions!F$4:F$1003),0))</f>
        <v/>
      </c>
      <c r="L794" s="15" t="str">
        <f t="shared" si="62"/>
        <v/>
      </c>
      <c r="M794" s="12" t="str">
        <f t="shared" ca="1" si="63"/>
        <v/>
      </c>
      <c r="N794" s="19" t="str">
        <f t="shared" ca="1" si="64"/>
        <v/>
      </c>
    </row>
    <row r="795" spans="1:14" ht="15.75" customHeight="1" x14ac:dyDescent="0.25">
      <c r="A795" s="11"/>
      <c r="B795" s="11"/>
      <c r="C795" s="11"/>
      <c r="D795" s="11"/>
      <c r="E795" s="11"/>
      <c r="F795" s="17" t="str">
        <f>IF(E795=0,"",IFERROR(E795*Config!B18,0))</f>
        <v/>
      </c>
      <c r="G795" s="13" t="str">
        <f t="shared" si="60"/>
        <v/>
      </c>
      <c r="H795" s="11"/>
      <c r="I795" s="11"/>
      <c r="J795" s="16" t="str">
        <f t="shared" si="61"/>
        <v/>
      </c>
      <c r="K795" s="18" t="str">
        <f>IF(A795="","",IFERROR(SUMIF(Transactions!A$4:A$1003,A795,Transactions!F$4:F$1003),0))</f>
        <v/>
      </c>
      <c r="L795" s="15" t="str">
        <f t="shared" si="62"/>
        <v/>
      </c>
      <c r="M795" s="12" t="str">
        <f t="shared" ca="1" si="63"/>
        <v/>
      </c>
      <c r="N795" s="19" t="str">
        <f t="shared" ca="1" si="64"/>
        <v/>
      </c>
    </row>
    <row r="796" spans="1:14" ht="15.75" customHeight="1" x14ac:dyDescent="0.25">
      <c r="A796" s="11"/>
      <c r="B796" s="11"/>
      <c r="C796" s="11"/>
      <c r="D796" s="11"/>
      <c r="E796" s="11"/>
      <c r="F796" s="17" t="str">
        <f>IF(E796=0,"",IFERROR(E796*Config!B18,0))</f>
        <v/>
      </c>
      <c r="G796" s="13" t="str">
        <f t="shared" si="60"/>
        <v/>
      </c>
      <c r="H796" s="11"/>
      <c r="I796" s="11"/>
      <c r="J796" s="16" t="str">
        <f t="shared" si="61"/>
        <v/>
      </c>
      <c r="K796" s="18" t="str">
        <f>IF(A796="","",IFERROR(SUMIF(Transactions!A$4:A$1003,A796,Transactions!F$4:F$1003),0))</f>
        <v/>
      </c>
      <c r="L796" s="15" t="str">
        <f t="shared" si="62"/>
        <v/>
      </c>
      <c r="M796" s="12" t="str">
        <f t="shared" ca="1" si="63"/>
        <v/>
      </c>
      <c r="N796" s="19" t="str">
        <f t="shared" ca="1" si="64"/>
        <v/>
      </c>
    </row>
    <row r="797" spans="1:14" ht="15.75" customHeight="1" x14ac:dyDescent="0.25">
      <c r="A797" s="11"/>
      <c r="B797" s="11"/>
      <c r="C797" s="11"/>
      <c r="D797" s="11"/>
      <c r="E797" s="11"/>
      <c r="F797" s="17" t="str">
        <f>IF(E797=0,"",IFERROR(E797*Config!B18,0))</f>
        <v/>
      </c>
      <c r="G797" s="13" t="str">
        <f t="shared" si="60"/>
        <v/>
      </c>
      <c r="H797" s="11"/>
      <c r="I797" s="11"/>
      <c r="J797" s="16" t="str">
        <f t="shared" si="61"/>
        <v/>
      </c>
      <c r="K797" s="18" t="str">
        <f>IF(A797="","",IFERROR(SUMIF(Transactions!A$4:A$1003,A797,Transactions!F$4:F$1003),0))</f>
        <v/>
      </c>
      <c r="L797" s="15" t="str">
        <f t="shared" si="62"/>
        <v/>
      </c>
      <c r="M797" s="12" t="str">
        <f t="shared" ca="1" si="63"/>
        <v/>
      </c>
      <c r="N797" s="19" t="str">
        <f t="shared" ca="1" si="64"/>
        <v/>
      </c>
    </row>
    <row r="798" spans="1:14" ht="15.75" customHeight="1" x14ac:dyDescent="0.25">
      <c r="A798" s="11"/>
      <c r="B798" s="11"/>
      <c r="C798" s="11"/>
      <c r="D798" s="11"/>
      <c r="E798" s="11"/>
      <c r="F798" s="17" t="str">
        <f>IF(E798=0,"",IFERROR(E798*Config!B18,0))</f>
        <v/>
      </c>
      <c r="G798" s="13" t="str">
        <f t="shared" si="60"/>
        <v/>
      </c>
      <c r="H798" s="11"/>
      <c r="I798" s="11"/>
      <c r="J798" s="16" t="str">
        <f t="shared" si="61"/>
        <v/>
      </c>
      <c r="K798" s="18" t="str">
        <f>IF(A798="","",IFERROR(SUMIF(Transactions!A$4:A$1003,A798,Transactions!F$4:F$1003),0))</f>
        <v/>
      </c>
      <c r="L798" s="15" t="str">
        <f t="shared" si="62"/>
        <v/>
      </c>
      <c r="M798" s="12" t="str">
        <f t="shared" ca="1" si="63"/>
        <v/>
      </c>
      <c r="N798" s="19" t="str">
        <f t="shared" ca="1" si="64"/>
        <v/>
      </c>
    </row>
    <row r="799" spans="1:14" ht="15.75" customHeight="1" x14ac:dyDescent="0.25">
      <c r="A799" s="11"/>
      <c r="B799" s="11"/>
      <c r="C799" s="11"/>
      <c r="D799" s="11"/>
      <c r="E799" s="11"/>
      <c r="F799" s="17" t="str">
        <f>IF(E799=0,"",IFERROR(E799*Config!B18,0))</f>
        <v/>
      </c>
      <c r="G799" s="13" t="str">
        <f t="shared" si="60"/>
        <v/>
      </c>
      <c r="H799" s="11"/>
      <c r="I799" s="11"/>
      <c r="J799" s="16" t="str">
        <f t="shared" si="61"/>
        <v/>
      </c>
      <c r="K799" s="18" t="str">
        <f>IF(A799="","",IFERROR(SUMIF(Transactions!A$4:A$1003,A799,Transactions!F$4:F$1003),0))</f>
        <v/>
      </c>
      <c r="L799" s="15" t="str">
        <f t="shared" si="62"/>
        <v/>
      </c>
      <c r="M799" s="12" t="str">
        <f t="shared" ca="1" si="63"/>
        <v/>
      </c>
      <c r="N799" s="19" t="str">
        <f t="shared" ca="1" si="64"/>
        <v/>
      </c>
    </row>
    <row r="800" spans="1:14" ht="15.75" customHeight="1" x14ac:dyDescent="0.25">
      <c r="A800" s="11"/>
      <c r="B800" s="11"/>
      <c r="C800" s="11"/>
      <c r="D800" s="11"/>
      <c r="E800" s="11"/>
      <c r="F800" s="17" t="str">
        <f>IF(E800=0,"",IFERROR(E800*Config!B18,0))</f>
        <v/>
      </c>
      <c r="G800" s="13" t="str">
        <f t="shared" si="60"/>
        <v/>
      </c>
      <c r="H800" s="11"/>
      <c r="I800" s="11"/>
      <c r="J800" s="16" t="str">
        <f t="shared" si="61"/>
        <v/>
      </c>
      <c r="K800" s="18" t="str">
        <f>IF(A800="","",IFERROR(SUMIF(Transactions!A$4:A$1003,A800,Transactions!F$4:F$1003),0))</f>
        <v/>
      </c>
      <c r="L800" s="15" t="str">
        <f t="shared" si="62"/>
        <v/>
      </c>
      <c r="M800" s="12" t="str">
        <f t="shared" ca="1" si="63"/>
        <v/>
      </c>
      <c r="N800" s="19" t="str">
        <f t="shared" ca="1" si="64"/>
        <v/>
      </c>
    </row>
    <row r="801" spans="1:14" ht="15.75" customHeight="1" x14ac:dyDescent="0.25">
      <c r="A801" s="11"/>
      <c r="B801" s="11"/>
      <c r="C801" s="11"/>
      <c r="D801" s="11"/>
      <c r="E801" s="11"/>
      <c r="F801" s="17" t="str">
        <f>IF(E801=0,"",IFERROR(E801*Config!B18,0))</f>
        <v/>
      </c>
      <c r="G801" s="13" t="str">
        <f t="shared" si="60"/>
        <v/>
      </c>
      <c r="H801" s="11"/>
      <c r="I801" s="11"/>
      <c r="J801" s="16" t="str">
        <f t="shared" si="61"/>
        <v/>
      </c>
      <c r="K801" s="18" t="str">
        <f>IF(A801="","",IFERROR(SUMIF(Transactions!A$4:A$1003,A801,Transactions!F$4:F$1003),0))</f>
        <v/>
      </c>
      <c r="L801" s="15" t="str">
        <f t="shared" si="62"/>
        <v/>
      </c>
      <c r="M801" s="12" t="str">
        <f t="shared" ca="1" si="63"/>
        <v/>
      </c>
      <c r="N801" s="19" t="str">
        <f t="shared" ca="1" si="64"/>
        <v/>
      </c>
    </row>
    <row r="802" spans="1:14" ht="15.75" customHeight="1" x14ac:dyDescent="0.25">
      <c r="A802" s="11"/>
      <c r="B802" s="11"/>
      <c r="C802" s="11"/>
      <c r="D802" s="11"/>
      <c r="E802" s="11"/>
      <c r="F802" s="17" t="str">
        <f>IF(E802=0,"",IFERROR(E802*Config!B18,0))</f>
        <v/>
      </c>
      <c r="G802" s="13" t="str">
        <f t="shared" si="60"/>
        <v/>
      </c>
      <c r="H802" s="11"/>
      <c r="I802" s="11"/>
      <c r="J802" s="16" t="str">
        <f t="shared" si="61"/>
        <v/>
      </c>
      <c r="K802" s="18" t="str">
        <f>IF(A802="","",IFERROR(SUMIF(Transactions!A$4:A$1003,A802,Transactions!F$4:F$1003),0))</f>
        <v/>
      </c>
      <c r="L802" s="15" t="str">
        <f t="shared" si="62"/>
        <v/>
      </c>
      <c r="M802" s="12" t="str">
        <f t="shared" ca="1" si="63"/>
        <v/>
      </c>
      <c r="N802" s="19" t="str">
        <f t="shared" ca="1" si="64"/>
        <v/>
      </c>
    </row>
    <row r="803" spans="1:14" ht="15.75" customHeight="1" x14ac:dyDescent="0.25">
      <c r="A803" s="11"/>
      <c r="B803" s="11"/>
      <c r="C803" s="11"/>
      <c r="D803" s="11"/>
      <c r="E803" s="11"/>
      <c r="F803" s="17" t="str">
        <f>IF(E803=0,"",IFERROR(E803*Config!B18,0))</f>
        <v/>
      </c>
      <c r="G803" s="13" t="str">
        <f t="shared" si="60"/>
        <v/>
      </c>
      <c r="H803" s="11"/>
      <c r="I803" s="11"/>
      <c r="J803" s="16" t="str">
        <f t="shared" si="61"/>
        <v/>
      </c>
      <c r="K803" s="18" t="str">
        <f>IF(A803="","",IFERROR(SUMIF(Transactions!A$4:A$1003,A803,Transactions!F$4:F$1003),0))</f>
        <v/>
      </c>
      <c r="L803" s="15" t="str">
        <f t="shared" si="62"/>
        <v/>
      </c>
      <c r="M803" s="12" t="str">
        <f t="shared" ca="1" si="63"/>
        <v/>
      </c>
      <c r="N803" s="19" t="str">
        <f t="shared" ca="1" si="64"/>
        <v/>
      </c>
    </row>
    <row r="804" spans="1:14" ht="15.75" customHeight="1" x14ac:dyDescent="0.25">
      <c r="A804" s="11"/>
      <c r="B804" s="11"/>
      <c r="C804" s="11"/>
      <c r="D804" s="11"/>
      <c r="E804" s="11"/>
      <c r="F804" s="17" t="str">
        <f>IF(E804=0,"",IFERROR(E804*Config!B18,0))</f>
        <v/>
      </c>
      <c r="G804" s="13" t="str">
        <f t="shared" si="60"/>
        <v/>
      </c>
      <c r="H804" s="11"/>
      <c r="I804" s="11"/>
      <c r="J804" s="16" t="str">
        <f t="shared" si="61"/>
        <v/>
      </c>
      <c r="K804" s="18" t="str">
        <f>IF(A804="","",IFERROR(SUMIF(Transactions!A$4:A$1003,A804,Transactions!F$4:F$1003),0))</f>
        <v/>
      </c>
      <c r="L804" s="15" t="str">
        <f t="shared" si="62"/>
        <v/>
      </c>
      <c r="M804" s="12" t="str">
        <f t="shared" ca="1" si="63"/>
        <v/>
      </c>
      <c r="N804" s="19" t="str">
        <f t="shared" ca="1" si="64"/>
        <v/>
      </c>
    </row>
    <row r="805" spans="1:14" ht="15.75" customHeight="1" x14ac:dyDescent="0.25">
      <c r="A805" s="11"/>
      <c r="B805" s="11"/>
      <c r="C805" s="11"/>
      <c r="D805" s="11"/>
      <c r="E805" s="11"/>
      <c r="F805" s="17" t="str">
        <f>IF(E805=0,"",IFERROR(E805*Config!B18,0))</f>
        <v/>
      </c>
      <c r="G805" s="13" t="str">
        <f t="shared" si="60"/>
        <v/>
      </c>
      <c r="H805" s="11"/>
      <c r="I805" s="11"/>
      <c r="J805" s="16" t="str">
        <f t="shared" si="61"/>
        <v/>
      </c>
      <c r="K805" s="18" t="str">
        <f>IF(A805="","",IFERROR(SUMIF(Transactions!A$4:A$1003,A805,Transactions!F$4:F$1003),0))</f>
        <v/>
      </c>
      <c r="L805" s="15" t="str">
        <f t="shared" si="62"/>
        <v/>
      </c>
      <c r="M805" s="12" t="str">
        <f t="shared" ca="1" si="63"/>
        <v/>
      </c>
      <c r="N805" s="19" t="str">
        <f t="shared" ca="1" si="64"/>
        <v/>
      </c>
    </row>
    <row r="806" spans="1:14" ht="15.75" customHeight="1" x14ac:dyDescent="0.25">
      <c r="A806" s="11"/>
      <c r="B806" s="11"/>
      <c r="C806" s="11"/>
      <c r="D806" s="11"/>
      <c r="E806" s="11"/>
      <c r="F806" s="17" t="str">
        <f>IF(E806=0,"",IFERROR(E806*Config!B18,0))</f>
        <v/>
      </c>
      <c r="G806" s="13" t="str">
        <f t="shared" si="60"/>
        <v/>
      </c>
      <c r="H806" s="11"/>
      <c r="I806" s="11"/>
      <c r="J806" s="16" t="str">
        <f t="shared" si="61"/>
        <v/>
      </c>
      <c r="K806" s="18" t="str">
        <f>IF(A806="","",IFERROR(SUMIF(Transactions!A$4:A$1003,A806,Transactions!F$4:F$1003),0))</f>
        <v/>
      </c>
      <c r="L806" s="15" t="str">
        <f t="shared" si="62"/>
        <v/>
      </c>
      <c r="M806" s="12" t="str">
        <f t="shared" ca="1" si="63"/>
        <v/>
      </c>
      <c r="N806" s="19" t="str">
        <f t="shared" ca="1" si="64"/>
        <v/>
      </c>
    </row>
    <row r="807" spans="1:14" ht="15.75" customHeight="1" x14ac:dyDescent="0.25">
      <c r="A807" s="11"/>
      <c r="B807" s="11"/>
      <c r="C807" s="11"/>
      <c r="D807" s="11"/>
      <c r="E807" s="11"/>
      <c r="F807" s="17" t="str">
        <f>IF(E807=0,"",IFERROR(E807*Config!B18,0))</f>
        <v/>
      </c>
      <c r="G807" s="13" t="str">
        <f t="shared" si="60"/>
        <v/>
      </c>
      <c r="H807" s="11"/>
      <c r="I807" s="11"/>
      <c r="J807" s="16" t="str">
        <f t="shared" si="61"/>
        <v/>
      </c>
      <c r="K807" s="18" t="str">
        <f>IF(A807="","",IFERROR(SUMIF(Transactions!A$4:A$1003,A807,Transactions!F$4:F$1003),0))</f>
        <v/>
      </c>
      <c r="L807" s="15" t="str">
        <f t="shared" si="62"/>
        <v/>
      </c>
      <c r="M807" s="12" t="str">
        <f t="shared" ca="1" si="63"/>
        <v/>
      </c>
      <c r="N807" s="19" t="str">
        <f t="shared" ca="1" si="64"/>
        <v/>
      </c>
    </row>
    <row r="808" spans="1:14" ht="15.75" customHeight="1" x14ac:dyDescent="0.25">
      <c r="A808" s="11"/>
      <c r="B808" s="11"/>
      <c r="C808" s="11"/>
      <c r="D808" s="11"/>
      <c r="E808" s="11"/>
      <c r="F808" s="17" t="str">
        <f>IF(E808=0,"",IFERROR(E808*Config!B18,0))</f>
        <v/>
      </c>
      <c r="G808" s="13" t="str">
        <f t="shared" si="60"/>
        <v/>
      </c>
      <c r="H808" s="11"/>
      <c r="I808" s="11"/>
      <c r="J808" s="16" t="str">
        <f t="shared" si="61"/>
        <v/>
      </c>
      <c r="K808" s="18" t="str">
        <f>IF(A808="","",IFERROR(SUMIF(Transactions!A$4:A$1003,A808,Transactions!F$4:F$1003),0))</f>
        <v/>
      </c>
      <c r="L808" s="15" t="str">
        <f t="shared" si="62"/>
        <v/>
      </c>
      <c r="M808" s="12" t="str">
        <f t="shared" ca="1" si="63"/>
        <v/>
      </c>
      <c r="N808" s="19" t="str">
        <f t="shared" ca="1" si="64"/>
        <v/>
      </c>
    </row>
    <row r="809" spans="1:14" ht="15.75" customHeight="1" x14ac:dyDescent="0.25">
      <c r="A809" s="11"/>
      <c r="B809" s="11"/>
      <c r="C809" s="11"/>
      <c r="D809" s="11"/>
      <c r="E809" s="11"/>
      <c r="F809" s="17" t="str">
        <f>IF(E809=0,"",IFERROR(E809*Config!B18,0))</f>
        <v/>
      </c>
      <c r="G809" s="13" t="str">
        <f t="shared" si="60"/>
        <v/>
      </c>
      <c r="H809" s="11"/>
      <c r="I809" s="11"/>
      <c r="J809" s="16" t="str">
        <f t="shared" si="61"/>
        <v/>
      </c>
      <c r="K809" s="18" t="str">
        <f>IF(A809="","",IFERROR(SUMIF(Transactions!A$4:A$1003,A809,Transactions!F$4:F$1003),0))</f>
        <v/>
      </c>
      <c r="L809" s="15" t="str">
        <f t="shared" si="62"/>
        <v/>
      </c>
      <c r="M809" s="12" t="str">
        <f t="shared" ca="1" si="63"/>
        <v/>
      </c>
      <c r="N809" s="19" t="str">
        <f t="shared" ca="1" si="64"/>
        <v/>
      </c>
    </row>
    <row r="810" spans="1:14" ht="15.75" customHeight="1" x14ac:dyDescent="0.25">
      <c r="A810" s="11"/>
      <c r="B810" s="11"/>
      <c r="C810" s="11"/>
      <c r="D810" s="11"/>
      <c r="E810" s="11"/>
      <c r="F810" s="17" t="str">
        <f>IF(E810=0,"",IFERROR(E810*Config!B18,0))</f>
        <v/>
      </c>
      <c r="G810" s="13" t="str">
        <f t="shared" si="60"/>
        <v/>
      </c>
      <c r="H810" s="11"/>
      <c r="I810" s="11"/>
      <c r="J810" s="16" t="str">
        <f t="shared" si="61"/>
        <v/>
      </c>
      <c r="K810" s="18" t="str">
        <f>IF(A810="","",IFERROR(SUMIF(Transactions!A$4:A$1003,A810,Transactions!F$4:F$1003),0))</f>
        <v/>
      </c>
      <c r="L810" s="15" t="str">
        <f t="shared" si="62"/>
        <v/>
      </c>
      <c r="M810" s="12" t="str">
        <f t="shared" ca="1" si="63"/>
        <v/>
      </c>
      <c r="N810" s="19" t="str">
        <f t="shared" ca="1" si="64"/>
        <v/>
      </c>
    </row>
    <row r="811" spans="1:14" ht="15.75" customHeight="1" x14ac:dyDescent="0.25">
      <c r="A811" s="11"/>
      <c r="B811" s="11"/>
      <c r="C811" s="11"/>
      <c r="D811" s="11"/>
      <c r="E811" s="11"/>
      <c r="F811" s="17" t="str">
        <f>IF(E811=0,"",IFERROR(E811*Config!B18,0))</f>
        <v/>
      </c>
      <c r="G811" s="13" t="str">
        <f t="shared" si="60"/>
        <v/>
      </c>
      <c r="H811" s="11"/>
      <c r="I811" s="11"/>
      <c r="J811" s="16" t="str">
        <f t="shared" si="61"/>
        <v/>
      </c>
      <c r="K811" s="18" t="str">
        <f>IF(A811="","",IFERROR(SUMIF(Transactions!A$4:A$1003,A811,Transactions!F$4:F$1003),0))</f>
        <v/>
      </c>
      <c r="L811" s="15" t="str">
        <f t="shared" si="62"/>
        <v/>
      </c>
      <c r="M811" s="12" t="str">
        <f t="shared" ca="1" si="63"/>
        <v/>
      </c>
      <c r="N811" s="19" t="str">
        <f t="shared" ca="1" si="64"/>
        <v/>
      </c>
    </row>
    <row r="812" spans="1:14" ht="15.75" customHeight="1" x14ac:dyDescent="0.25">
      <c r="A812" s="11"/>
      <c r="B812" s="11"/>
      <c r="C812" s="11"/>
      <c r="D812" s="11"/>
      <c r="E812" s="11"/>
      <c r="F812" s="17" t="str">
        <f>IF(E812=0,"",IFERROR(E812*Config!B18,0))</f>
        <v/>
      </c>
      <c r="G812" s="13" t="str">
        <f t="shared" si="60"/>
        <v/>
      </c>
      <c r="H812" s="11"/>
      <c r="I812" s="11"/>
      <c r="J812" s="16" t="str">
        <f t="shared" si="61"/>
        <v/>
      </c>
      <c r="K812" s="18" t="str">
        <f>IF(A812="","",IFERROR(SUMIF(Transactions!A$4:A$1003,A812,Transactions!F$4:F$1003),0))</f>
        <v/>
      </c>
      <c r="L812" s="15" t="str">
        <f t="shared" si="62"/>
        <v/>
      </c>
      <c r="M812" s="12" t="str">
        <f t="shared" ca="1" si="63"/>
        <v/>
      </c>
      <c r="N812" s="19" t="str">
        <f t="shared" ca="1" si="64"/>
        <v/>
      </c>
    </row>
    <row r="813" spans="1:14" ht="15.75" customHeight="1" x14ac:dyDescent="0.25">
      <c r="A813" s="11"/>
      <c r="B813" s="11"/>
      <c r="C813" s="11"/>
      <c r="D813" s="11"/>
      <c r="E813" s="11"/>
      <c r="F813" s="17" t="str">
        <f>IF(E813=0,"",IFERROR(E813*Config!B18,0))</f>
        <v/>
      </c>
      <c r="G813" s="13" t="str">
        <f t="shared" si="60"/>
        <v/>
      </c>
      <c r="H813" s="11"/>
      <c r="I813" s="11"/>
      <c r="J813" s="16" t="str">
        <f t="shared" si="61"/>
        <v/>
      </c>
      <c r="K813" s="18" t="str">
        <f>IF(A813="","",IFERROR(SUMIF(Transactions!A$4:A$1003,A813,Transactions!F$4:F$1003),0))</f>
        <v/>
      </c>
      <c r="L813" s="15" t="str">
        <f t="shared" si="62"/>
        <v/>
      </c>
      <c r="M813" s="12" t="str">
        <f t="shared" ca="1" si="63"/>
        <v/>
      </c>
      <c r="N813" s="19" t="str">
        <f t="shared" ca="1" si="64"/>
        <v/>
      </c>
    </row>
    <row r="814" spans="1:14" ht="15.75" customHeight="1" x14ac:dyDescent="0.25">
      <c r="A814" s="11"/>
      <c r="B814" s="11"/>
      <c r="C814" s="11"/>
      <c r="D814" s="11"/>
      <c r="E814" s="11"/>
      <c r="F814" s="17" t="str">
        <f>IF(E814=0,"",IFERROR(E814*Config!B18,0))</f>
        <v/>
      </c>
      <c r="G814" s="13" t="str">
        <f t="shared" si="60"/>
        <v/>
      </c>
      <c r="H814" s="11"/>
      <c r="I814" s="11"/>
      <c r="J814" s="16" t="str">
        <f t="shared" si="61"/>
        <v/>
      </c>
      <c r="K814" s="18" t="str">
        <f>IF(A814="","",IFERROR(SUMIF(Transactions!A$4:A$1003,A814,Transactions!F$4:F$1003),0))</f>
        <v/>
      </c>
      <c r="L814" s="15" t="str">
        <f t="shared" si="62"/>
        <v/>
      </c>
      <c r="M814" s="12" t="str">
        <f t="shared" ca="1" si="63"/>
        <v/>
      </c>
      <c r="N814" s="19" t="str">
        <f t="shared" ca="1" si="64"/>
        <v/>
      </c>
    </row>
    <row r="815" spans="1:14" ht="15.75" customHeight="1" x14ac:dyDescent="0.25">
      <c r="A815" s="11"/>
      <c r="B815" s="11"/>
      <c r="C815" s="11"/>
      <c r="D815" s="11"/>
      <c r="E815" s="11"/>
      <c r="F815" s="17" t="str">
        <f>IF(E815=0,"",IFERROR(E815*Config!B18,0))</f>
        <v/>
      </c>
      <c r="G815" s="13" t="str">
        <f t="shared" si="60"/>
        <v/>
      </c>
      <c r="H815" s="11"/>
      <c r="I815" s="11"/>
      <c r="J815" s="16" t="str">
        <f t="shared" si="61"/>
        <v/>
      </c>
      <c r="K815" s="18" t="str">
        <f>IF(A815="","",IFERROR(SUMIF(Transactions!A$4:A$1003,A815,Transactions!F$4:F$1003),0))</f>
        <v/>
      </c>
      <c r="L815" s="15" t="str">
        <f t="shared" si="62"/>
        <v/>
      </c>
      <c r="M815" s="12" t="str">
        <f t="shared" ca="1" si="63"/>
        <v/>
      </c>
      <c r="N815" s="19" t="str">
        <f t="shared" ca="1" si="64"/>
        <v/>
      </c>
    </row>
    <row r="816" spans="1:14" ht="15.75" customHeight="1" x14ac:dyDescent="0.25">
      <c r="A816" s="11"/>
      <c r="B816" s="11"/>
      <c r="C816" s="11"/>
      <c r="D816" s="11"/>
      <c r="E816" s="11"/>
      <c r="F816" s="17" t="str">
        <f>IF(E816=0,"",IFERROR(E816*Config!B18,0))</f>
        <v/>
      </c>
      <c r="G816" s="13" t="str">
        <f t="shared" si="60"/>
        <v/>
      </c>
      <c r="H816" s="11"/>
      <c r="I816" s="11"/>
      <c r="J816" s="16" t="str">
        <f t="shared" si="61"/>
        <v/>
      </c>
      <c r="K816" s="18" t="str">
        <f>IF(A816="","",IFERROR(SUMIF(Transactions!A$4:A$1003,A816,Transactions!F$4:F$1003),0))</f>
        <v/>
      </c>
      <c r="L816" s="15" t="str">
        <f t="shared" si="62"/>
        <v/>
      </c>
      <c r="M816" s="12" t="str">
        <f t="shared" ca="1" si="63"/>
        <v/>
      </c>
      <c r="N816" s="19" t="str">
        <f t="shared" ca="1" si="64"/>
        <v/>
      </c>
    </row>
    <row r="817" spans="1:14" ht="15.75" customHeight="1" x14ac:dyDescent="0.25">
      <c r="A817" s="11"/>
      <c r="B817" s="11"/>
      <c r="C817" s="11"/>
      <c r="D817" s="11"/>
      <c r="E817" s="11"/>
      <c r="F817" s="17" t="str">
        <f>IF(E817=0,"",IFERROR(E817*Config!B18,0))</f>
        <v/>
      </c>
      <c r="G817" s="13" t="str">
        <f t="shared" si="60"/>
        <v/>
      </c>
      <c r="H817" s="11"/>
      <c r="I817" s="11"/>
      <c r="J817" s="16" t="str">
        <f t="shared" si="61"/>
        <v/>
      </c>
      <c r="K817" s="18" t="str">
        <f>IF(A817="","",IFERROR(SUMIF(Transactions!A$4:A$1003,A817,Transactions!F$4:F$1003),0))</f>
        <v/>
      </c>
      <c r="L817" s="15" t="str">
        <f t="shared" si="62"/>
        <v/>
      </c>
      <c r="M817" s="12" t="str">
        <f t="shared" ca="1" si="63"/>
        <v/>
      </c>
      <c r="N817" s="19" t="str">
        <f t="shared" ca="1" si="64"/>
        <v/>
      </c>
    </row>
    <row r="818" spans="1:14" ht="15.75" customHeight="1" x14ac:dyDescent="0.25">
      <c r="A818" s="11"/>
      <c r="B818" s="11"/>
      <c r="C818" s="11"/>
      <c r="D818" s="11"/>
      <c r="E818" s="11"/>
      <c r="F818" s="17" t="str">
        <f>IF(E818=0,"",IFERROR(E818*Config!B18,0))</f>
        <v/>
      </c>
      <c r="G818" s="13" t="str">
        <f t="shared" si="60"/>
        <v/>
      </c>
      <c r="H818" s="11"/>
      <c r="I818" s="11"/>
      <c r="J818" s="16" t="str">
        <f t="shared" si="61"/>
        <v/>
      </c>
      <c r="K818" s="18" t="str">
        <f>IF(A818="","",IFERROR(SUMIF(Transactions!A$4:A$1003,A818,Transactions!F$4:F$1003),0))</f>
        <v/>
      </c>
      <c r="L818" s="15" t="str">
        <f t="shared" si="62"/>
        <v/>
      </c>
      <c r="M818" s="12" t="str">
        <f t="shared" ca="1" si="63"/>
        <v/>
      </c>
      <c r="N818" s="19" t="str">
        <f t="shared" ca="1" si="64"/>
        <v/>
      </c>
    </row>
    <row r="819" spans="1:14" ht="15.75" customHeight="1" x14ac:dyDescent="0.25">
      <c r="A819" s="11"/>
      <c r="B819" s="11"/>
      <c r="C819" s="11"/>
      <c r="D819" s="11"/>
      <c r="E819" s="11"/>
      <c r="F819" s="17" t="str">
        <f>IF(E819=0,"",IFERROR(E819*Config!B18,0))</f>
        <v/>
      </c>
      <c r="G819" s="13" t="str">
        <f t="shared" si="60"/>
        <v/>
      </c>
      <c r="H819" s="11"/>
      <c r="I819" s="11"/>
      <c r="J819" s="16" t="str">
        <f t="shared" si="61"/>
        <v/>
      </c>
      <c r="K819" s="18" t="str">
        <f>IF(A819="","",IFERROR(SUMIF(Transactions!A$4:A$1003,A819,Transactions!F$4:F$1003),0))</f>
        <v/>
      </c>
      <c r="L819" s="15" t="str">
        <f t="shared" si="62"/>
        <v/>
      </c>
      <c r="M819" s="12" t="str">
        <f t="shared" ca="1" si="63"/>
        <v/>
      </c>
      <c r="N819" s="19" t="str">
        <f t="shared" ca="1" si="64"/>
        <v/>
      </c>
    </row>
    <row r="820" spans="1:14" ht="15.75" customHeight="1" x14ac:dyDescent="0.25">
      <c r="A820" s="11"/>
      <c r="B820" s="11"/>
      <c r="C820" s="11"/>
      <c r="D820" s="11"/>
      <c r="E820" s="11"/>
      <c r="F820" s="17" t="str">
        <f>IF(E820=0,"",IFERROR(E820*Config!B18,0))</f>
        <v/>
      </c>
      <c r="G820" s="13" t="str">
        <f t="shared" si="60"/>
        <v/>
      </c>
      <c r="H820" s="11"/>
      <c r="I820" s="11"/>
      <c r="J820" s="16" t="str">
        <f t="shared" si="61"/>
        <v/>
      </c>
      <c r="K820" s="18" t="str">
        <f>IF(A820="","",IFERROR(SUMIF(Transactions!A$4:A$1003,A820,Transactions!F$4:F$1003),0))</f>
        <v/>
      </c>
      <c r="L820" s="15" t="str">
        <f t="shared" si="62"/>
        <v/>
      </c>
      <c r="M820" s="12" t="str">
        <f t="shared" ca="1" si="63"/>
        <v/>
      </c>
      <c r="N820" s="19" t="str">
        <f t="shared" ca="1" si="64"/>
        <v/>
      </c>
    </row>
    <row r="821" spans="1:14" ht="15.75" customHeight="1" x14ac:dyDescent="0.25">
      <c r="A821" s="11"/>
      <c r="B821" s="11"/>
      <c r="C821" s="11"/>
      <c r="D821" s="11"/>
      <c r="E821" s="11"/>
      <c r="F821" s="17" t="str">
        <f>IF(E821=0,"",IFERROR(E821*Config!B18,0))</f>
        <v/>
      </c>
      <c r="G821" s="13" t="str">
        <f t="shared" si="60"/>
        <v/>
      </c>
      <c r="H821" s="11"/>
      <c r="I821" s="11"/>
      <c r="J821" s="16" t="str">
        <f t="shared" si="61"/>
        <v/>
      </c>
      <c r="K821" s="18" t="str">
        <f>IF(A821="","",IFERROR(SUMIF(Transactions!A$4:A$1003,A821,Transactions!F$4:F$1003),0))</f>
        <v/>
      </c>
      <c r="L821" s="15" t="str">
        <f t="shared" si="62"/>
        <v/>
      </c>
      <c r="M821" s="12" t="str">
        <f t="shared" ca="1" si="63"/>
        <v/>
      </c>
      <c r="N821" s="19" t="str">
        <f t="shared" ca="1" si="64"/>
        <v/>
      </c>
    </row>
    <row r="822" spans="1:14" ht="15.75" customHeight="1" x14ac:dyDescent="0.25">
      <c r="A822" s="11"/>
      <c r="B822" s="11"/>
      <c r="C822" s="11"/>
      <c r="D822" s="11"/>
      <c r="E822" s="11"/>
      <c r="F822" s="17" t="str">
        <f>IF(E822=0,"",IFERROR(E822*Config!B18,0))</f>
        <v/>
      </c>
      <c r="G822" s="13" t="str">
        <f t="shared" si="60"/>
        <v/>
      </c>
      <c r="H822" s="11"/>
      <c r="I822" s="11"/>
      <c r="J822" s="16" t="str">
        <f t="shared" si="61"/>
        <v/>
      </c>
      <c r="K822" s="18" t="str">
        <f>IF(A822="","",IFERROR(SUMIF(Transactions!A$4:A$1003,A822,Transactions!F$4:F$1003),0))</f>
        <v/>
      </c>
      <c r="L822" s="15" t="str">
        <f t="shared" si="62"/>
        <v/>
      </c>
      <c r="M822" s="12" t="str">
        <f t="shared" ca="1" si="63"/>
        <v/>
      </c>
      <c r="N822" s="19" t="str">
        <f t="shared" ca="1" si="64"/>
        <v/>
      </c>
    </row>
    <row r="823" spans="1:14" ht="15.75" customHeight="1" x14ac:dyDescent="0.25">
      <c r="A823" s="11"/>
      <c r="B823" s="11"/>
      <c r="C823" s="11"/>
      <c r="D823" s="11"/>
      <c r="E823" s="11"/>
      <c r="F823" s="17" t="str">
        <f>IF(E823=0,"",IFERROR(E823*Config!B18,0))</f>
        <v/>
      </c>
      <c r="G823" s="13" t="str">
        <f t="shared" si="60"/>
        <v/>
      </c>
      <c r="H823" s="11"/>
      <c r="I823" s="11"/>
      <c r="J823" s="16" t="str">
        <f t="shared" si="61"/>
        <v/>
      </c>
      <c r="K823" s="18" t="str">
        <f>IF(A823="","",IFERROR(SUMIF(Transactions!A$4:A$1003,A823,Transactions!F$4:F$1003),0))</f>
        <v/>
      </c>
      <c r="L823" s="15" t="str">
        <f t="shared" si="62"/>
        <v/>
      </c>
      <c r="M823" s="12" t="str">
        <f t="shared" ca="1" si="63"/>
        <v/>
      </c>
      <c r="N823" s="19" t="str">
        <f t="shared" ca="1" si="64"/>
        <v/>
      </c>
    </row>
    <row r="824" spans="1:14" ht="15.75" customHeight="1" x14ac:dyDescent="0.25">
      <c r="A824" s="11"/>
      <c r="B824" s="11"/>
      <c r="C824" s="11"/>
      <c r="D824" s="11"/>
      <c r="E824" s="11"/>
      <c r="F824" s="17" t="str">
        <f>IF(E824=0,"",IFERROR(E824*Config!B18,0))</f>
        <v/>
      </c>
      <c r="G824" s="13" t="str">
        <f t="shared" si="60"/>
        <v/>
      </c>
      <c r="H824" s="11"/>
      <c r="I824" s="11"/>
      <c r="J824" s="16" t="str">
        <f t="shared" si="61"/>
        <v/>
      </c>
      <c r="K824" s="18" t="str">
        <f>IF(A824="","",IFERROR(SUMIF(Transactions!A$4:A$1003,A824,Transactions!F$4:F$1003),0))</f>
        <v/>
      </c>
      <c r="L824" s="15" t="str">
        <f t="shared" si="62"/>
        <v/>
      </c>
      <c r="M824" s="12" t="str">
        <f t="shared" ca="1" si="63"/>
        <v/>
      </c>
      <c r="N824" s="19" t="str">
        <f t="shared" ca="1" si="64"/>
        <v/>
      </c>
    </row>
    <row r="825" spans="1:14" ht="15.75" customHeight="1" x14ac:dyDescent="0.25">
      <c r="A825" s="11"/>
      <c r="B825" s="11"/>
      <c r="C825" s="11"/>
      <c r="D825" s="11"/>
      <c r="E825" s="11"/>
      <c r="F825" s="17" t="str">
        <f>IF(E825=0,"",IFERROR(E825*Config!B18,0))</f>
        <v/>
      </c>
      <c r="G825" s="13" t="str">
        <f t="shared" si="60"/>
        <v/>
      </c>
      <c r="H825" s="11"/>
      <c r="I825" s="11"/>
      <c r="J825" s="16" t="str">
        <f t="shared" si="61"/>
        <v/>
      </c>
      <c r="K825" s="18" t="str">
        <f>IF(A825="","",IFERROR(SUMIF(Transactions!A$4:A$1003,A825,Transactions!F$4:F$1003),0))</f>
        <v/>
      </c>
      <c r="L825" s="15" t="str">
        <f t="shared" si="62"/>
        <v/>
      </c>
      <c r="M825" s="12" t="str">
        <f t="shared" ca="1" si="63"/>
        <v/>
      </c>
      <c r="N825" s="19" t="str">
        <f t="shared" ca="1" si="64"/>
        <v/>
      </c>
    </row>
    <row r="826" spans="1:14" ht="15.75" customHeight="1" x14ac:dyDescent="0.25">
      <c r="A826" s="11"/>
      <c r="B826" s="11"/>
      <c r="C826" s="11"/>
      <c r="D826" s="11"/>
      <c r="E826" s="11"/>
      <c r="F826" s="17" t="str">
        <f>IF(E826=0,"",IFERROR(E826*Config!B18,0))</f>
        <v/>
      </c>
      <c r="G826" s="13" t="str">
        <f t="shared" si="60"/>
        <v/>
      </c>
      <c r="H826" s="11"/>
      <c r="I826" s="11"/>
      <c r="J826" s="16" t="str">
        <f t="shared" si="61"/>
        <v/>
      </c>
      <c r="K826" s="18" t="str">
        <f>IF(A826="","",IFERROR(SUMIF(Transactions!A$4:A$1003,A826,Transactions!F$4:F$1003),0))</f>
        <v/>
      </c>
      <c r="L826" s="15" t="str">
        <f t="shared" si="62"/>
        <v/>
      </c>
      <c r="M826" s="12" t="str">
        <f t="shared" ca="1" si="63"/>
        <v/>
      </c>
      <c r="N826" s="19" t="str">
        <f t="shared" ca="1" si="64"/>
        <v/>
      </c>
    </row>
    <row r="827" spans="1:14" ht="15.75" customHeight="1" x14ac:dyDescent="0.25">
      <c r="A827" s="11"/>
      <c r="B827" s="11"/>
      <c r="C827" s="11"/>
      <c r="D827" s="11"/>
      <c r="E827" s="11"/>
      <c r="F827" s="17" t="str">
        <f>IF(E827=0,"",IFERROR(E827*Config!B18,0))</f>
        <v/>
      </c>
      <c r="G827" s="13" t="str">
        <f t="shared" si="60"/>
        <v/>
      </c>
      <c r="H827" s="11"/>
      <c r="I827" s="11"/>
      <c r="J827" s="16" t="str">
        <f t="shared" si="61"/>
        <v/>
      </c>
      <c r="K827" s="18" t="str">
        <f>IF(A827="","",IFERROR(SUMIF(Transactions!A$4:A$1003,A827,Transactions!F$4:F$1003),0))</f>
        <v/>
      </c>
      <c r="L827" s="15" t="str">
        <f t="shared" si="62"/>
        <v/>
      </c>
      <c r="M827" s="12" t="str">
        <f t="shared" ca="1" si="63"/>
        <v/>
      </c>
      <c r="N827" s="19" t="str">
        <f t="shared" ca="1" si="64"/>
        <v/>
      </c>
    </row>
    <row r="828" spans="1:14" ht="15.75" customHeight="1" x14ac:dyDescent="0.25">
      <c r="A828" s="11"/>
      <c r="B828" s="11"/>
      <c r="C828" s="11"/>
      <c r="D828" s="11"/>
      <c r="E828" s="11"/>
      <c r="F828" s="17" t="str">
        <f>IF(E828=0,"",IFERROR(E828*Config!B18,0))</f>
        <v/>
      </c>
      <c r="G828" s="13" t="str">
        <f t="shared" si="60"/>
        <v/>
      </c>
      <c r="H828" s="11"/>
      <c r="I828" s="11"/>
      <c r="J828" s="16" t="str">
        <f t="shared" si="61"/>
        <v/>
      </c>
      <c r="K828" s="18" t="str">
        <f>IF(A828="","",IFERROR(SUMIF(Transactions!A$4:A$1003,A828,Transactions!F$4:F$1003),0))</f>
        <v/>
      </c>
      <c r="L828" s="15" t="str">
        <f t="shared" si="62"/>
        <v/>
      </c>
      <c r="M828" s="12" t="str">
        <f t="shared" ca="1" si="63"/>
        <v/>
      </c>
      <c r="N828" s="19" t="str">
        <f t="shared" ca="1" si="64"/>
        <v/>
      </c>
    </row>
    <row r="829" spans="1:14" ht="15.75" customHeight="1" x14ac:dyDescent="0.25">
      <c r="A829" s="11"/>
      <c r="B829" s="11"/>
      <c r="C829" s="11"/>
      <c r="D829" s="11"/>
      <c r="E829" s="11"/>
      <c r="F829" s="17" t="str">
        <f>IF(E829=0,"",IFERROR(E829*Config!B18,0))</f>
        <v/>
      </c>
      <c r="G829" s="13" t="str">
        <f t="shared" si="60"/>
        <v/>
      </c>
      <c r="H829" s="11"/>
      <c r="I829" s="11"/>
      <c r="J829" s="16" t="str">
        <f t="shared" si="61"/>
        <v/>
      </c>
      <c r="K829" s="18" t="str">
        <f>IF(A829="","",IFERROR(SUMIF(Transactions!A$4:A$1003,A829,Transactions!F$4:F$1003),0))</f>
        <v/>
      </c>
      <c r="L829" s="15" t="str">
        <f t="shared" si="62"/>
        <v/>
      </c>
      <c r="M829" s="12" t="str">
        <f t="shared" ca="1" si="63"/>
        <v/>
      </c>
      <c r="N829" s="19" t="str">
        <f t="shared" ca="1" si="64"/>
        <v/>
      </c>
    </row>
    <row r="830" spans="1:14" ht="15.75" customHeight="1" x14ac:dyDescent="0.25">
      <c r="A830" s="11"/>
      <c r="B830" s="11"/>
      <c r="C830" s="11"/>
      <c r="D830" s="11"/>
      <c r="E830" s="11"/>
      <c r="F830" s="17" t="str">
        <f>IF(E830=0,"",IFERROR(E830*Config!B18,0))</f>
        <v/>
      </c>
      <c r="G830" s="13" t="str">
        <f t="shared" si="60"/>
        <v/>
      </c>
      <c r="H830" s="11"/>
      <c r="I830" s="11"/>
      <c r="J830" s="16" t="str">
        <f t="shared" si="61"/>
        <v/>
      </c>
      <c r="K830" s="18" t="str">
        <f>IF(A830="","",IFERROR(SUMIF(Transactions!A$4:A$1003,A830,Transactions!F$4:F$1003),0))</f>
        <v/>
      </c>
      <c r="L830" s="15" t="str">
        <f t="shared" si="62"/>
        <v/>
      </c>
      <c r="M830" s="12" t="str">
        <f t="shared" ca="1" si="63"/>
        <v/>
      </c>
      <c r="N830" s="19" t="str">
        <f t="shared" ca="1" si="64"/>
        <v/>
      </c>
    </row>
    <row r="831" spans="1:14" ht="15.75" customHeight="1" x14ac:dyDescent="0.25">
      <c r="A831" s="11"/>
      <c r="B831" s="11"/>
      <c r="C831" s="11"/>
      <c r="D831" s="11"/>
      <c r="E831" s="11"/>
      <c r="F831" s="17" t="str">
        <f>IF(E831=0,"",IFERROR(E831*Config!B18,0))</f>
        <v/>
      </c>
      <c r="G831" s="13" t="str">
        <f t="shared" si="60"/>
        <v/>
      </c>
      <c r="H831" s="11"/>
      <c r="I831" s="11"/>
      <c r="J831" s="16" t="str">
        <f t="shared" si="61"/>
        <v/>
      </c>
      <c r="K831" s="18" t="str">
        <f>IF(A831="","",IFERROR(SUMIF(Transactions!A$4:A$1003,A831,Transactions!F$4:F$1003),0))</f>
        <v/>
      </c>
      <c r="L831" s="15" t="str">
        <f t="shared" si="62"/>
        <v/>
      </c>
      <c r="M831" s="12" t="str">
        <f t="shared" ca="1" si="63"/>
        <v/>
      </c>
      <c r="N831" s="19" t="str">
        <f t="shared" ca="1" si="64"/>
        <v/>
      </c>
    </row>
    <row r="832" spans="1:14" ht="15.75" customHeight="1" x14ac:dyDescent="0.25">
      <c r="A832" s="11"/>
      <c r="B832" s="11"/>
      <c r="C832" s="11"/>
      <c r="D832" s="11"/>
      <c r="E832" s="11"/>
      <c r="F832" s="17" t="str">
        <f>IF(E832=0,"",IFERROR(E832*Config!B18,0))</f>
        <v/>
      </c>
      <c r="G832" s="13" t="str">
        <f t="shared" si="60"/>
        <v/>
      </c>
      <c r="H832" s="11"/>
      <c r="I832" s="11"/>
      <c r="J832" s="16" t="str">
        <f t="shared" si="61"/>
        <v/>
      </c>
      <c r="K832" s="18" t="str">
        <f>IF(A832="","",IFERROR(SUMIF(Transactions!A$4:A$1003,A832,Transactions!F$4:F$1003),0))</f>
        <v/>
      </c>
      <c r="L832" s="15" t="str">
        <f t="shared" si="62"/>
        <v/>
      </c>
      <c r="M832" s="12" t="str">
        <f t="shared" ca="1" si="63"/>
        <v/>
      </c>
      <c r="N832" s="19" t="str">
        <f t="shared" ca="1" si="64"/>
        <v/>
      </c>
    </row>
    <row r="833" spans="1:14" ht="15.75" customHeight="1" x14ac:dyDescent="0.25">
      <c r="A833" s="11"/>
      <c r="B833" s="11"/>
      <c r="C833" s="11"/>
      <c r="D833" s="11"/>
      <c r="E833" s="11"/>
      <c r="F833" s="17" t="str">
        <f>IF(E833=0,"",IFERROR(E833*Config!B18,0))</f>
        <v/>
      </c>
      <c r="G833" s="13" t="str">
        <f t="shared" si="60"/>
        <v/>
      </c>
      <c r="H833" s="11"/>
      <c r="I833" s="11"/>
      <c r="J833" s="16" t="str">
        <f t="shared" si="61"/>
        <v/>
      </c>
      <c r="K833" s="18" t="str">
        <f>IF(A833="","",IFERROR(SUMIF(Transactions!A$4:A$1003,A833,Transactions!F$4:F$1003),0))</f>
        <v/>
      </c>
      <c r="L833" s="15" t="str">
        <f t="shared" si="62"/>
        <v/>
      </c>
      <c r="M833" s="12" t="str">
        <f t="shared" ca="1" si="63"/>
        <v/>
      </c>
      <c r="N833" s="19" t="str">
        <f t="shared" ca="1" si="64"/>
        <v/>
      </c>
    </row>
    <row r="834" spans="1:14" ht="15.75" customHeight="1" x14ac:dyDescent="0.25">
      <c r="A834" s="11"/>
      <c r="B834" s="11"/>
      <c r="C834" s="11"/>
      <c r="D834" s="11"/>
      <c r="E834" s="11"/>
      <c r="F834" s="17" t="str">
        <f>IF(E834=0,"",IFERROR(E834*Config!B18,0))</f>
        <v/>
      </c>
      <c r="G834" s="13" t="str">
        <f t="shared" si="60"/>
        <v/>
      </c>
      <c r="H834" s="11"/>
      <c r="I834" s="11"/>
      <c r="J834" s="16" t="str">
        <f t="shared" si="61"/>
        <v/>
      </c>
      <c r="K834" s="18" t="str">
        <f>IF(A834="","",IFERROR(SUMIF(Transactions!A$4:A$1003,A834,Transactions!F$4:F$1003),0))</f>
        <v/>
      </c>
      <c r="L834" s="15" t="str">
        <f t="shared" si="62"/>
        <v/>
      </c>
      <c r="M834" s="12" t="str">
        <f t="shared" ca="1" si="63"/>
        <v/>
      </c>
      <c r="N834" s="19" t="str">
        <f t="shared" ca="1" si="64"/>
        <v/>
      </c>
    </row>
    <row r="835" spans="1:14" ht="15.75" customHeight="1" x14ac:dyDescent="0.25">
      <c r="A835" s="11"/>
      <c r="B835" s="11"/>
      <c r="C835" s="11"/>
      <c r="D835" s="11"/>
      <c r="E835" s="11"/>
      <c r="F835" s="17" t="str">
        <f>IF(E835=0,"",IFERROR(E835*Config!B18,0))</f>
        <v/>
      </c>
      <c r="G835" s="13" t="str">
        <f t="shared" si="60"/>
        <v/>
      </c>
      <c r="H835" s="11"/>
      <c r="I835" s="11"/>
      <c r="J835" s="16" t="str">
        <f t="shared" si="61"/>
        <v/>
      </c>
      <c r="K835" s="18" t="str">
        <f>IF(A835="","",IFERROR(SUMIF(Transactions!A$4:A$1003,A835,Transactions!F$4:F$1003),0))</f>
        <v/>
      </c>
      <c r="L835" s="15" t="str">
        <f t="shared" si="62"/>
        <v/>
      </c>
      <c r="M835" s="12" t="str">
        <f t="shared" ca="1" si="63"/>
        <v/>
      </c>
      <c r="N835" s="19" t="str">
        <f t="shared" ca="1" si="64"/>
        <v/>
      </c>
    </row>
    <row r="836" spans="1:14" ht="15.75" customHeight="1" x14ac:dyDescent="0.25">
      <c r="A836" s="11"/>
      <c r="B836" s="11"/>
      <c r="C836" s="11"/>
      <c r="D836" s="11"/>
      <c r="E836" s="11"/>
      <c r="F836" s="17" t="str">
        <f>IF(E836=0,"",IFERROR(E836*Config!B18,0))</f>
        <v/>
      </c>
      <c r="G836" s="13" t="str">
        <f t="shared" ref="G836:G899" si="65">IF(E836=0,"",MAX(0,E836-F836))</f>
        <v/>
      </c>
      <c r="H836" s="11"/>
      <c r="I836" s="11"/>
      <c r="J836" s="16" t="str">
        <f t="shared" ref="J836:J899" si="66">IF(E836=0,"",IFERROR(-PMT(H836/100/12,I836,-E836),0))</f>
        <v/>
      </c>
      <c r="K836" s="18" t="str">
        <f>IF(A836="","",IFERROR(SUMIF(Transactions!A$4:A$1003,A836,Transactions!F$4:F$1003),0))</f>
        <v/>
      </c>
      <c r="L836" s="15" t="str">
        <f t="shared" ref="L836:L899" si="67">IF(E836=0,"",MAX(0,E836-K836))</f>
        <v/>
      </c>
      <c r="M836" s="12" t="str">
        <f t="shared" ref="M836:M899" ca="1" si="68">IF(A836="","",IF(L836&lt;=0,"✅ Fully Paid",IF(AND(D836&lt;&gt;"",TODAY()&gt;D836+I836*30),"⚠ Overdue","🟢 Active")))</f>
        <v/>
      </c>
      <c r="N836" s="19" t="str">
        <f t="shared" ref="N836:N899" ca="1" si="69">IF(L836&lt;=0,TODAY(),"")</f>
        <v/>
      </c>
    </row>
    <row r="837" spans="1:14" ht="15.75" customHeight="1" x14ac:dyDescent="0.25">
      <c r="A837" s="11"/>
      <c r="B837" s="11"/>
      <c r="C837" s="11"/>
      <c r="D837" s="11"/>
      <c r="E837" s="11"/>
      <c r="F837" s="17" t="str">
        <f>IF(E837=0,"",IFERROR(E837*Config!B18,0))</f>
        <v/>
      </c>
      <c r="G837" s="13" t="str">
        <f t="shared" si="65"/>
        <v/>
      </c>
      <c r="H837" s="11"/>
      <c r="I837" s="11"/>
      <c r="J837" s="16" t="str">
        <f t="shared" si="66"/>
        <v/>
      </c>
      <c r="K837" s="18" t="str">
        <f>IF(A837="","",IFERROR(SUMIF(Transactions!A$4:A$1003,A837,Transactions!F$4:F$1003),0))</f>
        <v/>
      </c>
      <c r="L837" s="15" t="str">
        <f t="shared" si="67"/>
        <v/>
      </c>
      <c r="M837" s="12" t="str">
        <f t="shared" ca="1" si="68"/>
        <v/>
      </c>
      <c r="N837" s="19" t="str">
        <f t="shared" ca="1" si="69"/>
        <v/>
      </c>
    </row>
    <row r="838" spans="1:14" ht="15.75" customHeight="1" x14ac:dyDescent="0.25">
      <c r="A838" s="11"/>
      <c r="B838" s="11"/>
      <c r="C838" s="11"/>
      <c r="D838" s="11"/>
      <c r="E838" s="11"/>
      <c r="F838" s="17" t="str">
        <f>IF(E838=0,"",IFERROR(E838*Config!B18,0))</f>
        <v/>
      </c>
      <c r="G838" s="13" t="str">
        <f t="shared" si="65"/>
        <v/>
      </c>
      <c r="H838" s="11"/>
      <c r="I838" s="11"/>
      <c r="J838" s="16" t="str">
        <f t="shared" si="66"/>
        <v/>
      </c>
      <c r="K838" s="18" t="str">
        <f>IF(A838="","",IFERROR(SUMIF(Transactions!A$4:A$1003,A838,Transactions!F$4:F$1003),0))</f>
        <v/>
      </c>
      <c r="L838" s="15" t="str">
        <f t="shared" si="67"/>
        <v/>
      </c>
      <c r="M838" s="12" t="str">
        <f t="shared" ca="1" si="68"/>
        <v/>
      </c>
      <c r="N838" s="19" t="str">
        <f t="shared" ca="1" si="69"/>
        <v/>
      </c>
    </row>
    <row r="839" spans="1:14" ht="15.75" customHeight="1" x14ac:dyDescent="0.25">
      <c r="A839" s="11"/>
      <c r="B839" s="11"/>
      <c r="C839" s="11"/>
      <c r="D839" s="11"/>
      <c r="E839" s="11"/>
      <c r="F839" s="17" t="str">
        <f>IF(E839=0,"",IFERROR(E839*Config!B18,0))</f>
        <v/>
      </c>
      <c r="G839" s="13" t="str">
        <f t="shared" si="65"/>
        <v/>
      </c>
      <c r="H839" s="11"/>
      <c r="I839" s="11"/>
      <c r="J839" s="16" t="str">
        <f t="shared" si="66"/>
        <v/>
      </c>
      <c r="K839" s="18" t="str">
        <f>IF(A839="","",IFERROR(SUMIF(Transactions!A$4:A$1003,A839,Transactions!F$4:F$1003),0))</f>
        <v/>
      </c>
      <c r="L839" s="15" t="str">
        <f t="shared" si="67"/>
        <v/>
      </c>
      <c r="M839" s="12" t="str">
        <f t="shared" ca="1" si="68"/>
        <v/>
      </c>
      <c r="N839" s="19" t="str">
        <f t="shared" ca="1" si="69"/>
        <v/>
      </c>
    </row>
    <row r="840" spans="1:14" ht="15.75" customHeight="1" x14ac:dyDescent="0.25">
      <c r="A840" s="11"/>
      <c r="B840" s="11"/>
      <c r="C840" s="11"/>
      <c r="D840" s="11"/>
      <c r="E840" s="11"/>
      <c r="F840" s="17" t="str">
        <f>IF(E840=0,"",IFERROR(E840*Config!B18,0))</f>
        <v/>
      </c>
      <c r="G840" s="13" t="str">
        <f t="shared" si="65"/>
        <v/>
      </c>
      <c r="H840" s="11"/>
      <c r="I840" s="11"/>
      <c r="J840" s="16" t="str">
        <f t="shared" si="66"/>
        <v/>
      </c>
      <c r="K840" s="18" t="str">
        <f>IF(A840="","",IFERROR(SUMIF(Transactions!A$4:A$1003,A840,Transactions!F$4:F$1003),0))</f>
        <v/>
      </c>
      <c r="L840" s="15" t="str">
        <f t="shared" si="67"/>
        <v/>
      </c>
      <c r="M840" s="12" t="str">
        <f t="shared" ca="1" si="68"/>
        <v/>
      </c>
      <c r="N840" s="19" t="str">
        <f t="shared" ca="1" si="69"/>
        <v/>
      </c>
    </row>
    <row r="841" spans="1:14" ht="15.75" customHeight="1" x14ac:dyDescent="0.25">
      <c r="A841" s="11"/>
      <c r="B841" s="11"/>
      <c r="C841" s="11"/>
      <c r="D841" s="11"/>
      <c r="E841" s="11"/>
      <c r="F841" s="17" t="str">
        <f>IF(E841=0,"",IFERROR(E841*Config!B18,0))</f>
        <v/>
      </c>
      <c r="G841" s="13" t="str">
        <f t="shared" si="65"/>
        <v/>
      </c>
      <c r="H841" s="11"/>
      <c r="I841" s="11"/>
      <c r="J841" s="16" t="str">
        <f t="shared" si="66"/>
        <v/>
      </c>
      <c r="K841" s="18" t="str">
        <f>IF(A841="","",IFERROR(SUMIF(Transactions!A$4:A$1003,A841,Transactions!F$4:F$1003),0))</f>
        <v/>
      </c>
      <c r="L841" s="15" t="str">
        <f t="shared" si="67"/>
        <v/>
      </c>
      <c r="M841" s="12" t="str">
        <f t="shared" ca="1" si="68"/>
        <v/>
      </c>
      <c r="N841" s="19" t="str">
        <f t="shared" ca="1" si="69"/>
        <v/>
      </c>
    </row>
    <row r="842" spans="1:14" ht="15.75" customHeight="1" x14ac:dyDescent="0.25">
      <c r="A842" s="11"/>
      <c r="B842" s="11"/>
      <c r="C842" s="11"/>
      <c r="D842" s="11"/>
      <c r="E842" s="11"/>
      <c r="F842" s="17" t="str">
        <f>IF(E842=0,"",IFERROR(E842*Config!B18,0))</f>
        <v/>
      </c>
      <c r="G842" s="13" t="str">
        <f t="shared" si="65"/>
        <v/>
      </c>
      <c r="H842" s="11"/>
      <c r="I842" s="11"/>
      <c r="J842" s="16" t="str">
        <f t="shared" si="66"/>
        <v/>
      </c>
      <c r="K842" s="18" t="str">
        <f>IF(A842="","",IFERROR(SUMIF(Transactions!A$4:A$1003,A842,Transactions!F$4:F$1003),0))</f>
        <v/>
      </c>
      <c r="L842" s="15" t="str">
        <f t="shared" si="67"/>
        <v/>
      </c>
      <c r="M842" s="12" t="str">
        <f t="shared" ca="1" si="68"/>
        <v/>
      </c>
      <c r="N842" s="19" t="str">
        <f t="shared" ca="1" si="69"/>
        <v/>
      </c>
    </row>
    <row r="843" spans="1:14" ht="15.75" customHeight="1" x14ac:dyDescent="0.25">
      <c r="A843" s="11"/>
      <c r="B843" s="11"/>
      <c r="C843" s="11"/>
      <c r="D843" s="11"/>
      <c r="E843" s="11"/>
      <c r="F843" s="17" t="str">
        <f>IF(E843=0,"",IFERROR(E843*Config!B18,0))</f>
        <v/>
      </c>
      <c r="G843" s="13" t="str">
        <f t="shared" si="65"/>
        <v/>
      </c>
      <c r="H843" s="11"/>
      <c r="I843" s="11"/>
      <c r="J843" s="16" t="str">
        <f t="shared" si="66"/>
        <v/>
      </c>
      <c r="K843" s="18" t="str">
        <f>IF(A843="","",IFERROR(SUMIF(Transactions!A$4:A$1003,A843,Transactions!F$4:F$1003),0))</f>
        <v/>
      </c>
      <c r="L843" s="15" t="str">
        <f t="shared" si="67"/>
        <v/>
      </c>
      <c r="M843" s="12" t="str">
        <f t="shared" ca="1" si="68"/>
        <v/>
      </c>
      <c r="N843" s="19" t="str">
        <f t="shared" ca="1" si="69"/>
        <v/>
      </c>
    </row>
    <row r="844" spans="1:14" ht="15.75" customHeight="1" x14ac:dyDescent="0.25">
      <c r="A844" s="11"/>
      <c r="B844" s="11"/>
      <c r="C844" s="11"/>
      <c r="D844" s="11"/>
      <c r="E844" s="11"/>
      <c r="F844" s="17" t="str">
        <f>IF(E844=0,"",IFERROR(E844*Config!B18,0))</f>
        <v/>
      </c>
      <c r="G844" s="13" t="str">
        <f t="shared" si="65"/>
        <v/>
      </c>
      <c r="H844" s="11"/>
      <c r="I844" s="11"/>
      <c r="J844" s="16" t="str">
        <f t="shared" si="66"/>
        <v/>
      </c>
      <c r="K844" s="18" t="str">
        <f>IF(A844="","",IFERROR(SUMIF(Transactions!A$4:A$1003,A844,Transactions!F$4:F$1003),0))</f>
        <v/>
      </c>
      <c r="L844" s="15" t="str">
        <f t="shared" si="67"/>
        <v/>
      </c>
      <c r="M844" s="12" t="str">
        <f t="shared" ca="1" si="68"/>
        <v/>
      </c>
      <c r="N844" s="19" t="str">
        <f t="shared" ca="1" si="69"/>
        <v/>
      </c>
    </row>
    <row r="845" spans="1:14" ht="15.75" customHeight="1" x14ac:dyDescent="0.25">
      <c r="A845" s="11"/>
      <c r="B845" s="11"/>
      <c r="C845" s="11"/>
      <c r="D845" s="11"/>
      <c r="E845" s="11"/>
      <c r="F845" s="17" t="str">
        <f>IF(E845=0,"",IFERROR(E845*Config!B18,0))</f>
        <v/>
      </c>
      <c r="G845" s="13" t="str">
        <f t="shared" si="65"/>
        <v/>
      </c>
      <c r="H845" s="11"/>
      <c r="I845" s="11"/>
      <c r="J845" s="16" t="str">
        <f t="shared" si="66"/>
        <v/>
      </c>
      <c r="K845" s="18" t="str">
        <f>IF(A845="","",IFERROR(SUMIF(Transactions!A$4:A$1003,A845,Transactions!F$4:F$1003),0))</f>
        <v/>
      </c>
      <c r="L845" s="15" t="str">
        <f t="shared" si="67"/>
        <v/>
      </c>
      <c r="M845" s="12" t="str">
        <f t="shared" ca="1" si="68"/>
        <v/>
      </c>
      <c r="N845" s="19" t="str">
        <f t="shared" ca="1" si="69"/>
        <v/>
      </c>
    </row>
    <row r="846" spans="1:14" ht="15.75" customHeight="1" x14ac:dyDescent="0.25">
      <c r="A846" s="11"/>
      <c r="B846" s="11"/>
      <c r="C846" s="11"/>
      <c r="D846" s="11"/>
      <c r="E846" s="11"/>
      <c r="F846" s="17" t="str">
        <f>IF(E846=0,"",IFERROR(E846*Config!B18,0))</f>
        <v/>
      </c>
      <c r="G846" s="13" t="str">
        <f t="shared" si="65"/>
        <v/>
      </c>
      <c r="H846" s="11"/>
      <c r="I846" s="11"/>
      <c r="J846" s="16" t="str">
        <f t="shared" si="66"/>
        <v/>
      </c>
      <c r="K846" s="18" t="str">
        <f>IF(A846="","",IFERROR(SUMIF(Transactions!A$4:A$1003,A846,Transactions!F$4:F$1003),0))</f>
        <v/>
      </c>
      <c r="L846" s="15" t="str">
        <f t="shared" si="67"/>
        <v/>
      </c>
      <c r="M846" s="12" t="str">
        <f t="shared" ca="1" si="68"/>
        <v/>
      </c>
      <c r="N846" s="19" t="str">
        <f t="shared" ca="1" si="69"/>
        <v/>
      </c>
    </row>
    <row r="847" spans="1:14" ht="15.75" customHeight="1" x14ac:dyDescent="0.25">
      <c r="A847" s="11"/>
      <c r="B847" s="11"/>
      <c r="C847" s="11"/>
      <c r="D847" s="11"/>
      <c r="E847" s="11"/>
      <c r="F847" s="17" t="str">
        <f>IF(E847=0,"",IFERROR(E847*Config!B18,0))</f>
        <v/>
      </c>
      <c r="G847" s="13" t="str">
        <f t="shared" si="65"/>
        <v/>
      </c>
      <c r="H847" s="11"/>
      <c r="I847" s="11"/>
      <c r="J847" s="16" t="str">
        <f t="shared" si="66"/>
        <v/>
      </c>
      <c r="K847" s="18" t="str">
        <f>IF(A847="","",IFERROR(SUMIF(Transactions!A$4:A$1003,A847,Transactions!F$4:F$1003),0))</f>
        <v/>
      </c>
      <c r="L847" s="15" t="str">
        <f t="shared" si="67"/>
        <v/>
      </c>
      <c r="M847" s="12" t="str">
        <f t="shared" ca="1" si="68"/>
        <v/>
      </c>
      <c r="N847" s="19" t="str">
        <f t="shared" ca="1" si="69"/>
        <v/>
      </c>
    </row>
    <row r="848" spans="1:14" ht="15.75" customHeight="1" x14ac:dyDescent="0.25">
      <c r="A848" s="11"/>
      <c r="B848" s="11"/>
      <c r="C848" s="11"/>
      <c r="D848" s="11"/>
      <c r="E848" s="11"/>
      <c r="F848" s="17" t="str">
        <f>IF(E848=0,"",IFERROR(E848*Config!B18,0))</f>
        <v/>
      </c>
      <c r="G848" s="13" t="str">
        <f t="shared" si="65"/>
        <v/>
      </c>
      <c r="H848" s="11"/>
      <c r="I848" s="11"/>
      <c r="J848" s="16" t="str">
        <f t="shared" si="66"/>
        <v/>
      </c>
      <c r="K848" s="18" t="str">
        <f>IF(A848="","",IFERROR(SUMIF(Transactions!A$4:A$1003,A848,Transactions!F$4:F$1003),0))</f>
        <v/>
      </c>
      <c r="L848" s="15" t="str">
        <f t="shared" si="67"/>
        <v/>
      </c>
      <c r="M848" s="12" t="str">
        <f t="shared" ca="1" si="68"/>
        <v/>
      </c>
      <c r="N848" s="19" t="str">
        <f t="shared" ca="1" si="69"/>
        <v/>
      </c>
    </row>
    <row r="849" spans="1:14" ht="15.75" customHeight="1" x14ac:dyDescent="0.25">
      <c r="A849" s="11"/>
      <c r="B849" s="11"/>
      <c r="C849" s="11"/>
      <c r="D849" s="11"/>
      <c r="E849" s="11"/>
      <c r="F849" s="17" t="str">
        <f>IF(E849=0,"",IFERROR(E849*Config!B18,0))</f>
        <v/>
      </c>
      <c r="G849" s="13" t="str">
        <f t="shared" si="65"/>
        <v/>
      </c>
      <c r="H849" s="11"/>
      <c r="I849" s="11"/>
      <c r="J849" s="16" t="str">
        <f t="shared" si="66"/>
        <v/>
      </c>
      <c r="K849" s="18" t="str">
        <f>IF(A849="","",IFERROR(SUMIF(Transactions!A$4:A$1003,A849,Transactions!F$4:F$1003),0))</f>
        <v/>
      </c>
      <c r="L849" s="15" t="str">
        <f t="shared" si="67"/>
        <v/>
      </c>
      <c r="M849" s="12" t="str">
        <f t="shared" ca="1" si="68"/>
        <v/>
      </c>
      <c r="N849" s="19" t="str">
        <f t="shared" ca="1" si="69"/>
        <v/>
      </c>
    </row>
    <row r="850" spans="1:14" ht="15.75" customHeight="1" x14ac:dyDescent="0.25">
      <c r="A850" s="11"/>
      <c r="B850" s="11"/>
      <c r="C850" s="11"/>
      <c r="D850" s="11"/>
      <c r="E850" s="11"/>
      <c r="F850" s="17" t="str">
        <f>IF(E850=0,"",IFERROR(E850*Config!B18,0))</f>
        <v/>
      </c>
      <c r="G850" s="13" t="str">
        <f t="shared" si="65"/>
        <v/>
      </c>
      <c r="H850" s="11"/>
      <c r="I850" s="11"/>
      <c r="J850" s="16" t="str">
        <f t="shared" si="66"/>
        <v/>
      </c>
      <c r="K850" s="18" t="str">
        <f>IF(A850="","",IFERROR(SUMIF(Transactions!A$4:A$1003,A850,Transactions!F$4:F$1003),0))</f>
        <v/>
      </c>
      <c r="L850" s="15" t="str">
        <f t="shared" si="67"/>
        <v/>
      </c>
      <c r="M850" s="12" t="str">
        <f t="shared" ca="1" si="68"/>
        <v/>
      </c>
      <c r="N850" s="19" t="str">
        <f t="shared" ca="1" si="69"/>
        <v/>
      </c>
    </row>
    <row r="851" spans="1:14" ht="15.75" customHeight="1" x14ac:dyDescent="0.25">
      <c r="A851" s="11"/>
      <c r="B851" s="11"/>
      <c r="C851" s="11"/>
      <c r="D851" s="11"/>
      <c r="E851" s="11"/>
      <c r="F851" s="17" t="str">
        <f>IF(E851=0,"",IFERROR(E851*Config!B18,0))</f>
        <v/>
      </c>
      <c r="G851" s="13" t="str">
        <f t="shared" si="65"/>
        <v/>
      </c>
      <c r="H851" s="11"/>
      <c r="I851" s="11"/>
      <c r="J851" s="16" t="str">
        <f t="shared" si="66"/>
        <v/>
      </c>
      <c r="K851" s="18" t="str">
        <f>IF(A851="","",IFERROR(SUMIF(Transactions!A$4:A$1003,A851,Transactions!F$4:F$1003),0))</f>
        <v/>
      </c>
      <c r="L851" s="15" t="str">
        <f t="shared" si="67"/>
        <v/>
      </c>
      <c r="M851" s="12" t="str">
        <f t="shared" ca="1" si="68"/>
        <v/>
      </c>
      <c r="N851" s="19" t="str">
        <f t="shared" ca="1" si="69"/>
        <v/>
      </c>
    </row>
    <row r="852" spans="1:14" ht="15.75" customHeight="1" x14ac:dyDescent="0.25">
      <c r="A852" s="11"/>
      <c r="B852" s="11"/>
      <c r="C852" s="11"/>
      <c r="D852" s="11"/>
      <c r="E852" s="11"/>
      <c r="F852" s="17" t="str">
        <f>IF(E852=0,"",IFERROR(E852*Config!B18,0))</f>
        <v/>
      </c>
      <c r="G852" s="13" t="str">
        <f t="shared" si="65"/>
        <v/>
      </c>
      <c r="H852" s="11"/>
      <c r="I852" s="11"/>
      <c r="J852" s="16" t="str">
        <f t="shared" si="66"/>
        <v/>
      </c>
      <c r="K852" s="18" t="str">
        <f>IF(A852="","",IFERROR(SUMIF(Transactions!A$4:A$1003,A852,Transactions!F$4:F$1003),0))</f>
        <v/>
      </c>
      <c r="L852" s="15" t="str">
        <f t="shared" si="67"/>
        <v/>
      </c>
      <c r="M852" s="12" t="str">
        <f t="shared" ca="1" si="68"/>
        <v/>
      </c>
      <c r="N852" s="19" t="str">
        <f t="shared" ca="1" si="69"/>
        <v/>
      </c>
    </row>
    <row r="853" spans="1:14" ht="15.75" customHeight="1" x14ac:dyDescent="0.25">
      <c r="A853" s="11"/>
      <c r="B853" s="11"/>
      <c r="C853" s="11"/>
      <c r="D853" s="11"/>
      <c r="E853" s="11"/>
      <c r="F853" s="17" t="str">
        <f>IF(E853=0,"",IFERROR(E853*Config!B18,0))</f>
        <v/>
      </c>
      <c r="G853" s="13" t="str">
        <f t="shared" si="65"/>
        <v/>
      </c>
      <c r="H853" s="11"/>
      <c r="I853" s="11"/>
      <c r="J853" s="16" t="str">
        <f t="shared" si="66"/>
        <v/>
      </c>
      <c r="K853" s="18" t="str">
        <f>IF(A853="","",IFERROR(SUMIF(Transactions!A$4:A$1003,A853,Transactions!F$4:F$1003),0))</f>
        <v/>
      </c>
      <c r="L853" s="15" t="str">
        <f t="shared" si="67"/>
        <v/>
      </c>
      <c r="M853" s="12" t="str">
        <f t="shared" ca="1" si="68"/>
        <v/>
      </c>
      <c r="N853" s="19" t="str">
        <f t="shared" ca="1" si="69"/>
        <v/>
      </c>
    </row>
    <row r="854" spans="1:14" ht="15.75" customHeight="1" x14ac:dyDescent="0.25">
      <c r="A854" s="11"/>
      <c r="B854" s="11"/>
      <c r="C854" s="11"/>
      <c r="D854" s="11"/>
      <c r="E854" s="11"/>
      <c r="F854" s="17" t="str">
        <f>IF(E854=0,"",IFERROR(E854*Config!B18,0))</f>
        <v/>
      </c>
      <c r="G854" s="13" t="str">
        <f t="shared" si="65"/>
        <v/>
      </c>
      <c r="H854" s="11"/>
      <c r="I854" s="11"/>
      <c r="J854" s="16" t="str">
        <f t="shared" si="66"/>
        <v/>
      </c>
      <c r="K854" s="18" t="str">
        <f>IF(A854="","",IFERROR(SUMIF(Transactions!A$4:A$1003,A854,Transactions!F$4:F$1003),0))</f>
        <v/>
      </c>
      <c r="L854" s="15" t="str">
        <f t="shared" si="67"/>
        <v/>
      </c>
      <c r="M854" s="12" t="str">
        <f t="shared" ca="1" si="68"/>
        <v/>
      </c>
      <c r="N854" s="19" t="str">
        <f t="shared" ca="1" si="69"/>
        <v/>
      </c>
    </row>
    <row r="855" spans="1:14" ht="15.75" customHeight="1" x14ac:dyDescent="0.25">
      <c r="A855" s="11"/>
      <c r="B855" s="11"/>
      <c r="C855" s="11"/>
      <c r="D855" s="11"/>
      <c r="E855" s="11"/>
      <c r="F855" s="17" t="str">
        <f>IF(E855=0,"",IFERROR(E855*Config!B18,0))</f>
        <v/>
      </c>
      <c r="G855" s="13" t="str">
        <f t="shared" si="65"/>
        <v/>
      </c>
      <c r="H855" s="11"/>
      <c r="I855" s="11"/>
      <c r="J855" s="16" t="str">
        <f t="shared" si="66"/>
        <v/>
      </c>
      <c r="K855" s="18" t="str">
        <f>IF(A855="","",IFERROR(SUMIF(Transactions!A$4:A$1003,A855,Transactions!F$4:F$1003),0))</f>
        <v/>
      </c>
      <c r="L855" s="15" t="str">
        <f t="shared" si="67"/>
        <v/>
      </c>
      <c r="M855" s="12" t="str">
        <f t="shared" ca="1" si="68"/>
        <v/>
      </c>
      <c r="N855" s="19" t="str">
        <f t="shared" ca="1" si="69"/>
        <v/>
      </c>
    </row>
    <row r="856" spans="1:14" ht="15.75" customHeight="1" x14ac:dyDescent="0.25">
      <c r="A856" s="11"/>
      <c r="B856" s="11"/>
      <c r="C856" s="11"/>
      <c r="D856" s="11"/>
      <c r="E856" s="11"/>
      <c r="F856" s="17" t="str">
        <f>IF(E856=0,"",IFERROR(E856*Config!B18,0))</f>
        <v/>
      </c>
      <c r="G856" s="13" t="str">
        <f t="shared" si="65"/>
        <v/>
      </c>
      <c r="H856" s="11"/>
      <c r="I856" s="11"/>
      <c r="J856" s="16" t="str">
        <f t="shared" si="66"/>
        <v/>
      </c>
      <c r="K856" s="18" t="str">
        <f>IF(A856="","",IFERROR(SUMIF(Transactions!A$4:A$1003,A856,Transactions!F$4:F$1003),0))</f>
        <v/>
      </c>
      <c r="L856" s="15" t="str">
        <f t="shared" si="67"/>
        <v/>
      </c>
      <c r="M856" s="12" t="str">
        <f t="shared" ca="1" si="68"/>
        <v/>
      </c>
      <c r="N856" s="19" t="str">
        <f t="shared" ca="1" si="69"/>
        <v/>
      </c>
    </row>
    <row r="857" spans="1:14" ht="15.75" customHeight="1" x14ac:dyDescent="0.25">
      <c r="A857" s="11"/>
      <c r="B857" s="11"/>
      <c r="C857" s="11"/>
      <c r="D857" s="11"/>
      <c r="E857" s="11"/>
      <c r="F857" s="17" t="str">
        <f>IF(E857=0,"",IFERROR(E857*Config!B18,0))</f>
        <v/>
      </c>
      <c r="G857" s="13" t="str">
        <f t="shared" si="65"/>
        <v/>
      </c>
      <c r="H857" s="11"/>
      <c r="I857" s="11"/>
      <c r="J857" s="16" t="str">
        <f t="shared" si="66"/>
        <v/>
      </c>
      <c r="K857" s="18" t="str">
        <f>IF(A857="","",IFERROR(SUMIF(Transactions!A$4:A$1003,A857,Transactions!F$4:F$1003),0))</f>
        <v/>
      </c>
      <c r="L857" s="15" t="str">
        <f t="shared" si="67"/>
        <v/>
      </c>
      <c r="M857" s="12" t="str">
        <f t="shared" ca="1" si="68"/>
        <v/>
      </c>
      <c r="N857" s="19" t="str">
        <f t="shared" ca="1" si="69"/>
        <v/>
      </c>
    </row>
    <row r="858" spans="1:14" ht="15.75" customHeight="1" x14ac:dyDescent="0.25">
      <c r="A858" s="11"/>
      <c r="B858" s="11"/>
      <c r="C858" s="11"/>
      <c r="D858" s="11"/>
      <c r="E858" s="11"/>
      <c r="F858" s="17" t="str">
        <f>IF(E858=0,"",IFERROR(E858*Config!B18,0))</f>
        <v/>
      </c>
      <c r="G858" s="13" t="str">
        <f t="shared" si="65"/>
        <v/>
      </c>
      <c r="H858" s="11"/>
      <c r="I858" s="11"/>
      <c r="J858" s="16" t="str">
        <f t="shared" si="66"/>
        <v/>
      </c>
      <c r="K858" s="18" t="str">
        <f>IF(A858="","",IFERROR(SUMIF(Transactions!A$4:A$1003,A858,Transactions!F$4:F$1003),0))</f>
        <v/>
      </c>
      <c r="L858" s="15" t="str">
        <f t="shared" si="67"/>
        <v/>
      </c>
      <c r="M858" s="12" t="str">
        <f t="shared" ca="1" si="68"/>
        <v/>
      </c>
      <c r="N858" s="19" t="str">
        <f t="shared" ca="1" si="69"/>
        <v/>
      </c>
    </row>
    <row r="859" spans="1:14" ht="15.75" customHeight="1" x14ac:dyDescent="0.25">
      <c r="A859" s="11"/>
      <c r="B859" s="11"/>
      <c r="C859" s="11"/>
      <c r="D859" s="11"/>
      <c r="E859" s="11"/>
      <c r="F859" s="17" t="str">
        <f>IF(E859=0,"",IFERROR(E859*Config!B18,0))</f>
        <v/>
      </c>
      <c r="G859" s="13" t="str">
        <f t="shared" si="65"/>
        <v/>
      </c>
      <c r="H859" s="11"/>
      <c r="I859" s="11"/>
      <c r="J859" s="16" t="str">
        <f t="shared" si="66"/>
        <v/>
      </c>
      <c r="K859" s="18" t="str">
        <f>IF(A859="","",IFERROR(SUMIF(Transactions!A$4:A$1003,A859,Transactions!F$4:F$1003),0))</f>
        <v/>
      </c>
      <c r="L859" s="15" t="str">
        <f t="shared" si="67"/>
        <v/>
      </c>
      <c r="M859" s="12" t="str">
        <f t="shared" ca="1" si="68"/>
        <v/>
      </c>
      <c r="N859" s="19" t="str">
        <f t="shared" ca="1" si="69"/>
        <v/>
      </c>
    </row>
    <row r="860" spans="1:14" ht="15.75" customHeight="1" x14ac:dyDescent="0.25">
      <c r="A860" s="11"/>
      <c r="B860" s="11"/>
      <c r="C860" s="11"/>
      <c r="D860" s="11"/>
      <c r="E860" s="11"/>
      <c r="F860" s="17" t="str">
        <f>IF(E860=0,"",IFERROR(E860*Config!B18,0))</f>
        <v/>
      </c>
      <c r="G860" s="13" t="str">
        <f t="shared" si="65"/>
        <v/>
      </c>
      <c r="H860" s="11"/>
      <c r="I860" s="11"/>
      <c r="J860" s="16" t="str">
        <f t="shared" si="66"/>
        <v/>
      </c>
      <c r="K860" s="18" t="str">
        <f>IF(A860="","",IFERROR(SUMIF(Transactions!A$4:A$1003,A860,Transactions!F$4:F$1003),0))</f>
        <v/>
      </c>
      <c r="L860" s="15" t="str">
        <f t="shared" si="67"/>
        <v/>
      </c>
      <c r="M860" s="12" t="str">
        <f t="shared" ca="1" si="68"/>
        <v/>
      </c>
      <c r="N860" s="19" t="str">
        <f t="shared" ca="1" si="69"/>
        <v/>
      </c>
    </row>
    <row r="861" spans="1:14" ht="15.75" customHeight="1" x14ac:dyDescent="0.25">
      <c r="A861" s="11"/>
      <c r="B861" s="11"/>
      <c r="C861" s="11"/>
      <c r="D861" s="11"/>
      <c r="E861" s="11"/>
      <c r="F861" s="17" t="str">
        <f>IF(E861=0,"",IFERROR(E861*Config!B18,0))</f>
        <v/>
      </c>
      <c r="G861" s="13" t="str">
        <f t="shared" si="65"/>
        <v/>
      </c>
      <c r="H861" s="11"/>
      <c r="I861" s="11"/>
      <c r="J861" s="16" t="str">
        <f t="shared" si="66"/>
        <v/>
      </c>
      <c r="K861" s="18" t="str">
        <f>IF(A861="","",IFERROR(SUMIF(Transactions!A$4:A$1003,A861,Transactions!F$4:F$1003),0))</f>
        <v/>
      </c>
      <c r="L861" s="15" t="str">
        <f t="shared" si="67"/>
        <v/>
      </c>
      <c r="M861" s="12" t="str">
        <f t="shared" ca="1" si="68"/>
        <v/>
      </c>
      <c r="N861" s="19" t="str">
        <f t="shared" ca="1" si="69"/>
        <v/>
      </c>
    </row>
    <row r="862" spans="1:14" ht="15.75" customHeight="1" x14ac:dyDescent="0.25">
      <c r="A862" s="11"/>
      <c r="B862" s="11"/>
      <c r="C862" s="11"/>
      <c r="D862" s="11"/>
      <c r="E862" s="11"/>
      <c r="F862" s="17" t="str">
        <f>IF(E862=0,"",IFERROR(E862*Config!B18,0))</f>
        <v/>
      </c>
      <c r="G862" s="13" t="str">
        <f t="shared" si="65"/>
        <v/>
      </c>
      <c r="H862" s="11"/>
      <c r="I862" s="11"/>
      <c r="J862" s="16" t="str">
        <f t="shared" si="66"/>
        <v/>
      </c>
      <c r="K862" s="18" t="str">
        <f>IF(A862="","",IFERROR(SUMIF(Transactions!A$4:A$1003,A862,Transactions!F$4:F$1003),0))</f>
        <v/>
      </c>
      <c r="L862" s="15" t="str">
        <f t="shared" si="67"/>
        <v/>
      </c>
      <c r="M862" s="12" t="str">
        <f t="shared" ca="1" si="68"/>
        <v/>
      </c>
      <c r="N862" s="19" t="str">
        <f t="shared" ca="1" si="69"/>
        <v/>
      </c>
    </row>
    <row r="863" spans="1:14" ht="15.75" customHeight="1" x14ac:dyDescent="0.25">
      <c r="A863" s="11"/>
      <c r="B863" s="11"/>
      <c r="C863" s="11"/>
      <c r="D863" s="11"/>
      <c r="E863" s="11"/>
      <c r="F863" s="17" t="str">
        <f>IF(E863=0,"",IFERROR(E863*Config!B18,0))</f>
        <v/>
      </c>
      <c r="G863" s="13" t="str">
        <f t="shared" si="65"/>
        <v/>
      </c>
      <c r="H863" s="11"/>
      <c r="I863" s="11"/>
      <c r="J863" s="16" t="str">
        <f t="shared" si="66"/>
        <v/>
      </c>
      <c r="K863" s="18" t="str">
        <f>IF(A863="","",IFERROR(SUMIF(Transactions!A$4:A$1003,A863,Transactions!F$4:F$1003),0))</f>
        <v/>
      </c>
      <c r="L863" s="15" t="str">
        <f t="shared" si="67"/>
        <v/>
      </c>
      <c r="M863" s="12" t="str">
        <f t="shared" ca="1" si="68"/>
        <v/>
      </c>
      <c r="N863" s="19" t="str">
        <f t="shared" ca="1" si="69"/>
        <v/>
      </c>
    </row>
    <row r="864" spans="1:14" ht="15.75" customHeight="1" x14ac:dyDescent="0.25">
      <c r="A864" s="11"/>
      <c r="B864" s="11"/>
      <c r="C864" s="11"/>
      <c r="D864" s="11"/>
      <c r="E864" s="11"/>
      <c r="F864" s="17" t="str">
        <f>IF(E864=0,"",IFERROR(E864*Config!B18,0))</f>
        <v/>
      </c>
      <c r="G864" s="13" t="str">
        <f t="shared" si="65"/>
        <v/>
      </c>
      <c r="H864" s="11"/>
      <c r="I864" s="11"/>
      <c r="J864" s="16" t="str">
        <f t="shared" si="66"/>
        <v/>
      </c>
      <c r="K864" s="18" t="str">
        <f>IF(A864="","",IFERROR(SUMIF(Transactions!A$4:A$1003,A864,Transactions!F$4:F$1003),0))</f>
        <v/>
      </c>
      <c r="L864" s="15" t="str">
        <f t="shared" si="67"/>
        <v/>
      </c>
      <c r="M864" s="12" t="str">
        <f t="shared" ca="1" si="68"/>
        <v/>
      </c>
      <c r="N864" s="19" t="str">
        <f t="shared" ca="1" si="69"/>
        <v/>
      </c>
    </row>
    <row r="865" spans="1:14" ht="15.75" customHeight="1" x14ac:dyDescent="0.25">
      <c r="A865" s="11"/>
      <c r="B865" s="11"/>
      <c r="C865" s="11"/>
      <c r="D865" s="11"/>
      <c r="E865" s="11"/>
      <c r="F865" s="17" t="str">
        <f>IF(E865=0,"",IFERROR(E865*Config!B18,0))</f>
        <v/>
      </c>
      <c r="G865" s="13" t="str">
        <f t="shared" si="65"/>
        <v/>
      </c>
      <c r="H865" s="11"/>
      <c r="I865" s="11"/>
      <c r="J865" s="16" t="str">
        <f t="shared" si="66"/>
        <v/>
      </c>
      <c r="K865" s="18" t="str">
        <f>IF(A865="","",IFERROR(SUMIF(Transactions!A$4:A$1003,A865,Transactions!F$4:F$1003),0))</f>
        <v/>
      </c>
      <c r="L865" s="15" t="str">
        <f t="shared" si="67"/>
        <v/>
      </c>
      <c r="M865" s="12" t="str">
        <f t="shared" ca="1" si="68"/>
        <v/>
      </c>
      <c r="N865" s="19" t="str">
        <f t="shared" ca="1" si="69"/>
        <v/>
      </c>
    </row>
    <row r="866" spans="1:14" ht="15.75" customHeight="1" x14ac:dyDescent="0.25">
      <c r="A866" s="11"/>
      <c r="B866" s="11"/>
      <c r="C866" s="11"/>
      <c r="D866" s="11"/>
      <c r="E866" s="11"/>
      <c r="F866" s="17" t="str">
        <f>IF(E866=0,"",IFERROR(E866*Config!B18,0))</f>
        <v/>
      </c>
      <c r="G866" s="13" t="str">
        <f t="shared" si="65"/>
        <v/>
      </c>
      <c r="H866" s="11"/>
      <c r="I866" s="11"/>
      <c r="J866" s="16" t="str">
        <f t="shared" si="66"/>
        <v/>
      </c>
      <c r="K866" s="18" t="str">
        <f>IF(A866="","",IFERROR(SUMIF(Transactions!A$4:A$1003,A866,Transactions!F$4:F$1003),0))</f>
        <v/>
      </c>
      <c r="L866" s="15" t="str">
        <f t="shared" si="67"/>
        <v/>
      </c>
      <c r="M866" s="12" t="str">
        <f t="shared" ca="1" si="68"/>
        <v/>
      </c>
      <c r="N866" s="19" t="str">
        <f t="shared" ca="1" si="69"/>
        <v/>
      </c>
    </row>
    <row r="867" spans="1:14" ht="15.75" customHeight="1" x14ac:dyDescent="0.25">
      <c r="A867" s="11"/>
      <c r="B867" s="11"/>
      <c r="C867" s="11"/>
      <c r="D867" s="11"/>
      <c r="E867" s="11"/>
      <c r="F867" s="17" t="str">
        <f>IF(E867=0,"",IFERROR(E867*Config!B18,0))</f>
        <v/>
      </c>
      <c r="G867" s="13" t="str">
        <f t="shared" si="65"/>
        <v/>
      </c>
      <c r="H867" s="11"/>
      <c r="I867" s="11"/>
      <c r="J867" s="16" t="str">
        <f t="shared" si="66"/>
        <v/>
      </c>
      <c r="K867" s="18" t="str">
        <f>IF(A867="","",IFERROR(SUMIF(Transactions!A$4:A$1003,A867,Transactions!F$4:F$1003),0))</f>
        <v/>
      </c>
      <c r="L867" s="15" t="str">
        <f t="shared" si="67"/>
        <v/>
      </c>
      <c r="M867" s="12" t="str">
        <f t="shared" ca="1" si="68"/>
        <v/>
      </c>
      <c r="N867" s="19" t="str">
        <f t="shared" ca="1" si="69"/>
        <v/>
      </c>
    </row>
    <row r="868" spans="1:14" ht="15.75" customHeight="1" x14ac:dyDescent="0.25">
      <c r="A868" s="11"/>
      <c r="B868" s="11"/>
      <c r="C868" s="11"/>
      <c r="D868" s="11"/>
      <c r="E868" s="11"/>
      <c r="F868" s="17" t="str">
        <f>IF(E868=0,"",IFERROR(E868*Config!B18,0))</f>
        <v/>
      </c>
      <c r="G868" s="13" t="str">
        <f t="shared" si="65"/>
        <v/>
      </c>
      <c r="H868" s="11"/>
      <c r="I868" s="11"/>
      <c r="J868" s="16" t="str">
        <f t="shared" si="66"/>
        <v/>
      </c>
      <c r="K868" s="18" t="str">
        <f>IF(A868="","",IFERROR(SUMIF(Transactions!A$4:A$1003,A868,Transactions!F$4:F$1003),0))</f>
        <v/>
      </c>
      <c r="L868" s="15" t="str">
        <f t="shared" si="67"/>
        <v/>
      </c>
      <c r="M868" s="12" t="str">
        <f t="shared" ca="1" si="68"/>
        <v/>
      </c>
      <c r="N868" s="19" t="str">
        <f t="shared" ca="1" si="69"/>
        <v/>
      </c>
    </row>
    <row r="869" spans="1:14" ht="15.75" customHeight="1" x14ac:dyDescent="0.25">
      <c r="A869" s="11"/>
      <c r="B869" s="11"/>
      <c r="C869" s="11"/>
      <c r="D869" s="11"/>
      <c r="E869" s="11"/>
      <c r="F869" s="17" t="str">
        <f>IF(E869=0,"",IFERROR(E869*Config!B18,0))</f>
        <v/>
      </c>
      <c r="G869" s="13" t="str">
        <f t="shared" si="65"/>
        <v/>
      </c>
      <c r="H869" s="11"/>
      <c r="I869" s="11"/>
      <c r="J869" s="16" t="str">
        <f t="shared" si="66"/>
        <v/>
      </c>
      <c r="K869" s="18" t="str">
        <f>IF(A869="","",IFERROR(SUMIF(Transactions!A$4:A$1003,A869,Transactions!F$4:F$1003),0))</f>
        <v/>
      </c>
      <c r="L869" s="15" t="str">
        <f t="shared" si="67"/>
        <v/>
      </c>
      <c r="M869" s="12" t="str">
        <f t="shared" ca="1" si="68"/>
        <v/>
      </c>
      <c r="N869" s="19" t="str">
        <f t="shared" ca="1" si="69"/>
        <v/>
      </c>
    </row>
    <row r="870" spans="1:14" ht="15.75" customHeight="1" x14ac:dyDescent="0.25">
      <c r="A870" s="11"/>
      <c r="B870" s="11"/>
      <c r="C870" s="11"/>
      <c r="D870" s="11"/>
      <c r="E870" s="11"/>
      <c r="F870" s="17" t="str">
        <f>IF(E870=0,"",IFERROR(E870*Config!B18,0))</f>
        <v/>
      </c>
      <c r="G870" s="13" t="str">
        <f t="shared" si="65"/>
        <v/>
      </c>
      <c r="H870" s="11"/>
      <c r="I870" s="11"/>
      <c r="J870" s="16" t="str">
        <f t="shared" si="66"/>
        <v/>
      </c>
      <c r="K870" s="18" t="str">
        <f>IF(A870="","",IFERROR(SUMIF(Transactions!A$4:A$1003,A870,Transactions!F$4:F$1003),0))</f>
        <v/>
      </c>
      <c r="L870" s="15" t="str">
        <f t="shared" si="67"/>
        <v/>
      </c>
      <c r="M870" s="12" t="str">
        <f t="shared" ca="1" si="68"/>
        <v/>
      </c>
      <c r="N870" s="19" t="str">
        <f t="shared" ca="1" si="69"/>
        <v/>
      </c>
    </row>
    <row r="871" spans="1:14" ht="15.75" customHeight="1" x14ac:dyDescent="0.25">
      <c r="A871" s="11"/>
      <c r="B871" s="11"/>
      <c r="C871" s="11"/>
      <c r="D871" s="11"/>
      <c r="E871" s="11"/>
      <c r="F871" s="17" t="str">
        <f>IF(E871=0,"",IFERROR(E871*Config!B18,0))</f>
        <v/>
      </c>
      <c r="G871" s="13" t="str">
        <f t="shared" si="65"/>
        <v/>
      </c>
      <c r="H871" s="11"/>
      <c r="I871" s="11"/>
      <c r="J871" s="16" t="str">
        <f t="shared" si="66"/>
        <v/>
      </c>
      <c r="K871" s="18" t="str">
        <f>IF(A871="","",IFERROR(SUMIF(Transactions!A$4:A$1003,A871,Transactions!F$4:F$1003),0))</f>
        <v/>
      </c>
      <c r="L871" s="15" t="str">
        <f t="shared" si="67"/>
        <v/>
      </c>
      <c r="M871" s="12" t="str">
        <f t="shared" ca="1" si="68"/>
        <v/>
      </c>
      <c r="N871" s="19" t="str">
        <f t="shared" ca="1" si="69"/>
        <v/>
      </c>
    </row>
    <row r="872" spans="1:14" ht="15.75" customHeight="1" x14ac:dyDescent="0.25">
      <c r="A872" s="11"/>
      <c r="B872" s="11"/>
      <c r="C872" s="11"/>
      <c r="D872" s="11"/>
      <c r="E872" s="11"/>
      <c r="F872" s="17" t="str">
        <f>IF(E872=0,"",IFERROR(E872*Config!B18,0))</f>
        <v/>
      </c>
      <c r="G872" s="13" t="str">
        <f t="shared" si="65"/>
        <v/>
      </c>
      <c r="H872" s="11"/>
      <c r="I872" s="11"/>
      <c r="J872" s="16" t="str">
        <f t="shared" si="66"/>
        <v/>
      </c>
      <c r="K872" s="18" t="str">
        <f>IF(A872="","",IFERROR(SUMIF(Transactions!A$4:A$1003,A872,Transactions!F$4:F$1003),0))</f>
        <v/>
      </c>
      <c r="L872" s="15" t="str">
        <f t="shared" si="67"/>
        <v/>
      </c>
      <c r="M872" s="12" t="str">
        <f t="shared" ca="1" si="68"/>
        <v/>
      </c>
      <c r="N872" s="19" t="str">
        <f t="shared" ca="1" si="69"/>
        <v/>
      </c>
    </row>
    <row r="873" spans="1:14" ht="15.75" customHeight="1" x14ac:dyDescent="0.25">
      <c r="A873" s="11"/>
      <c r="B873" s="11"/>
      <c r="C873" s="11"/>
      <c r="D873" s="11"/>
      <c r="E873" s="11"/>
      <c r="F873" s="17" t="str">
        <f>IF(E873=0,"",IFERROR(E873*Config!B18,0))</f>
        <v/>
      </c>
      <c r="G873" s="13" t="str">
        <f t="shared" si="65"/>
        <v/>
      </c>
      <c r="H873" s="11"/>
      <c r="I873" s="11"/>
      <c r="J873" s="16" t="str">
        <f t="shared" si="66"/>
        <v/>
      </c>
      <c r="K873" s="18" t="str">
        <f>IF(A873="","",IFERROR(SUMIF(Transactions!A$4:A$1003,A873,Transactions!F$4:F$1003),0))</f>
        <v/>
      </c>
      <c r="L873" s="15" t="str">
        <f t="shared" si="67"/>
        <v/>
      </c>
      <c r="M873" s="12" t="str">
        <f t="shared" ca="1" si="68"/>
        <v/>
      </c>
      <c r="N873" s="19" t="str">
        <f t="shared" ca="1" si="69"/>
        <v/>
      </c>
    </row>
    <row r="874" spans="1:14" ht="15.75" customHeight="1" x14ac:dyDescent="0.25">
      <c r="A874" s="11"/>
      <c r="B874" s="11"/>
      <c r="C874" s="11"/>
      <c r="D874" s="11"/>
      <c r="E874" s="11"/>
      <c r="F874" s="17" t="str">
        <f>IF(E874=0,"",IFERROR(E874*Config!B18,0))</f>
        <v/>
      </c>
      <c r="G874" s="13" t="str">
        <f t="shared" si="65"/>
        <v/>
      </c>
      <c r="H874" s="11"/>
      <c r="I874" s="11"/>
      <c r="J874" s="16" t="str">
        <f t="shared" si="66"/>
        <v/>
      </c>
      <c r="K874" s="18" t="str">
        <f>IF(A874="","",IFERROR(SUMIF(Transactions!A$4:A$1003,A874,Transactions!F$4:F$1003),0))</f>
        <v/>
      </c>
      <c r="L874" s="15" t="str">
        <f t="shared" si="67"/>
        <v/>
      </c>
      <c r="M874" s="12" t="str">
        <f t="shared" ca="1" si="68"/>
        <v/>
      </c>
      <c r="N874" s="19" t="str">
        <f t="shared" ca="1" si="69"/>
        <v/>
      </c>
    </row>
    <row r="875" spans="1:14" ht="15.75" customHeight="1" x14ac:dyDescent="0.25">
      <c r="A875" s="11"/>
      <c r="B875" s="11"/>
      <c r="C875" s="11"/>
      <c r="D875" s="11"/>
      <c r="E875" s="11"/>
      <c r="F875" s="17" t="str">
        <f>IF(E875=0,"",IFERROR(E875*Config!B18,0))</f>
        <v/>
      </c>
      <c r="G875" s="13" t="str">
        <f t="shared" si="65"/>
        <v/>
      </c>
      <c r="H875" s="11"/>
      <c r="I875" s="11"/>
      <c r="J875" s="16" t="str">
        <f t="shared" si="66"/>
        <v/>
      </c>
      <c r="K875" s="18" t="str">
        <f>IF(A875="","",IFERROR(SUMIF(Transactions!A$4:A$1003,A875,Transactions!F$4:F$1003),0))</f>
        <v/>
      </c>
      <c r="L875" s="15" t="str">
        <f t="shared" si="67"/>
        <v/>
      </c>
      <c r="M875" s="12" t="str">
        <f t="shared" ca="1" si="68"/>
        <v/>
      </c>
      <c r="N875" s="19" t="str">
        <f t="shared" ca="1" si="69"/>
        <v/>
      </c>
    </row>
    <row r="876" spans="1:14" ht="15.75" customHeight="1" x14ac:dyDescent="0.25">
      <c r="A876" s="11"/>
      <c r="B876" s="11"/>
      <c r="C876" s="11"/>
      <c r="D876" s="11"/>
      <c r="E876" s="11"/>
      <c r="F876" s="17" t="str">
        <f>IF(E876=0,"",IFERROR(E876*Config!B18,0))</f>
        <v/>
      </c>
      <c r="G876" s="13" t="str">
        <f t="shared" si="65"/>
        <v/>
      </c>
      <c r="H876" s="11"/>
      <c r="I876" s="11"/>
      <c r="J876" s="16" t="str">
        <f t="shared" si="66"/>
        <v/>
      </c>
      <c r="K876" s="18" t="str">
        <f>IF(A876="","",IFERROR(SUMIF(Transactions!A$4:A$1003,A876,Transactions!F$4:F$1003),0))</f>
        <v/>
      </c>
      <c r="L876" s="15" t="str">
        <f t="shared" si="67"/>
        <v/>
      </c>
      <c r="M876" s="12" t="str">
        <f t="shared" ca="1" si="68"/>
        <v/>
      </c>
      <c r="N876" s="19" t="str">
        <f t="shared" ca="1" si="69"/>
        <v/>
      </c>
    </row>
    <row r="877" spans="1:14" ht="15.75" customHeight="1" x14ac:dyDescent="0.25">
      <c r="A877" s="11"/>
      <c r="B877" s="11"/>
      <c r="C877" s="11"/>
      <c r="D877" s="11"/>
      <c r="E877" s="11"/>
      <c r="F877" s="17" t="str">
        <f>IF(E877=0,"",IFERROR(E877*Config!B18,0))</f>
        <v/>
      </c>
      <c r="G877" s="13" t="str">
        <f t="shared" si="65"/>
        <v/>
      </c>
      <c r="H877" s="11"/>
      <c r="I877" s="11"/>
      <c r="J877" s="16" t="str">
        <f t="shared" si="66"/>
        <v/>
      </c>
      <c r="K877" s="18" t="str">
        <f>IF(A877="","",IFERROR(SUMIF(Transactions!A$4:A$1003,A877,Transactions!F$4:F$1003),0))</f>
        <v/>
      </c>
      <c r="L877" s="15" t="str">
        <f t="shared" si="67"/>
        <v/>
      </c>
      <c r="M877" s="12" t="str">
        <f t="shared" ca="1" si="68"/>
        <v/>
      </c>
      <c r="N877" s="19" t="str">
        <f t="shared" ca="1" si="69"/>
        <v/>
      </c>
    </row>
    <row r="878" spans="1:14" ht="15.75" customHeight="1" x14ac:dyDescent="0.25">
      <c r="A878" s="11"/>
      <c r="B878" s="11"/>
      <c r="C878" s="11"/>
      <c r="D878" s="11"/>
      <c r="E878" s="11"/>
      <c r="F878" s="17" t="str">
        <f>IF(E878=0,"",IFERROR(E878*Config!B18,0))</f>
        <v/>
      </c>
      <c r="G878" s="13" t="str">
        <f t="shared" si="65"/>
        <v/>
      </c>
      <c r="H878" s="11"/>
      <c r="I878" s="11"/>
      <c r="J878" s="16" t="str">
        <f t="shared" si="66"/>
        <v/>
      </c>
      <c r="K878" s="18" t="str">
        <f>IF(A878="","",IFERROR(SUMIF(Transactions!A$4:A$1003,A878,Transactions!F$4:F$1003),0))</f>
        <v/>
      </c>
      <c r="L878" s="15" t="str">
        <f t="shared" si="67"/>
        <v/>
      </c>
      <c r="M878" s="12" t="str">
        <f t="shared" ca="1" si="68"/>
        <v/>
      </c>
      <c r="N878" s="19" t="str">
        <f t="shared" ca="1" si="69"/>
        <v/>
      </c>
    </row>
    <row r="879" spans="1:14" ht="15.75" customHeight="1" x14ac:dyDescent="0.25">
      <c r="A879" s="11"/>
      <c r="B879" s="11"/>
      <c r="C879" s="11"/>
      <c r="D879" s="11"/>
      <c r="E879" s="11"/>
      <c r="F879" s="17" t="str">
        <f>IF(E879=0,"",IFERROR(E879*Config!B18,0))</f>
        <v/>
      </c>
      <c r="G879" s="13" t="str">
        <f t="shared" si="65"/>
        <v/>
      </c>
      <c r="H879" s="11"/>
      <c r="I879" s="11"/>
      <c r="J879" s="16" t="str">
        <f t="shared" si="66"/>
        <v/>
      </c>
      <c r="K879" s="18" t="str">
        <f>IF(A879="","",IFERROR(SUMIF(Transactions!A$4:A$1003,A879,Transactions!F$4:F$1003),0))</f>
        <v/>
      </c>
      <c r="L879" s="15" t="str">
        <f t="shared" si="67"/>
        <v/>
      </c>
      <c r="M879" s="12" t="str">
        <f t="shared" ca="1" si="68"/>
        <v/>
      </c>
      <c r="N879" s="19" t="str">
        <f t="shared" ca="1" si="69"/>
        <v/>
      </c>
    </row>
    <row r="880" spans="1:14" ht="15.75" customHeight="1" x14ac:dyDescent="0.25">
      <c r="A880" s="11"/>
      <c r="B880" s="11"/>
      <c r="C880" s="11"/>
      <c r="D880" s="11"/>
      <c r="E880" s="11"/>
      <c r="F880" s="17" t="str">
        <f>IF(E880=0,"",IFERROR(E880*Config!B18,0))</f>
        <v/>
      </c>
      <c r="G880" s="13" t="str">
        <f t="shared" si="65"/>
        <v/>
      </c>
      <c r="H880" s="11"/>
      <c r="I880" s="11"/>
      <c r="J880" s="16" t="str">
        <f t="shared" si="66"/>
        <v/>
      </c>
      <c r="K880" s="18" t="str">
        <f>IF(A880="","",IFERROR(SUMIF(Transactions!A$4:A$1003,A880,Transactions!F$4:F$1003),0))</f>
        <v/>
      </c>
      <c r="L880" s="15" t="str">
        <f t="shared" si="67"/>
        <v/>
      </c>
      <c r="M880" s="12" t="str">
        <f t="shared" ca="1" si="68"/>
        <v/>
      </c>
      <c r="N880" s="19" t="str">
        <f t="shared" ca="1" si="69"/>
        <v/>
      </c>
    </row>
    <row r="881" spans="1:14" ht="15.75" customHeight="1" x14ac:dyDescent="0.25">
      <c r="A881" s="11"/>
      <c r="B881" s="11"/>
      <c r="C881" s="11"/>
      <c r="D881" s="11"/>
      <c r="E881" s="11"/>
      <c r="F881" s="17" t="str">
        <f>IF(E881=0,"",IFERROR(E881*Config!B18,0))</f>
        <v/>
      </c>
      <c r="G881" s="13" t="str">
        <f t="shared" si="65"/>
        <v/>
      </c>
      <c r="H881" s="11"/>
      <c r="I881" s="11"/>
      <c r="J881" s="16" t="str">
        <f t="shared" si="66"/>
        <v/>
      </c>
      <c r="K881" s="18" t="str">
        <f>IF(A881="","",IFERROR(SUMIF(Transactions!A$4:A$1003,A881,Transactions!F$4:F$1003),0))</f>
        <v/>
      </c>
      <c r="L881" s="15" t="str">
        <f t="shared" si="67"/>
        <v/>
      </c>
      <c r="M881" s="12" t="str">
        <f t="shared" ca="1" si="68"/>
        <v/>
      </c>
      <c r="N881" s="19" t="str">
        <f t="shared" ca="1" si="69"/>
        <v/>
      </c>
    </row>
    <row r="882" spans="1:14" ht="15.75" customHeight="1" x14ac:dyDescent="0.25">
      <c r="A882" s="11"/>
      <c r="B882" s="11"/>
      <c r="C882" s="11"/>
      <c r="D882" s="11"/>
      <c r="E882" s="11"/>
      <c r="F882" s="17" t="str">
        <f>IF(E882=0,"",IFERROR(E882*Config!B18,0))</f>
        <v/>
      </c>
      <c r="G882" s="13" t="str">
        <f t="shared" si="65"/>
        <v/>
      </c>
      <c r="H882" s="11"/>
      <c r="I882" s="11"/>
      <c r="J882" s="16" t="str">
        <f t="shared" si="66"/>
        <v/>
      </c>
      <c r="K882" s="18" t="str">
        <f>IF(A882="","",IFERROR(SUMIF(Transactions!A$4:A$1003,A882,Transactions!F$4:F$1003),0))</f>
        <v/>
      </c>
      <c r="L882" s="15" t="str">
        <f t="shared" si="67"/>
        <v/>
      </c>
      <c r="M882" s="12" t="str">
        <f t="shared" ca="1" si="68"/>
        <v/>
      </c>
      <c r="N882" s="19" t="str">
        <f t="shared" ca="1" si="69"/>
        <v/>
      </c>
    </row>
    <row r="883" spans="1:14" ht="15.75" customHeight="1" x14ac:dyDescent="0.25">
      <c r="A883" s="11"/>
      <c r="B883" s="11"/>
      <c r="C883" s="11"/>
      <c r="D883" s="11"/>
      <c r="E883" s="11"/>
      <c r="F883" s="17" t="str">
        <f>IF(E883=0,"",IFERROR(E883*Config!B18,0))</f>
        <v/>
      </c>
      <c r="G883" s="13" t="str">
        <f t="shared" si="65"/>
        <v/>
      </c>
      <c r="H883" s="11"/>
      <c r="I883" s="11"/>
      <c r="J883" s="16" t="str">
        <f t="shared" si="66"/>
        <v/>
      </c>
      <c r="K883" s="18" t="str">
        <f>IF(A883="","",IFERROR(SUMIF(Transactions!A$4:A$1003,A883,Transactions!F$4:F$1003),0))</f>
        <v/>
      </c>
      <c r="L883" s="15" t="str">
        <f t="shared" si="67"/>
        <v/>
      </c>
      <c r="M883" s="12" t="str">
        <f t="shared" ca="1" si="68"/>
        <v/>
      </c>
      <c r="N883" s="19" t="str">
        <f t="shared" ca="1" si="69"/>
        <v/>
      </c>
    </row>
    <row r="884" spans="1:14" ht="15.75" customHeight="1" x14ac:dyDescent="0.25">
      <c r="A884" s="11"/>
      <c r="B884" s="11"/>
      <c r="C884" s="11"/>
      <c r="D884" s="11"/>
      <c r="E884" s="11"/>
      <c r="F884" s="17" t="str">
        <f>IF(E884=0,"",IFERROR(E884*Config!B18,0))</f>
        <v/>
      </c>
      <c r="G884" s="13" t="str">
        <f t="shared" si="65"/>
        <v/>
      </c>
      <c r="H884" s="11"/>
      <c r="I884" s="11"/>
      <c r="J884" s="16" t="str">
        <f t="shared" si="66"/>
        <v/>
      </c>
      <c r="K884" s="18" t="str">
        <f>IF(A884="","",IFERROR(SUMIF(Transactions!A$4:A$1003,A884,Transactions!F$4:F$1003),0))</f>
        <v/>
      </c>
      <c r="L884" s="15" t="str">
        <f t="shared" si="67"/>
        <v/>
      </c>
      <c r="M884" s="12" t="str">
        <f t="shared" ca="1" si="68"/>
        <v/>
      </c>
      <c r="N884" s="19" t="str">
        <f t="shared" ca="1" si="69"/>
        <v/>
      </c>
    </row>
    <row r="885" spans="1:14" ht="15.75" customHeight="1" x14ac:dyDescent="0.25">
      <c r="A885" s="11"/>
      <c r="B885" s="11"/>
      <c r="C885" s="11"/>
      <c r="D885" s="11"/>
      <c r="E885" s="11"/>
      <c r="F885" s="17" t="str">
        <f>IF(E885=0,"",IFERROR(E885*Config!B18,0))</f>
        <v/>
      </c>
      <c r="G885" s="13" t="str">
        <f t="shared" si="65"/>
        <v/>
      </c>
      <c r="H885" s="11"/>
      <c r="I885" s="11"/>
      <c r="J885" s="16" t="str">
        <f t="shared" si="66"/>
        <v/>
      </c>
      <c r="K885" s="18" t="str">
        <f>IF(A885="","",IFERROR(SUMIF(Transactions!A$4:A$1003,A885,Transactions!F$4:F$1003),0))</f>
        <v/>
      </c>
      <c r="L885" s="15" t="str">
        <f t="shared" si="67"/>
        <v/>
      </c>
      <c r="M885" s="12" t="str">
        <f t="shared" ca="1" si="68"/>
        <v/>
      </c>
      <c r="N885" s="19" t="str">
        <f t="shared" ca="1" si="69"/>
        <v/>
      </c>
    </row>
    <row r="886" spans="1:14" ht="15.75" customHeight="1" x14ac:dyDescent="0.25">
      <c r="A886" s="11"/>
      <c r="B886" s="11"/>
      <c r="C886" s="11"/>
      <c r="D886" s="11"/>
      <c r="E886" s="11"/>
      <c r="F886" s="17" t="str">
        <f>IF(E886=0,"",IFERROR(E886*Config!B18,0))</f>
        <v/>
      </c>
      <c r="G886" s="13" t="str">
        <f t="shared" si="65"/>
        <v/>
      </c>
      <c r="H886" s="11"/>
      <c r="I886" s="11"/>
      <c r="J886" s="16" t="str">
        <f t="shared" si="66"/>
        <v/>
      </c>
      <c r="K886" s="18" t="str">
        <f>IF(A886="","",IFERROR(SUMIF(Transactions!A$4:A$1003,A886,Transactions!F$4:F$1003),0))</f>
        <v/>
      </c>
      <c r="L886" s="15" t="str">
        <f t="shared" si="67"/>
        <v/>
      </c>
      <c r="M886" s="12" t="str">
        <f t="shared" ca="1" si="68"/>
        <v/>
      </c>
      <c r="N886" s="19" t="str">
        <f t="shared" ca="1" si="69"/>
        <v/>
      </c>
    </row>
    <row r="887" spans="1:14" ht="15.75" customHeight="1" x14ac:dyDescent="0.25">
      <c r="A887" s="11"/>
      <c r="B887" s="11"/>
      <c r="C887" s="11"/>
      <c r="D887" s="11"/>
      <c r="E887" s="11"/>
      <c r="F887" s="17" t="str">
        <f>IF(E887=0,"",IFERROR(E887*Config!B18,0))</f>
        <v/>
      </c>
      <c r="G887" s="13" t="str">
        <f t="shared" si="65"/>
        <v/>
      </c>
      <c r="H887" s="11"/>
      <c r="I887" s="11"/>
      <c r="J887" s="16" t="str">
        <f t="shared" si="66"/>
        <v/>
      </c>
      <c r="K887" s="18" t="str">
        <f>IF(A887="","",IFERROR(SUMIF(Transactions!A$4:A$1003,A887,Transactions!F$4:F$1003),0))</f>
        <v/>
      </c>
      <c r="L887" s="15" t="str">
        <f t="shared" si="67"/>
        <v/>
      </c>
      <c r="M887" s="12" t="str">
        <f t="shared" ca="1" si="68"/>
        <v/>
      </c>
      <c r="N887" s="19" t="str">
        <f t="shared" ca="1" si="69"/>
        <v/>
      </c>
    </row>
    <row r="888" spans="1:14" ht="15.75" customHeight="1" x14ac:dyDescent="0.25">
      <c r="A888" s="11"/>
      <c r="B888" s="11"/>
      <c r="C888" s="11"/>
      <c r="D888" s="11"/>
      <c r="E888" s="11"/>
      <c r="F888" s="17" t="str">
        <f>IF(E888=0,"",IFERROR(E888*Config!B18,0))</f>
        <v/>
      </c>
      <c r="G888" s="13" t="str">
        <f t="shared" si="65"/>
        <v/>
      </c>
      <c r="H888" s="11"/>
      <c r="I888" s="11"/>
      <c r="J888" s="16" t="str">
        <f t="shared" si="66"/>
        <v/>
      </c>
      <c r="K888" s="18" t="str">
        <f>IF(A888="","",IFERROR(SUMIF(Transactions!A$4:A$1003,A888,Transactions!F$4:F$1003),0))</f>
        <v/>
      </c>
      <c r="L888" s="15" t="str">
        <f t="shared" si="67"/>
        <v/>
      </c>
      <c r="M888" s="12" t="str">
        <f t="shared" ca="1" si="68"/>
        <v/>
      </c>
      <c r="N888" s="19" t="str">
        <f t="shared" ca="1" si="69"/>
        <v/>
      </c>
    </row>
    <row r="889" spans="1:14" ht="15.75" customHeight="1" x14ac:dyDescent="0.25">
      <c r="A889" s="11"/>
      <c r="B889" s="11"/>
      <c r="C889" s="11"/>
      <c r="D889" s="11"/>
      <c r="E889" s="11"/>
      <c r="F889" s="17" t="str">
        <f>IF(E889=0,"",IFERROR(E889*Config!B18,0))</f>
        <v/>
      </c>
      <c r="G889" s="13" t="str">
        <f t="shared" si="65"/>
        <v/>
      </c>
      <c r="H889" s="11"/>
      <c r="I889" s="11"/>
      <c r="J889" s="16" t="str">
        <f t="shared" si="66"/>
        <v/>
      </c>
      <c r="K889" s="18" t="str">
        <f>IF(A889="","",IFERROR(SUMIF(Transactions!A$4:A$1003,A889,Transactions!F$4:F$1003),0))</f>
        <v/>
      </c>
      <c r="L889" s="15" t="str">
        <f t="shared" si="67"/>
        <v/>
      </c>
      <c r="M889" s="12" t="str">
        <f t="shared" ca="1" si="68"/>
        <v/>
      </c>
      <c r="N889" s="19" t="str">
        <f t="shared" ca="1" si="69"/>
        <v/>
      </c>
    </row>
    <row r="890" spans="1:14" ht="15.75" customHeight="1" x14ac:dyDescent="0.25">
      <c r="A890" s="11"/>
      <c r="B890" s="11"/>
      <c r="C890" s="11"/>
      <c r="D890" s="11"/>
      <c r="E890" s="11"/>
      <c r="F890" s="17" t="str">
        <f>IF(E890=0,"",IFERROR(E890*Config!B18,0))</f>
        <v/>
      </c>
      <c r="G890" s="13" t="str">
        <f t="shared" si="65"/>
        <v/>
      </c>
      <c r="H890" s="11"/>
      <c r="I890" s="11"/>
      <c r="J890" s="16" t="str">
        <f t="shared" si="66"/>
        <v/>
      </c>
      <c r="K890" s="18" t="str">
        <f>IF(A890="","",IFERROR(SUMIF(Transactions!A$4:A$1003,A890,Transactions!F$4:F$1003),0))</f>
        <v/>
      </c>
      <c r="L890" s="15" t="str">
        <f t="shared" si="67"/>
        <v/>
      </c>
      <c r="M890" s="12" t="str">
        <f t="shared" ca="1" si="68"/>
        <v/>
      </c>
      <c r="N890" s="19" t="str">
        <f t="shared" ca="1" si="69"/>
        <v/>
      </c>
    </row>
    <row r="891" spans="1:14" ht="15.75" customHeight="1" x14ac:dyDescent="0.25">
      <c r="A891" s="11"/>
      <c r="B891" s="11"/>
      <c r="C891" s="11"/>
      <c r="D891" s="11"/>
      <c r="E891" s="11"/>
      <c r="F891" s="17" t="str">
        <f>IF(E891=0,"",IFERROR(E891*Config!B18,0))</f>
        <v/>
      </c>
      <c r="G891" s="13" t="str">
        <f t="shared" si="65"/>
        <v/>
      </c>
      <c r="H891" s="11"/>
      <c r="I891" s="11"/>
      <c r="J891" s="16" t="str">
        <f t="shared" si="66"/>
        <v/>
      </c>
      <c r="K891" s="18" t="str">
        <f>IF(A891="","",IFERROR(SUMIF(Transactions!A$4:A$1003,A891,Transactions!F$4:F$1003),0))</f>
        <v/>
      </c>
      <c r="L891" s="15" t="str">
        <f t="shared" si="67"/>
        <v/>
      </c>
      <c r="M891" s="12" t="str">
        <f t="shared" ca="1" si="68"/>
        <v/>
      </c>
      <c r="N891" s="19" t="str">
        <f t="shared" ca="1" si="69"/>
        <v/>
      </c>
    </row>
    <row r="892" spans="1:14" ht="15.75" customHeight="1" x14ac:dyDescent="0.25">
      <c r="A892" s="11"/>
      <c r="B892" s="11"/>
      <c r="C892" s="11"/>
      <c r="D892" s="11"/>
      <c r="E892" s="11"/>
      <c r="F892" s="17" t="str">
        <f>IF(E892=0,"",IFERROR(E892*Config!B18,0))</f>
        <v/>
      </c>
      <c r="G892" s="13" t="str">
        <f t="shared" si="65"/>
        <v/>
      </c>
      <c r="H892" s="11"/>
      <c r="I892" s="11"/>
      <c r="J892" s="16" t="str">
        <f t="shared" si="66"/>
        <v/>
      </c>
      <c r="K892" s="18" t="str">
        <f>IF(A892="","",IFERROR(SUMIF(Transactions!A$4:A$1003,A892,Transactions!F$4:F$1003),0))</f>
        <v/>
      </c>
      <c r="L892" s="15" t="str">
        <f t="shared" si="67"/>
        <v/>
      </c>
      <c r="M892" s="12" t="str">
        <f t="shared" ca="1" si="68"/>
        <v/>
      </c>
      <c r="N892" s="19" t="str">
        <f t="shared" ca="1" si="69"/>
        <v/>
      </c>
    </row>
    <row r="893" spans="1:14" ht="15.75" customHeight="1" x14ac:dyDescent="0.25">
      <c r="A893" s="11"/>
      <c r="B893" s="11"/>
      <c r="C893" s="11"/>
      <c r="D893" s="11"/>
      <c r="E893" s="11"/>
      <c r="F893" s="17" t="str">
        <f>IF(E893=0,"",IFERROR(E893*Config!B18,0))</f>
        <v/>
      </c>
      <c r="G893" s="13" t="str">
        <f t="shared" si="65"/>
        <v/>
      </c>
      <c r="H893" s="11"/>
      <c r="I893" s="11"/>
      <c r="J893" s="16" t="str">
        <f t="shared" si="66"/>
        <v/>
      </c>
      <c r="K893" s="18" t="str">
        <f>IF(A893="","",IFERROR(SUMIF(Transactions!A$4:A$1003,A893,Transactions!F$4:F$1003),0))</f>
        <v/>
      </c>
      <c r="L893" s="15" t="str">
        <f t="shared" si="67"/>
        <v/>
      </c>
      <c r="M893" s="12" t="str">
        <f t="shared" ca="1" si="68"/>
        <v/>
      </c>
      <c r="N893" s="19" t="str">
        <f t="shared" ca="1" si="69"/>
        <v/>
      </c>
    </row>
    <row r="894" spans="1:14" ht="15.75" customHeight="1" x14ac:dyDescent="0.25">
      <c r="A894" s="11"/>
      <c r="B894" s="11"/>
      <c r="C894" s="11"/>
      <c r="D894" s="11"/>
      <c r="E894" s="11"/>
      <c r="F894" s="17" t="str">
        <f>IF(E894=0,"",IFERROR(E894*Config!B18,0))</f>
        <v/>
      </c>
      <c r="G894" s="13" t="str">
        <f t="shared" si="65"/>
        <v/>
      </c>
      <c r="H894" s="11"/>
      <c r="I894" s="11"/>
      <c r="J894" s="16" t="str">
        <f t="shared" si="66"/>
        <v/>
      </c>
      <c r="K894" s="18" t="str">
        <f>IF(A894="","",IFERROR(SUMIF(Transactions!A$4:A$1003,A894,Transactions!F$4:F$1003),0))</f>
        <v/>
      </c>
      <c r="L894" s="15" t="str">
        <f t="shared" si="67"/>
        <v/>
      </c>
      <c r="M894" s="12" t="str">
        <f t="shared" ca="1" si="68"/>
        <v/>
      </c>
      <c r="N894" s="19" t="str">
        <f t="shared" ca="1" si="69"/>
        <v/>
      </c>
    </row>
    <row r="895" spans="1:14" ht="15.75" customHeight="1" x14ac:dyDescent="0.25">
      <c r="A895" s="11"/>
      <c r="B895" s="11"/>
      <c r="C895" s="11"/>
      <c r="D895" s="11"/>
      <c r="E895" s="11"/>
      <c r="F895" s="17" t="str">
        <f>IF(E895=0,"",IFERROR(E895*Config!B18,0))</f>
        <v/>
      </c>
      <c r="G895" s="13" t="str">
        <f t="shared" si="65"/>
        <v/>
      </c>
      <c r="H895" s="11"/>
      <c r="I895" s="11"/>
      <c r="J895" s="16" t="str">
        <f t="shared" si="66"/>
        <v/>
      </c>
      <c r="K895" s="18" t="str">
        <f>IF(A895="","",IFERROR(SUMIF(Transactions!A$4:A$1003,A895,Transactions!F$4:F$1003),0))</f>
        <v/>
      </c>
      <c r="L895" s="15" t="str">
        <f t="shared" si="67"/>
        <v/>
      </c>
      <c r="M895" s="12" t="str">
        <f t="shared" ca="1" si="68"/>
        <v/>
      </c>
      <c r="N895" s="19" t="str">
        <f t="shared" ca="1" si="69"/>
        <v/>
      </c>
    </row>
    <row r="896" spans="1:14" ht="15.75" customHeight="1" x14ac:dyDescent="0.25">
      <c r="A896" s="11"/>
      <c r="B896" s="11"/>
      <c r="C896" s="11"/>
      <c r="D896" s="11"/>
      <c r="E896" s="11"/>
      <c r="F896" s="17" t="str">
        <f>IF(E896=0,"",IFERROR(E896*Config!B18,0))</f>
        <v/>
      </c>
      <c r="G896" s="13" t="str">
        <f t="shared" si="65"/>
        <v/>
      </c>
      <c r="H896" s="11"/>
      <c r="I896" s="11"/>
      <c r="J896" s="16" t="str">
        <f t="shared" si="66"/>
        <v/>
      </c>
      <c r="K896" s="18" t="str">
        <f>IF(A896="","",IFERROR(SUMIF(Transactions!A$4:A$1003,A896,Transactions!F$4:F$1003),0))</f>
        <v/>
      </c>
      <c r="L896" s="15" t="str">
        <f t="shared" si="67"/>
        <v/>
      </c>
      <c r="M896" s="12" t="str">
        <f t="shared" ca="1" si="68"/>
        <v/>
      </c>
      <c r="N896" s="19" t="str">
        <f t="shared" ca="1" si="69"/>
        <v/>
      </c>
    </row>
    <row r="897" spans="1:14" ht="15.75" customHeight="1" x14ac:dyDescent="0.25">
      <c r="A897" s="11"/>
      <c r="B897" s="11"/>
      <c r="C897" s="11"/>
      <c r="D897" s="11"/>
      <c r="E897" s="11"/>
      <c r="F897" s="17" t="str">
        <f>IF(E897=0,"",IFERROR(E897*Config!B18,0))</f>
        <v/>
      </c>
      <c r="G897" s="13" t="str">
        <f t="shared" si="65"/>
        <v/>
      </c>
      <c r="H897" s="11"/>
      <c r="I897" s="11"/>
      <c r="J897" s="16" t="str">
        <f t="shared" si="66"/>
        <v/>
      </c>
      <c r="K897" s="18" t="str">
        <f>IF(A897="","",IFERROR(SUMIF(Transactions!A$4:A$1003,A897,Transactions!F$4:F$1003),0))</f>
        <v/>
      </c>
      <c r="L897" s="15" t="str">
        <f t="shared" si="67"/>
        <v/>
      </c>
      <c r="M897" s="12" t="str">
        <f t="shared" ca="1" si="68"/>
        <v/>
      </c>
      <c r="N897" s="19" t="str">
        <f t="shared" ca="1" si="69"/>
        <v/>
      </c>
    </row>
    <row r="898" spans="1:14" ht="15.75" customHeight="1" x14ac:dyDescent="0.25">
      <c r="A898" s="11"/>
      <c r="B898" s="11"/>
      <c r="C898" s="11"/>
      <c r="D898" s="11"/>
      <c r="E898" s="11"/>
      <c r="F898" s="17" t="str">
        <f>IF(E898=0,"",IFERROR(E898*Config!B18,0))</f>
        <v/>
      </c>
      <c r="G898" s="13" t="str">
        <f t="shared" si="65"/>
        <v/>
      </c>
      <c r="H898" s="11"/>
      <c r="I898" s="11"/>
      <c r="J898" s="16" t="str">
        <f t="shared" si="66"/>
        <v/>
      </c>
      <c r="K898" s="18" t="str">
        <f>IF(A898="","",IFERROR(SUMIF(Transactions!A$4:A$1003,A898,Transactions!F$4:F$1003),0))</f>
        <v/>
      </c>
      <c r="L898" s="15" t="str">
        <f t="shared" si="67"/>
        <v/>
      </c>
      <c r="M898" s="12" t="str">
        <f t="shared" ca="1" si="68"/>
        <v/>
      </c>
      <c r="N898" s="19" t="str">
        <f t="shared" ca="1" si="69"/>
        <v/>
      </c>
    </row>
    <row r="899" spans="1:14" ht="15.75" customHeight="1" x14ac:dyDescent="0.25">
      <c r="A899" s="11"/>
      <c r="B899" s="11"/>
      <c r="C899" s="11"/>
      <c r="D899" s="11"/>
      <c r="E899" s="11"/>
      <c r="F899" s="17" t="str">
        <f>IF(E899=0,"",IFERROR(E899*Config!B18,0))</f>
        <v/>
      </c>
      <c r="G899" s="13" t="str">
        <f t="shared" si="65"/>
        <v/>
      </c>
      <c r="H899" s="11"/>
      <c r="I899" s="11"/>
      <c r="J899" s="16" t="str">
        <f t="shared" si="66"/>
        <v/>
      </c>
      <c r="K899" s="18" t="str">
        <f>IF(A899="","",IFERROR(SUMIF(Transactions!A$4:A$1003,A899,Transactions!F$4:F$1003),0))</f>
        <v/>
      </c>
      <c r="L899" s="15" t="str">
        <f t="shared" si="67"/>
        <v/>
      </c>
      <c r="M899" s="12" t="str">
        <f t="shared" ca="1" si="68"/>
        <v/>
      </c>
      <c r="N899" s="19" t="str">
        <f t="shared" ca="1" si="69"/>
        <v/>
      </c>
    </row>
    <row r="900" spans="1:14" ht="15.75" customHeight="1" x14ac:dyDescent="0.25">
      <c r="A900" s="11"/>
      <c r="B900" s="11"/>
      <c r="C900" s="11"/>
      <c r="D900" s="11"/>
      <c r="E900" s="11"/>
      <c r="F900" s="17" t="str">
        <f>IF(E900=0,"",IFERROR(E900*Config!B18,0))</f>
        <v/>
      </c>
      <c r="G900" s="13" t="str">
        <f t="shared" ref="G900:G963" si="70">IF(E900=0,"",MAX(0,E900-F900))</f>
        <v/>
      </c>
      <c r="H900" s="11"/>
      <c r="I900" s="11"/>
      <c r="J900" s="16" t="str">
        <f t="shared" ref="J900:J963" si="71">IF(E900=0,"",IFERROR(-PMT(H900/100/12,I900,-E900),0))</f>
        <v/>
      </c>
      <c r="K900" s="18" t="str">
        <f>IF(A900="","",IFERROR(SUMIF(Transactions!A$4:A$1003,A900,Transactions!F$4:F$1003),0))</f>
        <v/>
      </c>
      <c r="L900" s="15" t="str">
        <f t="shared" ref="L900:L963" si="72">IF(E900=0,"",MAX(0,E900-K900))</f>
        <v/>
      </c>
      <c r="M900" s="12" t="str">
        <f t="shared" ref="M900:M963" ca="1" si="73">IF(A900="","",IF(L900&lt;=0,"✅ Fully Paid",IF(AND(D900&lt;&gt;"",TODAY()&gt;D900+I900*30),"⚠ Overdue","🟢 Active")))</f>
        <v/>
      </c>
      <c r="N900" s="19" t="str">
        <f t="shared" ref="N900:N963" ca="1" si="74">IF(L900&lt;=0,TODAY(),"")</f>
        <v/>
      </c>
    </row>
    <row r="901" spans="1:14" ht="15.75" customHeight="1" x14ac:dyDescent="0.25">
      <c r="A901" s="11"/>
      <c r="B901" s="11"/>
      <c r="C901" s="11"/>
      <c r="D901" s="11"/>
      <c r="E901" s="11"/>
      <c r="F901" s="17" t="str">
        <f>IF(E901=0,"",IFERROR(E901*Config!B18,0))</f>
        <v/>
      </c>
      <c r="G901" s="13" t="str">
        <f t="shared" si="70"/>
        <v/>
      </c>
      <c r="H901" s="11"/>
      <c r="I901" s="11"/>
      <c r="J901" s="16" t="str">
        <f t="shared" si="71"/>
        <v/>
      </c>
      <c r="K901" s="18" t="str">
        <f>IF(A901="","",IFERROR(SUMIF(Transactions!A$4:A$1003,A901,Transactions!F$4:F$1003),0))</f>
        <v/>
      </c>
      <c r="L901" s="15" t="str">
        <f t="shared" si="72"/>
        <v/>
      </c>
      <c r="M901" s="12" t="str">
        <f t="shared" ca="1" si="73"/>
        <v/>
      </c>
      <c r="N901" s="19" t="str">
        <f t="shared" ca="1" si="74"/>
        <v/>
      </c>
    </row>
    <row r="902" spans="1:14" ht="15.75" customHeight="1" x14ac:dyDescent="0.25">
      <c r="A902" s="11"/>
      <c r="B902" s="11"/>
      <c r="C902" s="11"/>
      <c r="D902" s="11"/>
      <c r="E902" s="11"/>
      <c r="F902" s="17" t="str">
        <f>IF(E902=0,"",IFERROR(E902*Config!B18,0))</f>
        <v/>
      </c>
      <c r="G902" s="13" t="str">
        <f t="shared" si="70"/>
        <v/>
      </c>
      <c r="H902" s="11"/>
      <c r="I902" s="11"/>
      <c r="J902" s="16" t="str">
        <f t="shared" si="71"/>
        <v/>
      </c>
      <c r="K902" s="18" t="str">
        <f>IF(A902="","",IFERROR(SUMIF(Transactions!A$4:A$1003,A902,Transactions!F$4:F$1003),0))</f>
        <v/>
      </c>
      <c r="L902" s="15" t="str">
        <f t="shared" si="72"/>
        <v/>
      </c>
      <c r="M902" s="12" t="str">
        <f t="shared" ca="1" si="73"/>
        <v/>
      </c>
      <c r="N902" s="19" t="str">
        <f t="shared" ca="1" si="74"/>
        <v/>
      </c>
    </row>
    <row r="903" spans="1:14" ht="15.75" customHeight="1" x14ac:dyDescent="0.25">
      <c r="A903" s="11"/>
      <c r="B903" s="11"/>
      <c r="C903" s="11"/>
      <c r="D903" s="11"/>
      <c r="E903" s="11"/>
      <c r="F903" s="17" t="str">
        <f>IF(E903=0,"",IFERROR(E903*Config!B18,0))</f>
        <v/>
      </c>
      <c r="G903" s="13" t="str">
        <f t="shared" si="70"/>
        <v/>
      </c>
      <c r="H903" s="11"/>
      <c r="I903" s="11"/>
      <c r="J903" s="16" t="str">
        <f t="shared" si="71"/>
        <v/>
      </c>
      <c r="K903" s="18" t="str">
        <f>IF(A903="","",IFERROR(SUMIF(Transactions!A$4:A$1003,A903,Transactions!F$4:F$1003),0))</f>
        <v/>
      </c>
      <c r="L903" s="15" t="str">
        <f t="shared" si="72"/>
        <v/>
      </c>
      <c r="M903" s="12" t="str">
        <f t="shared" ca="1" si="73"/>
        <v/>
      </c>
      <c r="N903" s="19" t="str">
        <f t="shared" ca="1" si="74"/>
        <v/>
      </c>
    </row>
    <row r="904" spans="1:14" ht="15.75" customHeight="1" x14ac:dyDescent="0.25">
      <c r="A904" s="11"/>
      <c r="B904" s="11"/>
      <c r="C904" s="11"/>
      <c r="D904" s="11"/>
      <c r="E904" s="11"/>
      <c r="F904" s="17" t="str">
        <f>IF(E904=0,"",IFERROR(E904*Config!B18,0))</f>
        <v/>
      </c>
      <c r="G904" s="13" t="str">
        <f t="shared" si="70"/>
        <v/>
      </c>
      <c r="H904" s="11"/>
      <c r="I904" s="11"/>
      <c r="J904" s="16" t="str">
        <f t="shared" si="71"/>
        <v/>
      </c>
      <c r="K904" s="18" t="str">
        <f>IF(A904="","",IFERROR(SUMIF(Transactions!A$4:A$1003,A904,Transactions!F$4:F$1003),0))</f>
        <v/>
      </c>
      <c r="L904" s="15" t="str">
        <f t="shared" si="72"/>
        <v/>
      </c>
      <c r="M904" s="12" t="str">
        <f t="shared" ca="1" si="73"/>
        <v/>
      </c>
      <c r="N904" s="19" t="str">
        <f t="shared" ca="1" si="74"/>
        <v/>
      </c>
    </row>
    <row r="905" spans="1:14" ht="15.75" customHeight="1" x14ac:dyDescent="0.25">
      <c r="A905" s="11"/>
      <c r="B905" s="11"/>
      <c r="C905" s="11"/>
      <c r="D905" s="11"/>
      <c r="E905" s="11"/>
      <c r="F905" s="17" t="str">
        <f>IF(E905=0,"",IFERROR(E905*Config!B18,0))</f>
        <v/>
      </c>
      <c r="G905" s="13" t="str">
        <f t="shared" si="70"/>
        <v/>
      </c>
      <c r="H905" s="11"/>
      <c r="I905" s="11"/>
      <c r="J905" s="16" t="str">
        <f t="shared" si="71"/>
        <v/>
      </c>
      <c r="K905" s="18" t="str">
        <f>IF(A905="","",IFERROR(SUMIF(Transactions!A$4:A$1003,A905,Transactions!F$4:F$1003),0))</f>
        <v/>
      </c>
      <c r="L905" s="15" t="str">
        <f t="shared" si="72"/>
        <v/>
      </c>
      <c r="M905" s="12" t="str">
        <f t="shared" ca="1" si="73"/>
        <v/>
      </c>
      <c r="N905" s="19" t="str">
        <f t="shared" ca="1" si="74"/>
        <v/>
      </c>
    </row>
    <row r="906" spans="1:14" ht="15.75" customHeight="1" x14ac:dyDescent="0.25">
      <c r="A906" s="11"/>
      <c r="B906" s="11"/>
      <c r="C906" s="11"/>
      <c r="D906" s="11"/>
      <c r="E906" s="11"/>
      <c r="F906" s="17" t="str">
        <f>IF(E906=0,"",IFERROR(E906*Config!B18,0))</f>
        <v/>
      </c>
      <c r="G906" s="13" t="str">
        <f t="shared" si="70"/>
        <v/>
      </c>
      <c r="H906" s="11"/>
      <c r="I906" s="11"/>
      <c r="J906" s="16" t="str">
        <f t="shared" si="71"/>
        <v/>
      </c>
      <c r="K906" s="18" t="str">
        <f>IF(A906="","",IFERROR(SUMIF(Transactions!A$4:A$1003,A906,Transactions!F$4:F$1003),0))</f>
        <v/>
      </c>
      <c r="L906" s="15" t="str">
        <f t="shared" si="72"/>
        <v/>
      </c>
      <c r="M906" s="12" t="str">
        <f t="shared" ca="1" si="73"/>
        <v/>
      </c>
      <c r="N906" s="19" t="str">
        <f t="shared" ca="1" si="74"/>
        <v/>
      </c>
    </row>
    <row r="907" spans="1:14" ht="15.75" customHeight="1" x14ac:dyDescent="0.25">
      <c r="A907" s="11"/>
      <c r="B907" s="11"/>
      <c r="C907" s="11"/>
      <c r="D907" s="11"/>
      <c r="E907" s="11"/>
      <c r="F907" s="17" t="str">
        <f>IF(E907=0,"",IFERROR(E907*Config!B18,0))</f>
        <v/>
      </c>
      <c r="G907" s="13" t="str">
        <f t="shared" si="70"/>
        <v/>
      </c>
      <c r="H907" s="11"/>
      <c r="I907" s="11"/>
      <c r="J907" s="16" t="str">
        <f t="shared" si="71"/>
        <v/>
      </c>
      <c r="K907" s="18" t="str">
        <f>IF(A907="","",IFERROR(SUMIF(Transactions!A$4:A$1003,A907,Transactions!F$4:F$1003),0))</f>
        <v/>
      </c>
      <c r="L907" s="15" t="str">
        <f t="shared" si="72"/>
        <v/>
      </c>
      <c r="M907" s="12" t="str">
        <f t="shared" ca="1" si="73"/>
        <v/>
      </c>
      <c r="N907" s="19" t="str">
        <f t="shared" ca="1" si="74"/>
        <v/>
      </c>
    </row>
    <row r="908" spans="1:14" ht="15.75" customHeight="1" x14ac:dyDescent="0.25">
      <c r="A908" s="11"/>
      <c r="B908" s="11"/>
      <c r="C908" s="11"/>
      <c r="D908" s="11"/>
      <c r="E908" s="11"/>
      <c r="F908" s="17" t="str">
        <f>IF(E908=0,"",IFERROR(E908*Config!B18,0))</f>
        <v/>
      </c>
      <c r="G908" s="13" t="str">
        <f t="shared" si="70"/>
        <v/>
      </c>
      <c r="H908" s="11"/>
      <c r="I908" s="11"/>
      <c r="J908" s="16" t="str">
        <f t="shared" si="71"/>
        <v/>
      </c>
      <c r="K908" s="18" t="str">
        <f>IF(A908="","",IFERROR(SUMIF(Transactions!A$4:A$1003,A908,Transactions!F$4:F$1003),0))</f>
        <v/>
      </c>
      <c r="L908" s="15" t="str">
        <f t="shared" si="72"/>
        <v/>
      </c>
      <c r="M908" s="12" t="str">
        <f t="shared" ca="1" si="73"/>
        <v/>
      </c>
      <c r="N908" s="19" t="str">
        <f t="shared" ca="1" si="74"/>
        <v/>
      </c>
    </row>
    <row r="909" spans="1:14" ht="15.75" customHeight="1" x14ac:dyDescent="0.25">
      <c r="A909" s="11"/>
      <c r="B909" s="11"/>
      <c r="C909" s="11"/>
      <c r="D909" s="11"/>
      <c r="E909" s="11"/>
      <c r="F909" s="17" t="str">
        <f>IF(E909=0,"",IFERROR(E909*Config!B18,0))</f>
        <v/>
      </c>
      <c r="G909" s="13" t="str">
        <f t="shared" si="70"/>
        <v/>
      </c>
      <c r="H909" s="11"/>
      <c r="I909" s="11"/>
      <c r="J909" s="16" t="str">
        <f t="shared" si="71"/>
        <v/>
      </c>
      <c r="K909" s="18" t="str">
        <f>IF(A909="","",IFERROR(SUMIF(Transactions!A$4:A$1003,A909,Transactions!F$4:F$1003),0))</f>
        <v/>
      </c>
      <c r="L909" s="15" t="str">
        <f t="shared" si="72"/>
        <v/>
      </c>
      <c r="M909" s="12" t="str">
        <f t="shared" ca="1" si="73"/>
        <v/>
      </c>
      <c r="N909" s="19" t="str">
        <f t="shared" ca="1" si="74"/>
        <v/>
      </c>
    </row>
    <row r="910" spans="1:14" ht="15.75" customHeight="1" x14ac:dyDescent="0.25">
      <c r="A910" s="11"/>
      <c r="B910" s="11"/>
      <c r="C910" s="11"/>
      <c r="D910" s="11"/>
      <c r="E910" s="11"/>
      <c r="F910" s="17" t="str">
        <f>IF(E910=0,"",IFERROR(E910*Config!B18,0))</f>
        <v/>
      </c>
      <c r="G910" s="13" t="str">
        <f t="shared" si="70"/>
        <v/>
      </c>
      <c r="H910" s="11"/>
      <c r="I910" s="11"/>
      <c r="J910" s="16" t="str">
        <f t="shared" si="71"/>
        <v/>
      </c>
      <c r="K910" s="18" t="str">
        <f>IF(A910="","",IFERROR(SUMIF(Transactions!A$4:A$1003,A910,Transactions!F$4:F$1003),0))</f>
        <v/>
      </c>
      <c r="L910" s="15" t="str">
        <f t="shared" si="72"/>
        <v/>
      </c>
      <c r="M910" s="12" t="str">
        <f t="shared" ca="1" si="73"/>
        <v/>
      </c>
      <c r="N910" s="19" t="str">
        <f t="shared" ca="1" si="74"/>
        <v/>
      </c>
    </row>
    <row r="911" spans="1:14" ht="15.75" customHeight="1" x14ac:dyDescent="0.25">
      <c r="A911" s="11"/>
      <c r="B911" s="11"/>
      <c r="C911" s="11"/>
      <c r="D911" s="11"/>
      <c r="E911" s="11"/>
      <c r="F911" s="17" t="str">
        <f>IF(E911=0,"",IFERROR(E911*Config!B18,0))</f>
        <v/>
      </c>
      <c r="G911" s="13" t="str">
        <f t="shared" si="70"/>
        <v/>
      </c>
      <c r="H911" s="11"/>
      <c r="I911" s="11"/>
      <c r="J911" s="16" t="str">
        <f t="shared" si="71"/>
        <v/>
      </c>
      <c r="K911" s="18" t="str">
        <f>IF(A911="","",IFERROR(SUMIF(Transactions!A$4:A$1003,A911,Transactions!F$4:F$1003),0))</f>
        <v/>
      </c>
      <c r="L911" s="15" t="str">
        <f t="shared" si="72"/>
        <v/>
      </c>
      <c r="M911" s="12" t="str">
        <f t="shared" ca="1" si="73"/>
        <v/>
      </c>
      <c r="N911" s="19" t="str">
        <f t="shared" ca="1" si="74"/>
        <v/>
      </c>
    </row>
    <row r="912" spans="1:14" ht="15.75" customHeight="1" x14ac:dyDescent="0.25">
      <c r="A912" s="11"/>
      <c r="B912" s="11"/>
      <c r="C912" s="11"/>
      <c r="D912" s="11"/>
      <c r="E912" s="11"/>
      <c r="F912" s="17" t="str">
        <f>IF(E912=0,"",IFERROR(E912*Config!B18,0))</f>
        <v/>
      </c>
      <c r="G912" s="13" t="str">
        <f t="shared" si="70"/>
        <v/>
      </c>
      <c r="H912" s="11"/>
      <c r="I912" s="11"/>
      <c r="J912" s="16" t="str">
        <f t="shared" si="71"/>
        <v/>
      </c>
      <c r="K912" s="18" t="str">
        <f>IF(A912="","",IFERROR(SUMIF(Transactions!A$4:A$1003,A912,Transactions!F$4:F$1003),0))</f>
        <v/>
      </c>
      <c r="L912" s="15" t="str">
        <f t="shared" si="72"/>
        <v/>
      </c>
      <c r="M912" s="12" t="str">
        <f t="shared" ca="1" si="73"/>
        <v/>
      </c>
      <c r="N912" s="19" t="str">
        <f t="shared" ca="1" si="74"/>
        <v/>
      </c>
    </row>
    <row r="913" spans="1:14" ht="15.75" customHeight="1" x14ac:dyDescent="0.25">
      <c r="A913" s="11"/>
      <c r="B913" s="11"/>
      <c r="C913" s="11"/>
      <c r="D913" s="11"/>
      <c r="E913" s="11"/>
      <c r="F913" s="17" t="str">
        <f>IF(E913=0,"",IFERROR(E913*Config!B18,0))</f>
        <v/>
      </c>
      <c r="G913" s="13" t="str">
        <f t="shared" si="70"/>
        <v/>
      </c>
      <c r="H913" s="11"/>
      <c r="I913" s="11"/>
      <c r="J913" s="16" t="str">
        <f t="shared" si="71"/>
        <v/>
      </c>
      <c r="K913" s="18" t="str">
        <f>IF(A913="","",IFERROR(SUMIF(Transactions!A$4:A$1003,A913,Transactions!F$4:F$1003),0))</f>
        <v/>
      </c>
      <c r="L913" s="15" t="str">
        <f t="shared" si="72"/>
        <v/>
      </c>
      <c r="M913" s="12" t="str">
        <f t="shared" ca="1" si="73"/>
        <v/>
      </c>
      <c r="N913" s="19" t="str">
        <f t="shared" ca="1" si="74"/>
        <v/>
      </c>
    </row>
    <row r="914" spans="1:14" ht="15.75" customHeight="1" x14ac:dyDescent="0.25">
      <c r="A914" s="11"/>
      <c r="B914" s="11"/>
      <c r="C914" s="11"/>
      <c r="D914" s="11"/>
      <c r="E914" s="11"/>
      <c r="F914" s="17" t="str">
        <f>IF(E914=0,"",IFERROR(E914*Config!B18,0))</f>
        <v/>
      </c>
      <c r="G914" s="13" t="str">
        <f t="shared" si="70"/>
        <v/>
      </c>
      <c r="H914" s="11"/>
      <c r="I914" s="11"/>
      <c r="J914" s="16" t="str">
        <f t="shared" si="71"/>
        <v/>
      </c>
      <c r="K914" s="18" t="str">
        <f>IF(A914="","",IFERROR(SUMIF(Transactions!A$4:A$1003,A914,Transactions!F$4:F$1003),0))</f>
        <v/>
      </c>
      <c r="L914" s="15" t="str">
        <f t="shared" si="72"/>
        <v/>
      </c>
      <c r="M914" s="12" t="str">
        <f t="shared" ca="1" si="73"/>
        <v/>
      </c>
      <c r="N914" s="19" t="str">
        <f t="shared" ca="1" si="74"/>
        <v/>
      </c>
    </row>
    <row r="915" spans="1:14" ht="15.75" customHeight="1" x14ac:dyDescent="0.25">
      <c r="A915" s="11"/>
      <c r="B915" s="11"/>
      <c r="C915" s="11"/>
      <c r="D915" s="11"/>
      <c r="E915" s="11"/>
      <c r="F915" s="17" t="str">
        <f>IF(E915=0,"",IFERROR(E915*Config!B18,0))</f>
        <v/>
      </c>
      <c r="G915" s="13" t="str">
        <f t="shared" si="70"/>
        <v/>
      </c>
      <c r="H915" s="11"/>
      <c r="I915" s="11"/>
      <c r="J915" s="16" t="str">
        <f t="shared" si="71"/>
        <v/>
      </c>
      <c r="K915" s="18" t="str">
        <f>IF(A915="","",IFERROR(SUMIF(Transactions!A$4:A$1003,A915,Transactions!F$4:F$1003),0))</f>
        <v/>
      </c>
      <c r="L915" s="15" t="str">
        <f t="shared" si="72"/>
        <v/>
      </c>
      <c r="M915" s="12" t="str">
        <f t="shared" ca="1" si="73"/>
        <v/>
      </c>
      <c r="N915" s="19" t="str">
        <f t="shared" ca="1" si="74"/>
        <v/>
      </c>
    </row>
    <row r="916" spans="1:14" ht="15.75" customHeight="1" x14ac:dyDescent="0.25">
      <c r="A916" s="11"/>
      <c r="B916" s="11"/>
      <c r="C916" s="11"/>
      <c r="D916" s="11"/>
      <c r="E916" s="11"/>
      <c r="F916" s="17" t="str">
        <f>IF(E916=0,"",IFERROR(E916*Config!B18,0))</f>
        <v/>
      </c>
      <c r="G916" s="13" t="str">
        <f t="shared" si="70"/>
        <v/>
      </c>
      <c r="H916" s="11"/>
      <c r="I916" s="11"/>
      <c r="J916" s="16" t="str">
        <f t="shared" si="71"/>
        <v/>
      </c>
      <c r="K916" s="18" t="str">
        <f>IF(A916="","",IFERROR(SUMIF(Transactions!A$4:A$1003,A916,Transactions!F$4:F$1003),0))</f>
        <v/>
      </c>
      <c r="L916" s="15" t="str">
        <f t="shared" si="72"/>
        <v/>
      </c>
      <c r="M916" s="12" t="str">
        <f t="shared" ca="1" si="73"/>
        <v/>
      </c>
      <c r="N916" s="19" t="str">
        <f t="shared" ca="1" si="74"/>
        <v/>
      </c>
    </row>
    <row r="917" spans="1:14" ht="15.75" customHeight="1" x14ac:dyDescent="0.25">
      <c r="A917" s="11"/>
      <c r="B917" s="11"/>
      <c r="C917" s="11"/>
      <c r="D917" s="11"/>
      <c r="E917" s="11"/>
      <c r="F917" s="17" t="str">
        <f>IF(E917=0,"",IFERROR(E917*Config!B18,0))</f>
        <v/>
      </c>
      <c r="G917" s="13" t="str">
        <f t="shared" si="70"/>
        <v/>
      </c>
      <c r="H917" s="11"/>
      <c r="I917" s="11"/>
      <c r="J917" s="16" t="str">
        <f t="shared" si="71"/>
        <v/>
      </c>
      <c r="K917" s="18" t="str">
        <f>IF(A917="","",IFERROR(SUMIF(Transactions!A$4:A$1003,A917,Transactions!F$4:F$1003),0))</f>
        <v/>
      </c>
      <c r="L917" s="15" t="str">
        <f t="shared" si="72"/>
        <v/>
      </c>
      <c r="M917" s="12" t="str">
        <f t="shared" ca="1" si="73"/>
        <v/>
      </c>
      <c r="N917" s="19" t="str">
        <f t="shared" ca="1" si="74"/>
        <v/>
      </c>
    </row>
    <row r="918" spans="1:14" ht="15.75" customHeight="1" x14ac:dyDescent="0.25">
      <c r="A918" s="11"/>
      <c r="B918" s="11"/>
      <c r="C918" s="11"/>
      <c r="D918" s="11"/>
      <c r="E918" s="11"/>
      <c r="F918" s="17" t="str">
        <f>IF(E918=0,"",IFERROR(E918*Config!B18,0))</f>
        <v/>
      </c>
      <c r="G918" s="13" t="str">
        <f t="shared" si="70"/>
        <v/>
      </c>
      <c r="H918" s="11"/>
      <c r="I918" s="11"/>
      <c r="J918" s="16" t="str">
        <f t="shared" si="71"/>
        <v/>
      </c>
      <c r="K918" s="18" t="str">
        <f>IF(A918="","",IFERROR(SUMIF(Transactions!A$4:A$1003,A918,Transactions!F$4:F$1003),0))</f>
        <v/>
      </c>
      <c r="L918" s="15" t="str">
        <f t="shared" si="72"/>
        <v/>
      </c>
      <c r="M918" s="12" t="str">
        <f t="shared" ca="1" si="73"/>
        <v/>
      </c>
      <c r="N918" s="19" t="str">
        <f t="shared" ca="1" si="74"/>
        <v/>
      </c>
    </row>
    <row r="919" spans="1:14" ht="15.75" customHeight="1" x14ac:dyDescent="0.25">
      <c r="A919" s="11"/>
      <c r="B919" s="11"/>
      <c r="C919" s="11"/>
      <c r="D919" s="11"/>
      <c r="E919" s="11"/>
      <c r="F919" s="17" t="str">
        <f>IF(E919=0,"",IFERROR(E919*Config!B18,0))</f>
        <v/>
      </c>
      <c r="G919" s="13" t="str">
        <f t="shared" si="70"/>
        <v/>
      </c>
      <c r="H919" s="11"/>
      <c r="I919" s="11"/>
      <c r="J919" s="16" t="str">
        <f t="shared" si="71"/>
        <v/>
      </c>
      <c r="K919" s="18" t="str">
        <f>IF(A919="","",IFERROR(SUMIF(Transactions!A$4:A$1003,A919,Transactions!F$4:F$1003),0))</f>
        <v/>
      </c>
      <c r="L919" s="15" t="str">
        <f t="shared" si="72"/>
        <v/>
      </c>
      <c r="M919" s="12" t="str">
        <f t="shared" ca="1" si="73"/>
        <v/>
      </c>
      <c r="N919" s="19" t="str">
        <f t="shared" ca="1" si="74"/>
        <v/>
      </c>
    </row>
    <row r="920" spans="1:14" ht="15.75" customHeight="1" x14ac:dyDescent="0.25">
      <c r="A920" s="11"/>
      <c r="B920" s="11"/>
      <c r="C920" s="11"/>
      <c r="D920" s="11"/>
      <c r="E920" s="11"/>
      <c r="F920" s="17" t="str">
        <f>IF(E920=0,"",IFERROR(E920*Config!B18,0))</f>
        <v/>
      </c>
      <c r="G920" s="13" t="str">
        <f t="shared" si="70"/>
        <v/>
      </c>
      <c r="H920" s="11"/>
      <c r="I920" s="11"/>
      <c r="J920" s="16" t="str">
        <f t="shared" si="71"/>
        <v/>
      </c>
      <c r="K920" s="18" t="str">
        <f>IF(A920="","",IFERROR(SUMIF(Transactions!A$4:A$1003,A920,Transactions!F$4:F$1003),0))</f>
        <v/>
      </c>
      <c r="L920" s="15" t="str">
        <f t="shared" si="72"/>
        <v/>
      </c>
      <c r="M920" s="12" t="str">
        <f t="shared" ca="1" si="73"/>
        <v/>
      </c>
      <c r="N920" s="19" t="str">
        <f t="shared" ca="1" si="74"/>
        <v/>
      </c>
    </row>
    <row r="921" spans="1:14" ht="15.75" customHeight="1" x14ac:dyDescent="0.25">
      <c r="A921" s="11"/>
      <c r="B921" s="11"/>
      <c r="C921" s="11"/>
      <c r="D921" s="11"/>
      <c r="E921" s="11"/>
      <c r="F921" s="17" t="str">
        <f>IF(E921=0,"",IFERROR(E921*Config!B18,0))</f>
        <v/>
      </c>
      <c r="G921" s="13" t="str">
        <f t="shared" si="70"/>
        <v/>
      </c>
      <c r="H921" s="11"/>
      <c r="I921" s="11"/>
      <c r="J921" s="16" t="str">
        <f t="shared" si="71"/>
        <v/>
      </c>
      <c r="K921" s="18" t="str">
        <f>IF(A921="","",IFERROR(SUMIF(Transactions!A$4:A$1003,A921,Transactions!F$4:F$1003),0))</f>
        <v/>
      </c>
      <c r="L921" s="15" t="str">
        <f t="shared" si="72"/>
        <v/>
      </c>
      <c r="M921" s="12" t="str">
        <f t="shared" ca="1" si="73"/>
        <v/>
      </c>
      <c r="N921" s="19" t="str">
        <f t="shared" ca="1" si="74"/>
        <v/>
      </c>
    </row>
    <row r="922" spans="1:14" ht="15.75" customHeight="1" x14ac:dyDescent="0.25">
      <c r="A922" s="11"/>
      <c r="B922" s="11"/>
      <c r="C922" s="11"/>
      <c r="D922" s="11"/>
      <c r="E922" s="11"/>
      <c r="F922" s="17" t="str">
        <f>IF(E922=0,"",IFERROR(E922*Config!B18,0))</f>
        <v/>
      </c>
      <c r="G922" s="13" t="str">
        <f t="shared" si="70"/>
        <v/>
      </c>
      <c r="H922" s="11"/>
      <c r="I922" s="11"/>
      <c r="J922" s="16" t="str">
        <f t="shared" si="71"/>
        <v/>
      </c>
      <c r="K922" s="18" t="str">
        <f>IF(A922="","",IFERROR(SUMIF(Transactions!A$4:A$1003,A922,Transactions!F$4:F$1003),0))</f>
        <v/>
      </c>
      <c r="L922" s="15" t="str">
        <f t="shared" si="72"/>
        <v/>
      </c>
      <c r="M922" s="12" t="str">
        <f t="shared" ca="1" si="73"/>
        <v/>
      </c>
      <c r="N922" s="19" t="str">
        <f t="shared" ca="1" si="74"/>
        <v/>
      </c>
    </row>
    <row r="923" spans="1:14" ht="15.75" customHeight="1" x14ac:dyDescent="0.25">
      <c r="A923" s="11"/>
      <c r="B923" s="11"/>
      <c r="C923" s="11"/>
      <c r="D923" s="11"/>
      <c r="E923" s="11"/>
      <c r="F923" s="17" t="str">
        <f>IF(E923=0,"",IFERROR(E923*Config!B18,0))</f>
        <v/>
      </c>
      <c r="G923" s="13" t="str">
        <f t="shared" si="70"/>
        <v/>
      </c>
      <c r="H923" s="11"/>
      <c r="I923" s="11"/>
      <c r="J923" s="16" t="str">
        <f t="shared" si="71"/>
        <v/>
      </c>
      <c r="K923" s="18" t="str">
        <f>IF(A923="","",IFERROR(SUMIF(Transactions!A$4:A$1003,A923,Transactions!F$4:F$1003),0))</f>
        <v/>
      </c>
      <c r="L923" s="15" t="str">
        <f t="shared" si="72"/>
        <v/>
      </c>
      <c r="M923" s="12" t="str">
        <f t="shared" ca="1" si="73"/>
        <v/>
      </c>
      <c r="N923" s="19" t="str">
        <f t="shared" ca="1" si="74"/>
        <v/>
      </c>
    </row>
    <row r="924" spans="1:14" ht="15.75" customHeight="1" x14ac:dyDescent="0.25">
      <c r="A924" s="11"/>
      <c r="B924" s="11"/>
      <c r="C924" s="11"/>
      <c r="D924" s="11"/>
      <c r="E924" s="11"/>
      <c r="F924" s="17" t="str">
        <f>IF(E924=0,"",IFERROR(E924*Config!B18,0))</f>
        <v/>
      </c>
      <c r="G924" s="13" t="str">
        <f t="shared" si="70"/>
        <v/>
      </c>
      <c r="H924" s="11"/>
      <c r="I924" s="11"/>
      <c r="J924" s="16" t="str">
        <f t="shared" si="71"/>
        <v/>
      </c>
      <c r="K924" s="18" t="str">
        <f>IF(A924="","",IFERROR(SUMIF(Transactions!A$4:A$1003,A924,Transactions!F$4:F$1003),0))</f>
        <v/>
      </c>
      <c r="L924" s="15" t="str">
        <f t="shared" si="72"/>
        <v/>
      </c>
      <c r="M924" s="12" t="str">
        <f t="shared" ca="1" si="73"/>
        <v/>
      </c>
      <c r="N924" s="19" t="str">
        <f t="shared" ca="1" si="74"/>
        <v/>
      </c>
    </row>
    <row r="925" spans="1:14" ht="15.75" customHeight="1" x14ac:dyDescent="0.25">
      <c r="A925" s="11"/>
      <c r="B925" s="11"/>
      <c r="C925" s="11"/>
      <c r="D925" s="11"/>
      <c r="E925" s="11"/>
      <c r="F925" s="17" t="str">
        <f>IF(E925=0,"",IFERROR(E925*Config!B18,0))</f>
        <v/>
      </c>
      <c r="G925" s="13" t="str">
        <f t="shared" si="70"/>
        <v/>
      </c>
      <c r="H925" s="11"/>
      <c r="I925" s="11"/>
      <c r="J925" s="16" t="str">
        <f t="shared" si="71"/>
        <v/>
      </c>
      <c r="K925" s="18" t="str">
        <f>IF(A925="","",IFERROR(SUMIF(Transactions!A$4:A$1003,A925,Transactions!F$4:F$1003),0))</f>
        <v/>
      </c>
      <c r="L925" s="15" t="str">
        <f t="shared" si="72"/>
        <v/>
      </c>
      <c r="M925" s="12" t="str">
        <f t="shared" ca="1" si="73"/>
        <v/>
      </c>
      <c r="N925" s="19" t="str">
        <f t="shared" ca="1" si="74"/>
        <v/>
      </c>
    </row>
    <row r="926" spans="1:14" ht="15.75" customHeight="1" x14ac:dyDescent="0.25">
      <c r="A926" s="11"/>
      <c r="B926" s="11"/>
      <c r="C926" s="11"/>
      <c r="D926" s="11"/>
      <c r="E926" s="11"/>
      <c r="F926" s="17" t="str">
        <f>IF(E926=0,"",IFERROR(E926*Config!B18,0))</f>
        <v/>
      </c>
      <c r="G926" s="13" t="str">
        <f t="shared" si="70"/>
        <v/>
      </c>
      <c r="H926" s="11"/>
      <c r="I926" s="11"/>
      <c r="J926" s="16" t="str">
        <f t="shared" si="71"/>
        <v/>
      </c>
      <c r="K926" s="18" t="str">
        <f>IF(A926="","",IFERROR(SUMIF(Transactions!A$4:A$1003,A926,Transactions!F$4:F$1003),0))</f>
        <v/>
      </c>
      <c r="L926" s="15" t="str">
        <f t="shared" si="72"/>
        <v/>
      </c>
      <c r="M926" s="12" t="str">
        <f t="shared" ca="1" si="73"/>
        <v/>
      </c>
      <c r="N926" s="19" t="str">
        <f t="shared" ca="1" si="74"/>
        <v/>
      </c>
    </row>
    <row r="927" spans="1:14" ht="15.75" customHeight="1" x14ac:dyDescent="0.25">
      <c r="A927" s="11"/>
      <c r="B927" s="11"/>
      <c r="C927" s="11"/>
      <c r="D927" s="11"/>
      <c r="E927" s="11"/>
      <c r="F927" s="17" t="str">
        <f>IF(E927=0,"",IFERROR(E927*Config!B18,0))</f>
        <v/>
      </c>
      <c r="G927" s="13" t="str">
        <f t="shared" si="70"/>
        <v/>
      </c>
      <c r="H927" s="11"/>
      <c r="I927" s="11"/>
      <c r="J927" s="16" t="str">
        <f t="shared" si="71"/>
        <v/>
      </c>
      <c r="K927" s="18" t="str">
        <f>IF(A927="","",IFERROR(SUMIF(Transactions!A$4:A$1003,A927,Transactions!F$4:F$1003),0))</f>
        <v/>
      </c>
      <c r="L927" s="15" t="str">
        <f t="shared" si="72"/>
        <v/>
      </c>
      <c r="M927" s="12" t="str">
        <f t="shared" ca="1" si="73"/>
        <v/>
      </c>
      <c r="N927" s="19" t="str">
        <f t="shared" ca="1" si="74"/>
        <v/>
      </c>
    </row>
    <row r="928" spans="1:14" ht="15.75" customHeight="1" x14ac:dyDescent="0.25">
      <c r="A928" s="11"/>
      <c r="B928" s="11"/>
      <c r="C928" s="11"/>
      <c r="D928" s="11"/>
      <c r="E928" s="11"/>
      <c r="F928" s="17" t="str">
        <f>IF(E928=0,"",IFERROR(E928*Config!B18,0))</f>
        <v/>
      </c>
      <c r="G928" s="13" t="str">
        <f t="shared" si="70"/>
        <v/>
      </c>
      <c r="H928" s="11"/>
      <c r="I928" s="11"/>
      <c r="J928" s="16" t="str">
        <f t="shared" si="71"/>
        <v/>
      </c>
      <c r="K928" s="18" t="str">
        <f>IF(A928="","",IFERROR(SUMIF(Transactions!A$4:A$1003,A928,Transactions!F$4:F$1003),0))</f>
        <v/>
      </c>
      <c r="L928" s="15" t="str">
        <f t="shared" si="72"/>
        <v/>
      </c>
      <c r="M928" s="12" t="str">
        <f t="shared" ca="1" si="73"/>
        <v/>
      </c>
      <c r="N928" s="19" t="str">
        <f t="shared" ca="1" si="74"/>
        <v/>
      </c>
    </row>
    <row r="929" spans="1:14" ht="15.75" customHeight="1" x14ac:dyDescent="0.25">
      <c r="A929" s="11"/>
      <c r="B929" s="11"/>
      <c r="C929" s="11"/>
      <c r="D929" s="11"/>
      <c r="E929" s="11"/>
      <c r="F929" s="17" t="str">
        <f>IF(E929=0,"",IFERROR(E929*Config!B18,0))</f>
        <v/>
      </c>
      <c r="G929" s="13" t="str">
        <f t="shared" si="70"/>
        <v/>
      </c>
      <c r="H929" s="11"/>
      <c r="I929" s="11"/>
      <c r="J929" s="16" t="str">
        <f t="shared" si="71"/>
        <v/>
      </c>
      <c r="K929" s="18" t="str">
        <f>IF(A929="","",IFERROR(SUMIF(Transactions!A$4:A$1003,A929,Transactions!F$4:F$1003),0))</f>
        <v/>
      </c>
      <c r="L929" s="15" t="str">
        <f t="shared" si="72"/>
        <v/>
      </c>
      <c r="M929" s="12" t="str">
        <f t="shared" ca="1" si="73"/>
        <v/>
      </c>
      <c r="N929" s="19" t="str">
        <f t="shared" ca="1" si="74"/>
        <v/>
      </c>
    </row>
    <row r="930" spans="1:14" ht="15.75" customHeight="1" x14ac:dyDescent="0.25">
      <c r="A930" s="11"/>
      <c r="B930" s="11"/>
      <c r="C930" s="11"/>
      <c r="D930" s="11"/>
      <c r="E930" s="11"/>
      <c r="F930" s="17" t="str">
        <f>IF(E930=0,"",IFERROR(E930*Config!B18,0))</f>
        <v/>
      </c>
      <c r="G930" s="13" t="str">
        <f t="shared" si="70"/>
        <v/>
      </c>
      <c r="H930" s="11"/>
      <c r="I930" s="11"/>
      <c r="J930" s="16" t="str">
        <f t="shared" si="71"/>
        <v/>
      </c>
      <c r="K930" s="18" t="str">
        <f>IF(A930="","",IFERROR(SUMIF(Transactions!A$4:A$1003,A930,Transactions!F$4:F$1003),0))</f>
        <v/>
      </c>
      <c r="L930" s="15" t="str">
        <f t="shared" si="72"/>
        <v/>
      </c>
      <c r="M930" s="12" t="str">
        <f t="shared" ca="1" si="73"/>
        <v/>
      </c>
      <c r="N930" s="19" t="str">
        <f t="shared" ca="1" si="74"/>
        <v/>
      </c>
    </row>
    <row r="931" spans="1:14" ht="15.75" customHeight="1" x14ac:dyDescent="0.25">
      <c r="A931" s="11"/>
      <c r="B931" s="11"/>
      <c r="C931" s="11"/>
      <c r="D931" s="11"/>
      <c r="E931" s="11"/>
      <c r="F931" s="17" t="str">
        <f>IF(E931=0,"",IFERROR(E931*Config!B18,0))</f>
        <v/>
      </c>
      <c r="G931" s="13" t="str">
        <f t="shared" si="70"/>
        <v/>
      </c>
      <c r="H931" s="11"/>
      <c r="I931" s="11"/>
      <c r="J931" s="16" t="str">
        <f t="shared" si="71"/>
        <v/>
      </c>
      <c r="K931" s="18" t="str">
        <f>IF(A931="","",IFERROR(SUMIF(Transactions!A$4:A$1003,A931,Transactions!F$4:F$1003),0))</f>
        <v/>
      </c>
      <c r="L931" s="15" t="str">
        <f t="shared" si="72"/>
        <v/>
      </c>
      <c r="M931" s="12" t="str">
        <f t="shared" ca="1" si="73"/>
        <v/>
      </c>
      <c r="N931" s="19" t="str">
        <f t="shared" ca="1" si="74"/>
        <v/>
      </c>
    </row>
    <row r="932" spans="1:14" ht="15.75" customHeight="1" x14ac:dyDescent="0.25">
      <c r="A932" s="11"/>
      <c r="B932" s="11"/>
      <c r="C932" s="11"/>
      <c r="D932" s="11"/>
      <c r="E932" s="11"/>
      <c r="F932" s="17" t="str">
        <f>IF(E932=0,"",IFERROR(E932*Config!B18,0))</f>
        <v/>
      </c>
      <c r="G932" s="13" t="str">
        <f t="shared" si="70"/>
        <v/>
      </c>
      <c r="H932" s="11"/>
      <c r="I932" s="11"/>
      <c r="J932" s="16" t="str">
        <f t="shared" si="71"/>
        <v/>
      </c>
      <c r="K932" s="18" t="str">
        <f>IF(A932="","",IFERROR(SUMIF(Transactions!A$4:A$1003,A932,Transactions!F$4:F$1003),0))</f>
        <v/>
      </c>
      <c r="L932" s="15" t="str">
        <f t="shared" si="72"/>
        <v/>
      </c>
      <c r="M932" s="12" t="str">
        <f t="shared" ca="1" si="73"/>
        <v/>
      </c>
      <c r="N932" s="19" t="str">
        <f t="shared" ca="1" si="74"/>
        <v/>
      </c>
    </row>
    <row r="933" spans="1:14" ht="15.75" customHeight="1" x14ac:dyDescent="0.25">
      <c r="A933" s="11"/>
      <c r="B933" s="11"/>
      <c r="C933" s="11"/>
      <c r="D933" s="11"/>
      <c r="E933" s="11"/>
      <c r="F933" s="17" t="str">
        <f>IF(E933=0,"",IFERROR(E933*Config!B18,0))</f>
        <v/>
      </c>
      <c r="G933" s="13" t="str">
        <f t="shared" si="70"/>
        <v/>
      </c>
      <c r="H933" s="11"/>
      <c r="I933" s="11"/>
      <c r="J933" s="16" t="str">
        <f t="shared" si="71"/>
        <v/>
      </c>
      <c r="K933" s="18" t="str">
        <f>IF(A933="","",IFERROR(SUMIF(Transactions!A$4:A$1003,A933,Transactions!F$4:F$1003),0))</f>
        <v/>
      </c>
      <c r="L933" s="15" t="str">
        <f t="shared" si="72"/>
        <v/>
      </c>
      <c r="M933" s="12" t="str">
        <f t="shared" ca="1" si="73"/>
        <v/>
      </c>
      <c r="N933" s="19" t="str">
        <f t="shared" ca="1" si="74"/>
        <v/>
      </c>
    </row>
    <row r="934" spans="1:14" ht="15.75" customHeight="1" x14ac:dyDescent="0.25">
      <c r="A934" s="11"/>
      <c r="B934" s="11"/>
      <c r="C934" s="11"/>
      <c r="D934" s="11"/>
      <c r="E934" s="11"/>
      <c r="F934" s="17" t="str">
        <f>IF(E934=0,"",IFERROR(E934*Config!B18,0))</f>
        <v/>
      </c>
      <c r="G934" s="13" t="str">
        <f t="shared" si="70"/>
        <v/>
      </c>
      <c r="H934" s="11"/>
      <c r="I934" s="11"/>
      <c r="J934" s="16" t="str">
        <f t="shared" si="71"/>
        <v/>
      </c>
      <c r="K934" s="18" t="str">
        <f>IF(A934="","",IFERROR(SUMIF(Transactions!A$4:A$1003,A934,Transactions!F$4:F$1003),0))</f>
        <v/>
      </c>
      <c r="L934" s="15" t="str">
        <f t="shared" si="72"/>
        <v/>
      </c>
      <c r="M934" s="12" t="str">
        <f t="shared" ca="1" si="73"/>
        <v/>
      </c>
      <c r="N934" s="19" t="str">
        <f t="shared" ca="1" si="74"/>
        <v/>
      </c>
    </row>
    <row r="935" spans="1:14" ht="15.75" customHeight="1" x14ac:dyDescent="0.25">
      <c r="A935" s="11"/>
      <c r="B935" s="11"/>
      <c r="C935" s="11"/>
      <c r="D935" s="11"/>
      <c r="E935" s="11"/>
      <c r="F935" s="17" t="str">
        <f>IF(E935=0,"",IFERROR(E935*Config!B18,0))</f>
        <v/>
      </c>
      <c r="G935" s="13" t="str">
        <f t="shared" si="70"/>
        <v/>
      </c>
      <c r="H935" s="11"/>
      <c r="I935" s="11"/>
      <c r="J935" s="16" t="str">
        <f t="shared" si="71"/>
        <v/>
      </c>
      <c r="K935" s="18" t="str">
        <f>IF(A935="","",IFERROR(SUMIF(Transactions!A$4:A$1003,A935,Transactions!F$4:F$1003),0))</f>
        <v/>
      </c>
      <c r="L935" s="15" t="str">
        <f t="shared" si="72"/>
        <v/>
      </c>
      <c r="M935" s="12" t="str">
        <f t="shared" ca="1" si="73"/>
        <v/>
      </c>
      <c r="N935" s="19" t="str">
        <f t="shared" ca="1" si="74"/>
        <v/>
      </c>
    </row>
    <row r="936" spans="1:14" ht="15.75" customHeight="1" x14ac:dyDescent="0.25">
      <c r="A936" s="11"/>
      <c r="B936" s="11"/>
      <c r="C936" s="11"/>
      <c r="D936" s="11"/>
      <c r="E936" s="11"/>
      <c r="F936" s="17" t="str">
        <f>IF(E936=0,"",IFERROR(E936*Config!B18,0))</f>
        <v/>
      </c>
      <c r="G936" s="13" t="str">
        <f t="shared" si="70"/>
        <v/>
      </c>
      <c r="H936" s="11"/>
      <c r="I936" s="11"/>
      <c r="J936" s="16" t="str">
        <f t="shared" si="71"/>
        <v/>
      </c>
      <c r="K936" s="18" t="str">
        <f>IF(A936="","",IFERROR(SUMIF(Transactions!A$4:A$1003,A936,Transactions!F$4:F$1003),0))</f>
        <v/>
      </c>
      <c r="L936" s="15" t="str">
        <f t="shared" si="72"/>
        <v/>
      </c>
      <c r="M936" s="12" t="str">
        <f t="shared" ca="1" si="73"/>
        <v/>
      </c>
      <c r="N936" s="19" t="str">
        <f t="shared" ca="1" si="74"/>
        <v/>
      </c>
    </row>
    <row r="937" spans="1:14" ht="15.75" customHeight="1" x14ac:dyDescent="0.25">
      <c r="A937" s="11"/>
      <c r="B937" s="11"/>
      <c r="C937" s="11"/>
      <c r="D937" s="11"/>
      <c r="E937" s="11"/>
      <c r="F937" s="17" t="str">
        <f>IF(E937=0,"",IFERROR(E937*Config!B18,0))</f>
        <v/>
      </c>
      <c r="G937" s="13" t="str">
        <f t="shared" si="70"/>
        <v/>
      </c>
      <c r="H937" s="11"/>
      <c r="I937" s="11"/>
      <c r="J937" s="16" t="str">
        <f t="shared" si="71"/>
        <v/>
      </c>
      <c r="K937" s="18" t="str">
        <f>IF(A937="","",IFERROR(SUMIF(Transactions!A$4:A$1003,A937,Transactions!F$4:F$1003),0))</f>
        <v/>
      </c>
      <c r="L937" s="15" t="str">
        <f t="shared" si="72"/>
        <v/>
      </c>
      <c r="M937" s="12" t="str">
        <f t="shared" ca="1" si="73"/>
        <v/>
      </c>
      <c r="N937" s="19" t="str">
        <f t="shared" ca="1" si="74"/>
        <v/>
      </c>
    </row>
    <row r="938" spans="1:14" ht="15.75" customHeight="1" x14ac:dyDescent="0.25">
      <c r="A938" s="11"/>
      <c r="B938" s="11"/>
      <c r="C938" s="11"/>
      <c r="D938" s="11"/>
      <c r="E938" s="11"/>
      <c r="F938" s="17" t="str">
        <f>IF(E938=0,"",IFERROR(E938*Config!B18,0))</f>
        <v/>
      </c>
      <c r="G938" s="13" t="str">
        <f t="shared" si="70"/>
        <v/>
      </c>
      <c r="H938" s="11"/>
      <c r="I938" s="11"/>
      <c r="J938" s="16" t="str">
        <f t="shared" si="71"/>
        <v/>
      </c>
      <c r="K938" s="18" t="str">
        <f>IF(A938="","",IFERROR(SUMIF(Transactions!A$4:A$1003,A938,Transactions!F$4:F$1003),0))</f>
        <v/>
      </c>
      <c r="L938" s="15" t="str">
        <f t="shared" si="72"/>
        <v/>
      </c>
      <c r="M938" s="12" t="str">
        <f t="shared" ca="1" si="73"/>
        <v/>
      </c>
      <c r="N938" s="19" t="str">
        <f t="shared" ca="1" si="74"/>
        <v/>
      </c>
    </row>
    <row r="939" spans="1:14" ht="15.75" customHeight="1" x14ac:dyDescent="0.25">
      <c r="A939" s="11"/>
      <c r="B939" s="11"/>
      <c r="C939" s="11"/>
      <c r="D939" s="11"/>
      <c r="E939" s="11"/>
      <c r="F939" s="17" t="str">
        <f>IF(E939=0,"",IFERROR(E939*Config!B18,0))</f>
        <v/>
      </c>
      <c r="G939" s="13" t="str">
        <f t="shared" si="70"/>
        <v/>
      </c>
      <c r="H939" s="11"/>
      <c r="I939" s="11"/>
      <c r="J939" s="16" t="str">
        <f t="shared" si="71"/>
        <v/>
      </c>
      <c r="K939" s="18" t="str">
        <f>IF(A939="","",IFERROR(SUMIF(Transactions!A$4:A$1003,A939,Transactions!F$4:F$1003),0))</f>
        <v/>
      </c>
      <c r="L939" s="15" t="str">
        <f t="shared" si="72"/>
        <v/>
      </c>
      <c r="M939" s="12" t="str">
        <f t="shared" ca="1" si="73"/>
        <v/>
      </c>
      <c r="N939" s="19" t="str">
        <f t="shared" ca="1" si="74"/>
        <v/>
      </c>
    </row>
    <row r="940" spans="1:14" ht="15.75" customHeight="1" x14ac:dyDescent="0.25">
      <c r="A940" s="11"/>
      <c r="B940" s="11"/>
      <c r="C940" s="11"/>
      <c r="D940" s="11"/>
      <c r="E940" s="11"/>
      <c r="F940" s="17" t="str">
        <f>IF(E940=0,"",IFERROR(E940*Config!B18,0))</f>
        <v/>
      </c>
      <c r="G940" s="13" t="str">
        <f t="shared" si="70"/>
        <v/>
      </c>
      <c r="H940" s="11"/>
      <c r="I940" s="11"/>
      <c r="J940" s="16" t="str">
        <f t="shared" si="71"/>
        <v/>
      </c>
      <c r="K940" s="18" t="str">
        <f>IF(A940="","",IFERROR(SUMIF(Transactions!A$4:A$1003,A940,Transactions!F$4:F$1003),0))</f>
        <v/>
      </c>
      <c r="L940" s="15" t="str">
        <f t="shared" si="72"/>
        <v/>
      </c>
      <c r="M940" s="12" t="str">
        <f t="shared" ca="1" si="73"/>
        <v/>
      </c>
      <c r="N940" s="19" t="str">
        <f t="shared" ca="1" si="74"/>
        <v/>
      </c>
    </row>
    <row r="941" spans="1:14" ht="15.75" customHeight="1" x14ac:dyDescent="0.25">
      <c r="A941" s="11"/>
      <c r="B941" s="11"/>
      <c r="C941" s="11"/>
      <c r="D941" s="11"/>
      <c r="E941" s="11"/>
      <c r="F941" s="17" t="str">
        <f>IF(E941=0,"",IFERROR(E941*Config!B18,0))</f>
        <v/>
      </c>
      <c r="G941" s="13" t="str">
        <f t="shared" si="70"/>
        <v/>
      </c>
      <c r="H941" s="11"/>
      <c r="I941" s="11"/>
      <c r="J941" s="16" t="str">
        <f t="shared" si="71"/>
        <v/>
      </c>
      <c r="K941" s="18" t="str">
        <f>IF(A941="","",IFERROR(SUMIF(Transactions!A$4:A$1003,A941,Transactions!F$4:F$1003),0))</f>
        <v/>
      </c>
      <c r="L941" s="15" t="str">
        <f t="shared" si="72"/>
        <v/>
      </c>
      <c r="M941" s="12" t="str">
        <f t="shared" ca="1" si="73"/>
        <v/>
      </c>
      <c r="N941" s="19" t="str">
        <f t="shared" ca="1" si="74"/>
        <v/>
      </c>
    </row>
    <row r="942" spans="1:14" ht="15.75" customHeight="1" x14ac:dyDescent="0.25">
      <c r="A942" s="11"/>
      <c r="B942" s="11"/>
      <c r="C942" s="11"/>
      <c r="D942" s="11"/>
      <c r="E942" s="11"/>
      <c r="F942" s="17" t="str">
        <f>IF(E942=0,"",IFERROR(E942*Config!B18,0))</f>
        <v/>
      </c>
      <c r="G942" s="13" t="str">
        <f t="shared" si="70"/>
        <v/>
      </c>
      <c r="H942" s="11"/>
      <c r="I942" s="11"/>
      <c r="J942" s="16" t="str">
        <f t="shared" si="71"/>
        <v/>
      </c>
      <c r="K942" s="18" t="str">
        <f>IF(A942="","",IFERROR(SUMIF(Transactions!A$4:A$1003,A942,Transactions!F$4:F$1003),0))</f>
        <v/>
      </c>
      <c r="L942" s="15" t="str">
        <f t="shared" si="72"/>
        <v/>
      </c>
      <c r="M942" s="12" t="str">
        <f t="shared" ca="1" si="73"/>
        <v/>
      </c>
      <c r="N942" s="19" t="str">
        <f t="shared" ca="1" si="74"/>
        <v/>
      </c>
    </row>
    <row r="943" spans="1:14" ht="15.75" customHeight="1" x14ac:dyDescent="0.25">
      <c r="A943" s="11"/>
      <c r="B943" s="11"/>
      <c r="C943" s="11"/>
      <c r="D943" s="11"/>
      <c r="E943" s="11"/>
      <c r="F943" s="17" t="str">
        <f>IF(E943=0,"",IFERROR(E943*Config!B18,0))</f>
        <v/>
      </c>
      <c r="G943" s="13" t="str">
        <f t="shared" si="70"/>
        <v/>
      </c>
      <c r="H943" s="11"/>
      <c r="I943" s="11"/>
      <c r="J943" s="16" t="str">
        <f t="shared" si="71"/>
        <v/>
      </c>
      <c r="K943" s="18" t="str">
        <f>IF(A943="","",IFERROR(SUMIF(Transactions!A$4:A$1003,A943,Transactions!F$4:F$1003),0))</f>
        <v/>
      </c>
      <c r="L943" s="15" t="str">
        <f t="shared" si="72"/>
        <v/>
      </c>
      <c r="M943" s="12" t="str">
        <f t="shared" ca="1" si="73"/>
        <v/>
      </c>
      <c r="N943" s="19" t="str">
        <f t="shared" ca="1" si="74"/>
        <v/>
      </c>
    </row>
    <row r="944" spans="1:14" ht="15.75" customHeight="1" x14ac:dyDescent="0.25">
      <c r="A944" s="11"/>
      <c r="B944" s="11"/>
      <c r="C944" s="11"/>
      <c r="D944" s="11"/>
      <c r="E944" s="11"/>
      <c r="F944" s="17" t="str">
        <f>IF(E944=0,"",IFERROR(E944*Config!B18,0))</f>
        <v/>
      </c>
      <c r="G944" s="13" t="str">
        <f t="shared" si="70"/>
        <v/>
      </c>
      <c r="H944" s="11"/>
      <c r="I944" s="11"/>
      <c r="J944" s="16" t="str">
        <f t="shared" si="71"/>
        <v/>
      </c>
      <c r="K944" s="18" t="str">
        <f>IF(A944="","",IFERROR(SUMIF(Transactions!A$4:A$1003,A944,Transactions!F$4:F$1003),0))</f>
        <v/>
      </c>
      <c r="L944" s="15" t="str">
        <f t="shared" si="72"/>
        <v/>
      </c>
      <c r="M944" s="12" t="str">
        <f t="shared" ca="1" si="73"/>
        <v/>
      </c>
      <c r="N944" s="19" t="str">
        <f t="shared" ca="1" si="74"/>
        <v/>
      </c>
    </row>
    <row r="945" spans="1:14" ht="15.75" customHeight="1" x14ac:dyDescent="0.25">
      <c r="A945" s="11"/>
      <c r="B945" s="11"/>
      <c r="C945" s="11"/>
      <c r="D945" s="11"/>
      <c r="E945" s="11"/>
      <c r="F945" s="17" t="str">
        <f>IF(E945=0,"",IFERROR(E945*Config!B18,0))</f>
        <v/>
      </c>
      <c r="G945" s="13" t="str">
        <f t="shared" si="70"/>
        <v/>
      </c>
      <c r="H945" s="11"/>
      <c r="I945" s="11"/>
      <c r="J945" s="16" t="str">
        <f t="shared" si="71"/>
        <v/>
      </c>
      <c r="K945" s="18" t="str">
        <f>IF(A945="","",IFERROR(SUMIF(Transactions!A$4:A$1003,A945,Transactions!F$4:F$1003),0))</f>
        <v/>
      </c>
      <c r="L945" s="15" t="str">
        <f t="shared" si="72"/>
        <v/>
      </c>
      <c r="M945" s="12" t="str">
        <f t="shared" ca="1" si="73"/>
        <v/>
      </c>
      <c r="N945" s="19" t="str">
        <f t="shared" ca="1" si="74"/>
        <v/>
      </c>
    </row>
    <row r="946" spans="1:14" ht="15.75" customHeight="1" x14ac:dyDescent="0.25">
      <c r="A946" s="11"/>
      <c r="B946" s="11"/>
      <c r="C946" s="11"/>
      <c r="D946" s="11"/>
      <c r="E946" s="11"/>
      <c r="F946" s="17" t="str">
        <f>IF(E946=0,"",IFERROR(E946*Config!B18,0))</f>
        <v/>
      </c>
      <c r="G946" s="13" t="str">
        <f t="shared" si="70"/>
        <v/>
      </c>
      <c r="H946" s="11"/>
      <c r="I946" s="11"/>
      <c r="J946" s="16" t="str">
        <f t="shared" si="71"/>
        <v/>
      </c>
      <c r="K946" s="18" t="str">
        <f>IF(A946="","",IFERROR(SUMIF(Transactions!A$4:A$1003,A946,Transactions!F$4:F$1003),0))</f>
        <v/>
      </c>
      <c r="L946" s="15" t="str">
        <f t="shared" si="72"/>
        <v/>
      </c>
      <c r="M946" s="12" t="str">
        <f t="shared" ca="1" si="73"/>
        <v/>
      </c>
      <c r="N946" s="19" t="str">
        <f t="shared" ca="1" si="74"/>
        <v/>
      </c>
    </row>
    <row r="947" spans="1:14" ht="15.75" customHeight="1" x14ac:dyDescent="0.25">
      <c r="A947" s="11"/>
      <c r="B947" s="11"/>
      <c r="C947" s="11"/>
      <c r="D947" s="11"/>
      <c r="E947" s="11"/>
      <c r="F947" s="17" t="str">
        <f>IF(E947=0,"",IFERROR(E947*Config!B18,0))</f>
        <v/>
      </c>
      <c r="G947" s="13" t="str">
        <f t="shared" si="70"/>
        <v/>
      </c>
      <c r="H947" s="11"/>
      <c r="I947" s="11"/>
      <c r="J947" s="16" t="str">
        <f t="shared" si="71"/>
        <v/>
      </c>
      <c r="K947" s="18" t="str">
        <f>IF(A947="","",IFERROR(SUMIF(Transactions!A$4:A$1003,A947,Transactions!F$4:F$1003),0))</f>
        <v/>
      </c>
      <c r="L947" s="15" t="str">
        <f t="shared" si="72"/>
        <v/>
      </c>
      <c r="M947" s="12" t="str">
        <f t="shared" ca="1" si="73"/>
        <v/>
      </c>
      <c r="N947" s="19" t="str">
        <f t="shared" ca="1" si="74"/>
        <v/>
      </c>
    </row>
    <row r="948" spans="1:14" ht="15.75" customHeight="1" x14ac:dyDescent="0.25">
      <c r="A948" s="11"/>
      <c r="B948" s="11"/>
      <c r="C948" s="11"/>
      <c r="D948" s="11"/>
      <c r="E948" s="11"/>
      <c r="F948" s="17" t="str">
        <f>IF(E948=0,"",IFERROR(E948*Config!B18,0))</f>
        <v/>
      </c>
      <c r="G948" s="13" t="str">
        <f t="shared" si="70"/>
        <v/>
      </c>
      <c r="H948" s="11"/>
      <c r="I948" s="11"/>
      <c r="J948" s="16" t="str">
        <f t="shared" si="71"/>
        <v/>
      </c>
      <c r="K948" s="18" t="str">
        <f>IF(A948="","",IFERROR(SUMIF(Transactions!A$4:A$1003,A948,Transactions!F$4:F$1003),0))</f>
        <v/>
      </c>
      <c r="L948" s="15" t="str">
        <f t="shared" si="72"/>
        <v/>
      </c>
      <c r="M948" s="12" t="str">
        <f t="shared" ca="1" si="73"/>
        <v/>
      </c>
      <c r="N948" s="19" t="str">
        <f t="shared" ca="1" si="74"/>
        <v/>
      </c>
    </row>
    <row r="949" spans="1:14" ht="15.75" customHeight="1" x14ac:dyDescent="0.25">
      <c r="A949" s="11"/>
      <c r="B949" s="11"/>
      <c r="C949" s="11"/>
      <c r="D949" s="11"/>
      <c r="E949" s="11"/>
      <c r="F949" s="17" t="str">
        <f>IF(E949=0,"",IFERROR(E949*Config!B18,0))</f>
        <v/>
      </c>
      <c r="G949" s="13" t="str">
        <f t="shared" si="70"/>
        <v/>
      </c>
      <c r="H949" s="11"/>
      <c r="I949" s="11"/>
      <c r="J949" s="16" t="str">
        <f t="shared" si="71"/>
        <v/>
      </c>
      <c r="K949" s="18" t="str">
        <f>IF(A949="","",IFERROR(SUMIF(Transactions!A$4:A$1003,A949,Transactions!F$4:F$1003),0))</f>
        <v/>
      </c>
      <c r="L949" s="15" t="str">
        <f t="shared" si="72"/>
        <v/>
      </c>
      <c r="M949" s="12" t="str">
        <f t="shared" ca="1" si="73"/>
        <v/>
      </c>
      <c r="N949" s="19" t="str">
        <f t="shared" ca="1" si="74"/>
        <v/>
      </c>
    </row>
    <row r="950" spans="1:14" ht="15.75" customHeight="1" x14ac:dyDescent="0.25">
      <c r="A950" s="11"/>
      <c r="B950" s="11"/>
      <c r="C950" s="11"/>
      <c r="D950" s="11"/>
      <c r="E950" s="11"/>
      <c r="F950" s="17" t="str">
        <f>IF(E950=0,"",IFERROR(E950*Config!B18,0))</f>
        <v/>
      </c>
      <c r="G950" s="13" t="str">
        <f t="shared" si="70"/>
        <v/>
      </c>
      <c r="H950" s="11"/>
      <c r="I950" s="11"/>
      <c r="J950" s="16" t="str">
        <f t="shared" si="71"/>
        <v/>
      </c>
      <c r="K950" s="18" t="str">
        <f>IF(A950="","",IFERROR(SUMIF(Transactions!A$4:A$1003,A950,Transactions!F$4:F$1003),0))</f>
        <v/>
      </c>
      <c r="L950" s="15" t="str">
        <f t="shared" si="72"/>
        <v/>
      </c>
      <c r="M950" s="12" t="str">
        <f t="shared" ca="1" si="73"/>
        <v/>
      </c>
      <c r="N950" s="19" t="str">
        <f t="shared" ca="1" si="74"/>
        <v/>
      </c>
    </row>
    <row r="951" spans="1:14" ht="15.75" customHeight="1" x14ac:dyDescent="0.25">
      <c r="A951" s="11"/>
      <c r="B951" s="11"/>
      <c r="C951" s="11"/>
      <c r="D951" s="11"/>
      <c r="E951" s="11"/>
      <c r="F951" s="17" t="str">
        <f>IF(E951=0,"",IFERROR(E951*Config!B18,0))</f>
        <v/>
      </c>
      <c r="G951" s="13" t="str">
        <f t="shared" si="70"/>
        <v/>
      </c>
      <c r="H951" s="11"/>
      <c r="I951" s="11"/>
      <c r="J951" s="16" t="str">
        <f t="shared" si="71"/>
        <v/>
      </c>
      <c r="K951" s="18" t="str">
        <f>IF(A951="","",IFERROR(SUMIF(Transactions!A$4:A$1003,A951,Transactions!F$4:F$1003),0))</f>
        <v/>
      </c>
      <c r="L951" s="15" t="str">
        <f t="shared" si="72"/>
        <v/>
      </c>
      <c r="M951" s="12" t="str">
        <f t="shared" ca="1" si="73"/>
        <v/>
      </c>
      <c r="N951" s="19" t="str">
        <f t="shared" ca="1" si="74"/>
        <v/>
      </c>
    </row>
    <row r="952" spans="1:14" ht="15.75" customHeight="1" x14ac:dyDescent="0.25">
      <c r="A952" s="11"/>
      <c r="B952" s="11"/>
      <c r="C952" s="11"/>
      <c r="D952" s="11"/>
      <c r="E952" s="11"/>
      <c r="F952" s="17" t="str">
        <f>IF(E952=0,"",IFERROR(E952*Config!B18,0))</f>
        <v/>
      </c>
      <c r="G952" s="13" t="str">
        <f t="shared" si="70"/>
        <v/>
      </c>
      <c r="H952" s="11"/>
      <c r="I952" s="11"/>
      <c r="J952" s="16" t="str">
        <f t="shared" si="71"/>
        <v/>
      </c>
      <c r="K952" s="18" t="str">
        <f>IF(A952="","",IFERROR(SUMIF(Transactions!A$4:A$1003,A952,Transactions!F$4:F$1003),0))</f>
        <v/>
      </c>
      <c r="L952" s="15" t="str">
        <f t="shared" si="72"/>
        <v/>
      </c>
      <c r="M952" s="12" t="str">
        <f t="shared" ca="1" si="73"/>
        <v/>
      </c>
      <c r="N952" s="19" t="str">
        <f t="shared" ca="1" si="74"/>
        <v/>
      </c>
    </row>
    <row r="953" spans="1:14" ht="15.75" customHeight="1" x14ac:dyDescent="0.25">
      <c r="A953" s="11"/>
      <c r="B953" s="11"/>
      <c r="C953" s="11"/>
      <c r="D953" s="11"/>
      <c r="E953" s="11"/>
      <c r="F953" s="17" t="str">
        <f>IF(E953=0,"",IFERROR(E953*Config!B18,0))</f>
        <v/>
      </c>
      <c r="G953" s="13" t="str">
        <f t="shared" si="70"/>
        <v/>
      </c>
      <c r="H953" s="11"/>
      <c r="I953" s="11"/>
      <c r="J953" s="16" t="str">
        <f t="shared" si="71"/>
        <v/>
      </c>
      <c r="K953" s="18" t="str">
        <f>IF(A953="","",IFERROR(SUMIF(Transactions!A$4:A$1003,A953,Transactions!F$4:F$1003),0))</f>
        <v/>
      </c>
      <c r="L953" s="15" t="str">
        <f t="shared" si="72"/>
        <v/>
      </c>
      <c r="M953" s="12" t="str">
        <f t="shared" ca="1" si="73"/>
        <v/>
      </c>
      <c r="N953" s="19" t="str">
        <f t="shared" ca="1" si="74"/>
        <v/>
      </c>
    </row>
    <row r="954" spans="1:14" ht="15.75" customHeight="1" x14ac:dyDescent="0.25">
      <c r="A954" s="11"/>
      <c r="B954" s="11"/>
      <c r="C954" s="11"/>
      <c r="D954" s="11"/>
      <c r="E954" s="11"/>
      <c r="F954" s="17" t="str">
        <f>IF(E954=0,"",IFERROR(E954*Config!B18,0))</f>
        <v/>
      </c>
      <c r="G954" s="13" t="str">
        <f t="shared" si="70"/>
        <v/>
      </c>
      <c r="H954" s="11"/>
      <c r="I954" s="11"/>
      <c r="J954" s="16" t="str">
        <f t="shared" si="71"/>
        <v/>
      </c>
      <c r="K954" s="18" t="str">
        <f>IF(A954="","",IFERROR(SUMIF(Transactions!A$4:A$1003,A954,Transactions!F$4:F$1003),0))</f>
        <v/>
      </c>
      <c r="L954" s="15" t="str">
        <f t="shared" si="72"/>
        <v/>
      </c>
      <c r="M954" s="12" t="str">
        <f t="shared" ca="1" si="73"/>
        <v/>
      </c>
      <c r="N954" s="19" t="str">
        <f t="shared" ca="1" si="74"/>
        <v/>
      </c>
    </row>
    <row r="955" spans="1:14" ht="15.75" customHeight="1" x14ac:dyDescent="0.25">
      <c r="A955" s="11"/>
      <c r="B955" s="11"/>
      <c r="C955" s="11"/>
      <c r="D955" s="11"/>
      <c r="E955" s="11"/>
      <c r="F955" s="17" t="str">
        <f>IF(E955=0,"",IFERROR(E955*Config!B18,0))</f>
        <v/>
      </c>
      <c r="G955" s="13" t="str">
        <f t="shared" si="70"/>
        <v/>
      </c>
      <c r="H955" s="11"/>
      <c r="I955" s="11"/>
      <c r="J955" s="16" t="str">
        <f t="shared" si="71"/>
        <v/>
      </c>
      <c r="K955" s="18" t="str">
        <f>IF(A955="","",IFERROR(SUMIF(Transactions!A$4:A$1003,A955,Transactions!F$4:F$1003),0))</f>
        <v/>
      </c>
      <c r="L955" s="15" t="str">
        <f t="shared" si="72"/>
        <v/>
      </c>
      <c r="M955" s="12" t="str">
        <f t="shared" ca="1" si="73"/>
        <v/>
      </c>
      <c r="N955" s="19" t="str">
        <f t="shared" ca="1" si="74"/>
        <v/>
      </c>
    </row>
    <row r="956" spans="1:14" ht="15.75" customHeight="1" x14ac:dyDescent="0.25">
      <c r="A956" s="11"/>
      <c r="B956" s="11"/>
      <c r="C956" s="11"/>
      <c r="D956" s="11"/>
      <c r="E956" s="11"/>
      <c r="F956" s="17" t="str">
        <f>IF(E956=0,"",IFERROR(E956*Config!B18,0))</f>
        <v/>
      </c>
      <c r="G956" s="13" t="str">
        <f t="shared" si="70"/>
        <v/>
      </c>
      <c r="H956" s="11"/>
      <c r="I956" s="11"/>
      <c r="J956" s="16" t="str">
        <f t="shared" si="71"/>
        <v/>
      </c>
      <c r="K956" s="18" t="str">
        <f>IF(A956="","",IFERROR(SUMIF(Transactions!A$4:A$1003,A956,Transactions!F$4:F$1003),0))</f>
        <v/>
      </c>
      <c r="L956" s="15" t="str">
        <f t="shared" si="72"/>
        <v/>
      </c>
      <c r="M956" s="12" t="str">
        <f t="shared" ca="1" si="73"/>
        <v/>
      </c>
      <c r="N956" s="19" t="str">
        <f t="shared" ca="1" si="74"/>
        <v/>
      </c>
    </row>
    <row r="957" spans="1:14" ht="15.75" customHeight="1" x14ac:dyDescent="0.25">
      <c r="A957" s="11"/>
      <c r="B957" s="11"/>
      <c r="C957" s="11"/>
      <c r="D957" s="11"/>
      <c r="E957" s="11"/>
      <c r="F957" s="17" t="str">
        <f>IF(E957=0,"",IFERROR(E957*Config!B18,0))</f>
        <v/>
      </c>
      <c r="G957" s="13" t="str">
        <f t="shared" si="70"/>
        <v/>
      </c>
      <c r="H957" s="11"/>
      <c r="I957" s="11"/>
      <c r="J957" s="16" t="str">
        <f t="shared" si="71"/>
        <v/>
      </c>
      <c r="K957" s="18" t="str">
        <f>IF(A957="","",IFERROR(SUMIF(Transactions!A$4:A$1003,A957,Transactions!F$4:F$1003),0))</f>
        <v/>
      </c>
      <c r="L957" s="15" t="str">
        <f t="shared" si="72"/>
        <v/>
      </c>
      <c r="M957" s="12" t="str">
        <f t="shared" ca="1" si="73"/>
        <v/>
      </c>
      <c r="N957" s="19" t="str">
        <f t="shared" ca="1" si="74"/>
        <v/>
      </c>
    </row>
    <row r="958" spans="1:14" ht="15.75" customHeight="1" x14ac:dyDescent="0.25">
      <c r="A958" s="11"/>
      <c r="B958" s="11"/>
      <c r="C958" s="11"/>
      <c r="D958" s="11"/>
      <c r="E958" s="11"/>
      <c r="F958" s="17" t="str">
        <f>IF(E958=0,"",IFERROR(E958*Config!B18,0))</f>
        <v/>
      </c>
      <c r="G958" s="13" t="str">
        <f t="shared" si="70"/>
        <v/>
      </c>
      <c r="H958" s="11"/>
      <c r="I958" s="11"/>
      <c r="J958" s="16" t="str">
        <f t="shared" si="71"/>
        <v/>
      </c>
      <c r="K958" s="18" t="str">
        <f>IF(A958="","",IFERROR(SUMIF(Transactions!A$4:A$1003,A958,Transactions!F$4:F$1003),0))</f>
        <v/>
      </c>
      <c r="L958" s="15" t="str">
        <f t="shared" si="72"/>
        <v/>
      </c>
      <c r="M958" s="12" t="str">
        <f t="shared" ca="1" si="73"/>
        <v/>
      </c>
      <c r="N958" s="19" t="str">
        <f t="shared" ca="1" si="74"/>
        <v/>
      </c>
    </row>
    <row r="959" spans="1:14" ht="15.75" customHeight="1" x14ac:dyDescent="0.25">
      <c r="A959" s="11"/>
      <c r="B959" s="11"/>
      <c r="C959" s="11"/>
      <c r="D959" s="11"/>
      <c r="E959" s="11"/>
      <c r="F959" s="17" t="str">
        <f>IF(E959=0,"",IFERROR(E959*Config!B18,0))</f>
        <v/>
      </c>
      <c r="G959" s="13" t="str">
        <f t="shared" si="70"/>
        <v/>
      </c>
      <c r="H959" s="11"/>
      <c r="I959" s="11"/>
      <c r="J959" s="16" t="str">
        <f t="shared" si="71"/>
        <v/>
      </c>
      <c r="K959" s="18" t="str">
        <f>IF(A959="","",IFERROR(SUMIF(Transactions!A$4:A$1003,A959,Transactions!F$4:F$1003),0))</f>
        <v/>
      </c>
      <c r="L959" s="15" t="str">
        <f t="shared" si="72"/>
        <v/>
      </c>
      <c r="M959" s="12" t="str">
        <f t="shared" ca="1" si="73"/>
        <v/>
      </c>
      <c r="N959" s="19" t="str">
        <f t="shared" ca="1" si="74"/>
        <v/>
      </c>
    </row>
    <row r="960" spans="1:14" ht="15.75" customHeight="1" x14ac:dyDescent="0.25">
      <c r="A960" s="11"/>
      <c r="B960" s="11"/>
      <c r="C960" s="11"/>
      <c r="D960" s="11"/>
      <c r="E960" s="11"/>
      <c r="F960" s="17" t="str">
        <f>IF(E960=0,"",IFERROR(E960*Config!B18,0))</f>
        <v/>
      </c>
      <c r="G960" s="13" t="str">
        <f t="shared" si="70"/>
        <v/>
      </c>
      <c r="H960" s="11"/>
      <c r="I960" s="11"/>
      <c r="J960" s="16" t="str">
        <f t="shared" si="71"/>
        <v/>
      </c>
      <c r="K960" s="18" t="str">
        <f>IF(A960="","",IFERROR(SUMIF(Transactions!A$4:A$1003,A960,Transactions!F$4:F$1003),0))</f>
        <v/>
      </c>
      <c r="L960" s="15" t="str">
        <f t="shared" si="72"/>
        <v/>
      </c>
      <c r="M960" s="12" t="str">
        <f t="shared" ca="1" si="73"/>
        <v/>
      </c>
      <c r="N960" s="19" t="str">
        <f t="shared" ca="1" si="74"/>
        <v/>
      </c>
    </row>
    <row r="961" spans="1:14" ht="15.75" customHeight="1" x14ac:dyDescent="0.25">
      <c r="A961" s="11"/>
      <c r="B961" s="11"/>
      <c r="C961" s="11"/>
      <c r="D961" s="11"/>
      <c r="E961" s="11"/>
      <c r="F961" s="17" t="str">
        <f>IF(E961=0,"",IFERROR(E961*Config!B18,0))</f>
        <v/>
      </c>
      <c r="G961" s="13" t="str">
        <f t="shared" si="70"/>
        <v/>
      </c>
      <c r="H961" s="11"/>
      <c r="I961" s="11"/>
      <c r="J961" s="16" t="str">
        <f t="shared" si="71"/>
        <v/>
      </c>
      <c r="K961" s="18" t="str">
        <f>IF(A961="","",IFERROR(SUMIF(Transactions!A$4:A$1003,A961,Transactions!F$4:F$1003),0))</f>
        <v/>
      </c>
      <c r="L961" s="15" t="str">
        <f t="shared" si="72"/>
        <v/>
      </c>
      <c r="M961" s="12" t="str">
        <f t="shared" ca="1" si="73"/>
        <v/>
      </c>
      <c r="N961" s="19" t="str">
        <f t="shared" ca="1" si="74"/>
        <v/>
      </c>
    </row>
    <row r="962" spans="1:14" ht="15.75" customHeight="1" x14ac:dyDescent="0.25">
      <c r="A962" s="11"/>
      <c r="B962" s="11"/>
      <c r="C962" s="11"/>
      <c r="D962" s="11"/>
      <c r="E962" s="11"/>
      <c r="F962" s="17" t="str">
        <f>IF(E962=0,"",IFERROR(E962*Config!B18,0))</f>
        <v/>
      </c>
      <c r="G962" s="13" t="str">
        <f t="shared" si="70"/>
        <v/>
      </c>
      <c r="H962" s="11"/>
      <c r="I962" s="11"/>
      <c r="J962" s="16" t="str">
        <f t="shared" si="71"/>
        <v/>
      </c>
      <c r="K962" s="18" t="str">
        <f>IF(A962="","",IFERROR(SUMIF(Transactions!A$4:A$1003,A962,Transactions!F$4:F$1003),0))</f>
        <v/>
      </c>
      <c r="L962" s="15" t="str">
        <f t="shared" si="72"/>
        <v/>
      </c>
      <c r="M962" s="12" t="str">
        <f t="shared" ca="1" si="73"/>
        <v/>
      </c>
      <c r="N962" s="19" t="str">
        <f t="shared" ca="1" si="74"/>
        <v/>
      </c>
    </row>
    <row r="963" spans="1:14" ht="15.75" customHeight="1" x14ac:dyDescent="0.25">
      <c r="A963" s="11"/>
      <c r="B963" s="11"/>
      <c r="C963" s="11"/>
      <c r="D963" s="11"/>
      <c r="E963" s="11"/>
      <c r="F963" s="17" t="str">
        <f>IF(E963=0,"",IFERROR(E963*Config!B18,0))</f>
        <v/>
      </c>
      <c r="G963" s="13" t="str">
        <f t="shared" si="70"/>
        <v/>
      </c>
      <c r="H963" s="11"/>
      <c r="I963" s="11"/>
      <c r="J963" s="16" t="str">
        <f t="shared" si="71"/>
        <v/>
      </c>
      <c r="K963" s="18" t="str">
        <f>IF(A963="","",IFERROR(SUMIF(Transactions!A$4:A$1003,A963,Transactions!F$4:F$1003),0))</f>
        <v/>
      </c>
      <c r="L963" s="15" t="str">
        <f t="shared" si="72"/>
        <v/>
      </c>
      <c r="M963" s="12" t="str">
        <f t="shared" ca="1" si="73"/>
        <v/>
      </c>
      <c r="N963" s="19" t="str">
        <f t="shared" ca="1" si="74"/>
        <v/>
      </c>
    </row>
    <row r="964" spans="1:14" ht="15.75" customHeight="1" x14ac:dyDescent="0.25">
      <c r="A964" s="11"/>
      <c r="B964" s="11"/>
      <c r="C964" s="11"/>
      <c r="D964" s="11"/>
      <c r="E964" s="11"/>
      <c r="F964" s="17" t="str">
        <f>IF(E964=0,"",IFERROR(E964*Config!B18,0))</f>
        <v/>
      </c>
      <c r="G964" s="13" t="str">
        <f t="shared" ref="G964:G1027" si="75">IF(E964=0,"",MAX(0,E964-F964))</f>
        <v/>
      </c>
      <c r="H964" s="11"/>
      <c r="I964" s="11"/>
      <c r="J964" s="16" t="str">
        <f t="shared" ref="J964:J1027" si="76">IF(E964=0,"",IFERROR(-PMT(H964/100/12,I964,-E964),0))</f>
        <v/>
      </c>
      <c r="K964" s="18" t="str">
        <f>IF(A964="","",IFERROR(SUMIF(Transactions!A$4:A$1003,A964,Transactions!F$4:F$1003),0))</f>
        <v/>
      </c>
      <c r="L964" s="15" t="str">
        <f t="shared" ref="L964:L1027" si="77">IF(E964=0,"",MAX(0,E964-K964))</f>
        <v/>
      </c>
      <c r="M964" s="12" t="str">
        <f t="shared" ref="M964:M1027" ca="1" si="78">IF(A964="","",IF(L964&lt;=0,"✅ Fully Paid",IF(AND(D964&lt;&gt;"",TODAY()&gt;D964+I964*30),"⚠ Overdue","🟢 Active")))</f>
        <v/>
      </c>
      <c r="N964" s="19" t="str">
        <f t="shared" ref="N964:N1003" ca="1" si="79">IF(L964&lt;=0,TODAY(),"")</f>
        <v/>
      </c>
    </row>
    <row r="965" spans="1:14" ht="15.75" customHeight="1" x14ac:dyDescent="0.25">
      <c r="A965" s="11"/>
      <c r="B965" s="11"/>
      <c r="C965" s="11"/>
      <c r="D965" s="11"/>
      <c r="E965" s="11"/>
      <c r="F965" s="17" t="str">
        <f>IF(E965=0,"",IFERROR(E965*Config!B18,0))</f>
        <v/>
      </c>
      <c r="G965" s="13" t="str">
        <f t="shared" si="75"/>
        <v/>
      </c>
      <c r="H965" s="11"/>
      <c r="I965" s="11"/>
      <c r="J965" s="16" t="str">
        <f t="shared" si="76"/>
        <v/>
      </c>
      <c r="K965" s="18" t="str">
        <f>IF(A965="","",IFERROR(SUMIF(Transactions!A$4:A$1003,A965,Transactions!F$4:F$1003),0))</f>
        <v/>
      </c>
      <c r="L965" s="15" t="str">
        <f t="shared" si="77"/>
        <v/>
      </c>
      <c r="M965" s="12" t="str">
        <f t="shared" ca="1" si="78"/>
        <v/>
      </c>
      <c r="N965" s="19" t="str">
        <f t="shared" ca="1" si="79"/>
        <v/>
      </c>
    </row>
    <row r="966" spans="1:14" ht="15.75" customHeight="1" x14ac:dyDescent="0.25">
      <c r="A966" s="11"/>
      <c r="B966" s="11"/>
      <c r="C966" s="11"/>
      <c r="D966" s="11"/>
      <c r="E966" s="11"/>
      <c r="F966" s="17" t="str">
        <f>IF(E966=0,"",IFERROR(E966*Config!B18,0))</f>
        <v/>
      </c>
      <c r="G966" s="13" t="str">
        <f t="shared" si="75"/>
        <v/>
      </c>
      <c r="H966" s="11"/>
      <c r="I966" s="11"/>
      <c r="J966" s="16" t="str">
        <f t="shared" si="76"/>
        <v/>
      </c>
      <c r="K966" s="18" t="str">
        <f>IF(A966="","",IFERROR(SUMIF(Transactions!A$4:A$1003,A966,Transactions!F$4:F$1003),0))</f>
        <v/>
      </c>
      <c r="L966" s="15" t="str">
        <f t="shared" si="77"/>
        <v/>
      </c>
      <c r="M966" s="12" t="str">
        <f t="shared" ca="1" si="78"/>
        <v/>
      </c>
      <c r="N966" s="19" t="str">
        <f t="shared" ca="1" si="79"/>
        <v/>
      </c>
    </row>
    <row r="967" spans="1:14" ht="15.75" customHeight="1" x14ac:dyDescent="0.25">
      <c r="A967" s="11"/>
      <c r="B967" s="11"/>
      <c r="C967" s="11"/>
      <c r="D967" s="11"/>
      <c r="E967" s="11"/>
      <c r="F967" s="17" t="str">
        <f>IF(E967=0,"",IFERROR(E967*Config!B18,0))</f>
        <v/>
      </c>
      <c r="G967" s="13" t="str">
        <f t="shared" si="75"/>
        <v/>
      </c>
      <c r="H967" s="11"/>
      <c r="I967" s="11"/>
      <c r="J967" s="16" t="str">
        <f t="shared" si="76"/>
        <v/>
      </c>
      <c r="K967" s="18" t="str">
        <f>IF(A967="","",IFERROR(SUMIF(Transactions!A$4:A$1003,A967,Transactions!F$4:F$1003),0))</f>
        <v/>
      </c>
      <c r="L967" s="15" t="str">
        <f t="shared" si="77"/>
        <v/>
      </c>
      <c r="M967" s="12" t="str">
        <f t="shared" ca="1" si="78"/>
        <v/>
      </c>
      <c r="N967" s="19" t="str">
        <f t="shared" ca="1" si="79"/>
        <v/>
      </c>
    </row>
    <row r="968" spans="1:14" ht="15.75" customHeight="1" x14ac:dyDescent="0.25">
      <c r="A968" s="11"/>
      <c r="B968" s="11"/>
      <c r="C968" s="11"/>
      <c r="D968" s="11"/>
      <c r="E968" s="11"/>
      <c r="F968" s="17" t="str">
        <f>IF(E968=0,"",IFERROR(E968*Config!B18,0))</f>
        <v/>
      </c>
      <c r="G968" s="13" t="str">
        <f t="shared" si="75"/>
        <v/>
      </c>
      <c r="H968" s="11"/>
      <c r="I968" s="11"/>
      <c r="J968" s="16" t="str">
        <f t="shared" si="76"/>
        <v/>
      </c>
      <c r="K968" s="18" t="str">
        <f>IF(A968="","",IFERROR(SUMIF(Transactions!A$4:A$1003,A968,Transactions!F$4:F$1003),0))</f>
        <v/>
      </c>
      <c r="L968" s="15" t="str">
        <f t="shared" si="77"/>
        <v/>
      </c>
      <c r="M968" s="12" t="str">
        <f t="shared" ca="1" si="78"/>
        <v/>
      </c>
      <c r="N968" s="19" t="str">
        <f t="shared" ca="1" si="79"/>
        <v/>
      </c>
    </row>
    <row r="969" spans="1:14" ht="15.75" customHeight="1" x14ac:dyDescent="0.25">
      <c r="A969" s="11"/>
      <c r="B969" s="11"/>
      <c r="C969" s="11"/>
      <c r="D969" s="11"/>
      <c r="E969" s="11"/>
      <c r="F969" s="17" t="str">
        <f>IF(E969=0,"",IFERROR(E969*Config!B18,0))</f>
        <v/>
      </c>
      <c r="G969" s="13" t="str">
        <f t="shared" si="75"/>
        <v/>
      </c>
      <c r="H969" s="11"/>
      <c r="I969" s="11"/>
      <c r="J969" s="16" t="str">
        <f t="shared" si="76"/>
        <v/>
      </c>
      <c r="K969" s="18" t="str">
        <f>IF(A969="","",IFERROR(SUMIF(Transactions!A$4:A$1003,A969,Transactions!F$4:F$1003),0))</f>
        <v/>
      </c>
      <c r="L969" s="15" t="str">
        <f t="shared" si="77"/>
        <v/>
      </c>
      <c r="M969" s="12" t="str">
        <f t="shared" ca="1" si="78"/>
        <v/>
      </c>
      <c r="N969" s="19" t="str">
        <f t="shared" ca="1" si="79"/>
        <v/>
      </c>
    </row>
    <row r="970" spans="1:14" ht="15.75" customHeight="1" x14ac:dyDescent="0.25">
      <c r="A970" s="11"/>
      <c r="B970" s="11"/>
      <c r="C970" s="11"/>
      <c r="D970" s="11"/>
      <c r="E970" s="11"/>
      <c r="F970" s="17" t="str">
        <f>IF(E970=0,"",IFERROR(E970*Config!B18,0))</f>
        <v/>
      </c>
      <c r="G970" s="13" t="str">
        <f t="shared" si="75"/>
        <v/>
      </c>
      <c r="H970" s="11"/>
      <c r="I970" s="11"/>
      <c r="J970" s="16" t="str">
        <f t="shared" si="76"/>
        <v/>
      </c>
      <c r="K970" s="18" t="str">
        <f>IF(A970="","",IFERROR(SUMIF(Transactions!A$4:A$1003,A970,Transactions!F$4:F$1003),0))</f>
        <v/>
      </c>
      <c r="L970" s="15" t="str">
        <f t="shared" si="77"/>
        <v/>
      </c>
      <c r="M970" s="12" t="str">
        <f t="shared" ca="1" si="78"/>
        <v/>
      </c>
      <c r="N970" s="19" t="str">
        <f t="shared" ca="1" si="79"/>
        <v/>
      </c>
    </row>
    <row r="971" spans="1:14" ht="15.75" customHeight="1" x14ac:dyDescent="0.25">
      <c r="A971" s="11"/>
      <c r="B971" s="11"/>
      <c r="C971" s="11"/>
      <c r="D971" s="11"/>
      <c r="E971" s="11"/>
      <c r="F971" s="17" t="str">
        <f>IF(E971=0,"",IFERROR(E971*Config!B18,0))</f>
        <v/>
      </c>
      <c r="G971" s="13" t="str">
        <f t="shared" si="75"/>
        <v/>
      </c>
      <c r="H971" s="11"/>
      <c r="I971" s="11"/>
      <c r="J971" s="16" t="str">
        <f t="shared" si="76"/>
        <v/>
      </c>
      <c r="K971" s="18" t="str">
        <f>IF(A971="","",IFERROR(SUMIF(Transactions!A$4:A$1003,A971,Transactions!F$4:F$1003),0))</f>
        <v/>
      </c>
      <c r="L971" s="15" t="str">
        <f t="shared" si="77"/>
        <v/>
      </c>
      <c r="M971" s="12" t="str">
        <f t="shared" ca="1" si="78"/>
        <v/>
      </c>
      <c r="N971" s="19" t="str">
        <f t="shared" ca="1" si="79"/>
        <v/>
      </c>
    </row>
    <row r="972" spans="1:14" ht="15.75" customHeight="1" x14ac:dyDescent="0.25">
      <c r="A972" s="11"/>
      <c r="B972" s="11"/>
      <c r="C972" s="11"/>
      <c r="D972" s="11"/>
      <c r="E972" s="11"/>
      <c r="F972" s="17" t="str">
        <f>IF(E972=0,"",IFERROR(E972*Config!B18,0))</f>
        <v/>
      </c>
      <c r="G972" s="13" t="str">
        <f t="shared" si="75"/>
        <v/>
      </c>
      <c r="H972" s="11"/>
      <c r="I972" s="11"/>
      <c r="J972" s="16" t="str">
        <f t="shared" si="76"/>
        <v/>
      </c>
      <c r="K972" s="18" t="str">
        <f>IF(A972="","",IFERROR(SUMIF(Transactions!A$4:A$1003,A972,Transactions!F$4:F$1003),0))</f>
        <v/>
      </c>
      <c r="L972" s="15" t="str">
        <f t="shared" si="77"/>
        <v/>
      </c>
      <c r="M972" s="12" t="str">
        <f t="shared" ca="1" si="78"/>
        <v/>
      </c>
      <c r="N972" s="19" t="str">
        <f t="shared" ca="1" si="79"/>
        <v/>
      </c>
    </row>
    <row r="973" spans="1:14" ht="15.75" customHeight="1" x14ac:dyDescent="0.25">
      <c r="A973" s="11"/>
      <c r="B973" s="11"/>
      <c r="C973" s="11"/>
      <c r="D973" s="11"/>
      <c r="E973" s="11"/>
      <c r="F973" s="17" t="str">
        <f>IF(E973=0,"",IFERROR(E973*Config!B18,0))</f>
        <v/>
      </c>
      <c r="G973" s="13" t="str">
        <f t="shared" si="75"/>
        <v/>
      </c>
      <c r="H973" s="11"/>
      <c r="I973" s="11"/>
      <c r="J973" s="16" t="str">
        <f t="shared" si="76"/>
        <v/>
      </c>
      <c r="K973" s="18" t="str">
        <f>IF(A973="","",IFERROR(SUMIF(Transactions!A$4:A$1003,A973,Transactions!F$4:F$1003),0))</f>
        <v/>
      </c>
      <c r="L973" s="15" t="str">
        <f t="shared" si="77"/>
        <v/>
      </c>
      <c r="M973" s="12" t="str">
        <f t="shared" ca="1" si="78"/>
        <v/>
      </c>
      <c r="N973" s="19" t="str">
        <f t="shared" ca="1" si="79"/>
        <v/>
      </c>
    </row>
    <row r="974" spans="1:14" ht="15.75" customHeight="1" x14ac:dyDescent="0.25">
      <c r="A974" s="11"/>
      <c r="B974" s="11"/>
      <c r="C974" s="11"/>
      <c r="D974" s="11"/>
      <c r="E974" s="11"/>
      <c r="F974" s="17" t="str">
        <f>IF(E974=0,"",IFERROR(E974*Config!B18,0))</f>
        <v/>
      </c>
      <c r="G974" s="13" t="str">
        <f t="shared" si="75"/>
        <v/>
      </c>
      <c r="H974" s="11"/>
      <c r="I974" s="11"/>
      <c r="J974" s="16" t="str">
        <f t="shared" si="76"/>
        <v/>
      </c>
      <c r="K974" s="18" t="str">
        <f>IF(A974="","",IFERROR(SUMIF(Transactions!A$4:A$1003,A974,Transactions!F$4:F$1003),0))</f>
        <v/>
      </c>
      <c r="L974" s="15" t="str">
        <f t="shared" si="77"/>
        <v/>
      </c>
      <c r="M974" s="12" t="str">
        <f t="shared" ca="1" si="78"/>
        <v/>
      </c>
      <c r="N974" s="19" t="str">
        <f t="shared" ca="1" si="79"/>
        <v/>
      </c>
    </row>
    <row r="975" spans="1:14" ht="15.75" customHeight="1" x14ac:dyDescent="0.25">
      <c r="A975" s="11"/>
      <c r="B975" s="11"/>
      <c r="C975" s="11"/>
      <c r="D975" s="11"/>
      <c r="E975" s="11"/>
      <c r="F975" s="17" t="str">
        <f>IF(E975=0,"",IFERROR(E975*Config!B18,0))</f>
        <v/>
      </c>
      <c r="G975" s="13" t="str">
        <f t="shared" si="75"/>
        <v/>
      </c>
      <c r="H975" s="11"/>
      <c r="I975" s="11"/>
      <c r="J975" s="16" t="str">
        <f t="shared" si="76"/>
        <v/>
      </c>
      <c r="K975" s="18" t="str">
        <f>IF(A975="","",IFERROR(SUMIF(Transactions!A$4:A$1003,A975,Transactions!F$4:F$1003),0))</f>
        <v/>
      </c>
      <c r="L975" s="15" t="str">
        <f t="shared" si="77"/>
        <v/>
      </c>
      <c r="M975" s="12" t="str">
        <f t="shared" ca="1" si="78"/>
        <v/>
      </c>
      <c r="N975" s="19" t="str">
        <f t="shared" ca="1" si="79"/>
        <v/>
      </c>
    </row>
    <row r="976" spans="1:14" ht="15.75" customHeight="1" x14ac:dyDescent="0.25">
      <c r="A976" s="11"/>
      <c r="B976" s="11"/>
      <c r="C976" s="11"/>
      <c r="D976" s="11"/>
      <c r="E976" s="11"/>
      <c r="F976" s="17" t="str">
        <f>IF(E976=0,"",IFERROR(E976*Config!B18,0))</f>
        <v/>
      </c>
      <c r="G976" s="13" t="str">
        <f t="shared" si="75"/>
        <v/>
      </c>
      <c r="H976" s="11"/>
      <c r="I976" s="11"/>
      <c r="J976" s="16" t="str">
        <f t="shared" si="76"/>
        <v/>
      </c>
      <c r="K976" s="18" t="str">
        <f>IF(A976="","",IFERROR(SUMIF(Transactions!A$4:A$1003,A976,Transactions!F$4:F$1003),0))</f>
        <v/>
      </c>
      <c r="L976" s="15" t="str">
        <f t="shared" si="77"/>
        <v/>
      </c>
      <c r="M976" s="12" t="str">
        <f t="shared" ca="1" si="78"/>
        <v/>
      </c>
      <c r="N976" s="19" t="str">
        <f t="shared" ca="1" si="79"/>
        <v/>
      </c>
    </row>
    <row r="977" spans="1:14" ht="15.75" customHeight="1" x14ac:dyDescent="0.25">
      <c r="A977" s="11"/>
      <c r="B977" s="11"/>
      <c r="C977" s="11"/>
      <c r="D977" s="11"/>
      <c r="E977" s="11"/>
      <c r="F977" s="17" t="str">
        <f>IF(E977=0,"",IFERROR(E977*Config!B18,0))</f>
        <v/>
      </c>
      <c r="G977" s="13" t="str">
        <f t="shared" si="75"/>
        <v/>
      </c>
      <c r="H977" s="11"/>
      <c r="I977" s="11"/>
      <c r="J977" s="16" t="str">
        <f t="shared" si="76"/>
        <v/>
      </c>
      <c r="K977" s="18" t="str">
        <f>IF(A977="","",IFERROR(SUMIF(Transactions!A$4:A$1003,A977,Transactions!F$4:F$1003),0))</f>
        <v/>
      </c>
      <c r="L977" s="15" t="str">
        <f t="shared" si="77"/>
        <v/>
      </c>
      <c r="M977" s="12" t="str">
        <f t="shared" ca="1" si="78"/>
        <v/>
      </c>
      <c r="N977" s="19" t="str">
        <f t="shared" ca="1" si="79"/>
        <v/>
      </c>
    </row>
    <row r="978" spans="1:14" ht="15.75" customHeight="1" x14ac:dyDescent="0.25">
      <c r="A978" s="11"/>
      <c r="B978" s="11"/>
      <c r="C978" s="11"/>
      <c r="D978" s="11"/>
      <c r="E978" s="11"/>
      <c r="F978" s="17" t="str">
        <f>IF(E978=0,"",IFERROR(E978*Config!B18,0))</f>
        <v/>
      </c>
      <c r="G978" s="13" t="str">
        <f t="shared" si="75"/>
        <v/>
      </c>
      <c r="H978" s="11"/>
      <c r="I978" s="11"/>
      <c r="J978" s="16" t="str">
        <f t="shared" si="76"/>
        <v/>
      </c>
      <c r="K978" s="18" t="str">
        <f>IF(A978="","",IFERROR(SUMIF(Transactions!A$4:A$1003,A978,Transactions!F$4:F$1003),0))</f>
        <v/>
      </c>
      <c r="L978" s="15" t="str">
        <f t="shared" si="77"/>
        <v/>
      </c>
      <c r="M978" s="12" t="str">
        <f t="shared" ca="1" si="78"/>
        <v/>
      </c>
      <c r="N978" s="19" t="str">
        <f t="shared" ca="1" si="79"/>
        <v/>
      </c>
    </row>
    <row r="979" spans="1:14" ht="15.75" customHeight="1" x14ac:dyDescent="0.25">
      <c r="A979" s="11"/>
      <c r="B979" s="11"/>
      <c r="C979" s="11"/>
      <c r="D979" s="11"/>
      <c r="E979" s="11"/>
      <c r="F979" s="17" t="str">
        <f>IF(E979=0,"",IFERROR(E979*Config!B18,0))</f>
        <v/>
      </c>
      <c r="G979" s="13" t="str">
        <f t="shared" si="75"/>
        <v/>
      </c>
      <c r="H979" s="11"/>
      <c r="I979" s="11"/>
      <c r="J979" s="16" t="str">
        <f t="shared" si="76"/>
        <v/>
      </c>
      <c r="K979" s="18" t="str">
        <f>IF(A979="","",IFERROR(SUMIF(Transactions!A$4:A$1003,A979,Transactions!F$4:F$1003),0))</f>
        <v/>
      </c>
      <c r="L979" s="15" t="str">
        <f t="shared" si="77"/>
        <v/>
      </c>
      <c r="M979" s="12" t="str">
        <f t="shared" ca="1" si="78"/>
        <v/>
      </c>
      <c r="N979" s="19" t="str">
        <f t="shared" ca="1" si="79"/>
        <v/>
      </c>
    </row>
    <row r="980" spans="1:14" ht="15.75" customHeight="1" x14ac:dyDescent="0.25">
      <c r="A980" s="11"/>
      <c r="B980" s="11"/>
      <c r="C980" s="11"/>
      <c r="D980" s="11"/>
      <c r="E980" s="11"/>
      <c r="F980" s="17" t="str">
        <f>IF(E980=0,"",IFERROR(E980*Config!B18,0))</f>
        <v/>
      </c>
      <c r="G980" s="13" t="str">
        <f t="shared" si="75"/>
        <v/>
      </c>
      <c r="H980" s="11"/>
      <c r="I980" s="11"/>
      <c r="J980" s="16" t="str">
        <f t="shared" si="76"/>
        <v/>
      </c>
      <c r="K980" s="18" t="str">
        <f>IF(A980="","",IFERROR(SUMIF(Transactions!A$4:A$1003,A980,Transactions!F$4:F$1003),0))</f>
        <v/>
      </c>
      <c r="L980" s="15" t="str">
        <f t="shared" si="77"/>
        <v/>
      </c>
      <c r="M980" s="12" t="str">
        <f t="shared" ca="1" si="78"/>
        <v/>
      </c>
      <c r="N980" s="19" t="str">
        <f t="shared" ca="1" si="79"/>
        <v/>
      </c>
    </row>
    <row r="981" spans="1:14" ht="15.75" customHeight="1" x14ac:dyDescent="0.25">
      <c r="A981" s="11"/>
      <c r="B981" s="11"/>
      <c r="C981" s="11"/>
      <c r="D981" s="11"/>
      <c r="E981" s="11"/>
      <c r="F981" s="17" t="str">
        <f>IF(E981=0,"",IFERROR(E981*Config!B18,0))</f>
        <v/>
      </c>
      <c r="G981" s="13" t="str">
        <f t="shared" si="75"/>
        <v/>
      </c>
      <c r="H981" s="11"/>
      <c r="I981" s="11"/>
      <c r="J981" s="16" t="str">
        <f t="shared" si="76"/>
        <v/>
      </c>
      <c r="K981" s="18" t="str">
        <f>IF(A981="","",IFERROR(SUMIF(Transactions!A$4:A$1003,A981,Transactions!F$4:F$1003),0))</f>
        <v/>
      </c>
      <c r="L981" s="15" t="str">
        <f t="shared" si="77"/>
        <v/>
      </c>
      <c r="M981" s="12" t="str">
        <f t="shared" ca="1" si="78"/>
        <v/>
      </c>
      <c r="N981" s="19" t="str">
        <f t="shared" ca="1" si="79"/>
        <v/>
      </c>
    </row>
    <row r="982" spans="1:14" ht="15.75" customHeight="1" x14ac:dyDescent="0.25">
      <c r="A982" s="11"/>
      <c r="B982" s="11"/>
      <c r="C982" s="11"/>
      <c r="D982" s="11"/>
      <c r="E982" s="11"/>
      <c r="F982" s="17" t="str">
        <f>IF(E982=0,"",IFERROR(E982*Config!B18,0))</f>
        <v/>
      </c>
      <c r="G982" s="13" t="str">
        <f t="shared" si="75"/>
        <v/>
      </c>
      <c r="H982" s="11"/>
      <c r="I982" s="11"/>
      <c r="J982" s="16" t="str">
        <f t="shared" si="76"/>
        <v/>
      </c>
      <c r="K982" s="18" t="str">
        <f>IF(A982="","",IFERROR(SUMIF(Transactions!A$4:A$1003,A982,Transactions!F$4:F$1003),0))</f>
        <v/>
      </c>
      <c r="L982" s="15" t="str">
        <f t="shared" si="77"/>
        <v/>
      </c>
      <c r="M982" s="12" t="str">
        <f t="shared" ca="1" si="78"/>
        <v/>
      </c>
      <c r="N982" s="19" t="str">
        <f t="shared" ca="1" si="79"/>
        <v/>
      </c>
    </row>
    <row r="983" spans="1:14" ht="15.75" customHeight="1" x14ac:dyDescent="0.25">
      <c r="A983" s="11"/>
      <c r="B983" s="11"/>
      <c r="C983" s="11"/>
      <c r="D983" s="11"/>
      <c r="E983" s="11"/>
      <c r="F983" s="17" t="str">
        <f>IF(E983=0,"",IFERROR(E983*Config!B18,0))</f>
        <v/>
      </c>
      <c r="G983" s="13" t="str">
        <f t="shared" si="75"/>
        <v/>
      </c>
      <c r="H983" s="11"/>
      <c r="I983" s="11"/>
      <c r="J983" s="16" t="str">
        <f t="shared" si="76"/>
        <v/>
      </c>
      <c r="K983" s="18" t="str">
        <f>IF(A983="","",IFERROR(SUMIF(Transactions!A$4:A$1003,A983,Transactions!F$4:F$1003),0))</f>
        <v/>
      </c>
      <c r="L983" s="15" t="str">
        <f t="shared" si="77"/>
        <v/>
      </c>
      <c r="M983" s="12" t="str">
        <f t="shared" ca="1" si="78"/>
        <v/>
      </c>
      <c r="N983" s="19" t="str">
        <f t="shared" ca="1" si="79"/>
        <v/>
      </c>
    </row>
    <row r="984" spans="1:14" ht="15.75" customHeight="1" x14ac:dyDescent="0.25">
      <c r="A984" s="11"/>
      <c r="B984" s="11"/>
      <c r="C984" s="11"/>
      <c r="D984" s="11"/>
      <c r="E984" s="11"/>
      <c r="F984" s="17" t="str">
        <f>IF(E984=0,"",IFERROR(E984*Config!B18,0))</f>
        <v/>
      </c>
      <c r="G984" s="13" t="str">
        <f t="shared" si="75"/>
        <v/>
      </c>
      <c r="H984" s="11"/>
      <c r="I984" s="11"/>
      <c r="J984" s="16" t="str">
        <f t="shared" si="76"/>
        <v/>
      </c>
      <c r="K984" s="18" t="str">
        <f>IF(A984="","",IFERROR(SUMIF(Transactions!A$4:A$1003,A984,Transactions!F$4:F$1003),0))</f>
        <v/>
      </c>
      <c r="L984" s="15" t="str">
        <f t="shared" si="77"/>
        <v/>
      </c>
      <c r="M984" s="12" t="str">
        <f t="shared" ca="1" si="78"/>
        <v/>
      </c>
      <c r="N984" s="19" t="str">
        <f t="shared" ca="1" si="79"/>
        <v/>
      </c>
    </row>
    <row r="985" spans="1:14" ht="15.75" customHeight="1" x14ac:dyDescent="0.25">
      <c r="A985" s="11"/>
      <c r="B985" s="11"/>
      <c r="C985" s="11"/>
      <c r="D985" s="11"/>
      <c r="E985" s="11"/>
      <c r="F985" s="17" t="str">
        <f>IF(E985=0,"",IFERROR(E985*Config!B18,0))</f>
        <v/>
      </c>
      <c r="G985" s="13" t="str">
        <f t="shared" si="75"/>
        <v/>
      </c>
      <c r="H985" s="11"/>
      <c r="I985" s="11"/>
      <c r="J985" s="16" t="str">
        <f t="shared" si="76"/>
        <v/>
      </c>
      <c r="K985" s="18" t="str">
        <f>IF(A985="","",IFERROR(SUMIF(Transactions!A$4:A$1003,A985,Transactions!F$4:F$1003),0))</f>
        <v/>
      </c>
      <c r="L985" s="15" t="str">
        <f t="shared" si="77"/>
        <v/>
      </c>
      <c r="M985" s="12" t="str">
        <f t="shared" ca="1" si="78"/>
        <v/>
      </c>
      <c r="N985" s="19" t="str">
        <f t="shared" ca="1" si="79"/>
        <v/>
      </c>
    </row>
    <row r="986" spans="1:14" ht="15.75" customHeight="1" x14ac:dyDescent="0.25">
      <c r="A986" s="11"/>
      <c r="B986" s="11"/>
      <c r="C986" s="11"/>
      <c r="D986" s="11"/>
      <c r="E986" s="11"/>
      <c r="F986" s="17" t="str">
        <f>IF(E986=0,"",IFERROR(E986*Config!B18,0))</f>
        <v/>
      </c>
      <c r="G986" s="13" t="str">
        <f t="shared" si="75"/>
        <v/>
      </c>
      <c r="H986" s="11"/>
      <c r="I986" s="11"/>
      <c r="J986" s="16" t="str">
        <f t="shared" si="76"/>
        <v/>
      </c>
      <c r="K986" s="18" t="str">
        <f>IF(A986="","",IFERROR(SUMIF(Transactions!A$4:A$1003,A986,Transactions!F$4:F$1003),0))</f>
        <v/>
      </c>
      <c r="L986" s="15" t="str">
        <f t="shared" si="77"/>
        <v/>
      </c>
      <c r="M986" s="12" t="str">
        <f t="shared" ca="1" si="78"/>
        <v/>
      </c>
      <c r="N986" s="19" t="str">
        <f t="shared" ca="1" si="79"/>
        <v/>
      </c>
    </row>
    <row r="987" spans="1:14" ht="15.75" customHeight="1" x14ac:dyDescent="0.25">
      <c r="A987" s="11"/>
      <c r="B987" s="11"/>
      <c r="C987" s="11"/>
      <c r="D987" s="11"/>
      <c r="E987" s="11"/>
      <c r="F987" s="17" t="str">
        <f>IF(E987=0,"",IFERROR(E987*Config!B18,0))</f>
        <v/>
      </c>
      <c r="G987" s="13" t="str">
        <f t="shared" si="75"/>
        <v/>
      </c>
      <c r="H987" s="11"/>
      <c r="I987" s="11"/>
      <c r="J987" s="16" t="str">
        <f t="shared" si="76"/>
        <v/>
      </c>
      <c r="K987" s="18" t="str">
        <f>IF(A987="","",IFERROR(SUMIF(Transactions!A$4:A$1003,A987,Transactions!F$4:F$1003),0))</f>
        <v/>
      </c>
      <c r="L987" s="15" t="str">
        <f t="shared" si="77"/>
        <v/>
      </c>
      <c r="M987" s="12" t="str">
        <f t="shared" ca="1" si="78"/>
        <v/>
      </c>
      <c r="N987" s="19" t="str">
        <f t="shared" ca="1" si="79"/>
        <v/>
      </c>
    </row>
    <row r="988" spans="1:14" ht="15.75" customHeight="1" x14ac:dyDescent="0.25">
      <c r="A988" s="11"/>
      <c r="B988" s="11"/>
      <c r="C988" s="11"/>
      <c r="D988" s="11"/>
      <c r="E988" s="11"/>
      <c r="F988" s="17" t="str">
        <f>IF(E988=0,"",IFERROR(E988*Config!B18,0))</f>
        <v/>
      </c>
      <c r="G988" s="13" t="str">
        <f t="shared" si="75"/>
        <v/>
      </c>
      <c r="H988" s="11"/>
      <c r="I988" s="11"/>
      <c r="J988" s="16" t="str">
        <f t="shared" si="76"/>
        <v/>
      </c>
      <c r="K988" s="18" t="str">
        <f>IF(A988="","",IFERROR(SUMIF(Transactions!A$4:A$1003,A988,Transactions!F$4:F$1003),0))</f>
        <v/>
      </c>
      <c r="L988" s="15" t="str">
        <f t="shared" si="77"/>
        <v/>
      </c>
      <c r="M988" s="12" t="str">
        <f t="shared" ca="1" si="78"/>
        <v/>
      </c>
      <c r="N988" s="19" t="str">
        <f t="shared" ca="1" si="79"/>
        <v/>
      </c>
    </row>
    <row r="989" spans="1:14" ht="15.75" customHeight="1" x14ac:dyDescent="0.25">
      <c r="A989" s="11"/>
      <c r="B989" s="11"/>
      <c r="C989" s="11"/>
      <c r="D989" s="11"/>
      <c r="E989" s="11"/>
      <c r="F989" s="17" t="str">
        <f>IF(E989=0,"",IFERROR(E989*Config!B18,0))</f>
        <v/>
      </c>
      <c r="G989" s="13" t="str">
        <f t="shared" si="75"/>
        <v/>
      </c>
      <c r="H989" s="11"/>
      <c r="I989" s="11"/>
      <c r="J989" s="16" t="str">
        <f t="shared" si="76"/>
        <v/>
      </c>
      <c r="K989" s="18" t="str">
        <f>IF(A989="","",IFERROR(SUMIF(Transactions!A$4:A$1003,A989,Transactions!F$4:F$1003),0))</f>
        <v/>
      </c>
      <c r="L989" s="15" t="str">
        <f t="shared" si="77"/>
        <v/>
      </c>
      <c r="M989" s="12" t="str">
        <f t="shared" ca="1" si="78"/>
        <v/>
      </c>
      <c r="N989" s="19" t="str">
        <f t="shared" ca="1" si="79"/>
        <v/>
      </c>
    </row>
    <row r="990" spans="1:14" ht="15.75" customHeight="1" x14ac:dyDescent="0.25">
      <c r="A990" s="11"/>
      <c r="B990" s="11"/>
      <c r="C990" s="11"/>
      <c r="D990" s="11"/>
      <c r="E990" s="11"/>
      <c r="F990" s="17" t="str">
        <f>IF(E990=0,"",IFERROR(E990*Config!B18,0))</f>
        <v/>
      </c>
      <c r="G990" s="13" t="str">
        <f t="shared" si="75"/>
        <v/>
      </c>
      <c r="H990" s="11"/>
      <c r="I990" s="11"/>
      <c r="J990" s="16" t="str">
        <f t="shared" si="76"/>
        <v/>
      </c>
      <c r="K990" s="18" t="str">
        <f>IF(A990="","",IFERROR(SUMIF(Transactions!A$4:A$1003,A990,Transactions!F$4:F$1003),0))</f>
        <v/>
      </c>
      <c r="L990" s="15" t="str">
        <f t="shared" si="77"/>
        <v/>
      </c>
      <c r="M990" s="12" t="str">
        <f t="shared" ca="1" si="78"/>
        <v/>
      </c>
      <c r="N990" s="19" t="str">
        <f t="shared" ca="1" si="79"/>
        <v/>
      </c>
    </row>
    <row r="991" spans="1:14" ht="15.75" customHeight="1" x14ac:dyDescent="0.25">
      <c r="A991" s="11"/>
      <c r="B991" s="11"/>
      <c r="C991" s="11"/>
      <c r="D991" s="11"/>
      <c r="E991" s="11"/>
      <c r="F991" s="17" t="str">
        <f>IF(E991=0,"",IFERROR(E991*Config!B18,0))</f>
        <v/>
      </c>
      <c r="G991" s="13" t="str">
        <f t="shared" si="75"/>
        <v/>
      </c>
      <c r="H991" s="11"/>
      <c r="I991" s="11"/>
      <c r="J991" s="16" t="str">
        <f t="shared" si="76"/>
        <v/>
      </c>
      <c r="K991" s="18" t="str">
        <f>IF(A991="","",IFERROR(SUMIF(Transactions!A$4:A$1003,A991,Transactions!F$4:F$1003),0))</f>
        <v/>
      </c>
      <c r="L991" s="15" t="str">
        <f t="shared" si="77"/>
        <v/>
      </c>
      <c r="M991" s="12" t="str">
        <f t="shared" ca="1" si="78"/>
        <v/>
      </c>
      <c r="N991" s="19" t="str">
        <f t="shared" ca="1" si="79"/>
        <v/>
      </c>
    </row>
    <row r="992" spans="1:14" ht="15.75" customHeight="1" x14ac:dyDescent="0.25">
      <c r="A992" s="11"/>
      <c r="B992" s="11"/>
      <c r="C992" s="11"/>
      <c r="D992" s="11"/>
      <c r="E992" s="11"/>
      <c r="F992" s="17" t="str">
        <f>IF(E992=0,"",IFERROR(E992*Config!B18,0))</f>
        <v/>
      </c>
      <c r="G992" s="13" t="str">
        <f t="shared" si="75"/>
        <v/>
      </c>
      <c r="H992" s="11"/>
      <c r="I992" s="11"/>
      <c r="J992" s="16" t="str">
        <f t="shared" si="76"/>
        <v/>
      </c>
      <c r="K992" s="18" t="str">
        <f>IF(A992="","",IFERROR(SUMIF(Transactions!A$4:A$1003,A992,Transactions!F$4:F$1003),0))</f>
        <v/>
      </c>
      <c r="L992" s="15" t="str">
        <f t="shared" si="77"/>
        <v/>
      </c>
      <c r="M992" s="12" t="str">
        <f t="shared" ca="1" si="78"/>
        <v/>
      </c>
      <c r="N992" s="19" t="str">
        <f t="shared" ca="1" si="79"/>
        <v/>
      </c>
    </row>
    <row r="993" spans="1:14" ht="15.75" customHeight="1" x14ac:dyDescent="0.25">
      <c r="A993" s="11"/>
      <c r="B993" s="11"/>
      <c r="C993" s="11"/>
      <c r="D993" s="11"/>
      <c r="E993" s="11"/>
      <c r="F993" s="17" t="str">
        <f>IF(E993=0,"",IFERROR(E993*Config!B18,0))</f>
        <v/>
      </c>
      <c r="G993" s="13" t="str">
        <f t="shared" si="75"/>
        <v/>
      </c>
      <c r="H993" s="11"/>
      <c r="I993" s="11"/>
      <c r="J993" s="16" t="str">
        <f t="shared" si="76"/>
        <v/>
      </c>
      <c r="K993" s="18" t="str">
        <f>IF(A993="","",IFERROR(SUMIF(Transactions!A$4:A$1003,A993,Transactions!F$4:F$1003),0))</f>
        <v/>
      </c>
      <c r="L993" s="15" t="str">
        <f t="shared" si="77"/>
        <v/>
      </c>
      <c r="M993" s="12" t="str">
        <f t="shared" ca="1" si="78"/>
        <v/>
      </c>
      <c r="N993" s="19" t="str">
        <f t="shared" ca="1" si="79"/>
        <v/>
      </c>
    </row>
    <row r="994" spans="1:14" ht="15.75" customHeight="1" x14ac:dyDescent="0.25">
      <c r="A994" s="11"/>
      <c r="B994" s="11"/>
      <c r="C994" s="11"/>
      <c r="D994" s="11"/>
      <c r="E994" s="11"/>
      <c r="F994" s="17" t="str">
        <f>IF(E994=0,"",IFERROR(E994*Config!B18,0))</f>
        <v/>
      </c>
      <c r="G994" s="13" t="str">
        <f t="shared" si="75"/>
        <v/>
      </c>
      <c r="H994" s="11"/>
      <c r="I994" s="11"/>
      <c r="J994" s="16" t="str">
        <f t="shared" si="76"/>
        <v/>
      </c>
      <c r="K994" s="18" t="str">
        <f>IF(A994="","",IFERROR(SUMIF(Transactions!A$4:A$1003,A994,Transactions!F$4:F$1003),0))</f>
        <v/>
      </c>
      <c r="L994" s="15" t="str">
        <f t="shared" si="77"/>
        <v/>
      </c>
      <c r="M994" s="12" t="str">
        <f t="shared" ca="1" si="78"/>
        <v/>
      </c>
      <c r="N994" s="19" t="str">
        <f t="shared" ca="1" si="79"/>
        <v/>
      </c>
    </row>
    <row r="995" spans="1:14" ht="15.75" customHeight="1" x14ac:dyDescent="0.25">
      <c r="A995" s="11"/>
      <c r="B995" s="11"/>
      <c r="C995" s="11"/>
      <c r="D995" s="11"/>
      <c r="E995" s="11"/>
      <c r="F995" s="17" t="str">
        <f>IF(E995=0,"",IFERROR(E995*Config!B18,0))</f>
        <v/>
      </c>
      <c r="G995" s="13" t="str">
        <f t="shared" si="75"/>
        <v/>
      </c>
      <c r="H995" s="11"/>
      <c r="I995" s="11"/>
      <c r="J995" s="16" t="str">
        <f t="shared" si="76"/>
        <v/>
      </c>
      <c r="K995" s="18" t="str">
        <f>IF(A995="","",IFERROR(SUMIF(Transactions!A$4:A$1003,A995,Transactions!F$4:F$1003),0))</f>
        <v/>
      </c>
      <c r="L995" s="15" t="str">
        <f t="shared" si="77"/>
        <v/>
      </c>
      <c r="M995" s="12" t="str">
        <f t="shared" ca="1" si="78"/>
        <v/>
      </c>
      <c r="N995" s="19" t="str">
        <f t="shared" ca="1" si="79"/>
        <v/>
      </c>
    </row>
    <row r="996" spans="1:14" ht="15.75" customHeight="1" x14ac:dyDescent="0.25">
      <c r="A996" s="11"/>
      <c r="B996" s="11"/>
      <c r="C996" s="11"/>
      <c r="D996" s="11"/>
      <c r="E996" s="11"/>
      <c r="F996" s="17" t="str">
        <f>IF(E996=0,"",IFERROR(E996*Config!B18,0))</f>
        <v/>
      </c>
      <c r="G996" s="13" t="str">
        <f t="shared" si="75"/>
        <v/>
      </c>
      <c r="H996" s="11"/>
      <c r="I996" s="11"/>
      <c r="J996" s="16" t="str">
        <f t="shared" si="76"/>
        <v/>
      </c>
      <c r="K996" s="18" t="str">
        <f>IF(A996="","",IFERROR(SUMIF(Transactions!A$4:A$1003,A996,Transactions!F$4:F$1003),0))</f>
        <v/>
      </c>
      <c r="L996" s="15" t="str">
        <f t="shared" si="77"/>
        <v/>
      </c>
      <c r="M996" s="12" t="str">
        <f t="shared" ca="1" si="78"/>
        <v/>
      </c>
      <c r="N996" s="19" t="str">
        <f t="shared" ca="1" si="79"/>
        <v/>
      </c>
    </row>
    <row r="997" spans="1:14" ht="15.75" customHeight="1" x14ac:dyDescent="0.25">
      <c r="A997" s="11"/>
      <c r="B997" s="11"/>
      <c r="C997" s="11"/>
      <c r="D997" s="11"/>
      <c r="E997" s="11"/>
      <c r="F997" s="17" t="str">
        <f>IF(E997=0,"",IFERROR(E997*Config!B18,0))</f>
        <v/>
      </c>
      <c r="G997" s="13" t="str">
        <f t="shared" si="75"/>
        <v/>
      </c>
      <c r="H997" s="11"/>
      <c r="I997" s="11"/>
      <c r="J997" s="16" t="str">
        <f t="shared" si="76"/>
        <v/>
      </c>
      <c r="K997" s="18" t="str">
        <f>IF(A997="","",IFERROR(SUMIF(Transactions!A$4:A$1003,A997,Transactions!F$4:F$1003),0))</f>
        <v/>
      </c>
      <c r="L997" s="15" t="str">
        <f t="shared" si="77"/>
        <v/>
      </c>
      <c r="M997" s="12" t="str">
        <f t="shared" ca="1" si="78"/>
        <v/>
      </c>
      <c r="N997" s="19" t="str">
        <f t="shared" ca="1" si="79"/>
        <v/>
      </c>
    </row>
    <row r="998" spans="1:14" ht="15.75" customHeight="1" x14ac:dyDescent="0.25">
      <c r="A998" s="11"/>
      <c r="B998" s="11"/>
      <c r="C998" s="11"/>
      <c r="D998" s="11"/>
      <c r="E998" s="11"/>
      <c r="F998" s="17" t="str">
        <f>IF(E998=0,"",IFERROR(E998*Config!B18,0))</f>
        <v/>
      </c>
      <c r="G998" s="13" t="str">
        <f t="shared" si="75"/>
        <v/>
      </c>
      <c r="H998" s="11"/>
      <c r="I998" s="11"/>
      <c r="J998" s="16" t="str">
        <f t="shared" si="76"/>
        <v/>
      </c>
      <c r="K998" s="18" t="str">
        <f>IF(A998="","",IFERROR(SUMIF(Transactions!A$4:A$1003,A998,Transactions!F$4:F$1003),0))</f>
        <v/>
      </c>
      <c r="L998" s="15" t="str">
        <f t="shared" si="77"/>
        <v/>
      </c>
      <c r="M998" s="12" t="str">
        <f t="shared" ca="1" si="78"/>
        <v/>
      </c>
      <c r="N998" s="19" t="str">
        <f t="shared" ca="1" si="79"/>
        <v/>
      </c>
    </row>
    <row r="999" spans="1:14" ht="15.75" customHeight="1" x14ac:dyDescent="0.25">
      <c r="A999" s="11"/>
      <c r="B999" s="11"/>
      <c r="C999" s="11"/>
      <c r="D999" s="11"/>
      <c r="E999" s="11"/>
      <c r="F999" s="17" t="str">
        <f>IF(E999=0,"",IFERROR(E999*Config!B18,0))</f>
        <v/>
      </c>
      <c r="G999" s="13" t="str">
        <f t="shared" si="75"/>
        <v/>
      </c>
      <c r="H999" s="11"/>
      <c r="I999" s="11"/>
      <c r="J999" s="16" t="str">
        <f t="shared" si="76"/>
        <v/>
      </c>
      <c r="K999" s="18" t="str">
        <f>IF(A999="","",IFERROR(SUMIF(Transactions!A$4:A$1003,A999,Transactions!F$4:F$1003),0))</f>
        <v/>
      </c>
      <c r="L999" s="15" t="str">
        <f t="shared" si="77"/>
        <v/>
      </c>
      <c r="M999" s="12" t="str">
        <f t="shared" ca="1" si="78"/>
        <v/>
      </c>
      <c r="N999" s="19" t="str">
        <f t="shared" ca="1" si="79"/>
        <v/>
      </c>
    </row>
    <row r="1000" spans="1:14" ht="15.75" customHeight="1" x14ac:dyDescent="0.25">
      <c r="A1000" s="11"/>
      <c r="B1000" s="11"/>
      <c r="C1000" s="11"/>
      <c r="D1000" s="11"/>
      <c r="E1000" s="11"/>
      <c r="F1000" s="17" t="str">
        <f>IF(E1000=0,"",IFERROR(E1000*Config!B18,0))</f>
        <v/>
      </c>
      <c r="G1000" s="13" t="str">
        <f t="shared" si="75"/>
        <v/>
      </c>
      <c r="H1000" s="11"/>
      <c r="I1000" s="11"/>
      <c r="J1000" s="16" t="str">
        <f t="shared" si="76"/>
        <v/>
      </c>
      <c r="K1000" s="18" t="str">
        <f>IF(A1000="","",IFERROR(SUMIF(Transactions!A$4:A$1003,A1000,Transactions!F$4:F$1003),0))</f>
        <v/>
      </c>
      <c r="L1000" s="15" t="str">
        <f t="shared" si="77"/>
        <v/>
      </c>
      <c r="M1000" s="12" t="str">
        <f t="shared" ca="1" si="78"/>
        <v/>
      </c>
      <c r="N1000" s="19" t="str">
        <f t="shared" ca="1" si="79"/>
        <v/>
      </c>
    </row>
    <row r="1001" spans="1:14" ht="15.75" customHeight="1" x14ac:dyDescent="0.25">
      <c r="A1001" s="11"/>
      <c r="B1001" s="11"/>
      <c r="C1001" s="11"/>
      <c r="D1001" s="11"/>
      <c r="E1001" s="11"/>
      <c r="F1001" s="17" t="str">
        <f>IF(E1001=0,"",IFERROR(E1001*Config!B18,0))</f>
        <v/>
      </c>
      <c r="G1001" s="13" t="str">
        <f t="shared" si="75"/>
        <v/>
      </c>
      <c r="H1001" s="11"/>
      <c r="I1001" s="11"/>
      <c r="J1001" s="16" t="str">
        <f t="shared" si="76"/>
        <v/>
      </c>
      <c r="K1001" s="18" t="str">
        <f>IF(A1001="","",IFERROR(SUMIF(Transactions!A$4:A$1003,A1001,Transactions!F$4:F$1003),0))</f>
        <v/>
      </c>
      <c r="L1001" s="15" t="str">
        <f t="shared" si="77"/>
        <v/>
      </c>
      <c r="M1001" s="12" t="str">
        <f t="shared" ca="1" si="78"/>
        <v/>
      </c>
      <c r="N1001" s="19" t="str">
        <f t="shared" ca="1" si="79"/>
        <v/>
      </c>
    </row>
    <row r="1002" spans="1:14" ht="15.75" customHeight="1" x14ac:dyDescent="0.25">
      <c r="A1002" s="11"/>
      <c r="B1002" s="11"/>
      <c r="C1002" s="11"/>
      <c r="D1002" s="11"/>
      <c r="E1002" s="11"/>
      <c r="F1002" s="17" t="str">
        <f>IF(E1002=0,"",IFERROR(E1002*Config!B18,0))</f>
        <v/>
      </c>
      <c r="G1002" s="13" t="str">
        <f t="shared" si="75"/>
        <v/>
      </c>
      <c r="H1002" s="11"/>
      <c r="I1002" s="11"/>
      <c r="J1002" s="16" t="str">
        <f t="shared" si="76"/>
        <v/>
      </c>
      <c r="K1002" s="18" t="str">
        <f>IF(A1002="","",IFERROR(SUMIF(Transactions!A$4:A$1003,A1002,Transactions!F$4:F$1003),0))</f>
        <v/>
      </c>
      <c r="L1002" s="15" t="str">
        <f t="shared" si="77"/>
        <v/>
      </c>
      <c r="M1002" s="12" t="str">
        <f t="shared" ca="1" si="78"/>
        <v/>
      </c>
      <c r="N1002" s="19" t="str">
        <f t="shared" ca="1" si="79"/>
        <v/>
      </c>
    </row>
    <row r="1003" spans="1:14" ht="15.75" customHeight="1" x14ac:dyDescent="0.25">
      <c r="A1003" s="11"/>
      <c r="B1003" s="11"/>
      <c r="C1003" s="11"/>
      <c r="D1003" s="11"/>
      <c r="E1003" s="11"/>
      <c r="F1003" s="17" t="str">
        <f>IF(E1003=0,"",IFERROR(E1003*Config!B18,0))</f>
        <v/>
      </c>
      <c r="G1003" s="13" t="str">
        <f t="shared" si="75"/>
        <v/>
      </c>
      <c r="H1003" s="11"/>
      <c r="I1003" s="11"/>
      <c r="J1003" s="16" t="str">
        <f t="shared" si="76"/>
        <v/>
      </c>
      <c r="K1003" s="18" t="str">
        <f>IF(A1003="","",IFERROR(SUMIF(Transactions!A$4:A$1003,A1003,Transactions!F$4:F$1003),0))</f>
        <v/>
      </c>
      <c r="L1003" s="15" t="str">
        <f t="shared" si="77"/>
        <v/>
      </c>
      <c r="M1003" s="12" t="str">
        <f t="shared" ca="1" si="78"/>
        <v/>
      </c>
      <c r="N1003" s="19" t="str">
        <f t="shared" ca="1" si="79"/>
        <v/>
      </c>
    </row>
  </sheetData>
  <mergeCells count="1">
    <mergeCell ref="A1:N1"/>
  </mergeCells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L103"/>
  <sheetViews>
    <sheetView zoomScaleNormal="100" workbookViewId="0">
      <pane ySplit="3" topLeftCell="A4" activePane="bottomLeft" state="frozen"/>
      <selection pane="bottomLeft" sqref="A1:L1"/>
    </sheetView>
  </sheetViews>
  <sheetFormatPr defaultColWidth="8.7109375" defaultRowHeight="15" x14ac:dyDescent="0.25"/>
  <cols>
    <col min="1" max="1" width="16" customWidth="1"/>
    <col min="2" max="2" width="22" customWidth="1"/>
    <col min="3" max="3" width="14" customWidth="1"/>
    <col min="4" max="4" width="13" customWidth="1"/>
    <col min="5" max="5" width="14" customWidth="1"/>
    <col min="6" max="6" width="18" customWidth="1"/>
    <col min="7" max="7" width="22" customWidth="1"/>
    <col min="8" max="9" width="16" customWidth="1"/>
    <col min="10" max="10" width="12" customWidth="1"/>
    <col min="11" max="11" width="13" customWidth="1"/>
    <col min="12" max="12" width="22" customWidth="1"/>
  </cols>
  <sheetData>
    <row r="1" spans="1:12" ht="31.5" customHeight="1" x14ac:dyDescent="0.25">
      <c r="A1" s="163" t="s">
        <v>277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</row>
    <row r="2" spans="1:12" ht="21.75" customHeight="1" x14ac:dyDescent="0.25">
      <c r="A2" s="3" t="s">
        <v>278</v>
      </c>
      <c r="B2" s="6">
        <f>COUNTIF(J4:J103,"Pending")</f>
        <v>0</v>
      </c>
      <c r="D2" s="3" t="s">
        <v>279</v>
      </c>
      <c r="E2" s="6">
        <f>SUMIF(J4:J103,"Pending",F4:F103)</f>
        <v>0</v>
      </c>
      <c r="G2" s="3" t="s">
        <v>280</v>
      </c>
      <c r="H2" s="6" t="str">
        <f ca="1">TEXT(TODAY(),"DD MMM YYYY")</f>
        <v>12 Apr 2026</v>
      </c>
      <c r="J2" s="3" t="s">
        <v>281</v>
      </c>
      <c r="K2" s="6">
        <f>Config!B19</f>
        <v>0.05</v>
      </c>
    </row>
    <row r="3" spans="1:12" ht="24" customHeight="1" x14ac:dyDescent="0.25">
      <c r="A3" s="20" t="s">
        <v>282</v>
      </c>
      <c r="B3" s="20" t="s">
        <v>260</v>
      </c>
      <c r="C3" s="20" t="s">
        <v>43</v>
      </c>
      <c r="D3" s="20" t="s">
        <v>283</v>
      </c>
      <c r="E3" s="20" t="s">
        <v>75</v>
      </c>
      <c r="F3" s="20" t="s">
        <v>284</v>
      </c>
      <c r="G3" s="20" t="s">
        <v>285</v>
      </c>
      <c r="H3" s="20" t="s">
        <v>269</v>
      </c>
      <c r="I3" s="20" t="s">
        <v>286</v>
      </c>
      <c r="J3" s="20" t="s">
        <v>80</v>
      </c>
      <c r="K3" s="20" t="s">
        <v>287</v>
      </c>
      <c r="L3" s="20" t="s">
        <v>288</v>
      </c>
    </row>
    <row r="4" spans="1:12" ht="15.75" customHeight="1" x14ac:dyDescent="0.25">
      <c r="A4" s="11"/>
      <c r="B4" s="11"/>
      <c r="C4" s="11"/>
      <c r="D4" s="11"/>
      <c r="E4" s="11"/>
      <c r="F4" s="11"/>
      <c r="G4" s="11"/>
      <c r="H4" s="17" t="str">
        <f>IF(F4=0,"",F4*Config!$B$18)</f>
        <v/>
      </c>
      <c r="I4" s="13" t="str">
        <f t="shared" ref="I4:I35" si="0">IF(F4=0,"",MAX(0,F4-H4))</f>
        <v/>
      </c>
      <c r="J4" s="11"/>
      <c r="K4" s="11"/>
      <c r="L4" s="11"/>
    </row>
    <row r="5" spans="1:12" ht="15.75" customHeight="1" x14ac:dyDescent="0.25">
      <c r="A5" s="11"/>
      <c r="B5" s="11"/>
      <c r="C5" s="11"/>
      <c r="D5" s="11"/>
      <c r="E5" s="11"/>
      <c r="F5" s="11"/>
      <c r="G5" s="11"/>
      <c r="H5" s="17" t="str">
        <f>IF(F5=0,"",F5*Config!$B$18)</f>
        <v/>
      </c>
      <c r="I5" s="13" t="str">
        <f t="shared" si="0"/>
        <v/>
      </c>
      <c r="J5" s="11"/>
      <c r="K5" s="11"/>
      <c r="L5" s="11"/>
    </row>
    <row r="6" spans="1:12" ht="15.75" customHeight="1" x14ac:dyDescent="0.25">
      <c r="A6" s="11"/>
      <c r="B6" s="11"/>
      <c r="C6" s="11"/>
      <c r="D6" s="11"/>
      <c r="E6" s="11"/>
      <c r="F6" s="11"/>
      <c r="G6" s="11"/>
      <c r="H6" s="17" t="str">
        <f>IF(F6=0,"",F6*Config!$B$18)</f>
        <v/>
      </c>
      <c r="I6" s="13" t="str">
        <f t="shared" si="0"/>
        <v/>
      </c>
      <c r="J6" s="11"/>
      <c r="K6" s="11"/>
      <c r="L6" s="11"/>
    </row>
    <row r="7" spans="1:12" ht="15.75" customHeight="1" x14ac:dyDescent="0.25">
      <c r="A7" s="11"/>
      <c r="B7" s="11"/>
      <c r="C7" s="11"/>
      <c r="D7" s="11"/>
      <c r="E7" s="11"/>
      <c r="F7" s="11"/>
      <c r="G7" s="11"/>
      <c r="H7" s="17" t="str">
        <f>IF(F7=0,"",F7*Config!$B$18)</f>
        <v/>
      </c>
      <c r="I7" s="13" t="str">
        <f t="shared" si="0"/>
        <v/>
      </c>
      <c r="J7" s="11"/>
      <c r="K7" s="11"/>
      <c r="L7" s="11"/>
    </row>
    <row r="8" spans="1:12" ht="15.75" customHeight="1" x14ac:dyDescent="0.25">
      <c r="A8" s="11"/>
      <c r="B8" s="11"/>
      <c r="C8" s="11"/>
      <c r="D8" s="11"/>
      <c r="E8" s="11"/>
      <c r="F8" s="11"/>
      <c r="G8" s="11"/>
      <c r="H8" s="17" t="str">
        <f>IF(F8=0,"",F8*Config!$B$18)</f>
        <v/>
      </c>
      <c r="I8" s="13" t="str">
        <f t="shared" si="0"/>
        <v/>
      </c>
      <c r="J8" s="11"/>
      <c r="K8" s="11"/>
      <c r="L8" s="11"/>
    </row>
    <row r="9" spans="1:12" ht="15.75" customHeight="1" x14ac:dyDescent="0.25">
      <c r="A9" s="11"/>
      <c r="B9" s="11"/>
      <c r="C9" s="11"/>
      <c r="D9" s="11"/>
      <c r="E9" s="11"/>
      <c r="F9" s="11"/>
      <c r="G9" s="11"/>
      <c r="H9" s="17" t="str">
        <f>IF(F9=0,"",F9*Config!$B$18)</f>
        <v/>
      </c>
      <c r="I9" s="13" t="str">
        <f t="shared" si="0"/>
        <v/>
      </c>
      <c r="J9" s="11"/>
      <c r="K9" s="11"/>
      <c r="L9" s="11"/>
    </row>
    <row r="10" spans="1:12" ht="15.75" customHeight="1" x14ac:dyDescent="0.25">
      <c r="A10" s="11"/>
      <c r="B10" s="11"/>
      <c r="C10" s="11"/>
      <c r="D10" s="11"/>
      <c r="E10" s="11"/>
      <c r="F10" s="11"/>
      <c r="G10" s="11"/>
      <c r="H10" s="17" t="str">
        <f>IF(F10=0,"",F10*Config!$B$18)</f>
        <v/>
      </c>
      <c r="I10" s="13" t="str">
        <f t="shared" si="0"/>
        <v/>
      </c>
      <c r="J10" s="11"/>
      <c r="K10" s="11"/>
      <c r="L10" s="11"/>
    </row>
    <row r="11" spans="1:12" ht="15.75" customHeight="1" x14ac:dyDescent="0.25">
      <c r="A11" s="11"/>
      <c r="B11" s="11"/>
      <c r="C11" s="11"/>
      <c r="D11" s="11"/>
      <c r="E11" s="11"/>
      <c r="F11" s="11"/>
      <c r="G11" s="11"/>
      <c r="H11" s="17" t="str">
        <f>IF(F11=0,"",F11*Config!$B$18)</f>
        <v/>
      </c>
      <c r="I11" s="13" t="str">
        <f t="shared" si="0"/>
        <v/>
      </c>
      <c r="J11" s="11"/>
      <c r="K11" s="11"/>
      <c r="L11" s="11"/>
    </row>
    <row r="12" spans="1:12" ht="15.75" customHeight="1" x14ac:dyDescent="0.25">
      <c r="A12" s="11"/>
      <c r="B12" s="11"/>
      <c r="C12" s="11"/>
      <c r="D12" s="11"/>
      <c r="E12" s="11"/>
      <c r="F12" s="11"/>
      <c r="G12" s="11"/>
      <c r="H12" s="17" t="str">
        <f>IF(F12=0,"",F12*Config!$B$18)</f>
        <v/>
      </c>
      <c r="I12" s="13" t="str">
        <f t="shared" si="0"/>
        <v/>
      </c>
      <c r="J12" s="11"/>
      <c r="K12" s="11"/>
      <c r="L12" s="11"/>
    </row>
    <row r="13" spans="1:12" ht="15.75" customHeight="1" x14ac:dyDescent="0.25">
      <c r="A13" s="11"/>
      <c r="B13" s="11"/>
      <c r="C13" s="11"/>
      <c r="D13" s="11"/>
      <c r="E13" s="11"/>
      <c r="F13" s="11"/>
      <c r="G13" s="11"/>
      <c r="H13" s="17" t="str">
        <f>IF(F13=0,"",F13*Config!$B$18)</f>
        <v/>
      </c>
      <c r="I13" s="13" t="str">
        <f t="shared" si="0"/>
        <v/>
      </c>
      <c r="J13" s="11"/>
      <c r="K13" s="11"/>
      <c r="L13" s="11"/>
    </row>
    <row r="14" spans="1:12" ht="15.75" customHeight="1" x14ac:dyDescent="0.25">
      <c r="A14" s="11"/>
      <c r="B14" s="11"/>
      <c r="C14" s="11"/>
      <c r="D14" s="11"/>
      <c r="E14" s="11"/>
      <c r="F14" s="11"/>
      <c r="G14" s="11"/>
      <c r="H14" s="17" t="str">
        <f>IF(F14=0,"",F14*Config!$B$18)</f>
        <v/>
      </c>
      <c r="I14" s="13" t="str">
        <f t="shared" si="0"/>
        <v/>
      </c>
      <c r="J14" s="11"/>
      <c r="K14" s="11"/>
      <c r="L14" s="11"/>
    </row>
    <row r="15" spans="1:12" ht="15.75" customHeight="1" x14ac:dyDescent="0.25">
      <c r="A15" s="11"/>
      <c r="B15" s="11"/>
      <c r="C15" s="11"/>
      <c r="D15" s="11"/>
      <c r="E15" s="11"/>
      <c r="F15" s="11"/>
      <c r="G15" s="11"/>
      <c r="H15" s="17" t="str">
        <f>IF(F15=0,"",F15*Config!$B$18)</f>
        <v/>
      </c>
      <c r="I15" s="13" t="str">
        <f t="shared" si="0"/>
        <v/>
      </c>
      <c r="J15" s="11"/>
      <c r="K15" s="11"/>
      <c r="L15" s="11"/>
    </row>
    <row r="16" spans="1:12" ht="15.75" customHeight="1" x14ac:dyDescent="0.25">
      <c r="A16" s="11"/>
      <c r="B16" s="11"/>
      <c r="C16" s="11"/>
      <c r="D16" s="11"/>
      <c r="E16" s="11"/>
      <c r="F16" s="11"/>
      <c r="G16" s="11"/>
      <c r="H16" s="17" t="str">
        <f>IF(F16=0,"",F16*Config!$B$18)</f>
        <v/>
      </c>
      <c r="I16" s="13" t="str">
        <f t="shared" si="0"/>
        <v/>
      </c>
      <c r="J16" s="11"/>
      <c r="K16" s="11"/>
      <c r="L16" s="11"/>
    </row>
    <row r="17" spans="1:12" ht="15.75" customHeight="1" x14ac:dyDescent="0.25">
      <c r="A17" s="11"/>
      <c r="B17" s="11"/>
      <c r="C17" s="11"/>
      <c r="D17" s="11"/>
      <c r="E17" s="11"/>
      <c r="F17" s="11"/>
      <c r="G17" s="11"/>
      <c r="H17" s="17" t="str">
        <f>IF(F17=0,"",F17*Config!$B$18)</f>
        <v/>
      </c>
      <c r="I17" s="13" t="str">
        <f t="shared" si="0"/>
        <v/>
      </c>
      <c r="J17" s="11"/>
      <c r="K17" s="11"/>
      <c r="L17" s="11"/>
    </row>
    <row r="18" spans="1:12" ht="15.75" customHeight="1" x14ac:dyDescent="0.25">
      <c r="A18" s="11"/>
      <c r="B18" s="11"/>
      <c r="C18" s="11"/>
      <c r="D18" s="11"/>
      <c r="E18" s="11"/>
      <c r="F18" s="11"/>
      <c r="G18" s="11"/>
      <c r="H18" s="17" t="str">
        <f>IF(F18=0,"",F18*Config!$B$18)</f>
        <v/>
      </c>
      <c r="I18" s="13" t="str">
        <f t="shared" si="0"/>
        <v/>
      </c>
      <c r="J18" s="11"/>
      <c r="K18" s="11"/>
      <c r="L18" s="11"/>
    </row>
    <row r="19" spans="1:12" ht="15.75" customHeight="1" x14ac:dyDescent="0.25">
      <c r="A19" s="11"/>
      <c r="B19" s="11"/>
      <c r="C19" s="11"/>
      <c r="D19" s="11"/>
      <c r="E19" s="11"/>
      <c r="F19" s="11"/>
      <c r="G19" s="11"/>
      <c r="H19" s="17" t="str">
        <f>IF(F19=0,"",F19*Config!$B$18)</f>
        <v/>
      </c>
      <c r="I19" s="13" t="str">
        <f t="shared" si="0"/>
        <v/>
      </c>
      <c r="J19" s="11"/>
      <c r="K19" s="11"/>
      <c r="L19" s="11"/>
    </row>
    <row r="20" spans="1:12" ht="15.75" customHeight="1" x14ac:dyDescent="0.25">
      <c r="A20" s="11"/>
      <c r="B20" s="11"/>
      <c r="C20" s="11"/>
      <c r="D20" s="11"/>
      <c r="E20" s="11"/>
      <c r="F20" s="11"/>
      <c r="G20" s="11"/>
      <c r="H20" s="17" t="str">
        <f>IF(F20=0,"",F20*Config!$B$18)</f>
        <v/>
      </c>
      <c r="I20" s="13" t="str">
        <f t="shared" si="0"/>
        <v/>
      </c>
      <c r="J20" s="11"/>
      <c r="K20" s="11"/>
      <c r="L20" s="11"/>
    </row>
    <row r="21" spans="1:12" ht="15.75" customHeight="1" x14ac:dyDescent="0.25">
      <c r="A21" s="11"/>
      <c r="B21" s="11"/>
      <c r="C21" s="11"/>
      <c r="D21" s="11"/>
      <c r="E21" s="11"/>
      <c r="F21" s="11"/>
      <c r="G21" s="11"/>
      <c r="H21" s="17" t="str">
        <f>IF(F21=0,"",F21*Config!$B$18)</f>
        <v/>
      </c>
      <c r="I21" s="13" t="str">
        <f t="shared" si="0"/>
        <v/>
      </c>
      <c r="J21" s="11"/>
      <c r="K21" s="11"/>
      <c r="L21" s="11"/>
    </row>
    <row r="22" spans="1:12" ht="15.75" customHeight="1" x14ac:dyDescent="0.25">
      <c r="A22" s="11"/>
      <c r="B22" s="11"/>
      <c r="C22" s="11"/>
      <c r="D22" s="11"/>
      <c r="E22" s="11"/>
      <c r="F22" s="11"/>
      <c r="G22" s="11"/>
      <c r="H22" s="17" t="str">
        <f>IF(F22=0,"",F22*Config!$B$18)</f>
        <v/>
      </c>
      <c r="I22" s="13" t="str">
        <f t="shared" si="0"/>
        <v/>
      </c>
      <c r="J22" s="11"/>
      <c r="K22" s="11"/>
      <c r="L22" s="11"/>
    </row>
    <row r="23" spans="1:12" ht="15.75" customHeight="1" x14ac:dyDescent="0.25">
      <c r="A23" s="11"/>
      <c r="B23" s="11"/>
      <c r="C23" s="11"/>
      <c r="D23" s="11"/>
      <c r="E23" s="11"/>
      <c r="F23" s="11"/>
      <c r="G23" s="11"/>
      <c r="H23" s="17" t="str">
        <f>IF(F23=0,"",F23*Config!$B$18)</f>
        <v/>
      </c>
      <c r="I23" s="13" t="str">
        <f t="shared" si="0"/>
        <v/>
      </c>
      <c r="J23" s="11"/>
      <c r="K23" s="11"/>
      <c r="L23" s="11"/>
    </row>
    <row r="24" spans="1:12" ht="15.75" customHeight="1" x14ac:dyDescent="0.25">
      <c r="A24" s="11"/>
      <c r="B24" s="11"/>
      <c r="C24" s="11"/>
      <c r="D24" s="11"/>
      <c r="E24" s="11"/>
      <c r="F24" s="11"/>
      <c r="G24" s="11"/>
      <c r="H24" s="17" t="str">
        <f>IF(F24=0,"",F24*Config!$B$18)</f>
        <v/>
      </c>
      <c r="I24" s="13" t="str">
        <f t="shared" si="0"/>
        <v/>
      </c>
      <c r="J24" s="11"/>
      <c r="K24" s="11"/>
      <c r="L24" s="11"/>
    </row>
    <row r="25" spans="1:12" ht="15.75" customHeight="1" x14ac:dyDescent="0.25">
      <c r="A25" s="11"/>
      <c r="B25" s="11"/>
      <c r="C25" s="11"/>
      <c r="D25" s="11"/>
      <c r="E25" s="11"/>
      <c r="F25" s="11"/>
      <c r="G25" s="11"/>
      <c r="H25" s="17" t="str">
        <f>IF(F25=0,"",F25*Config!$B$18)</f>
        <v/>
      </c>
      <c r="I25" s="13" t="str">
        <f t="shared" si="0"/>
        <v/>
      </c>
      <c r="J25" s="11"/>
      <c r="K25" s="11"/>
      <c r="L25" s="11"/>
    </row>
    <row r="26" spans="1:12" ht="15.75" customHeight="1" x14ac:dyDescent="0.25">
      <c r="A26" s="11"/>
      <c r="B26" s="11"/>
      <c r="C26" s="11"/>
      <c r="D26" s="11"/>
      <c r="E26" s="11"/>
      <c r="F26" s="11"/>
      <c r="G26" s="11"/>
      <c r="H26" s="17" t="str">
        <f>IF(F26=0,"",F26*Config!$B$18)</f>
        <v/>
      </c>
      <c r="I26" s="13" t="str">
        <f t="shared" si="0"/>
        <v/>
      </c>
      <c r="J26" s="11"/>
      <c r="K26" s="11"/>
      <c r="L26" s="11"/>
    </row>
    <row r="27" spans="1:12" ht="15.75" customHeight="1" x14ac:dyDescent="0.25">
      <c r="A27" s="11"/>
      <c r="B27" s="11"/>
      <c r="C27" s="11"/>
      <c r="D27" s="11"/>
      <c r="E27" s="11"/>
      <c r="F27" s="11"/>
      <c r="G27" s="11"/>
      <c r="H27" s="17" t="str">
        <f>IF(F27=0,"",F27*Config!$B$18)</f>
        <v/>
      </c>
      <c r="I27" s="13" t="str">
        <f t="shared" si="0"/>
        <v/>
      </c>
      <c r="J27" s="11"/>
      <c r="K27" s="11"/>
      <c r="L27" s="11"/>
    </row>
    <row r="28" spans="1:12" ht="15.75" customHeight="1" x14ac:dyDescent="0.25">
      <c r="A28" s="11"/>
      <c r="B28" s="11"/>
      <c r="C28" s="11"/>
      <c r="D28" s="11"/>
      <c r="E28" s="11"/>
      <c r="F28" s="11"/>
      <c r="G28" s="11"/>
      <c r="H28" s="17" t="str">
        <f>IF(F28=0,"",F28*Config!$B$18)</f>
        <v/>
      </c>
      <c r="I28" s="13" t="str">
        <f t="shared" si="0"/>
        <v/>
      </c>
      <c r="J28" s="11"/>
      <c r="K28" s="11"/>
      <c r="L28" s="11"/>
    </row>
    <row r="29" spans="1:12" ht="15.75" customHeight="1" x14ac:dyDescent="0.25">
      <c r="A29" s="11"/>
      <c r="B29" s="11"/>
      <c r="C29" s="11"/>
      <c r="D29" s="11"/>
      <c r="E29" s="11"/>
      <c r="F29" s="11"/>
      <c r="G29" s="11"/>
      <c r="H29" s="17" t="str">
        <f>IF(F29=0,"",F29*Config!$B$18)</f>
        <v/>
      </c>
      <c r="I29" s="13" t="str">
        <f t="shared" si="0"/>
        <v/>
      </c>
      <c r="J29" s="11"/>
      <c r="K29" s="11"/>
      <c r="L29" s="11"/>
    </row>
    <row r="30" spans="1:12" ht="15.75" customHeight="1" x14ac:dyDescent="0.25">
      <c r="A30" s="11"/>
      <c r="B30" s="11"/>
      <c r="C30" s="11"/>
      <c r="D30" s="11"/>
      <c r="E30" s="11"/>
      <c r="F30" s="11"/>
      <c r="G30" s="11"/>
      <c r="H30" s="17" t="str">
        <f>IF(F30=0,"",F30*Config!$B$18)</f>
        <v/>
      </c>
      <c r="I30" s="13" t="str">
        <f t="shared" si="0"/>
        <v/>
      </c>
      <c r="J30" s="11"/>
      <c r="K30" s="11"/>
      <c r="L30" s="11"/>
    </row>
    <row r="31" spans="1:12" ht="15.75" customHeight="1" x14ac:dyDescent="0.25">
      <c r="A31" s="11"/>
      <c r="B31" s="11"/>
      <c r="C31" s="11"/>
      <c r="D31" s="11"/>
      <c r="E31" s="11"/>
      <c r="F31" s="11"/>
      <c r="G31" s="11"/>
      <c r="H31" s="17" t="str">
        <f>IF(F31=0,"",F31*Config!$B$18)</f>
        <v/>
      </c>
      <c r="I31" s="13" t="str">
        <f t="shared" si="0"/>
        <v/>
      </c>
      <c r="J31" s="11"/>
      <c r="K31" s="11"/>
      <c r="L31" s="11"/>
    </row>
    <row r="32" spans="1:12" ht="15.75" customHeight="1" x14ac:dyDescent="0.25">
      <c r="A32" s="11"/>
      <c r="B32" s="11"/>
      <c r="C32" s="11"/>
      <c r="D32" s="11"/>
      <c r="E32" s="11"/>
      <c r="F32" s="11"/>
      <c r="G32" s="11"/>
      <c r="H32" s="17" t="str">
        <f>IF(F32=0,"",F32*Config!$B$18)</f>
        <v/>
      </c>
      <c r="I32" s="13" t="str">
        <f t="shared" si="0"/>
        <v/>
      </c>
      <c r="J32" s="11"/>
      <c r="K32" s="11"/>
      <c r="L32" s="11"/>
    </row>
    <row r="33" spans="1:12" ht="15.75" customHeight="1" x14ac:dyDescent="0.25">
      <c r="A33" s="11"/>
      <c r="B33" s="11"/>
      <c r="C33" s="11"/>
      <c r="D33" s="11"/>
      <c r="E33" s="11"/>
      <c r="F33" s="11"/>
      <c r="G33" s="11"/>
      <c r="H33" s="17" t="str">
        <f>IF(F33=0,"",F33*Config!$B$18)</f>
        <v/>
      </c>
      <c r="I33" s="13" t="str">
        <f t="shared" si="0"/>
        <v/>
      </c>
      <c r="J33" s="11"/>
      <c r="K33" s="11"/>
      <c r="L33" s="11"/>
    </row>
    <row r="34" spans="1:12" ht="15.75" customHeight="1" x14ac:dyDescent="0.25">
      <c r="A34" s="11"/>
      <c r="B34" s="11"/>
      <c r="C34" s="11"/>
      <c r="D34" s="11"/>
      <c r="E34" s="11"/>
      <c r="F34" s="11"/>
      <c r="G34" s="11"/>
      <c r="H34" s="17" t="str">
        <f>IF(F34=0,"",F34*Config!$B$18)</f>
        <v/>
      </c>
      <c r="I34" s="13" t="str">
        <f t="shared" si="0"/>
        <v/>
      </c>
      <c r="J34" s="11"/>
      <c r="K34" s="11"/>
      <c r="L34" s="11"/>
    </row>
    <row r="35" spans="1:12" ht="15.75" customHeight="1" x14ac:dyDescent="0.25">
      <c r="A35" s="11"/>
      <c r="B35" s="11"/>
      <c r="C35" s="11"/>
      <c r="D35" s="11"/>
      <c r="E35" s="11"/>
      <c r="F35" s="11"/>
      <c r="G35" s="11"/>
      <c r="H35" s="17" t="str">
        <f>IF(F35=0,"",F35*Config!$B$18)</f>
        <v/>
      </c>
      <c r="I35" s="13" t="str">
        <f t="shared" si="0"/>
        <v/>
      </c>
      <c r="J35" s="11"/>
      <c r="K35" s="11"/>
      <c r="L35" s="11"/>
    </row>
    <row r="36" spans="1:12" ht="15.75" customHeight="1" x14ac:dyDescent="0.25">
      <c r="A36" s="11"/>
      <c r="B36" s="11"/>
      <c r="C36" s="11"/>
      <c r="D36" s="11"/>
      <c r="E36" s="11"/>
      <c r="F36" s="11"/>
      <c r="G36" s="11"/>
      <c r="H36" s="17" t="str">
        <f>IF(F36=0,"",F36*Config!$B$18)</f>
        <v/>
      </c>
      <c r="I36" s="13" t="str">
        <f t="shared" ref="I36:I67" si="1">IF(F36=0,"",MAX(0,F36-H36))</f>
        <v/>
      </c>
      <c r="J36" s="11"/>
      <c r="K36" s="11"/>
      <c r="L36" s="11"/>
    </row>
    <row r="37" spans="1:12" ht="15.75" customHeight="1" x14ac:dyDescent="0.25">
      <c r="A37" s="11"/>
      <c r="B37" s="11"/>
      <c r="C37" s="11"/>
      <c r="D37" s="11"/>
      <c r="E37" s="11"/>
      <c r="F37" s="11"/>
      <c r="G37" s="11"/>
      <c r="H37" s="17" t="str">
        <f>IF(F37=0,"",F37*Config!$B$18)</f>
        <v/>
      </c>
      <c r="I37" s="13" t="str">
        <f t="shared" si="1"/>
        <v/>
      </c>
      <c r="J37" s="11"/>
      <c r="K37" s="11"/>
      <c r="L37" s="11"/>
    </row>
    <row r="38" spans="1:12" ht="15.75" customHeight="1" x14ac:dyDescent="0.25">
      <c r="A38" s="11"/>
      <c r="B38" s="11"/>
      <c r="C38" s="11"/>
      <c r="D38" s="11"/>
      <c r="E38" s="11"/>
      <c r="F38" s="11"/>
      <c r="G38" s="11"/>
      <c r="H38" s="17" t="str">
        <f>IF(F38=0,"",F38*Config!$B$18)</f>
        <v/>
      </c>
      <c r="I38" s="13" t="str">
        <f t="shared" si="1"/>
        <v/>
      </c>
      <c r="J38" s="11"/>
      <c r="K38" s="11"/>
      <c r="L38" s="11"/>
    </row>
    <row r="39" spans="1:12" ht="15.75" customHeight="1" x14ac:dyDescent="0.25">
      <c r="A39" s="11"/>
      <c r="B39" s="11"/>
      <c r="C39" s="11"/>
      <c r="D39" s="11"/>
      <c r="E39" s="11"/>
      <c r="F39" s="11"/>
      <c r="G39" s="11"/>
      <c r="H39" s="17" t="str">
        <f>IF(F39=0,"",F39*Config!$B$18)</f>
        <v/>
      </c>
      <c r="I39" s="13" t="str">
        <f t="shared" si="1"/>
        <v/>
      </c>
      <c r="J39" s="11"/>
      <c r="K39" s="11"/>
      <c r="L39" s="11"/>
    </row>
    <row r="40" spans="1:12" ht="15.75" customHeight="1" x14ac:dyDescent="0.25">
      <c r="A40" s="11"/>
      <c r="B40" s="11"/>
      <c r="C40" s="11"/>
      <c r="D40" s="11"/>
      <c r="E40" s="11"/>
      <c r="F40" s="11"/>
      <c r="G40" s="11"/>
      <c r="H40" s="17" t="str">
        <f>IF(F40=0,"",F40*Config!$B$18)</f>
        <v/>
      </c>
      <c r="I40" s="13" t="str">
        <f t="shared" si="1"/>
        <v/>
      </c>
      <c r="J40" s="11"/>
      <c r="K40" s="11"/>
      <c r="L40" s="11"/>
    </row>
    <row r="41" spans="1:12" ht="15.75" customHeight="1" x14ac:dyDescent="0.25">
      <c r="A41" s="11"/>
      <c r="B41" s="11"/>
      <c r="C41" s="11"/>
      <c r="D41" s="11"/>
      <c r="E41" s="11"/>
      <c r="F41" s="11"/>
      <c r="G41" s="11"/>
      <c r="H41" s="17" t="str">
        <f>IF(F41=0,"",F41*Config!$B$18)</f>
        <v/>
      </c>
      <c r="I41" s="13" t="str">
        <f t="shared" si="1"/>
        <v/>
      </c>
      <c r="J41" s="11"/>
      <c r="K41" s="11"/>
      <c r="L41" s="11"/>
    </row>
    <row r="42" spans="1:12" ht="15.75" customHeight="1" x14ac:dyDescent="0.25">
      <c r="A42" s="11"/>
      <c r="B42" s="11"/>
      <c r="C42" s="11"/>
      <c r="D42" s="11"/>
      <c r="E42" s="11"/>
      <c r="F42" s="11"/>
      <c r="G42" s="11"/>
      <c r="H42" s="17" t="str">
        <f>IF(F42=0,"",F42*Config!$B$18)</f>
        <v/>
      </c>
      <c r="I42" s="13" t="str">
        <f t="shared" si="1"/>
        <v/>
      </c>
      <c r="J42" s="11"/>
      <c r="K42" s="11"/>
      <c r="L42" s="11"/>
    </row>
    <row r="43" spans="1:12" ht="15.75" customHeight="1" x14ac:dyDescent="0.25">
      <c r="A43" s="11"/>
      <c r="B43" s="11"/>
      <c r="C43" s="11"/>
      <c r="D43" s="11"/>
      <c r="E43" s="11"/>
      <c r="F43" s="11"/>
      <c r="G43" s="11"/>
      <c r="H43" s="17" t="str">
        <f>IF(F43=0,"",F43*Config!$B$18)</f>
        <v/>
      </c>
      <c r="I43" s="13" t="str">
        <f t="shared" si="1"/>
        <v/>
      </c>
      <c r="J43" s="11"/>
      <c r="K43" s="11"/>
      <c r="L43" s="11"/>
    </row>
    <row r="44" spans="1:12" ht="15.75" customHeight="1" x14ac:dyDescent="0.25">
      <c r="A44" s="11"/>
      <c r="B44" s="11"/>
      <c r="C44" s="11"/>
      <c r="D44" s="11"/>
      <c r="E44" s="11"/>
      <c r="F44" s="11"/>
      <c r="G44" s="11"/>
      <c r="H44" s="17" t="str">
        <f>IF(F44=0,"",F44*Config!$B$18)</f>
        <v/>
      </c>
      <c r="I44" s="13" t="str">
        <f t="shared" si="1"/>
        <v/>
      </c>
      <c r="J44" s="11"/>
      <c r="K44" s="11"/>
      <c r="L44" s="11"/>
    </row>
    <row r="45" spans="1:12" ht="15.75" customHeight="1" x14ac:dyDescent="0.25">
      <c r="A45" s="11"/>
      <c r="B45" s="11"/>
      <c r="C45" s="11"/>
      <c r="D45" s="11"/>
      <c r="E45" s="11"/>
      <c r="F45" s="11"/>
      <c r="G45" s="11"/>
      <c r="H45" s="17" t="str">
        <f>IF(F45=0,"",F45*Config!$B$18)</f>
        <v/>
      </c>
      <c r="I45" s="13" t="str">
        <f t="shared" si="1"/>
        <v/>
      </c>
      <c r="J45" s="11"/>
      <c r="K45" s="11"/>
      <c r="L45" s="11"/>
    </row>
    <row r="46" spans="1:12" ht="15.75" customHeight="1" x14ac:dyDescent="0.25">
      <c r="A46" s="11"/>
      <c r="B46" s="11"/>
      <c r="C46" s="11"/>
      <c r="D46" s="11"/>
      <c r="E46" s="11"/>
      <c r="F46" s="11"/>
      <c r="G46" s="11"/>
      <c r="H46" s="17" t="str">
        <f>IF(F46=0,"",F46*Config!$B$18)</f>
        <v/>
      </c>
      <c r="I46" s="13" t="str">
        <f t="shared" si="1"/>
        <v/>
      </c>
      <c r="J46" s="11"/>
      <c r="K46" s="11"/>
      <c r="L46" s="11"/>
    </row>
    <row r="47" spans="1:12" ht="15.75" customHeight="1" x14ac:dyDescent="0.25">
      <c r="A47" s="11"/>
      <c r="B47" s="11"/>
      <c r="C47" s="11"/>
      <c r="D47" s="11"/>
      <c r="E47" s="11"/>
      <c r="F47" s="11"/>
      <c r="G47" s="11"/>
      <c r="H47" s="17" t="str">
        <f>IF(F47=0,"",F47*Config!$B$18)</f>
        <v/>
      </c>
      <c r="I47" s="13" t="str">
        <f t="shared" si="1"/>
        <v/>
      </c>
      <c r="J47" s="11"/>
      <c r="K47" s="11"/>
      <c r="L47" s="11"/>
    </row>
    <row r="48" spans="1:12" ht="15.75" customHeight="1" x14ac:dyDescent="0.25">
      <c r="A48" s="11"/>
      <c r="B48" s="11"/>
      <c r="C48" s="11"/>
      <c r="D48" s="11"/>
      <c r="E48" s="11"/>
      <c r="F48" s="11"/>
      <c r="G48" s="11"/>
      <c r="H48" s="17" t="str">
        <f>IF(F48=0,"",F48*Config!$B$18)</f>
        <v/>
      </c>
      <c r="I48" s="13" t="str">
        <f t="shared" si="1"/>
        <v/>
      </c>
      <c r="J48" s="11"/>
      <c r="K48" s="11"/>
      <c r="L48" s="11"/>
    </row>
    <row r="49" spans="1:12" ht="15.75" customHeight="1" x14ac:dyDescent="0.25">
      <c r="A49" s="11"/>
      <c r="B49" s="11"/>
      <c r="C49" s="11"/>
      <c r="D49" s="11"/>
      <c r="E49" s="11"/>
      <c r="F49" s="11"/>
      <c r="G49" s="11"/>
      <c r="H49" s="17" t="str">
        <f>IF(F49=0,"",F49*Config!$B$18)</f>
        <v/>
      </c>
      <c r="I49" s="13" t="str">
        <f t="shared" si="1"/>
        <v/>
      </c>
      <c r="J49" s="11"/>
      <c r="K49" s="11"/>
      <c r="L49" s="11"/>
    </row>
    <row r="50" spans="1:12" ht="15.75" customHeight="1" x14ac:dyDescent="0.25">
      <c r="A50" s="11"/>
      <c r="B50" s="11"/>
      <c r="C50" s="11"/>
      <c r="D50" s="11"/>
      <c r="E50" s="11"/>
      <c r="F50" s="11"/>
      <c r="G50" s="11"/>
      <c r="H50" s="17" t="str">
        <f>IF(F50=0,"",F50*Config!$B$18)</f>
        <v/>
      </c>
      <c r="I50" s="13" t="str">
        <f t="shared" si="1"/>
        <v/>
      </c>
      <c r="J50" s="11"/>
      <c r="K50" s="11"/>
      <c r="L50" s="11"/>
    </row>
    <row r="51" spans="1:12" ht="15.75" customHeight="1" x14ac:dyDescent="0.25">
      <c r="A51" s="11"/>
      <c r="B51" s="11"/>
      <c r="C51" s="11"/>
      <c r="D51" s="11"/>
      <c r="E51" s="11"/>
      <c r="F51" s="11"/>
      <c r="G51" s="11"/>
      <c r="H51" s="17" t="str">
        <f>IF(F51=0,"",F51*Config!$B$18)</f>
        <v/>
      </c>
      <c r="I51" s="13" t="str">
        <f t="shared" si="1"/>
        <v/>
      </c>
      <c r="J51" s="11"/>
      <c r="K51" s="11"/>
      <c r="L51" s="11"/>
    </row>
    <row r="52" spans="1:12" ht="15.75" customHeight="1" x14ac:dyDescent="0.25">
      <c r="A52" s="11"/>
      <c r="B52" s="11"/>
      <c r="C52" s="11"/>
      <c r="D52" s="11"/>
      <c r="E52" s="11"/>
      <c r="F52" s="11"/>
      <c r="G52" s="11"/>
      <c r="H52" s="17" t="str">
        <f>IF(F52=0,"",F52*Config!$B$18)</f>
        <v/>
      </c>
      <c r="I52" s="13" t="str">
        <f t="shared" si="1"/>
        <v/>
      </c>
      <c r="J52" s="11"/>
      <c r="K52" s="11"/>
      <c r="L52" s="11"/>
    </row>
    <row r="53" spans="1:12" ht="15.75" customHeight="1" x14ac:dyDescent="0.25">
      <c r="A53" s="11"/>
      <c r="B53" s="11"/>
      <c r="C53" s="11"/>
      <c r="D53" s="11"/>
      <c r="E53" s="11"/>
      <c r="F53" s="11"/>
      <c r="G53" s="11"/>
      <c r="H53" s="17" t="str">
        <f>IF(F53=0,"",F53*Config!$B$18)</f>
        <v/>
      </c>
      <c r="I53" s="13" t="str">
        <f t="shared" si="1"/>
        <v/>
      </c>
      <c r="J53" s="11"/>
      <c r="K53" s="11"/>
      <c r="L53" s="11"/>
    </row>
    <row r="54" spans="1:12" ht="15.75" customHeight="1" x14ac:dyDescent="0.25">
      <c r="A54" s="11"/>
      <c r="B54" s="11"/>
      <c r="C54" s="11"/>
      <c r="D54" s="11"/>
      <c r="E54" s="11"/>
      <c r="F54" s="11"/>
      <c r="G54" s="11"/>
      <c r="H54" s="17" t="str">
        <f>IF(F54=0,"",F54*Config!$B$18)</f>
        <v/>
      </c>
      <c r="I54" s="13" t="str">
        <f t="shared" si="1"/>
        <v/>
      </c>
      <c r="J54" s="11"/>
      <c r="K54" s="11"/>
      <c r="L54" s="11"/>
    </row>
    <row r="55" spans="1:12" ht="15.75" customHeight="1" x14ac:dyDescent="0.25">
      <c r="A55" s="11"/>
      <c r="B55" s="11"/>
      <c r="C55" s="11"/>
      <c r="D55" s="11"/>
      <c r="E55" s="11"/>
      <c r="F55" s="11"/>
      <c r="G55" s="11"/>
      <c r="H55" s="17" t="str">
        <f>IF(F55=0,"",F55*Config!$B$18)</f>
        <v/>
      </c>
      <c r="I55" s="13" t="str">
        <f t="shared" si="1"/>
        <v/>
      </c>
      <c r="J55" s="11"/>
      <c r="K55" s="11"/>
      <c r="L55" s="11"/>
    </row>
    <row r="56" spans="1:12" ht="15.75" customHeight="1" x14ac:dyDescent="0.25">
      <c r="A56" s="11"/>
      <c r="B56" s="11"/>
      <c r="C56" s="11"/>
      <c r="D56" s="11"/>
      <c r="E56" s="11"/>
      <c r="F56" s="11"/>
      <c r="G56" s="11"/>
      <c r="H56" s="17" t="str">
        <f>IF(F56=0,"",F56*Config!$B$18)</f>
        <v/>
      </c>
      <c r="I56" s="13" t="str">
        <f t="shared" si="1"/>
        <v/>
      </c>
      <c r="J56" s="11"/>
      <c r="K56" s="11"/>
      <c r="L56" s="11"/>
    </row>
    <row r="57" spans="1:12" ht="15.75" customHeight="1" x14ac:dyDescent="0.25">
      <c r="A57" s="11"/>
      <c r="B57" s="11"/>
      <c r="C57" s="11"/>
      <c r="D57" s="11"/>
      <c r="E57" s="11"/>
      <c r="F57" s="11"/>
      <c r="G57" s="11"/>
      <c r="H57" s="17" t="str">
        <f>IF(F57=0,"",F57*Config!$B$18)</f>
        <v/>
      </c>
      <c r="I57" s="13" t="str">
        <f t="shared" si="1"/>
        <v/>
      </c>
      <c r="J57" s="11"/>
      <c r="K57" s="11"/>
      <c r="L57" s="11"/>
    </row>
    <row r="58" spans="1:12" ht="15.75" customHeight="1" x14ac:dyDescent="0.25">
      <c r="A58" s="11"/>
      <c r="B58" s="11"/>
      <c r="C58" s="11"/>
      <c r="D58" s="11"/>
      <c r="E58" s="11"/>
      <c r="F58" s="11"/>
      <c r="G58" s="11"/>
      <c r="H58" s="17" t="str">
        <f>IF(F58=0,"",F58*Config!$B$18)</f>
        <v/>
      </c>
      <c r="I58" s="13" t="str">
        <f t="shared" si="1"/>
        <v/>
      </c>
      <c r="J58" s="11"/>
      <c r="K58" s="11"/>
      <c r="L58" s="11"/>
    </row>
    <row r="59" spans="1:12" ht="15.75" customHeight="1" x14ac:dyDescent="0.25">
      <c r="A59" s="11"/>
      <c r="B59" s="11"/>
      <c r="C59" s="11"/>
      <c r="D59" s="11"/>
      <c r="E59" s="11"/>
      <c r="F59" s="11"/>
      <c r="G59" s="11"/>
      <c r="H59" s="17" t="str">
        <f>IF(F59=0,"",F59*Config!$B$18)</f>
        <v/>
      </c>
      <c r="I59" s="13" t="str">
        <f t="shared" si="1"/>
        <v/>
      </c>
      <c r="J59" s="11"/>
      <c r="K59" s="11"/>
      <c r="L59" s="11"/>
    </row>
    <row r="60" spans="1:12" ht="15.75" customHeight="1" x14ac:dyDescent="0.25">
      <c r="A60" s="11"/>
      <c r="B60" s="11"/>
      <c r="C60" s="11"/>
      <c r="D60" s="11"/>
      <c r="E60" s="11"/>
      <c r="F60" s="11"/>
      <c r="G60" s="11"/>
      <c r="H60" s="17" t="str">
        <f>IF(F60=0,"",F60*Config!$B$18)</f>
        <v/>
      </c>
      <c r="I60" s="13" t="str">
        <f t="shared" si="1"/>
        <v/>
      </c>
      <c r="J60" s="11"/>
      <c r="K60" s="11"/>
      <c r="L60" s="11"/>
    </row>
    <row r="61" spans="1:12" ht="15.75" customHeight="1" x14ac:dyDescent="0.25">
      <c r="A61" s="11"/>
      <c r="B61" s="11"/>
      <c r="C61" s="11"/>
      <c r="D61" s="11"/>
      <c r="E61" s="11"/>
      <c r="F61" s="11"/>
      <c r="G61" s="11"/>
      <c r="H61" s="17" t="str">
        <f>IF(F61=0,"",F61*Config!$B$18)</f>
        <v/>
      </c>
      <c r="I61" s="13" t="str">
        <f t="shared" si="1"/>
        <v/>
      </c>
      <c r="J61" s="11"/>
      <c r="K61" s="11"/>
      <c r="L61" s="11"/>
    </row>
    <row r="62" spans="1:12" ht="15.75" customHeight="1" x14ac:dyDescent="0.25">
      <c r="A62" s="11"/>
      <c r="B62" s="11"/>
      <c r="C62" s="11"/>
      <c r="D62" s="11"/>
      <c r="E62" s="11"/>
      <c r="F62" s="11"/>
      <c r="G62" s="11"/>
      <c r="H62" s="17" t="str">
        <f>IF(F62=0,"",F62*Config!$B$18)</f>
        <v/>
      </c>
      <c r="I62" s="13" t="str">
        <f t="shared" si="1"/>
        <v/>
      </c>
      <c r="J62" s="11"/>
      <c r="K62" s="11"/>
      <c r="L62" s="11"/>
    </row>
    <row r="63" spans="1:12" ht="15.75" customHeight="1" x14ac:dyDescent="0.25">
      <c r="A63" s="11"/>
      <c r="B63" s="11"/>
      <c r="C63" s="11"/>
      <c r="D63" s="11"/>
      <c r="E63" s="11"/>
      <c r="F63" s="11"/>
      <c r="G63" s="11"/>
      <c r="H63" s="17" t="str">
        <f>IF(F63=0,"",F63*Config!$B$18)</f>
        <v/>
      </c>
      <c r="I63" s="13" t="str">
        <f t="shared" si="1"/>
        <v/>
      </c>
      <c r="J63" s="11"/>
      <c r="K63" s="11"/>
      <c r="L63" s="11"/>
    </row>
    <row r="64" spans="1:12" ht="15.75" customHeight="1" x14ac:dyDescent="0.25">
      <c r="A64" s="11"/>
      <c r="B64" s="11"/>
      <c r="C64" s="11"/>
      <c r="D64" s="11"/>
      <c r="E64" s="11"/>
      <c r="F64" s="11"/>
      <c r="G64" s="11"/>
      <c r="H64" s="17" t="str">
        <f>IF(F64=0,"",F64*Config!$B$18)</f>
        <v/>
      </c>
      <c r="I64" s="13" t="str">
        <f t="shared" si="1"/>
        <v/>
      </c>
      <c r="J64" s="11"/>
      <c r="K64" s="11"/>
      <c r="L64" s="11"/>
    </row>
    <row r="65" spans="1:12" ht="15.75" customHeight="1" x14ac:dyDescent="0.25">
      <c r="A65" s="11"/>
      <c r="B65" s="11"/>
      <c r="C65" s="11"/>
      <c r="D65" s="11"/>
      <c r="E65" s="11"/>
      <c r="F65" s="11"/>
      <c r="G65" s="11"/>
      <c r="H65" s="17" t="str">
        <f>IF(F65=0,"",F65*Config!$B$18)</f>
        <v/>
      </c>
      <c r="I65" s="13" t="str">
        <f t="shared" si="1"/>
        <v/>
      </c>
      <c r="J65" s="11"/>
      <c r="K65" s="11"/>
      <c r="L65" s="11"/>
    </row>
    <row r="66" spans="1:12" ht="15.75" customHeight="1" x14ac:dyDescent="0.25">
      <c r="A66" s="11"/>
      <c r="B66" s="11"/>
      <c r="C66" s="11"/>
      <c r="D66" s="11"/>
      <c r="E66" s="11"/>
      <c r="F66" s="11"/>
      <c r="G66" s="11"/>
      <c r="H66" s="17" t="str">
        <f>IF(F66=0,"",F66*Config!$B$18)</f>
        <v/>
      </c>
      <c r="I66" s="13" t="str">
        <f t="shared" si="1"/>
        <v/>
      </c>
      <c r="J66" s="11"/>
      <c r="K66" s="11"/>
      <c r="L66" s="11"/>
    </row>
    <row r="67" spans="1:12" ht="15.75" customHeight="1" x14ac:dyDescent="0.25">
      <c r="A67" s="11"/>
      <c r="B67" s="11"/>
      <c r="C67" s="11"/>
      <c r="D67" s="11"/>
      <c r="E67" s="11"/>
      <c r="F67" s="11"/>
      <c r="G67" s="11"/>
      <c r="H67" s="17" t="str">
        <f>IF(F67=0,"",F67*Config!$B$18)</f>
        <v/>
      </c>
      <c r="I67" s="13" t="str">
        <f t="shared" si="1"/>
        <v/>
      </c>
      <c r="J67" s="11"/>
      <c r="K67" s="11"/>
      <c r="L67" s="11"/>
    </row>
    <row r="68" spans="1:12" ht="15.75" customHeight="1" x14ac:dyDescent="0.25">
      <c r="A68" s="11"/>
      <c r="B68" s="11"/>
      <c r="C68" s="11"/>
      <c r="D68" s="11"/>
      <c r="E68" s="11"/>
      <c r="F68" s="11"/>
      <c r="G68" s="11"/>
      <c r="H68" s="17" t="str">
        <f>IF(F68=0,"",F68*Config!$B$18)</f>
        <v/>
      </c>
      <c r="I68" s="13" t="str">
        <f t="shared" ref="I68:I99" si="2">IF(F68=0,"",MAX(0,F68-H68))</f>
        <v/>
      </c>
      <c r="J68" s="11"/>
      <c r="K68" s="11"/>
      <c r="L68" s="11"/>
    </row>
    <row r="69" spans="1:12" ht="15.75" customHeight="1" x14ac:dyDescent="0.25">
      <c r="A69" s="11"/>
      <c r="B69" s="11"/>
      <c r="C69" s="11"/>
      <c r="D69" s="11"/>
      <c r="E69" s="11"/>
      <c r="F69" s="11"/>
      <c r="G69" s="11"/>
      <c r="H69" s="17" t="str">
        <f>IF(F69=0,"",F69*Config!$B$18)</f>
        <v/>
      </c>
      <c r="I69" s="13" t="str">
        <f t="shared" si="2"/>
        <v/>
      </c>
      <c r="J69" s="11"/>
      <c r="K69" s="11"/>
      <c r="L69" s="11"/>
    </row>
    <row r="70" spans="1:12" ht="15.75" customHeight="1" x14ac:dyDescent="0.25">
      <c r="A70" s="11"/>
      <c r="B70" s="11"/>
      <c r="C70" s="11"/>
      <c r="D70" s="11"/>
      <c r="E70" s="11"/>
      <c r="F70" s="11"/>
      <c r="G70" s="11"/>
      <c r="H70" s="17" t="str">
        <f>IF(F70=0,"",F70*Config!$B$18)</f>
        <v/>
      </c>
      <c r="I70" s="13" t="str">
        <f t="shared" si="2"/>
        <v/>
      </c>
      <c r="J70" s="11"/>
      <c r="K70" s="11"/>
      <c r="L70" s="11"/>
    </row>
    <row r="71" spans="1:12" ht="15.75" customHeight="1" x14ac:dyDescent="0.25">
      <c r="A71" s="11"/>
      <c r="B71" s="11"/>
      <c r="C71" s="11"/>
      <c r="D71" s="11"/>
      <c r="E71" s="11"/>
      <c r="F71" s="11"/>
      <c r="G71" s="11"/>
      <c r="H71" s="17" t="str">
        <f>IF(F71=0,"",F71*Config!$B$18)</f>
        <v/>
      </c>
      <c r="I71" s="13" t="str">
        <f t="shared" si="2"/>
        <v/>
      </c>
      <c r="J71" s="11"/>
      <c r="K71" s="11"/>
      <c r="L71" s="11"/>
    </row>
    <row r="72" spans="1:12" ht="15.75" customHeight="1" x14ac:dyDescent="0.25">
      <c r="A72" s="11"/>
      <c r="B72" s="11"/>
      <c r="C72" s="11"/>
      <c r="D72" s="11"/>
      <c r="E72" s="11"/>
      <c r="F72" s="11"/>
      <c r="G72" s="11"/>
      <c r="H72" s="17" t="str">
        <f>IF(F72=0,"",F72*Config!$B$18)</f>
        <v/>
      </c>
      <c r="I72" s="13" t="str">
        <f t="shared" si="2"/>
        <v/>
      </c>
      <c r="J72" s="11"/>
      <c r="K72" s="11"/>
      <c r="L72" s="11"/>
    </row>
    <row r="73" spans="1:12" ht="15.75" customHeight="1" x14ac:dyDescent="0.25">
      <c r="A73" s="11"/>
      <c r="B73" s="11"/>
      <c r="C73" s="11"/>
      <c r="D73" s="11"/>
      <c r="E73" s="11"/>
      <c r="F73" s="11"/>
      <c r="G73" s="11"/>
      <c r="H73" s="17" t="str">
        <f>IF(F73=0,"",F73*Config!$B$18)</f>
        <v/>
      </c>
      <c r="I73" s="13" t="str">
        <f t="shared" si="2"/>
        <v/>
      </c>
      <c r="J73" s="11"/>
      <c r="K73" s="11"/>
      <c r="L73" s="11"/>
    </row>
    <row r="74" spans="1:12" ht="15.75" customHeight="1" x14ac:dyDescent="0.25">
      <c r="A74" s="11"/>
      <c r="B74" s="11"/>
      <c r="C74" s="11"/>
      <c r="D74" s="11"/>
      <c r="E74" s="11"/>
      <c r="F74" s="11"/>
      <c r="G74" s="11"/>
      <c r="H74" s="17" t="str">
        <f>IF(F74=0,"",F74*Config!$B$18)</f>
        <v/>
      </c>
      <c r="I74" s="13" t="str">
        <f t="shared" si="2"/>
        <v/>
      </c>
      <c r="J74" s="11"/>
      <c r="K74" s="11"/>
      <c r="L74" s="11"/>
    </row>
    <row r="75" spans="1:12" ht="15.75" customHeight="1" x14ac:dyDescent="0.25">
      <c r="A75" s="11"/>
      <c r="B75" s="11"/>
      <c r="C75" s="11"/>
      <c r="D75" s="11"/>
      <c r="E75" s="11"/>
      <c r="F75" s="11"/>
      <c r="G75" s="11"/>
      <c r="H75" s="17" t="str">
        <f>IF(F75=0,"",F75*Config!$B$18)</f>
        <v/>
      </c>
      <c r="I75" s="13" t="str">
        <f t="shared" si="2"/>
        <v/>
      </c>
      <c r="J75" s="11"/>
      <c r="K75" s="11"/>
      <c r="L75" s="11"/>
    </row>
    <row r="76" spans="1:12" ht="15.75" customHeight="1" x14ac:dyDescent="0.25">
      <c r="A76" s="11"/>
      <c r="B76" s="11"/>
      <c r="C76" s="11"/>
      <c r="D76" s="11"/>
      <c r="E76" s="11"/>
      <c r="F76" s="11"/>
      <c r="G76" s="11"/>
      <c r="H76" s="17" t="str">
        <f>IF(F76=0,"",F76*Config!$B$18)</f>
        <v/>
      </c>
      <c r="I76" s="13" t="str">
        <f t="shared" si="2"/>
        <v/>
      </c>
      <c r="J76" s="11"/>
      <c r="K76" s="11"/>
      <c r="L76" s="11"/>
    </row>
    <row r="77" spans="1:12" ht="15.75" customHeight="1" x14ac:dyDescent="0.25">
      <c r="A77" s="11"/>
      <c r="B77" s="11"/>
      <c r="C77" s="11"/>
      <c r="D77" s="11"/>
      <c r="E77" s="11"/>
      <c r="F77" s="11"/>
      <c r="G77" s="11"/>
      <c r="H77" s="17" t="str">
        <f>IF(F77=0,"",F77*Config!$B$18)</f>
        <v/>
      </c>
      <c r="I77" s="13" t="str">
        <f t="shared" si="2"/>
        <v/>
      </c>
      <c r="J77" s="11"/>
      <c r="K77" s="11"/>
      <c r="L77" s="11"/>
    </row>
    <row r="78" spans="1:12" ht="15.75" customHeight="1" x14ac:dyDescent="0.25">
      <c r="A78" s="11"/>
      <c r="B78" s="11"/>
      <c r="C78" s="11"/>
      <c r="D78" s="11"/>
      <c r="E78" s="11"/>
      <c r="F78" s="11"/>
      <c r="G78" s="11"/>
      <c r="H78" s="17" t="str">
        <f>IF(F78=0,"",F78*Config!$B$18)</f>
        <v/>
      </c>
      <c r="I78" s="13" t="str">
        <f t="shared" si="2"/>
        <v/>
      </c>
      <c r="J78" s="11"/>
      <c r="K78" s="11"/>
      <c r="L78" s="11"/>
    </row>
    <row r="79" spans="1:12" ht="15.75" customHeight="1" x14ac:dyDescent="0.25">
      <c r="A79" s="11"/>
      <c r="B79" s="11"/>
      <c r="C79" s="11"/>
      <c r="D79" s="11"/>
      <c r="E79" s="11"/>
      <c r="F79" s="11"/>
      <c r="G79" s="11"/>
      <c r="H79" s="17" t="str">
        <f>IF(F79=0,"",F79*Config!$B$18)</f>
        <v/>
      </c>
      <c r="I79" s="13" t="str">
        <f t="shared" si="2"/>
        <v/>
      </c>
      <c r="J79" s="11"/>
      <c r="K79" s="11"/>
      <c r="L79" s="11"/>
    </row>
    <row r="80" spans="1:12" ht="15.75" customHeight="1" x14ac:dyDescent="0.25">
      <c r="A80" s="11"/>
      <c r="B80" s="11"/>
      <c r="C80" s="11"/>
      <c r="D80" s="11"/>
      <c r="E80" s="11"/>
      <c r="F80" s="11"/>
      <c r="G80" s="11"/>
      <c r="H80" s="17" t="str">
        <f>IF(F80=0,"",F80*Config!$B$18)</f>
        <v/>
      </c>
      <c r="I80" s="13" t="str">
        <f t="shared" si="2"/>
        <v/>
      </c>
      <c r="J80" s="11"/>
      <c r="K80" s="11"/>
      <c r="L80" s="11"/>
    </row>
    <row r="81" spans="1:12" ht="15.75" customHeight="1" x14ac:dyDescent="0.25">
      <c r="A81" s="11"/>
      <c r="B81" s="11"/>
      <c r="C81" s="11"/>
      <c r="D81" s="11"/>
      <c r="E81" s="11"/>
      <c r="F81" s="11"/>
      <c r="G81" s="11"/>
      <c r="H81" s="17" t="str">
        <f>IF(F81=0,"",F81*Config!$B$18)</f>
        <v/>
      </c>
      <c r="I81" s="13" t="str">
        <f t="shared" si="2"/>
        <v/>
      </c>
      <c r="J81" s="11"/>
      <c r="K81" s="11"/>
      <c r="L81" s="11"/>
    </row>
    <row r="82" spans="1:12" ht="15.75" customHeight="1" x14ac:dyDescent="0.25">
      <c r="A82" s="11"/>
      <c r="B82" s="11"/>
      <c r="C82" s="11"/>
      <c r="D82" s="11"/>
      <c r="E82" s="11"/>
      <c r="F82" s="11"/>
      <c r="G82" s="11"/>
      <c r="H82" s="17" t="str">
        <f>IF(F82=0,"",F82*Config!$B$18)</f>
        <v/>
      </c>
      <c r="I82" s="13" t="str">
        <f t="shared" si="2"/>
        <v/>
      </c>
      <c r="J82" s="11"/>
      <c r="K82" s="11"/>
      <c r="L82" s="11"/>
    </row>
    <row r="83" spans="1:12" ht="15.75" customHeight="1" x14ac:dyDescent="0.25">
      <c r="A83" s="11"/>
      <c r="B83" s="11"/>
      <c r="C83" s="11"/>
      <c r="D83" s="11"/>
      <c r="E83" s="11"/>
      <c r="F83" s="11"/>
      <c r="G83" s="11"/>
      <c r="H83" s="17" t="str">
        <f>IF(F83=0,"",F83*Config!$B$18)</f>
        <v/>
      </c>
      <c r="I83" s="13" t="str">
        <f t="shared" si="2"/>
        <v/>
      </c>
      <c r="J83" s="11"/>
      <c r="K83" s="11"/>
      <c r="L83" s="11"/>
    </row>
    <row r="84" spans="1:12" ht="15.75" customHeight="1" x14ac:dyDescent="0.25">
      <c r="A84" s="11"/>
      <c r="B84" s="11"/>
      <c r="C84" s="11"/>
      <c r="D84" s="11"/>
      <c r="E84" s="11"/>
      <c r="F84" s="11"/>
      <c r="G84" s="11"/>
      <c r="H84" s="17" t="str">
        <f>IF(F84=0,"",F84*Config!$B$18)</f>
        <v/>
      </c>
      <c r="I84" s="13" t="str">
        <f t="shared" si="2"/>
        <v/>
      </c>
      <c r="J84" s="11"/>
      <c r="K84" s="11"/>
      <c r="L84" s="11"/>
    </row>
    <row r="85" spans="1:12" ht="15.75" customHeight="1" x14ac:dyDescent="0.25">
      <c r="A85" s="11"/>
      <c r="B85" s="11"/>
      <c r="C85" s="11"/>
      <c r="D85" s="11"/>
      <c r="E85" s="11"/>
      <c r="F85" s="11"/>
      <c r="G85" s="11"/>
      <c r="H85" s="17" t="str">
        <f>IF(F85=0,"",F85*Config!$B$18)</f>
        <v/>
      </c>
      <c r="I85" s="13" t="str">
        <f t="shared" si="2"/>
        <v/>
      </c>
      <c r="J85" s="11"/>
      <c r="K85" s="11"/>
      <c r="L85" s="11"/>
    </row>
    <row r="86" spans="1:12" ht="15.75" customHeight="1" x14ac:dyDescent="0.25">
      <c r="A86" s="11"/>
      <c r="B86" s="11"/>
      <c r="C86" s="11"/>
      <c r="D86" s="11"/>
      <c r="E86" s="11"/>
      <c r="F86" s="11"/>
      <c r="G86" s="11"/>
      <c r="H86" s="17" t="str">
        <f>IF(F86=0,"",F86*Config!$B$18)</f>
        <v/>
      </c>
      <c r="I86" s="13" t="str">
        <f t="shared" si="2"/>
        <v/>
      </c>
      <c r="J86" s="11"/>
      <c r="K86" s="11"/>
      <c r="L86" s="11"/>
    </row>
    <row r="87" spans="1:12" ht="15.75" customHeight="1" x14ac:dyDescent="0.25">
      <c r="A87" s="11"/>
      <c r="B87" s="11"/>
      <c r="C87" s="11"/>
      <c r="D87" s="11"/>
      <c r="E87" s="11"/>
      <c r="F87" s="11"/>
      <c r="G87" s="11"/>
      <c r="H87" s="17" t="str">
        <f>IF(F87=0,"",F87*Config!$B$18)</f>
        <v/>
      </c>
      <c r="I87" s="13" t="str">
        <f t="shared" si="2"/>
        <v/>
      </c>
      <c r="J87" s="11"/>
      <c r="K87" s="11"/>
      <c r="L87" s="11"/>
    </row>
    <row r="88" spans="1:12" ht="15.75" customHeight="1" x14ac:dyDescent="0.25">
      <c r="A88" s="11"/>
      <c r="B88" s="11"/>
      <c r="C88" s="11"/>
      <c r="D88" s="11"/>
      <c r="E88" s="11"/>
      <c r="F88" s="11"/>
      <c r="G88" s="11"/>
      <c r="H88" s="17" t="str">
        <f>IF(F88=0,"",F88*Config!$B$18)</f>
        <v/>
      </c>
      <c r="I88" s="13" t="str">
        <f t="shared" si="2"/>
        <v/>
      </c>
      <c r="J88" s="11"/>
      <c r="K88" s="11"/>
      <c r="L88" s="11"/>
    </row>
    <row r="89" spans="1:12" ht="15.75" customHeight="1" x14ac:dyDescent="0.25">
      <c r="A89" s="11"/>
      <c r="B89" s="11"/>
      <c r="C89" s="11"/>
      <c r="D89" s="11"/>
      <c r="E89" s="11"/>
      <c r="F89" s="11"/>
      <c r="G89" s="11"/>
      <c r="H89" s="17" t="str">
        <f>IF(F89=0,"",F89*Config!$B$18)</f>
        <v/>
      </c>
      <c r="I89" s="13" t="str">
        <f t="shared" si="2"/>
        <v/>
      </c>
      <c r="J89" s="11"/>
      <c r="K89" s="11"/>
      <c r="L89" s="11"/>
    </row>
    <row r="90" spans="1:12" ht="15.75" customHeight="1" x14ac:dyDescent="0.25">
      <c r="A90" s="11"/>
      <c r="B90" s="11"/>
      <c r="C90" s="11"/>
      <c r="D90" s="11"/>
      <c r="E90" s="11"/>
      <c r="F90" s="11"/>
      <c r="G90" s="11"/>
      <c r="H90" s="17" t="str">
        <f>IF(F90=0,"",F90*Config!$B$18)</f>
        <v/>
      </c>
      <c r="I90" s="13" t="str">
        <f t="shared" si="2"/>
        <v/>
      </c>
      <c r="J90" s="11"/>
      <c r="K90" s="11"/>
      <c r="L90" s="11"/>
    </row>
    <row r="91" spans="1:12" ht="15.75" customHeight="1" x14ac:dyDescent="0.25">
      <c r="A91" s="11"/>
      <c r="B91" s="11"/>
      <c r="C91" s="11"/>
      <c r="D91" s="11"/>
      <c r="E91" s="11"/>
      <c r="F91" s="11"/>
      <c r="G91" s="11"/>
      <c r="H91" s="17" t="str">
        <f>IF(F91=0,"",F91*Config!$B$18)</f>
        <v/>
      </c>
      <c r="I91" s="13" t="str">
        <f t="shared" si="2"/>
        <v/>
      </c>
      <c r="J91" s="11"/>
      <c r="K91" s="11"/>
      <c r="L91" s="11"/>
    </row>
    <row r="92" spans="1:12" ht="15.75" customHeight="1" x14ac:dyDescent="0.25">
      <c r="A92" s="11"/>
      <c r="B92" s="11"/>
      <c r="C92" s="11"/>
      <c r="D92" s="11"/>
      <c r="E92" s="11"/>
      <c r="F92" s="11"/>
      <c r="G92" s="11"/>
      <c r="H92" s="17" t="str">
        <f>IF(F92=0,"",F92*Config!$B$18)</f>
        <v/>
      </c>
      <c r="I92" s="13" t="str">
        <f t="shared" si="2"/>
        <v/>
      </c>
      <c r="J92" s="11"/>
      <c r="K92" s="11"/>
      <c r="L92" s="11"/>
    </row>
    <row r="93" spans="1:12" ht="15.75" customHeight="1" x14ac:dyDescent="0.25">
      <c r="A93" s="11"/>
      <c r="B93" s="11"/>
      <c r="C93" s="11"/>
      <c r="D93" s="11"/>
      <c r="E93" s="11"/>
      <c r="F93" s="11"/>
      <c r="G93" s="11"/>
      <c r="H93" s="17" t="str">
        <f>IF(F93=0,"",F93*Config!$B$18)</f>
        <v/>
      </c>
      <c r="I93" s="13" t="str">
        <f t="shared" si="2"/>
        <v/>
      </c>
      <c r="J93" s="11"/>
      <c r="K93" s="11"/>
      <c r="L93" s="11"/>
    </row>
    <row r="94" spans="1:12" ht="15.75" customHeight="1" x14ac:dyDescent="0.25">
      <c r="A94" s="11"/>
      <c r="B94" s="11"/>
      <c r="C94" s="11"/>
      <c r="D94" s="11"/>
      <c r="E94" s="11"/>
      <c r="F94" s="11"/>
      <c r="G94" s="11"/>
      <c r="H94" s="17" t="str">
        <f>IF(F94=0,"",F94*Config!$B$18)</f>
        <v/>
      </c>
      <c r="I94" s="13" t="str">
        <f t="shared" si="2"/>
        <v/>
      </c>
      <c r="J94" s="11"/>
      <c r="K94" s="11"/>
      <c r="L94" s="11"/>
    </row>
    <row r="95" spans="1:12" ht="15.75" customHeight="1" x14ac:dyDescent="0.25">
      <c r="A95" s="11"/>
      <c r="B95" s="11"/>
      <c r="C95" s="11"/>
      <c r="D95" s="11"/>
      <c r="E95" s="11"/>
      <c r="F95" s="11"/>
      <c r="G95" s="11"/>
      <c r="H95" s="17" t="str">
        <f>IF(F95=0,"",F95*Config!$B$18)</f>
        <v/>
      </c>
      <c r="I95" s="13" t="str">
        <f t="shared" si="2"/>
        <v/>
      </c>
      <c r="J95" s="11"/>
      <c r="K95" s="11"/>
      <c r="L95" s="11"/>
    </row>
    <row r="96" spans="1:12" ht="15.75" customHeight="1" x14ac:dyDescent="0.25">
      <c r="A96" s="11"/>
      <c r="B96" s="11"/>
      <c r="C96" s="11"/>
      <c r="D96" s="11"/>
      <c r="E96" s="11"/>
      <c r="F96" s="11"/>
      <c r="G96" s="11"/>
      <c r="H96" s="17" t="str">
        <f>IF(F96=0,"",F96*Config!$B$18)</f>
        <v/>
      </c>
      <c r="I96" s="13" t="str">
        <f t="shared" si="2"/>
        <v/>
      </c>
      <c r="J96" s="11"/>
      <c r="K96" s="11"/>
      <c r="L96" s="11"/>
    </row>
    <row r="97" spans="1:12" ht="15.75" customHeight="1" x14ac:dyDescent="0.25">
      <c r="A97" s="11"/>
      <c r="B97" s="11"/>
      <c r="C97" s="11"/>
      <c r="D97" s="11"/>
      <c r="E97" s="11"/>
      <c r="F97" s="11"/>
      <c r="G97" s="11"/>
      <c r="H97" s="17" t="str">
        <f>IF(F97=0,"",F97*Config!$B$18)</f>
        <v/>
      </c>
      <c r="I97" s="13" t="str">
        <f t="shared" si="2"/>
        <v/>
      </c>
      <c r="J97" s="11"/>
      <c r="K97" s="11"/>
      <c r="L97" s="11"/>
    </row>
    <row r="98" spans="1:12" ht="15.75" customHeight="1" x14ac:dyDescent="0.25">
      <c r="A98" s="11"/>
      <c r="B98" s="11"/>
      <c r="C98" s="11"/>
      <c r="D98" s="11"/>
      <c r="E98" s="11"/>
      <c r="F98" s="11"/>
      <c r="G98" s="11"/>
      <c r="H98" s="17" t="str">
        <f>IF(F98=0,"",F98*Config!$B$18)</f>
        <v/>
      </c>
      <c r="I98" s="13" t="str">
        <f t="shared" si="2"/>
        <v/>
      </c>
      <c r="J98" s="11"/>
      <c r="K98" s="11"/>
      <c r="L98" s="11"/>
    </row>
    <row r="99" spans="1:12" ht="15.75" customHeight="1" x14ac:dyDescent="0.25">
      <c r="A99" s="11"/>
      <c r="B99" s="11"/>
      <c r="C99" s="11"/>
      <c r="D99" s="11"/>
      <c r="E99" s="11"/>
      <c r="F99" s="11"/>
      <c r="G99" s="11"/>
      <c r="H99" s="17" t="str">
        <f>IF(F99=0,"",F99*Config!$B$18)</f>
        <v/>
      </c>
      <c r="I99" s="13" t="str">
        <f t="shared" si="2"/>
        <v/>
      </c>
      <c r="J99" s="11"/>
      <c r="K99" s="11"/>
      <c r="L99" s="11"/>
    </row>
    <row r="100" spans="1:12" ht="15.75" customHeight="1" x14ac:dyDescent="0.25">
      <c r="A100" s="11"/>
      <c r="B100" s="11"/>
      <c r="C100" s="11"/>
      <c r="D100" s="11"/>
      <c r="E100" s="11"/>
      <c r="F100" s="11"/>
      <c r="G100" s="11"/>
      <c r="H100" s="17" t="str">
        <f>IF(F100=0,"",F100*Config!$B$18)</f>
        <v/>
      </c>
      <c r="I100" s="13" t="str">
        <f t="shared" ref="I100:I131" si="3">IF(F100=0,"",MAX(0,F100-H100))</f>
        <v/>
      </c>
      <c r="J100" s="11"/>
      <c r="K100" s="11"/>
      <c r="L100" s="11"/>
    </row>
    <row r="101" spans="1:12" ht="15.75" customHeight="1" x14ac:dyDescent="0.25">
      <c r="A101" s="11"/>
      <c r="B101" s="11"/>
      <c r="C101" s="11"/>
      <c r="D101" s="11"/>
      <c r="E101" s="11"/>
      <c r="F101" s="11"/>
      <c r="G101" s="11"/>
      <c r="H101" s="17" t="str">
        <f>IF(F101=0,"",F101*Config!$B$18)</f>
        <v/>
      </c>
      <c r="I101" s="13" t="str">
        <f t="shared" si="3"/>
        <v/>
      </c>
      <c r="J101" s="11"/>
      <c r="K101" s="11"/>
      <c r="L101" s="11"/>
    </row>
    <row r="102" spans="1:12" ht="15.75" customHeight="1" x14ac:dyDescent="0.25">
      <c r="A102" s="11"/>
      <c r="B102" s="11"/>
      <c r="C102" s="11"/>
      <c r="D102" s="11"/>
      <c r="E102" s="11"/>
      <c r="F102" s="11"/>
      <c r="G102" s="11"/>
      <c r="H102" s="17" t="str">
        <f>IF(F102=0,"",F102*Config!$B$18)</f>
        <v/>
      </c>
      <c r="I102" s="13" t="str">
        <f t="shared" si="3"/>
        <v/>
      </c>
      <c r="J102" s="11"/>
      <c r="K102" s="11"/>
      <c r="L102" s="11"/>
    </row>
    <row r="103" spans="1:12" ht="15.75" customHeight="1" x14ac:dyDescent="0.25">
      <c r="A103" s="11"/>
      <c r="B103" s="11"/>
      <c r="C103" s="11"/>
      <c r="D103" s="11"/>
      <c r="E103" s="11"/>
      <c r="F103" s="11"/>
      <c r="G103" s="11"/>
      <c r="H103" s="17" t="str">
        <f>IF(F103=0,"",F103*Config!$B$18)</f>
        <v/>
      </c>
      <c r="I103" s="13" t="str">
        <f t="shared" si="3"/>
        <v/>
      </c>
      <c r="J103" s="11"/>
      <c r="K103" s="11"/>
      <c r="L103" s="11"/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S103"/>
  <sheetViews>
    <sheetView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sqref="A1:O1"/>
    </sheetView>
  </sheetViews>
  <sheetFormatPr defaultColWidth="8.7109375" defaultRowHeight="15" x14ac:dyDescent="0.25"/>
  <cols>
    <col min="1" max="1" width="14" customWidth="1"/>
    <col min="2" max="2" width="20" customWidth="1"/>
    <col min="3" max="4" width="14" customWidth="1"/>
    <col min="5" max="5" width="10" customWidth="1"/>
    <col min="6" max="6" width="8" customWidth="1"/>
    <col min="7" max="42" width="12" customWidth="1"/>
  </cols>
  <sheetData>
    <row r="1" spans="1:45" ht="31.5" customHeight="1" x14ac:dyDescent="0.25">
      <c r="A1" s="166" t="s">
        <v>289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</row>
    <row r="2" spans="1:45" ht="21.75" customHeight="1" x14ac:dyDescent="0.25">
      <c r="A2" s="164" t="s">
        <v>290</v>
      </c>
      <c r="B2" s="162"/>
      <c r="C2" s="162"/>
      <c r="D2" s="162"/>
      <c r="E2" s="162"/>
      <c r="F2" s="165"/>
      <c r="G2" s="164" t="s">
        <v>291</v>
      </c>
      <c r="H2" s="162"/>
      <c r="I2" s="165"/>
      <c r="J2" s="164" t="s">
        <v>292</v>
      </c>
      <c r="K2" s="162"/>
      <c r="L2" s="165"/>
      <c r="M2" s="164" t="s">
        <v>293</v>
      </c>
      <c r="N2" s="162"/>
      <c r="O2" s="165"/>
      <c r="P2" s="164" t="s">
        <v>294</v>
      </c>
      <c r="Q2" s="162"/>
      <c r="R2" s="165"/>
      <c r="S2" s="164" t="s">
        <v>295</v>
      </c>
      <c r="T2" s="162"/>
      <c r="U2" s="165"/>
      <c r="V2" s="164" t="s">
        <v>296</v>
      </c>
      <c r="W2" s="162"/>
      <c r="X2" s="165"/>
      <c r="Y2" s="164" t="s">
        <v>297</v>
      </c>
      <c r="Z2" s="162"/>
      <c r="AA2" s="165"/>
      <c r="AB2" s="164" t="s">
        <v>298</v>
      </c>
      <c r="AC2" s="162"/>
      <c r="AD2" s="165"/>
      <c r="AE2" s="164" t="s">
        <v>299</v>
      </c>
      <c r="AF2" s="162"/>
      <c r="AG2" s="165"/>
      <c r="AH2" s="164" t="s">
        <v>300</v>
      </c>
      <c r="AI2" s="162"/>
      <c r="AJ2" s="165"/>
      <c r="AK2" s="164" t="s">
        <v>301</v>
      </c>
      <c r="AL2" s="162"/>
      <c r="AM2" s="165"/>
      <c r="AN2" s="164" t="s">
        <v>302</v>
      </c>
      <c r="AO2" s="162"/>
      <c r="AP2" s="165"/>
      <c r="AQ2" s="164" t="s">
        <v>303</v>
      </c>
      <c r="AR2" s="162"/>
      <c r="AS2" s="165"/>
    </row>
    <row r="3" spans="1:45" ht="30" customHeight="1" x14ac:dyDescent="0.25">
      <c r="A3" s="1" t="s">
        <v>43</v>
      </c>
      <c r="B3" s="1" t="s">
        <v>260</v>
      </c>
      <c r="C3" s="1" t="s">
        <v>49</v>
      </c>
      <c r="D3" s="1" t="s">
        <v>304</v>
      </c>
      <c r="E3" s="1" t="s">
        <v>199</v>
      </c>
      <c r="F3" s="1" t="s">
        <v>305</v>
      </c>
      <c r="G3" s="1" t="s">
        <v>306</v>
      </c>
      <c r="H3" s="1" t="s">
        <v>307</v>
      </c>
      <c r="I3" s="1" t="s">
        <v>308</v>
      </c>
      <c r="J3" s="1" t="s">
        <v>309</v>
      </c>
      <c r="K3" s="1" t="s">
        <v>310</v>
      </c>
      <c r="L3" s="1" t="s">
        <v>311</v>
      </c>
      <c r="M3" s="1" t="s">
        <v>312</v>
      </c>
      <c r="N3" s="1" t="s">
        <v>313</v>
      </c>
      <c r="O3" s="1" t="s">
        <v>314</v>
      </c>
      <c r="P3" s="1" t="s">
        <v>315</v>
      </c>
      <c r="Q3" s="1" t="s">
        <v>316</v>
      </c>
      <c r="R3" s="1" t="s">
        <v>317</v>
      </c>
      <c r="S3" s="1" t="s">
        <v>318</v>
      </c>
      <c r="T3" s="1" t="s">
        <v>319</v>
      </c>
      <c r="U3" s="1" t="s">
        <v>320</v>
      </c>
      <c r="V3" s="1" t="s">
        <v>321</v>
      </c>
      <c r="W3" s="1" t="s">
        <v>322</v>
      </c>
      <c r="X3" s="1" t="s">
        <v>323</v>
      </c>
      <c r="Y3" s="1" t="s">
        <v>324</v>
      </c>
      <c r="Z3" s="1" t="s">
        <v>325</v>
      </c>
      <c r="AA3" s="1" t="s">
        <v>326</v>
      </c>
      <c r="AB3" s="1" t="s">
        <v>327</v>
      </c>
      <c r="AC3" s="1" t="s">
        <v>328</v>
      </c>
      <c r="AD3" s="1" t="s">
        <v>329</v>
      </c>
      <c r="AE3" s="1" t="s">
        <v>330</v>
      </c>
      <c r="AF3" s="1" t="s">
        <v>331</v>
      </c>
      <c r="AG3" s="1" t="s">
        <v>332</v>
      </c>
      <c r="AH3" s="1" t="s">
        <v>333</v>
      </c>
      <c r="AI3" s="1" t="s">
        <v>334</v>
      </c>
      <c r="AJ3" s="1" t="s">
        <v>335</v>
      </c>
      <c r="AK3" s="1" t="s">
        <v>336</v>
      </c>
      <c r="AL3" s="1" t="s">
        <v>337</v>
      </c>
      <c r="AM3" s="1" t="s">
        <v>338</v>
      </c>
      <c r="AN3" s="1" t="s">
        <v>339</v>
      </c>
      <c r="AO3" s="1" t="s">
        <v>340</v>
      </c>
      <c r="AP3" s="1" t="s">
        <v>341</v>
      </c>
      <c r="AQ3" s="1" t="s">
        <v>342</v>
      </c>
      <c r="AR3" s="1" t="s">
        <v>194</v>
      </c>
      <c r="AS3" s="1" t="s">
        <v>343</v>
      </c>
    </row>
    <row r="4" spans="1:45" ht="15.75" customHeight="1" x14ac:dyDescent="0.25">
      <c r="A4" s="6">
        <f>IFERROR(Loans!C4,"")</f>
        <v>0</v>
      </c>
      <c r="B4" s="4">
        <f>IFERROR(Loans!B4,"")</f>
        <v>0</v>
      </c>
      <c r="C4" s="6">
        <f>IFERROR(Loans!A4,"")</f>
        <v>0</v>
      </c>
      <c r="D4" s="21">
        <f>IFERROR(Loans!E4,0)</f>
        <v>0</v>
      </c>
      <c r="E4" s="22">
        <f>IFERROR(Loans!H4,0)</f>
        <v>0</v>
      </c>
      <c r="F4" s="23">
        <f>IFERROR(Loans!I4,0)</f>
        <v>0</v>
      </c>
      <c r="G4" s="24" t="str">
        <f t="shared" ref="G4:G35" si="0">IF(D4=0,"",IFERROR(D4*(E4/12),0))</f>
        <v/>
      </c>
      <c r="H4" s="25">
        <f>IF(A4="","",IFERROR(SUMIFS(Int_Repayments!E$4:E$1003,Int_Repayments!C$4:C$1003,A4,Int_Repayments!D$4:D$1003,1),0))</f>
        <v>0</v>
      </c>
      <c r="I4" s="26" t="str">
        <f t="shared" ref="I4:I35" si="1">IF(D4=0,"",MAX(0,G4-H4))</f>
        <v/>
      </c>
      <c r="J4" s="24" t="str">
        <f t="shared" ref="J4:J35" si="2">IF(D4=0,"",IFERROR(D4*(E4/12),0))</f>
        <v/>
      </c>
      <c r="K4" s="25">
        <f>IF(A4="","",IFERROR(SUMIFS(Int_Repayments!E$4:E$1003,Int_Repayments!C$4:C$1003,A4,Int_Repayments!D$4:D$1003,2),0))</f>
        <v>0</v>
      </c>
      <c r="L4" s="26" t="str">
        <f t="shared" ref="L4:L35" si="3">IF(D4=0,"",MAX(0,J4-K4))</f>
        <v/>
      </c>
      <c r="M4" s="24" t="str">
        <f t="shared" ref="M4:M35" si="4">IF(D4=0,"",IFERROR(D4*(E4/12),0))</f>
        <v/>
      </c>
      <c r="N4" s="25">
        <f>IF(A4="","",IFERROR(SUMIFS(Int_Repayments!E$4:E$1003,Int_Repayments!C$4:C$1003,A4,Int_Repayments!D$4:D$1003,3),0))</f>
        <v>0</v>
      </c>
      <c r="O4" s="26" t="str">
        <f t="shared" ref="O4:O35" si="5">IF(D4=0,"",MAX(0,M4-N4))</f>
        <v/>
      </c>
      <c r="P4" s="24" t="str">
        <f t="shared" ref="P4:P35" si="6">IF(D4=0,"",IFERROR(D4*(E4/12),0))</f>
        <v/>
      </c>
      <c r="Q4" s="25">
        <f>IF(A4="","",IFERROR(SUMIFS(Int_Repayments!E$4:E$1003,Int_Repayments!C$4:C$1003,A4,Int_Repayments!D$4:D$1003,4),0))</f>
        <v>0</v>
      </c>
      <c r="R4" s="26" t="str">
        <f t="shared" ref="R4:R35" si="7">IF(D4=0,"",MAX(0,P4-Q4))</f>
        <v/>
      </c>
      <c r="S4" s="24" t="str">
        <f t="shared" ref="S4:S35" si="8">IF(D4=0,"",IFERROR(D4*(E4/12),0))</f>
        <v/>
      </c>
      <c r="T4" s="25">
        <f>IF(A4="","",IFERROR(SUMIFS(Int_Repayments!E$4:E$1003,Int_Repayments!C$4:C$1003,A4,Int_Repayments!D$4:D$1003,5),0))</f>
        <v>0</v>
      </c>
      <c r="U4" s="26" t="str">
        <f t="shared" ref="U4:U35" si="9">IF(D4=0,"",MAX(0,S4-T4))</f>
        <v/>
      </c>
      <c r="V4" s="24" t="str">
        <f t="shared" ref="V4:V35" si="10">IF(D4=0,"",IFERROR(D4*(E4/12),0))</f>
        <v/>
      </c>
      <c r="W4" s="25">
        <f>IF(A4="","",IFERROR(SUMIFS(Int_Repayments!E$4:E$1003,Int_Repayments!C$4:C$1003,A4,Int_Repayments!D$4:D$1003,6),0))</f>
        <v>0</v>
      </c>
      <c r="X4" s="26" t="str">
        <f t="shared" ref="X4:X35" si="11">IF(D4=0,"",MAX(0,V4-W4))</f>
        <v/>
      </c>
      <c r="Y4" s="24" t="str">
        <f t="shared" ref="Y4:Y35" si="12">IF(D4=0,"",IFERROR(D4*(E4/12),0))</f>
        <v/>
      </c>
      <c r="Z4" s="25">
        <f>IF(A4="","",IFERROR(SUMIFS(Int_Repayments!E$4:E$1003,Int_Repayments!C$4:C$1003,A4,Int_Repayments!D$4:D$1003,7),0))</f>
        <v>0</v>
      </c>
      <c r="AA4" s="26" t="str">
        <f t="shared" ref="AA4:AA35" si="13">IF(D4=0,"",MAX(0,Y4-Z4))</f>
        <v/>
      </c>
      <c r="AB4" s="24" t="str">
        <f t="shared" ref="AB4:AB35" si="14">IF(D4=0,"",IFERROR(D4*(E4/12),0))</f>
        <v/>
      </c>
      <c r="AC4" s="25">
        <f>IF(A4="","",IFERROR(SUMIFS(Int_Repayments!E$4:E$1003,Int_Repayments!C$4:C$1003,A4,Int_Repayments!D$4:D$1003,8),0))</f>
        <v>0</v>
      </c>
      <c r="AD4" s="26" t="str">
        <f t="shared" ref="AD4:AD35" si="15">IF(D4=0,"",MAX(0,AB4-AC4))</f>
        <v/>
      </c>
      <c r="AE4" s="24" t="str">
        <f t="shared" ref="AE4:AE35" si="16">IF(D4=0,"",IFERROR(D4*(E4/12),0))</f>
        <v/>
      </c>
      <c r="AF4" s="25">
        <f>IF(A4="","",IFERROR(SUMIFS(Int_Repayments!E$4:E$1003,Int_Repayments!C$4:C$1003,A4,Int_Repayments!D$4:D$1003,9),0))</f>
        <v>0</v>
      </c>
      <c r="AG4" s="26" t="str">
        <f t="shared" ref="AG4:AG35" si="17">IF(D4=0,"",MAX(0,AE4-AF4))</f>
        <v/>
      </c>
      <c r="AH4" s="24" t="str">
        <f t="shared" ref="AH4:AH35" si="18">IF(D4=0,"",IFERROR(D4*(E4/12),0))</f>
        <v/>
      </c>
      <c r="AI4" s="25">
        <f>IF(A4="","",IFERROR(SUMIFS(Int_Repayments!E$4:E$1003,Int_Repayments!C$4:C$1003,A4,Int_Repayments!D$4:D$1003,10),0))</f>
        <v>0</v>
      </c>
      <c r="AJ4" s="26" t="str">
        <f t="shared" ref="AJ4:AJ35" si="19">IF(D4=0,"",MAX(0,AH4-AI4))</f>
        <v/>
      </c>
      <c r="AK4" s="24" t="str">
        <f t="shared" ref="AK4:AK35" si="20">IF(D4=0,"",IFERROR(D4*(E4/12),0))</f>
        <v/>
      </c>
      <c r="AL4" s="25">
        <f>IF(A4="","",IFERROR(SUMIFS(Int_Repayments!E$4:E$1003,Int_Repayments!C$4:C$1003,A4,Int_Repayments!D$4:D$1003,11),0))</f>
        <v>0</v>
      </c>
      <c r="AM4" s="26" t="str">
        <f t="shared" ref="AM4:AM35" si="21">IF(D4=0,"",MAX(0,AK4-AL4))</f>
        <v/>
      </c>
      <c r="AN4" s="24" t="str">
        <f t="shared" ref="AN4:AN35" si="22">IF(D4=0,"",IFERROR(D4*(E4/12),0))</f>
        <v/>
      </c>
      <c r="AO4" s="25">
        <f>IF(A4="","",IFERROR(SUMIFS(Int_Repayments!E$4:E$1003,Int_Repayments!C$4:C$1003,A4,Int_Repayments!D$4:D$1003,12),0))</f>
        <v>0</v>
      </c>
      <c r="AP4" s="26" t="str">
        <f t="shared" ref="AP4:AP35" si="23">IF(D4=0,"",MAX(0,AN4-AO4))</f>
        <v/>
      </c>
      <c r="AQ4" s="24" t="str">
        <f t="shared" ref="AQ4:AQ35" si="24">IF(D4=0,"",G4+J4+M4+P4+S4+V4+Y4+AB4+AE4+AH4+AK4+AN4)</f>
        <v/>
      </c>
      <c r="AR4" s="24" t="str">
        <f t="shared" ref="AR4:AR35" si="25">IF(D4=0,"",H4+K4+N4+Q4+T4+W4+Z4+AC4+AF4+AI4+AL4+AO4)</f>
        <v/>
      </c>
      <c r="AS4" s="24" t="str">
        <f t="shared" ref="AS4:AS35" si="26">IF(D4=0,"",MAX(0,AQ4-AR4))</f>
        <v/>
      </c>
    </row>
    <row r="5" spans="1:45" ht="15.75" customHeight="1" x14ac:dyDescent="0.25">
      <c r="A5" s="6">
        <f>IFERROR(Loans!C5,"")</f>
        <v>0</v>
      </c>
      <c r="B5" s="4">
        <f>IFERROR(Loans!B5,"")</f>
        <v>0</v>
      </c>
      <c r="C5" s="6">
        <f>IFERROR(Loans!A5,"")</f>
        <v>0</v>
      </c>
      <c r="D5" s="21">
        <f>IFERROR(Loans!E5,0)</f>
        <v>0</v>
      </c>
      <c r="E5" s="22">
        <f>IFERROR(Loans!H5,0)</f>
        <v>0</v>
      </c>
      <c r="F5" s="23">
        <f>IFERROR(Loans!I5,0)</f>
        <v>0</v>
      </c>
      <c r="G5" s="24" t="str">
        <f t="shared" si="0"/>
        <v/>
      </c>
      <c r="H5" s="25">
        <f>IF(A5="","",IFERROR(SUMIFS(Int_Repayments!E$4:E$1003,Int_Repayments!C$4:C$1003,A5,Int_Repayments!D$4:D$1003,1),0))</f>
        <v>0</v>
      </c>
      <c r="I5" s="26" t="str">
        <f t="shared" si="1"/>
        <v/>
      </c>
      <c r="J5" s="24" t="str">
        <f t="shared" si="2"/>
        <v/>
      </c>
      <c r="K5" s="25">
        <f>IF(A5="","",IFERROR(SUMIFS(Int_Repayments!E$4:E$1003,Int_Repayments!C$4:C$1003,A5,Int_Repayments!D$4:D$1003,2),0))</f>
        <v>0</v>
      </c>
      <c r="L5" s="26" t="str">
        <f t="shared" si="3"/>
        <v/>
      </c>
      <c r="M5" s="24" t="str">
        <f t="shared" si="4"/>
        <v/>
      </c>
      <c r="N5" s="25">
        <f>IF(A5="","",IFERROR(SUMIFS(Int_Repayments!E$4:E$1003,Int_Repayments!C$4:C$1003,A5,Int_Repayments!D$4:D$1003,3),0))</f>
        <v>0</v>
      </c>
      <c r="O5" s="26" t="str">
        <f t="shared" si="5"/>
        <v/>
      </c>
      <c r="P5" s="24" t="str">
        <f t="shared" si="6"/>
        <v/>
      </c>
      <c r="Q5" s="25">
        <f>IF(A5="","",IFERROR(SUMIFS(Int_Repayments!E$4:E$1003,Int_Repayments!C$4:C$1003,A5,Int_Repayments!D$4:D$1003,4),0))</f>
        <v>0</v>
      </c>
      <c r="R5" s="26" t="str">
        <f t="shared" si="7"/>
        <v/>
      </c>
      <c r="S5" s="24" t="str">
        <f t="shared" si="8"/>
        <v/>
      </c>
      <c r="T5" s="25">
        <f>IF(A5="","",IFERROR(SUMIFS(Int_Repayments!E$4:E$1003,Int_Repayments!C$4:C$1003,A5,Int_Repayments!D$4:D$1003,5),0))</f>
        <v>0</v>
      </c>
      <c r="U5" s="26" t="str">
        <f t="shared" si="9"/>
        <v/>
      </c>
      <c r="V5" s="24" t="str">
        <f t="shared" si="10"/>
        <v/>
      </c>
      <c r="W5" s="25">
        <f>IF(A5="","",IFERROR(SUMIFS(Int_Repayments!E$4:E$1003,Int_Repayments!C$4:C$1003,A5,Int_Repayments!D$4:D$1003,6),0))</f>
        <v>0</v>
      </c>
      <c r="X5" s="26" t="str">
        <f t="shared" si="11"/>
        <v/>
      </c>
      <c r="Y5" s="24" t="str">
        <f t="shared" si="12"/>
        <v/>
      </c>
      <c r="Z5" s="25">
        <f>IF(A5="","",IFERROR(SUMIFS(Int_Repayments!E$4:E$1003,Int_Repayments!C$4:C$1003,A5,Int_Repayments!D$4:D$1003,7),0))</f>
        <v>0</v>
      </c>
      <c r="AA5" s="26" t="str">
        <f t="shared" si="13"/>
        <v/>
      </c>
      <c r="AB5" s="24" t="str">
        <f t="shared" si="14"/>
        <v/>
      </c>
      <c r="AC5" s="25">
        <f>IF(A5="","",IFERROR(SUMIFS(Int_Repayments!E$4:E$1003,Int_Repayments!C$4:C$1003,A5,Int_Repayments!D$4:D$1003,8),0))</f>
        <v>0</v>
      </c>
      <c r="AD5" s="26" t="str">
        <f t="shared" si="15"/>
        <v/>
      </c>
      <c r="AE5" s="24" t="str">
        <f t="shared" si="16"/>
        <v/>
      </c>
      <c r="AF5" s="25">
        <f>IF(A5="","",IFERROR(SUMIFS(Int_Repayments!E$4:E$1003,Int_Repayments!C$4:C$1003,A5,Int_Repayments!D$4:D$1003,9),0))</f>
        <v>0</v>
      </c>
      <c r="AG5" s="26" t="str">
        <f t="shared" si="17"/>
        <v/>
      </c>
      <c r="AH5" s="24" t="str">
        <f t="shared" si="18"/>
        <v/>
      </c>
      <c r="AI5" s="25">
        <f>IF(A5="","",IFERROR(SUMIFS(Int_Repayments!E$4:E$1003,Int_Repayments!C$4:C$1003,A5,Int_Repayments!D$4:D$1003,10),0))</f>
        <v>0</v>
      </c>
      <c r="AJ5" s="26" t="str">
        <f t="shared" si="19"/>
        <v/>
      </c>
      <c r="AK5" s="24" t="str">
        <f t="shared" si="20"/>
        <v/>
      </c>
      <c r="AL5" s="25">
        <f>IF(A5="","",IFERROR(SUMIFS(Int_Repayments!E$4:E$1003,Int_Repayments!C$4:C$1003,A5,Int_Repayments!D$4:D$1003,11),0))</f>
        <v>0</v>
      </c>
      <c r="AM5" s="26" t="str">
        <f t="shared" si="21"/>
        <v/>
      </c>
      <c r="AN5" s="24" t="str">
        <f t="shared" si="22"/>
        <v/>
      </c>
      <c r="AO5" s="25">
        <f>IF(A5="","",IFERROR(SUMIFS(Int_Repayments!E$4:E$1003,Int_Repayments!C$4:C$1003,A5,Int_Repayments!D$4:D$1003,12),0))</f>
        <v>0</v>
      </c>
      <c r="AP5" s="26" t="str">
        <f t="shared" si="23"/>
        <v/>
      </c>
      <c r="AQ5" s="24" t="str">
        <f t="shared" si="24"/>
        <v/>
      </c>
      <c r="AR5" s="24" t="str">
        <f t="shared" si="25"/>
        <v/>
      </c>
      <c r="AS5" s="24" t="str">
        <f t="shared" si="26"/>
        <v/>
      </c>
    </row>
    <row r="6" spans="1:45" ht="15.75" customHeight="1" x14ac:dyDescent="0.25">
      <c r="A6" s="6">
        <f>IFERROR(Loans!C6,"")</f>
        <v>0</v>
      </c>
      <c r="B6" s="4">
        <f>IFERROR(Loans!B6,"")</f>
        <v>0</v>
      </c>
      <c r="C6" s="6">
        <f>IFERROR(Loans!A6,"")</f>
        <v>0</v>
      </c>
      <c r="D6" s="21">
        <f>IFERROR(Loans!E6,0)</f>
        <v>0</v>
      </c>
      <c r="E6" s="22">
        <f>IFERROR(Loans!H6,0)</f>
        <v>0</v>
      </c>
      <c r="F6" s="23">
        <f>IFERROR(Loans!I6,0)</f>
        <v>0</v>
      </c>
      <c r="G6" s="24" t="str">
        <f t="shared" si="0"/>
        <v/>
      </c>
      <c r="H6" s="25">
        <f>IF(A6="","",IFERROR(SUMIFS(Int_Repayments!E$4:E$1003,Int_Repayments!C$4:C$1003,A6,Int_Repayments!D$4:D$1003,1),0))</f>
        <v>0</v>
      </c>
      <c r="I6" s="26" t="str">
        <f t="shared" si="1"/>
        <v/>
      </c>
      <c r="J6" s="24" t="str">
        <f t="shared" si="2"/>
        <v/>
      </c>
      <c r="K6" s="25">
        <f>IF(A6="","",IFERROR(SUMIFS(Int_Repayments!E$4:E$1003,Int_Repayments!C$4:C$1003,A6,Int_Repayments!D$4:D$1003,2),0))</f>
        <v>0</v>
      </c>
      <c r="L6" s="26" t="str">
        <f t="shared" si="3"/>
        <v/>
      </c>
      <c r="M6" s="24" t="str">
        <f t="shared" si="4"/>
        <v/>
      </c>
      <c r="N6" s="25">
        <f>IF(A6="","",IFERROR(SUMIFS(Int_Repayments!E$4:E$1003,Int_Repayments!C$4:C$1003,A6,Int_Repayments!D$4:D$1003,3),0))</f>
        <v>0</v>
      </c>
      <c r="O6" s="26" t="str">
        <f t="shared" si="5"/>
        <v/>
      </c>
      <c r="P6" s="24" t="str">
        <f t="shared" si="6"/>
        <v/>
      </c>
      <c r="Q6" s="25">
        <f>IF(A6="","",IFERROR(SUMIFS(Int_Repayments!E$4:E$1003,Int_Repayments!C$4:C$1003,A6,Int_Repayments!D$4:D$1003,4),0))</f>
        <v>0</v>
      </c>
      <c r="R6" s="26" t="str">
        <f t="shared" si="7"/>
        <v/>
      </c>
      <c r="S6" s="24" t="str">
        <f t="shared" si="8"/>
        <v/>
      </c>
      <c r="T6" s="25">
        <f>IF(A6="","",IFERROR(SUMIFS(Int_Repayments!E$4:E$1003,Int_Repayments!C$4:C$1003,A6,Int_Repayments!D$4:D$1003,5),0))</f>
        <v>0</v>
      </c>
      <c r="U6" s="26" t="str">
        <f t="shared" si="9"/>
        <v/>
      </c>
      <c r="V6" s="24" t="str">
        <f t="shared" si="10"/>
        <v/>
      </c>
      <c r="W6" s="25">
        <f>IF(A6="","",IFERROR(SUMIFS(Int_Repayments!E$4:E$1003,Int_Repayments!C$4:C$1003,A6,Int_Repayments!D$4:D$1003,6),0))</f>
        <v>0</v>
      </c>
      <c r="X6" s="26" t="str">
        <f t="shared" si="11"/>
        <v/>
      </c>
      <c r="Y6" s="24" t="str">
        <f t="shared" si="12"/>
        <v/>
      </c>
      <c r="Z6" s="25">
        <f>IF(A6="","",IFERROR(SUMIFS(Int_Repayments!E$4:E$1003,Int_Repayments!C$4:C$1003,A6,Int_Repayments!D$4:D$1003,7),0))</f>
        <v>0</v>
      </c>
      <c r="AA6" s="26" t="str">
        <f t="shared" si="13"/>
        <v/>
      </c>
      <c r="AB6" s="24" t="str">
        <f t="shared" si="14"/>
        <v/>
      </c>
      <c r="AC6" s="25">
        <f>IF(A6="","",IFERROR(SUMIFS(Int_Repayments!E$4:E$1003,Int_Repayments!C$4:C$1003,A6,Int_Repayments!D$4:D$1003,8),0))</f>
        <v>0</v>
      </c>
      <c r="AD6" s="26" t="str">
        <f t="shared" si="15"/>
        <v/>
      </c>
      <c r="AE6" s="24" t="str">
        <f t="shared" si="16"/>
        <v/>
      </c>
      <c r="AF6" s="25">
        <f>IF(A6="","",IFERROR(SUMIFS(Int_Repayments!E$4:E$1003,Int_Repayments!C$4:C$1003,A6,Int_Repayments!D$4:D$1003,9),0))</f>
        <v>0</v>
      </c>
      <c r="AG6" s="26" t="str">
        <f t="shared" si="17"/>
        <v/>
      </c>
      <c r="AH6" s="24" t="str">
        <f t="shared" si="18"/>
        <v/>
      </c>
      <c r="AI6" s="25">
        <f>IF(A6="","",IFERROR(SUMIFS(Int_Repayments!E$4:E$1003,Int_Repayments!C$4:C$1003,A6,Int_Repayments!D$4:D$1003,10),0))</f>
        <v>0</v>
      </c>
      <c r="AJ6" s="26" t="str">
        <f t="shared" si="19"/>
        <v/>
      </c>
      <c r="AK6" s="24" t="str">
        <f t="shared" si="20"/>
        <v/>
      </c>
      <c r="AL6" s="25">
        <f>IF(A6="","",IFERROR(SUMIFS(Int_Repayments!E$4:E$1003,Int_Repayments!C$4:C$1003,A6,Int_Repayments!D$4:D$1003,11),0))</f>
        <v>0</v>
      </c>
      <c r="AM6" s="26" t="str">
        <f t="shared" si="21"/>
        <v/>
      </c>
      <c r="AN6" s="24" t="str">
        <f t="shared" si="22"/>
        <v/>
      </c>
      <c r="AO6" s="25">
        <f>IF(A6="","",IFERROR(SUMIFS(Int_Repayments!E$4:E$1003,Int_Repayments!C$4:C$1003,A6,Int_Repayments!D$4:D$1003,12),0))</f>
        <v>0</v>
      </c>
      <c r="AP6" s="26" t="str">
        <f t="shared" si="23"/>
        <v/>
      </c>
      <c r="AQ6" s="24" t="str">
        <f t="shared" si="24"/>
        <v/>
      </c>
      <c r="AR6" s="24" t="str">
        <f t="shared" si="25"/>
        <v/>
      </c>
      <c r="AS6" s="24" t="str">
        <f t="shared" si="26"/>
        <v/>
      </c>
    </row>
    <row r="7" spans="1:45" ht="15.75" customHeight="1" x14ac:dyDescent="0.25">
      <c r="A7" s="6">
        <f>IFERROR(Loans!C7,"")</f>
        <v>0</v>
      </c>
      <c r="B7" s="4">
        <f>IFERROR(Loans!B7,"")</f>
        <v>0</v>
      </c>
      <c r="C7" s="6">
        <f>IFERROR(Loans!A7,"")</f>
        <v>0</v>
      </c>
      <c r="D7" s="21">
        <f>IFERROR(Loans!E7,0)</f>
        <v>0</v>
      </c>
      <c r="E7" s="22">
        <f>IFERROR(Loans!H7,0)</f>
        <v>0</v>
      </c>
      <c r="F7" s="23">
        <f>IFERROR(Loans!I7,0)</f>
        <v>0</v>
      </c>
      <c r="G7" s="24" t="str">
        <f t="shared" si="0"/>
        <v/>
      </c>
      <c r="H7" s="25">
        <f>IF(A7="","",IFERROR(SUMIFS(Int_Repayments!E$4:E$1003,Int_Repayments!C$4:C$1003,A7,Int_Repayments!D$4:D$1003,1),0))</f>
        <v>0</v>
      </c>
      <c r="I7" s="26" t="str">
        <f t="shared" si="1"/>
        <v/>
      </c>
      <c r="J7" s="24" t="str">
        <f t="shared" si="2"/>
        <v/>
      </c>
      <c r="K7" s="25">
        <f>IF(A7="","",IFERROR(SUMIFS(Int_Repayments!E$4:E$1003,Int_Repayments!C$4:C$1003,A7,Int_Repayments!D$4:D$1003,2),0))</f>
        <v>0</v>
      </c>
      <c r="L7" s="26" t="str">
        <f t="shared" si="3"/>
        <v/>
      </c>
      <c r="M7" s="24" t="str">
        <f t="shared" si="4"/>
        <v/>
      </c>
      <c r="N7" s="25">
        <f>IF(A7="","",IFERROR(SUMIFS(Int_Repayments!E$4:E$1003,Int_Repayments!C$4:C$1003,A7,Int_Repayments!D$4:D$1003,3),0))</f>
        <v>0</v>
      </c>
      <c r="O7" s="26" t="str">
        <f t="shared" si="5"/>
        <v/>
      </c>
      <c r="P7" s="24" t="str">
        <f t="shared" si="6"/>
        <v/>
      </c>
      <c r="Q7" s="25">
        <f>IF(A7="","",IFERROR(SUMIFS(Int_Repayments!E$4:E$1003,Int_Repayments!C$4:C$1003,A7,Int_Repayments!D$4:D$1003,4),0))</f>
        <v>0</v>
      </c>
      <c r="R7" s="26" t="str">
        <f t="shared" si="7"/>
        <v/>
      </c>
      <c r="S7" s="24" t="str">
        <f t="shared" si="8"/>
        <v/>
      </c>
      <c r="T7" s="25">
        <f>IF(A7="","",IFERROR(SUMIFS(Int_Repayments!E$4:E$1003,Int_Repayments!C$4:C$1003,A7,Int_Repayments!D$4:D$1003,5),0))</f>
        <v>0</v>
      </c>
      <c r="U7" s="26" t="str">
        <f t="shared" si="9"/>
        <v/>
      </c>
      <c r="V7" s="24" t="str">
        <f t="shared" si="10"/>
        <v/>
      </c>
      <c r="W7" s="25">
        <f>IF(A7="","",IFERROR(SUMIFS(Int_Repayments!E$4:E$1003,Int_Repayments!C$4:C$1003,A7,Int_Repayments!D$4:D$1003,6),0))</f>
        <v>0</v>
      </c>
      <c r="X7" s="26" t="str">
        <f t="shared" si="11"/>
        <v/>
      </c>
      <c r="Y7" s="24" t="str">
        <f t="shared" si="12"/>
        <v/>
      </c>
      <c r="Z7" s="25">
        <f>IF(A7="","",IFERROR(SUMIFS(Int_Repayments!E$4:E$1003,Int_Repayments!C$4:C$1003,A7,Int_Repayments!D$4:D$1003,7),0))</f>
        <v>0</v>
      </c>
      <c r="AA7" s="26" t="str">
        <f t="shared" si="13"/>
        <v/>
      </c>
      <c r="AB7" s="24" t="str">
        <f t="shared" si="14"/>
        <v/>
      </c>
      <c r="AC7" s="25">
        <f>IF(A7="","",IFERROR(SUMIFS(Int_Repayments!E$4:E$1003,Int_Repayments!C$4:C$1003,A7,Int_Repayments!D$4:D$1003,8),0))</f>
        <v>0</v>
      </c>
      <c r="AD7" s="26" t="str">
        <f t="shared" si="15"/>
        <v/>
      </c>
      <c r="AE7" s="24" t="str">
        <f t="shared" si="16"/>
        <v/>
      </c>
      <c r="AF7" s="25">
        <f>IF(A7="","",IFERROR(SUMIFS(Int_Repayments!E$4:E$1003,Int_Repayments!C$4:C$1003,A7,Int_Repayments!D$4:D$1003,9),0))</f>
        <v>0</v>
      </c>
      <c r="AG7" s="26" t="str">
        <f t="shared" si="17"/>
        <v/>
      </c>
      <c r="AH7" s="24" t="str">
        <f t="shared" si="18"/>
        <v/>
      </c>
      <c r="AI7" s="25">
        <f>IF(A7="","",IFERROR(SUMIFS(Int_Repayments!E$4:E$1003,Int_Repayments!C$4:C$1003,A7,Int_Repayments!D$4:D$1003,10),0))</f>
        <v>0</v>
      </c>
      <c r="AJ7" s="26" t="str">
        <f t="shared" si="19"/>
        <v/>
      </c>
      <c r="AK7" s="24" t="str">
        <f t="shared" si="20"/>
        <v/>
      </c>
      <c r="AL7" s="25">
        <f>IF(A7="","",IFERROR(SUMIFS(Int_Repayments!E$4:E$1003,Int_Repayments!C$4:C$1003,A7,Int_Repayments!D$4:D$1003,11),0))</f>
        <v>0</v>
      </c>
      <c r="AM7" s="26" t="str">
        <f t="shared" si="21"/>
        <v/>
      </c>
      <c r="AN7" s="24" t="str">
        <f t="shared" si="22"/>
        <v/>
      </c>
      <c r="AO7" s="25">
        <f>IF(A7="","",IFERROR(SUMIFS(Int_Repayments!E$4:E$1003,Int_Repayments!C$4:C$1003,A7,Int_Repayments!D$4:D$1003,12),0))</f>
        <v>0</v>
      </c>
      <c r="AP7" s="26" t="str">
        <f t="shared" si="23"/>
        <v/>
      </c>
      <c r="AQ7" s="24" t="str">
        <f t="shared" si="24"/>
        <v/>
      </c>
      <c r="AR7" s="24" t="str">
        <f t="shared" si="25"/>
        <v/>
      </c>
      <c r="AS7" s="24" t="str">
        <f t="shared" si="26"/>
        <v/>
      </c>
    </row>
    <row r="8" spans="1:45" ht="15.75" customHeight="1" x14ac:dyDescent="0.25">
      <c r="A8" s="6">
        <f>IFERROR(Loans!C8,"")</f>
        <v>0</v>
      </c>
      <c r="B8" s="4">
        <f>IFERROR(Loans!B8,"")</f>
        <v>0</v>
      </c>
      <c r="C8" s="6">
        <f>IFERROR(Loans!A8,"")</f>
        <v>0</v>
      </c>
      <c r="D8" s="21">
        <f>IFERROR(Loans!E8,0)</f>
        <v>0</v>
      </c>
      <c r="E8" s="22">
        <f>IFERROR(Loans!H8,0)</f>
        <v>0</v>
      </c>
      <c r="F8" s="23">
        <f>IFERROR(Loans!I8,0)</f>
        <v>0</v>
      </c>
      <c r="G8" s="24" t="str">
        <f t="shared" si="0"/>
        <v/>
      </c>
      <c r="H8" s="25">
        <f>IF(A8="","",IFERROR(SUMIFS(Int_Repayments!E$4:E$1003,Int_Repayments!C$4:C$1003,A8,Int_Repayments!D$4:D$1003,1),0))</f>
        <v>0</v>
      </c>
      <c r="I8" s="26" t="str">
        <f t="shared" si="1"/>
        <v/>
      </c>
      <c r="J8" s="24" t="str">
        <f t="shared" si="2"/>
        <v/>
      </c>
      <c r="K8" s="25">
        <f>IF(A8="","",IFERROR(SUMIFS(Int_Repayments!E$4:E$1003,Int_Repayments!C$4:C$1003,A8,Int_Repayments!D$4:D$1003,2),0))</f>
        <v>0</v>
      </c>
      <c r="L8" s="26" t="str">
        <f t="shared" si="3"/>
        <v/>
      </c>
      <c r="M8" s="24" t="str">
        <f t="shared" si="4"/>
        <v/>
      </c>
      <c r="N8" s="25">
        <f>IF(A8="","",IFERROR(SUMIFS(Int_Repayments!E$4:E$1003,Int_Repayments!C$4:C$1003,A8,Int_Repayments!D$4:D$1003,3),0))</f>
        <v>0</v>
      </c>
      <c r="O8" s="26" t="str">
        <f t="shared" si="5"/>
        <v/>
      </c>
      <c r="P8" s="24" t="str">
        <f t="shared" si="6"/>
        <v/>
      </c>
      <c r="Q8" s="25">
        <f>IF(A8="","",IFERROR(SUMIFS(Int_Repayments!E$4:E$1003,Int_Repayments!C$4:C$1003,A8,Int_Repayments!D$4:D$1003,4),0))</f>
        <v>0</v>
      </c>
      <c r="R8" s="26" t="str">
        <f t="shared" si="7"/>
        <v/>
      </c>
      <c r="S8" s="24" t="str">
        <f t="shared" si="8"/>
        <v/>
      </c>
      <c r="T8" s="25">
        <f>IF(A8="","",IFERROR(SUMIFS(Int_Repayments!E$4:E$1003,Int_Repayments!C$4:C$1003,A8,Int_Repayments!D$4:D$1003,5),0))</f>
        <v>0</v>
      </c>
      <c r="U8" s="26" t="str">
        <f t="shared" si="9"/>
        <v/>
      </c>
      <c r="V8" s="24" t="str">
        <f t="shared" si="10"/>
        <v/>
      </c>
      <c r="W8" s="25">
        <f>IF(A8="","",IFERROR(SUMIFS(Int_Repayments!E$4:E$1003,Int_Repayments!C$4:C$1003,A8,Int_Repayments!D$4:D$1003,6),0))</f>
        <v>0</v>
      </c>
      <c r="X8" s="26" t="str">
        <f t="shared" si="11"/>
        <v/>
      </c>
      <c r="Y8" s="24" t="str">
        <f t="shared" si="12"/>
        <v/>
      </c>
      <c r="Z8" s="25">
        <f>IF(A8="","",IFERROR(SUMIFS(Int_Repayments!E$4:E$1003,Int_Repayments!C$4:C$1003,A8,Int_Repayments!D$4:D$1003,7),0))</f>
        <v>0</v>
      </c>
      <c r="AA8" s="26" t="str">
        <f t="shared" si="13"/>
        <v/>
      </c>
      <c r="AB8" s="24" t="str">
        <f t="shared" si="14"/>
        <v/>
      </c>
      <c r="AC8" s="25">
        <f>IF(A8="","",IFERROR(SUMIFS(Int_Repayments!E$4:E$1003,Int_Repayments!C$4:C$1003,A8,Int_Repayments!D$4:D$1003,8),0))</f>
        <v>0</v>
      </c>
      <c r="AD8" s="26" t="str">
        <f t="shared" si="15"/>
        <v/>
      </c>
      <c r="AE8" s="24" t="str">
        <f t="shared" si="16"/>
        <v/>
      </c>
      <c r="AF8" s="25">
        <f>IF(A8="","",IFERROR(SUMIFS(Int_Repayments!E$4:E$1003,Int_Repayments!C$4:C$1003,A8,Int_Repayments!D$4:D$1003,9),0))</f>
        <v>0</v>
      </c>
      <c r="AG8" s="26" t="str">
        <f t="shared" si="17"/>
        <v/>
      </c>
      <c r="AH8" s="24" t="str">
        <f t="shared" si="18"/>
        <v/>
      </c>
      <c r="AI8" s="25">
        <f>IF(A8="","",IFERROR(SUMIFS(Int_Repayments!E$4:E$1003,Int_Repayments!C$4:C$1003,A8,Int_Repayments!D$4:D$1003,10),0))</f>
        <v>0</v>
      </c>
      <c r="AJ8" s="26" t="str">
        <f t="shared" si="19"/>
        <v/>
      </c>
      <c r="AK8" s="24" t="str">
        <f t="shared" si="20"/>
        <v/>
      </c>
      <c r="AL8" s="25">
        <f>IF(A8="","",IFERROR(SUMIFS(Int_Repayments!E$4:E$1003,Int_Repayments!C$4:C$1003,A8,Int_Repayments!D$4:D$1003,11),0))</f>
        <v>0</v>
      </c>
      <c r="AM8" s="26" t="str">
        <f t="shared" si="21"/>
        <v/>
      </c>
      <c r="AN8" s="24" t="str">
        <f t="shared" si="22"/>
        <v/>
      </c>
      <c r="AO8" s="25">
        <f>IF(A8="","",IFERROR(SUMIFS(Int_Repayments!E$4:E$1003,Int_Repayments!C$4:C$1003,A8,Int_Repayments!D$4:D$1003,12),0))</f>
        <v>0</v>
      </c>
      <c r="AP8" s="26" t="str">
        <f t="shared" si="23"/>
        <v/>
      </c>
      <c r="AQ8" s="24" t="str">
        <f t="shared" si="24"/>
        <v/>
      </c>
      <c r="AR8" s="24" t="str">
        <f t="shared" si="25"/>
        <v/>
      </c>
      <c r="AS8" s="24" t="str">
        <f t="shared" si="26"/>
        <v/>
      </c>
    </row>
    <row r="9" spans="1:45" ht="15.75" customHeight="1" x14ac:dyDescent="0.25">
      <c r="A9" s="6">
        <f>IFERROR(Loans!C9,"")</f>
        <v>0</v>
      </c>
      <c r="B9" s="4">
        <f>IFERROR(Loans!B9,"")</f>
        <v>0</v>
      </c>
      <c r="C9" s="6">
        <f>IFERROR(Loans!A9,"")</f>
        <v>0</v>
      </c>
      <c r="D9" s="21">
        <f>IFERROR(Loans!E9,0)</f>
        <v>0</v>
      </c>
      <c r="E9" s="22">
        <f>IFERROR(Loans!H9,0)</f>
        <v>0</v>
      </c>
      <c r="F9" s="23">
        <f>IFERROR(Loans!I9,0)</f>
        <v>0</v>
      </c>
      <c r="G9" s="24" t="str">
        <f t="shared" si="0"/>
        <v/>
      </c>
      <c r="H9" s="25">
        <f>IF(A9="","",IFERROR(SUMIFS(Int_Repayments!E$4:E$1003,Int_Repayments!C$4:C$1003,A9,Int_Repayments!D$4:D$1003,1),0))</f>
        <v>0</v>
      </c>
      <c r="I9" s="26" t="str">
        <f t="shared" si="1"/>
        <v/>
      </c>
      <c r="J9" s="24" t="str">
        <f t="shared" si="2"/>
        <v/>
      </c>
      <c r="K9" s="25">
        <f>IF(A9="","",IFERROR(SUMIFS(Int_Repayments!E$4:E$1003,Int_Repayments!C$4:C$1003,A9,Int_Repayments!D$4:D$1003,2),0))</f>
        <v>0</v>
      </c>
      <c r="L9" s="26" t="str">
        <f t="shared" si="3"/>
        <v/>
      </c>
      <c r="M9" s="24" t="str">
        <f t="shared" si="4"/>
        <v/>
      </c>
      <c r="N9" s="25">
        <f>IF(A9="","",IFERROR(SUMIFS(Int_Repayments!E$4:E$1003,Int_Repayments!C$4:C$1003,A9,Int_Repayments!D$4:D$1003,3),0))</f>
        <v>0</v>
      </c>
      <c r="O9" s="26" t="str">
        <f t="shared" si="5"/>
        <v/>
      </c>
      <c r="P9" s="24" t="str">
        <f t="shared" si="6"/>
        <v/>
      </c>
      <c r="Q9" s="25">
        <f>IF(A9="","",IFERROR(SUMIFS(Int_Repayments!E$4:E$1003,Int_Repayments!C$4:C$1003,A9,Int_Repayments!D$4:D$1003,4),0))</f>
        <v>0</v>
      </c>
      <c r="R9" s="26" t="str">
        <f t="shared" si="7"/>
        <v/>
      </c>
      <c r="S9" s="24" t="str">
        <f t="shared" si="8"/>
        <v/>
      </c>
      <c r="T9" s="25">
        <f>IF(A9="","",IFERROR(SUMIFS(Int_Repayments!E$4:E$1003,Int_Repayments!C$4:C$1003,A9,Int_Repayments!D$4:D$1003,5),0))</f>
        <v>0</v>
      </c>
      <c r="U9" s="26" t="str">
        <f t="shared" si="9"/>
        <v/>
      </c>
      <c r="V9" s="24" t="str">
        <f t="shared" si="10"/>
        <v/>
      </c>
      <c r="W9" s="25">
        <f>IF(A9="","",IFERROR(SUMIFS(Int_Repayments!E$4:E$1003,Int_Repayments!C$4:C$1003,A9,Int_Repayments!D$4:D$1003,6),0))</f>
        <v>0</v>
      </c>
      <c r="X9" s="26" t="str">
        <f t="shared" si="11"/>
        <v/>
      </c>
      <c r="Y9" s="24" t="str">
        <f t="shared" si="12"/>
        <v/>
      </c>
      <c r="Z9" s="25">
        <f>IF(A9="","",IFERROR(SUMIFS(Int_Repayments!E$4:E$1003,Int_Repayments!C$4:C$1003,A9,Int_Repayments!D$4:D$1003,7),0))</f>
        <v>0</v>
      </c>
      <c r="AA9" s="26" t="str">
        <f t="shared" si="13"/>
        <v/>
      </c>
      <c r="AB9" s="24" t="str">
        <f t="shared" si="14"/>
        <v/>
      </c>
      <c r="AC9" s="25">
        <f>IF(A9="","",IFERROR(SUMIFS(Int_Repayments!E$4:E$1003,Int_Repayments!C$4:C$1003,A9,Int_Repayments!D$4:D$1003,8),0))</f>
        <v>0</v>
      </c>
      <c r="AD9" s="26" t="str">
        <f t="shared" si="15"/>
        <v/>
      </c>
      <c r="AE9" s="24" t="str">
        <f t="shared" si="16"/>
        <v/>
      </c>
      <c r="AF9" s="25">
        <f>IF(A9="","",IFERROR(SUMIFS(Int_Repayments!E$4:E$1003,Int_Repayments!C$4:C$1003,A9,Int_Repayments!D$4:D$1003,9),0))</f>
        <v>0</v>
      </c>
      <c r="AG9" s="26" t="str">
        <f t="shared" si="17"/>
        <v/>
      </c>
      <c r="AH9" s="24" t="str">
        <f t="shared" si="18"/>
        <v/>
      </c>
      <c r="AI9" s="25">
        <f>IF(A9="","",IFERROR(SUMIFS(Int_Repayments!E$4:E$1003,Int_Repayments!C$4:C$1003,A9,Int_Repayments!D$4:D$1003,10),0))</f>
        <v>0</v>
      </c>
      <c r="AJ9" s="26" t="str">
        <f t="shared" si="19"/>
        <v/>
      </c>
      <c r="AK9" s="24" t="str">
        <f t="shared" si="20"/>
        <v/>
      </c>
      <c r="AL9" s="25">
        <f>IF(A9="","",IFERROR(SUMIFS(Int_Repayments!E$4:E$1003,Int_Repayments!C$4:C$1003,A9,Int_Repayments!D$4:D$1003,11),0))</f>
        <v>0</v>
      </c>
      <c r="AM9" s="26" t="str">
        <f t="shared" si="21"/>
        <v/>
      </c>
      <c r="AN9" s="24" t="str">
        <f t="shared" si="22"/>
        <v/>
      </c>
      <c r="AO9" s="25">
        <f>IF(A9="","",IFERROR(SUMIFS(Int_Repayments!E$4:E$1003,Int_Repayments!C$4:C$1003,A9,Int_Repayments!D$4:D$1003,12),0))</f>
        <v>0</v>
      </c>
      <c r="AP9" s="26" t="str">
        <f t="shared" si="23"/>
        <v/>
      </c>
      <c r="AQ9" s="24" t="str">
        <f t="shared" si="24"/>
        <v/>
      </c>
      <c r="AR9" s="24" t="str">
        <f t="shared" si="25"/>
        <v/>
      </c>
      <c r="AS9" s="24" t="str">
        <f t="shared" si="26"/>
        <v/>
      </c>
    </row>
    <row r="10" spans="1:45" ht="15.75" customHeight="1" x14ac:dyDescent="0.25">
      <c r="A10" s="6">
        <f>IFERROR(Loans!C10,"")</f>
        <v>0</v>
      </c>
      <c r="B10" s="4">
        <f>IFERROR(Loans!B10,"")</f>
        <v>0</v>
      </c>
      <c r="C10" s="6">
        <f>IFERROR(Loans!A10,"")</f>
        <v>0</v>
      </c>
      <c r="D10" s="21">
        <f>IFERROR(Loans!E10,0)</f>
        <v>0</v>
      </c>
      <c r="E10" s="22">
        <f>IFERROR(Loans!H10,0)</f>
        <v>0</v>
      </c>
      <c r="F10" s="23">
        <f>IFERROR(Loans!I10,0)</f>
        <v>0</v>
      </c>
      <c r="G10" s="24" t="str">
        <f t="shared" si="0"/>
        <v/>
      </c>
      <c r="H10" s="25">
        <f>IF(A10="","",IFERROR(SUMIFS(Int_Repayments!E$4:E$1003,Int_Repayments!C$4:C$1003,A10,Int_Repayments!D$4:D$1003,1),0))</f>
        <v>0</v>
      </c>
      <c r="I10" s="26" t="str">
        <f t="shared" si="1"/>
        <v/>
      </c>
      <c r="J10" s="24" t="str">
        <f t="shared" si="2"/>
        <v/>
      </c>
      <c r="K10" s="25">
        <f>IF(A10="","",IFERROR(SUMIFS(Int_Repayments!E$4:E$1003,Int_Repayments!C$4:C$1003,A10,Int_Repayments!D$4:D$1003,2),0))</f>
        <v>0</v>
      </c>
      <c r="L10" s="26" t="str">
        <f t="shared" si="3"/>
        <v/>
      </c>
      <c r="M10" s="24" t="str">
        <f t="shared" si="4"/>
        <v/>
      </c>
      <c r="N10" s="25">
        <f>IF(A10="","",IFERROR(SUMIFS(Int_Repayments!E$4:E$1003,Int_Repayments!C$4:C$1003,A10,Int_Repayments!D$4:D$1003,3),0))</f>
        <v>0</v>
      </c>
      <c r="O10" s="26" t="str">
        <f t="shared" si="5"/>
        <v/>
      </c>
      <c r="P10" s="24" t="str">
        <f t="shared" si="6"/>
        <v/>
      </c>
      <c r="Q10" s="25">
        <f>IF(A10="","",IFERROR(SUMIFS(Int_Repayments!E$4:E$1003,Int_Repayments!C$4:C$1003,A10,Int_Repayments!D$4:D$1003,4),0))</f>
        <v>0</v>
      </c>
      <c r="R10" s="26" t="str">
        <f t="shared" si="7"/>
        <v/>
      </c>
      <c r="S10" s="24" t="str">
        <f t="shared" si="8"/>
        <v/>
      </c>
      <c r="T10" s="25">
        <f>IF(A10="","",IFERROR(SUMIFS(Int_Repayments!E$4:E$1003,Int_Repayments!C$4:C$1003,A10,Int_Repayments!D$4:D$1003,5),0))</f>
        <v>0</v>
      </c>
      <c r="U10" s="26" t="str">
        <f t="shared" si="9"/>
        <v/>
      </c>
      <c r="V10" s="24" t="str">
        <f t="shared" si="10"/>
        <v/>
      </c>
      <c r="W10" s="25">
        <f>IF(A10="","",IFERROR(SUMIFS(Int_Repayments!E$4:E$1003,Int_Repayments!C$4:C$1003,A10,Int_Repayments!D$4:D$1003,6),0))</f>
        <v>0</v>
      </c>
      <c r="X10" s="26" t="str">
        <f t="shared" si="11"/>
        <v/>
      </c>
      <c r="Y10" s="24" t="str">
        <f t="shared" si="12"/>
        <v/>
      </c>
      <c r="Z10" s="25">
        <f>IF(A10="","",IFERROR(SUMIFS(Int_Repayments!E$4:E$1003,Int_Repayments!C$4:C$1003,A10,Int_Repayments!D$4:D$1003,7),0))</f>
        <v>0</v>
      </c>
      <c r="AA10" s="26" t="str">
        <f t="shared" si="13"/>
        <v/>
      </c>
      <c r="AB10" s="24" t="str">
        <f t="shared" si="14"/>
        <v/>
      </c>
      <c r="AC10" s="25">
        <f>IF(A10="","",IFERROR(SUMIFS(Int_Repayments!E$4:E$1003,Int_Repayments!C$4:C$1003,A10,Int_Repayments!D$4:D$1003,8),0))</f>
        <v>0</v>
      </c>
      <c r="AD10" s="26" t="str">
        <f t="shared" si="15"/>
        <v/>
      </c>
      <c r="AE10" s="24" t="str">
        <f t="shared" si="16"/>
        <v/>
      </c>
      <c r="AF10" s="25">
        <f>IF(A10="","",IFERROR(SUMIFS(Int_Repayments!E$4:E$1003,Int_Repayments!C$4:C$1003,A10,Int_Repayments!D$4:D$1003,9),0))</f>
        <v>0</v>
      </c>
      <c r="AG10" s="26" t="str">
        <f t="shared" si="17"/>
        <v/>
      </c>
      <c r="AH10" s="24" t="str">
        <f t="shared" si="18"/>
        <v/>
      </c>
      <c r="AI10" s="25">
        <f>IF(A10="","",IFERROR(SUMIFS(Int_Repayments!E$4:E$1003,Int_Repayments!C$4:C$1003,A10,Int_Repayments!D$4:D$1003,10),0))</f>
        <v>0</v>
      </c>
      <c r="AJ10" s="26" t="str">
        <f t="shared" si="19"/>
        <v/>
      </c>
      <c r="AK10" s="24" t="str">
        <f t="shared" si="20"/>
        <v/>
      </c>
      <c r="AL10" s="25">
        <f>IF(A10="","",IFERROR(SUMIFS(Int_Repayments!E$4:E$1003,Int_Repayments!C$4:C$1003,A10,Int_Repayments!D$4:D$1003,11),0))</f>
        <v>0</v>
      </c>
      <c r="AM10" s="26" t="str">
        <f t="shared" si="21"/>
        <v/>
      </c>
      <c r="AN10" s="24" t="str">
        <f t="shared" si="22"/>
        <v/>
      </c>
      <c r="AO10" s="25">
        <f>IF(A10="","",IFERROR(SUMIFS(Int_Repayments!E$4:E$1003,Int_Repayments!C$4:C$1003,A10,Int_Repayments!D$4:D$1003,12),0))</f>
        <v>0</v>
      </c>
      <c r="AP10" s="26" t="str">
        <f t="shared" si="23"/>
        <v/>
      </c>
      <c r="AQ10" s="24" t="str">
        <f t="shared" si="24"/>
        <v/>
      </c>
      <c r="AR10" s="24" t="str">
        <f t="shared" si="25"/>
        <v/>
      </c>
      <c r="AS10" s="24" t="str">
        <f t="shared" si="26"/>
        <v/>
      </c>
    </row>
    <row r="11" spans="1:45" ht="15.75" customHeight="1" x14ac:dyDescent="0.25">
      <c r="A11" s="6">
        <f>IFERROR(Loans!C11,"")</f>
        <v>0</v>
      </c>
      <c r="B11" s="4">
        <f>IFERROR(Loans!B11,"")</f>
        <v>0</v>
      </c>
      <c r="C11" s="6">
        <f>IFERROR(Loans!A11,"")</f>
        <v>0</v>
      </c>
      <c r="D11" s="21">
        <f>IFERROR(Loans!E11,0)</f>
        <v>0</v>
      </c>
      <c r="E11" s="22">
        <f>IFERROR(Loans!H11,0)</f>
        <v>0</v>
      </c>
      <c r="F11" s="23">
        <f>IFERROR(Loans!I11,0)</f>
        <v>0</v>
      </c>
      <c r="G11" s="24" t="str">
        <f t="shared" si="0"/>
        <v/>
      </c>
      <c r="H11" s="25">
        <f>IF(A11="","",IFERROR(SUMIFS(Int_Repayments!E$4:E$1003,Int_Repayments!C$4:C$1003,A11,Int_Repayments!D$4:D$1003,1),0))</f>
        <v>0</v>
      </c>
      <c r="I11" s="26" t="str">
        <f t="shared" si="1"/>
        <v/>
      </c>
      <c r="J11" s="24" t="str">
        <f t="shared" si="2"/>
        <v/>
      </c>
      <c r="K11" s="25">
        <f>IF(A11="","",IFERROR(SUMIFS(Int_Repayments!E$4:E$1003,Int_Repayments!C$4:C$1003,A11,Int_Repayments!D$4:D$1003,2),0))</f>
        <v>0</v>
      </c>
      <c r="L11" s="26" t="str">
        <f t="shared" si="3"/>
        <v/>
      </c>
      <c r="M11" s="24" t="str">
        <f t="shared" si="4"/>
        <v/>
      </c>
      <c r="N11" s="25">
        <f>IF(A11="","",IFERROR(SUMIFS(Int_Repayments!E$4:E$1003,Int_Repayments!C$4:C$1003,A11,Int_Repayments!D$4:D$1003,3),0))</f>
        <v>0</v>
      </c>
      <c r="O11" s="26" t="str">
        <f t="shared" si="5"/>
        <v/>
      </c>
      <c r="P11" s="24" t="str">
        <f t="shared" si="6"/>
        <v/>
      </c>
      <c r="Q11" s="25">
        <f>IF(A11="","",IFERROR(SUMIFS(Int_Repayments!E$4:E$1003,Int_Repayments!C$4:C$1003,A11,Int_Repayments!D$4:D$1003,4),0))</f>
        <v>0</v>
      </c>
      <c r="R11" s="26" t="str">
        <f t="shared" si="7"/>
        <v/>
      </c>
      <c r="S11" s="24" t="str">
        <f t="shared" si="8"/>
        <v/>
      </c>
      <c r="T11" s="25">
        <f>IF(A11="","",IFERROR(SUMIFS(Int_Repayments!E$4:E$1003,Int_Repayments!C$4:C$1003,A11,Int_Repayments!D$4:D$1003,5),0))</f>
        <v>0</v>
      </c>
      <c r="U11" s="26" t="str">
        <f t="shared" si="9"/>
        <v/>
      </c>
      <c r="V11" s="24" t="str">
        <f t="shared" si="10"/>
        <v/>
      </c>
      <c r="W11" s="25">
        <f>IF(A11="","",IFERROR(SUMIFS(Int_Repayments!E$4:E$1003,Int_Repayments!C$4:C$1003,A11,Int_Repayments!D$4:D$1003,6),0))</f>
        <v>0</v>
      </c>
      <c r="X11" s="26" t="str">
        <f t="shared" si="11"/>
        <v/>
      </c>
      <c r="Y11" s="24" t="str">
        <f t="shared" si="12"/>
        <v/>
      </c>
      <c r="Z11" s="25">
        <f>IF(A11="","",IFERROR(SUMIFS(Int_Repayments!E$4:E$1003,Int_Repayments!C$4:C$1003,A11,Int_Repayments!D$4:D$1003,7),0))</f>
        <v>0</v>
      </c>
      <c r="AA11" s="26" t="str">
        <f t="shared" si="13"/>
        <v/>
      </c>
      <c r="AB11" s="24" t="str">
        <f t="shared" si="14"/>
        <v/>
      </c>
      <c r="AC11" s="25">
        <f>IF(A11="","",IFERROR(SUMIFS(Int_Repayments!E$4:E$1003,Int_Repayments!C$4:C$1003,A11,Int_Repayments!D$4:D$1003,8),0))</f>
        <v>0</v>
      </c>
      <c r="AD11" s="26" t="str">
        <f t="shared" si="15"/>
        <v/>
      </c>
      <c r="AE11" s="24" t="str">
        <f t="shared" si="16"/>
        <v/>
      </c>
      <c r="AF11" s="25">
        <f>IF(A11="","",IFERROR(SUMIFS(Int_Repayments!E$4:E$1003,Int_Repayments!C$4:C$1003,A11,Int_Repayments!D$4:D$1003,9),0))</f>
        <v>0</v>
      </c>
      <c r="AG11" s="26" t="str">
        <f t="shared" si="17"/>
        <v/>
      </c>
      <c r="AH11" s="24" t="str">
        <f t="shared" si="18"/>
        <v/>
      </c>
      <c r="AI11" s="25">
        <f>IF(A11="","",IFERROR(SUMIFS(Int_Repayments!E$4:E$1003,Int_Repayments!C$4:C$1003,A11,Int_Repayments!D$4:D$1003,10),0))</f>
        <v>0</v>
      </c>
      <c r="AJ11" s="26" t="str">
        <f t="shared" si="19"/>
        <v/>
      </c>
      <c r="AK11" s="24" t="str">
        <f t="shared" si="20"/>
        <v/>
      </c>
      <c r="AL11" s="25">
        <f>IF(A11="","",IFERROR(SUMIFS(Int_Repayments!E$4:E$1003,Int_Repayments!C$4:C$1003,A11,Int_Repayments!D$4:D$1003,11),0))</f>
        <v>0</v>
      </c>
      <c r="AM11" s="26" t="str">
        <f t="shared" si="21"/>
        <v/>
      </c>
      <c r="AN11" s="24" t="str">
        <f t="shared" si="22"/>
        <v/>
      </c>
      <c r="AO11" s="25">
        <f>IF(A11="","",IFERROR(SUMIFS(Int_Repayments!E$4:E$1003,Int_Repayments!C$4:C$1003,A11,Int_Repayments!D$4:D$1003,12),0))</f>
        <v>0</v>
      </c>
      <c r="AP11" s="26" t="str">
        <f t="shared" si="23"/>
        <v/>
      </c>
      <c r="AQ11" s="24" t="str">
        <f t="shared" si="24"/>
        <v/>
      </c>
      <c r="AR11" s="24" t="str">
        <f t="shared" si="25"/>
        <v/>
      </c>
      <c r="AS11" s="24" t="str">
        <f t="shared" si="26"/>
        <v/>
      </c>
    </row>
    <row r="12" spans="1:45" ht="15.75" customHeight="1" x14ac:dyDescent="0.25">
      <c r="A12" s="6">
        <f>IFERROR(Loans!C12,"")</f>
        <v>0</v>
      </c>
      <c r="B12" s="4">
        <f>IFERROR(Loans!B12,"")</f>
        <v>0</v>
      </c>
      <c r="C12" s="6">
        <f>IFERROR(Loans!A12,"")</f>
        <v>0</v>
      </c>
      <c r="D12" s="21">
        <f>IFERROR(Loans!E12,0)</f>
        <v>0</v>
      </c>
      <c r="E12" s="22">
        <f>IFERROR(Loans!H12,0)</f>
        <v>0</v>
      </c>
      <c r="F12" s="23">
        <f>IFERROR(Loans!I12,0)</f>
        <v>0</v>
      </c>
      <c r="G12" s="24" t="str">
        <f t="shared" si="0"/>
        <v/>
      </c>
      <c r="H12" s="25">
        <f>IF(A12="","",IFERROR(SUMIFS(Int_Repayments!E$4:E$1003,Int_Repayments!C$4:C$1003,A12,Int_Repayments!D$4:D$1003,1),0))</f>
        <v>0</v>
      </c>
      <c r="I12" s="26" t="str">
        <f t="shared" si="1"/>
        <v/>
      </c>
      <c r="J12" s="24" t="str">
        <f t="shared" si="2"/>
        <v/>
      </c>
      <c r="K12" s="25">
        <f>IF(A12="","",IFERROR(SUMIFS(Int_Repayments!E$4:E$1003,Int_Repayments!C$4:C$1003,A12,Int_Repayments!D$4:D$1003,2),0))</f>
        <v>0</v>
      </c>
      <c r="L12" s="26" t="str">
        <f t="shared" si="3"/>
        <v/>
      </c>
      <c r="M12" s="24" t="str">
        <f t="shared" si="4"/>
        <v/>
      </c>
      <c r="N12" s="25">
        <f>IF(A12="","",IFERROR(SUMIFS(Int_Repayments!E$4:E$1003,Int_Repayments!C$4:C$1003,A12,Int_Repayments!D$4:D$1003,3),0))</f>
        <v>0</v>
      </c>
      <c r="O12" s="26" t="str">
        <f t="shared" si="5"/>
        <v/>
      </c>
      <c r="P12" s="24" t="str">
        <f t="shared" si="6"/>
        <v/>
      </c>
      <c r="Q12" s="25">
        <f>IF(A12="","",IFERROR(SUMIFS(Int_Repayments!E$4:E$1003,Int_Repayments!C$4:C$1003,A12,Int_Repayments!D$4:D$1003,4),0))</f>
        <v>0</v>
      </c>
      <c r="R12" s="26" t="str">
        <f t="shared" si="7"/>
        <v/>
      </c>
      <c r="S12" s="24" t="str">
        <f t="shared" si="8"/>
        <v/>
      </c>
      <c r="T12" s="25">
        <f>IF(A12="","",IFERROR(SUMIFS(Int_Repayments!E$4:E$1003,Int_Repayments!C$4:C$1003,A12,Int_Repayments!D$4:D$1003,5),0))</f>
        <v>0</v>
      </c>
      <c r="U12" s="26" t="str">
        <f t="shared" si="9"/>
        <v/>
      </c>
      <c r="V12" s="24" t="str">
        <f t="shared" si="10"/>
        <v/>
      </c>
      <c r="W12" s="25">
        <f>IF(A12="","",IFERROR(SUMIFS(Int_Repayments!E$4:E$1003,Int_Repayments!C$4:C$1003,A12,Int_Repayments!D$4:D$1003,6),0))</f>
        <v>0</v>
      </c>
      <c r="X12" s="26" t="str">
        <f t="shared" si="11"/>
        <v/>
      </c>
      <c r="Y12" s="24" t="str">
        <f t="shared" si="12"/>
        <v/>
      </c>
      <c r="Z12" s="25">
        <f>IF(A12="","",IFERROR(SUMIFS(Int_Repayments!E$4:E$1003,Int_Repayments!C$4:C$1003,A12,Int_Repayments!D$4:D$1003,7),0))</f>
        <v>0</v>
      </c>
      <c r="AA12" s="26" t="str">
        <f t="shared" si="13"/>
        <v/>
      </c>
      <c r="AB12" s="24" t="str">
        <f t="shared" si="14"/>
        <v/>
      </c>
      <c r="AC12" s="25">
        <f>IF(A12="","",IFERROR(SUMIFS(Int_Repayments!E$4:E$1003,Int_Repayments!C$4:C$1003,A12,Int_Repayments!D$4:D$1003,8),0))</f>
        <v>0</v>
      </c>
      <c r="AD12" s="26" t="str">
        <f t="shared" si="15"/>
        <v/>
      </c>
      <c r="AE12" s="24" t="str">
        <f t="shared" si="16"/>
        <v/>
      </c>
      <c r="AF12" s="25">
        <f>IF(A12="","",IFERROR(SUMIFS(Int_Repayments!E$4:E$1003,Int_Repayments!C$4:C$1003,A12,Int_Repayments!D$4:D$1003,9),0))</f>
        <v>0</v>
      </c>
      <c r="AG12" s="26" t="str">
        <f t="shared" si="17"/>
        <v/>
      </c>
      <c r="AH12" s="24" t="str">
        <f t="shared" si="18"/>
        <v/>
      </c>
      <c r="AI12" s="25">
        <f>IF(A12="","",IFERROR(SUMIFS(Int_Repayments!E$4:E$1003,Int_Repayments!C$4:C$1003,A12,Int_Repayments!D$4:D$1003,10),0))</f>
        <v>0</v>
      </c>
      <c r="AJ12" s="26" t="str">
        <f t="shared" si="19"/>
        <v/>
      </c>
      <c r="AK12" s="24" t="str">
        <f t="shared" si="20"/>
        <v/>
      </c>
      <c r="AL12" s="25">
        <f>IF(A12="","",IFERROR(SUMIFS(Int_Repayments!E$4:E$1003,Int_Repayments!C$4:C$1003,A12,Int_Repayments!D$4:D$1003,11),0))</f>
        <v>0</v>
      </c>
      <c r="AM12" s="26" t="str">
        <f t="shared" si="21"/>
        <v/>
      </c>
      <c r="AN12" s="24" t="str">
        <f t="shared" si="22"/>
        <v/>
      </c>
      <c r="AO12" s="25">
        <f>IF(A12="","",IFERROR(SUMIFS(Int_Repayments!E$4:E$1003,Int_Repayments!C$4:C$1003,A12,Int_Repayments!D$4:D$1003,12),0))</f>
        <v>0</v>
      </c>
      <c r="AP12" s="26" t="str">
        <f t="shared" si="23"/>
        <v/>
      </c>
      <c r="AQ12" s="24" t="str">
        <f t="shared" si="24"/>
        <v/>
      </c>
      <c r="AR12" s="24" t="str">
        <f t="shared" si="25"/>
        <v/>
      </c>
      <c r="AS12" s="24" t="str">
        <f t="shared" si="26"/>
        <v/>
      </c>
    </row>
    <row r="13" spans="1:45" ht="15.75" customHeight="1" x14ac:dyDescent="0.25">
      <c r="A13" s="6">
        <f>IFERROR(Loans!C13,"")</f>
        <v>0</v>
      </c>
      <c r="B13" s="4">
        <f>IFERROR(Loans!B13,"")</f>
        <v>0</v>
      </c>
      <c r="C13" s="6">
        <f>IFERROR(Loans!A13,"")</f>
        <v>0</v>
      </c>
      <c r="D13" s="21">
        <f>IFERROR(Loans!E13,0)</f>
        <v>0</v>
      </c>
      <c r="E13" s="22">
        <f>IFERROR(Loans!H13,0)</f>
        <v>0</v>
      </c>
      <c r="F13" s="23">
        <f>IFERROR(Loans!I13,0)</f>
        <v>0</v>
      </c>
      <c r="G13" s="24" t="str">
        <f t="shared" si="0"/>
        <v/>
      </c>
      <c r="H13" s="25">
        <f>IF(A13="","",IFERROR(SUMIFS(Int_Repayments!E$4:E$1003,Int_Repayments!C$4:C$1003,A13,Int_Repayments!D$4:D$1003,1),0))</f>
        <v>0</v>
      </c>
      <c r="I13" s="26" t="str">
        <f t="shared" si="1"/>
        <v/>
      </c>
      <c r="J13" s="24" t="str">
        <f t="shared" si="2"/>
        <v/>
      </c>
      <c r="K13" s="25">
        <f>IF(A13="","",IFERROR(SUMIFS(Int_Repayments!E$4:E$1003,Int_Repayments!C$4:C$1003,A13,Int_Repayments!D$4:D$1003,2),0))</f>
        <v>0</v>
      </c>
      <c r="L13" s="26" t="str">
        <f t="shared" si="3"/>
        <v/>
      </c>
      <c r="M13" s="24" t="str">
        <f t="shared" si="4"/>
        <v/>
      </c>
      <c r="N13" s="25">
        <f>IF(A13="","",IFERROR(SUMIFS(Int_Repayments!E$4:E$1003,Int_Repayments!C$4:C$1003,A13,Int_Repayments!D$4:D$1003,3),0))</f>
        <v>0</v>
      </c>
      <c r="O13" s="26" t="str">
        <f t="shared" si="5"/>
        <v/>
      </c>
      <c r="P13" s="24" t="str">
        <f t="shared" si="6"/>
        <v/>
      </c>
      <c r="Q13" s="25">
        <f>IF(A13="","",IFERROR(SUMIFS(Int_Repayments!E$4:E$1003,Int_Repayments!C$4:C$1003,A13,Int_Repayments!D$4:D$1003,4),0))</f>
        <v>0</v>
      </c>
      <c r="R13" s="26" t="str">
        <f t="shared" si="7"/>
        <v/>
      </c>
      <c r="S13" s="24" t="str">
        <f t="shared" si="8"/>
        <v/>
      </c>
      <c r="T13" s="25">
        <f>IF(A13="","",IFERROR(SUMIFS(Int_Repayments!E$4:E$1003,Int_Repayments!C$4:C$1003,A13,Int_Repayments!D$4:D$1003,5),0))</f>
        <v>0</v>
      </c>
      <c r="U13" s="26" t="str">
        <f t="shared" si="9"/>
        <v/>
      </c>
      <c r="V13" s="24" t="str">
        <f t="shared" si="10"/>
        <v/>
      </c>
      <c r="W13" s="25">
        <f>IF(A13="","",IFERROR(SUMIFS(Int_Repayments!E$4:E$1003,Int_Repayments!C$4:C$1003,A13,Int_Repayments!D$4:D$1003,6),0))</f>
        <v>0</v>
      </c>
      <c r="X13" s="26" t="str">
        <f t="shared" si="11"/>
        <v/>
      </c>
      <c r="Y13" s="24" t="str">
        <f t="shared" si="12"/>
        <v/>
      </c>
      <c r="Z13" s="25">
        <f>IF(A13="","",IFERROR(SUMIFS(Int_Repayments!E$4:E$1003,Int_Repayments!C$4:C$1003,A13,Int_Repayments!D$4:D$1003,7),0))</f>
        <v>0</v>
      </c>
      <c r="AA13" s="26" t="str">
        <f t="shared" si="13"/>
        <v/>
      </c>
      <c r="AB13" s="24" t="str">
        <f t="shared" si="14"/>
        <v/>
      </c>
      <c r="AC13" s="25">
        <f>IF(A13="","",IFERROR(SUMIFS(Int_Repayments!E$4:E$1003,Int_Repayments!C$4:C$1003,A13,Int_Repayments!D$4:D$1003,8),0))</f>
        <v>0</v>
      </c>
      <c r="AD13" s="26" t="str">
        <f t="shared" si="15"/>
        <v/>
      </c>
      <c r="AE13" s="24" t="str">
        <f t="shared" si="16"/>
        <v/>
      </c>
      <c r="AF13" s="25">
        <f>IF(A13="","",IFERROR(SUMIFS(Int_Repayments!E$4:E$1003,Int_Repayments!C$4:C$1003,A13,Int_Repayments!D$4:D$1003,9),0))</f>
        <v>0</v>
      </c>
      <c r="AG13" s="26" t="str">
        <f t="shared" si="17"/>
        <v/>
      </c>
      <c r="AH13" s="24" t="str">
        <f t="shared" si="18"/>
        <v/>
      </c>
      <c r="AI13" s="25">
        <f>IF(A13="","",IFERROR(SUMIFS(Int_Repayments!E$4:E$1003,Int_Repayments!C$4:C$1003,A13,Int_Repayments!D$4:D$1003,10),0))</f>
        <v>0</v>
      </c>
      <c r="AJ13" s="26" t="str">
        <f t="shared" si="19"/>
        <v/>
      </c>
      <c r="AK13" s="24" t="str">
        <f t="shared" si="20"/>
        <v/>
      </c>
      <c r="AL13" s="25">
        <f>IF(A13="","",IFERROR(SUMIFS(Int_Repayments!E$4:E$1003,Int_Repayments!C$4:C$1003,A13,Int_Repayments!D$4:D$1003,11),0))</f>
        <v>0</v>
      </c>
      <c r="AM13" s="26" t="str">
        <f t="shared" si="21"/>
        <v/>
      </c>
      <c r="AN13" s="24" t="str">
        <f t="shared" si="22"/>
        <v/>
      </c>
      <c r="AO13" s="25">
        <f>IF(A13="","",IFERROR(SUMIFS(Int_Repayments!E$4:E$1003,Int_Repayments!C$4:C$1003,A13,Int_Repayments!D$4:D$1003,12),0))</f>
        <v>0</v>
      </c>
      <c r="AP13" s="26" t="str">
        <f t="shared" si="23"/>
        <v/>
      </c>
      <c r="AQ13" s="24" t="str">
        <f t="shared" si="24"/>
        <v/>
      </c>
      <c r="AR13" s="24" t="str">
        <f t="shared" si="25"/>
        <v/>
      </c>
      <c r="AS13" s="24" t="str">
        <f t="shared" si="26"/>
        <v/>
      </c>
    </row>
    <row r="14" spans="1:45" ht="15.75" customHeight="1" x14ac:dyDescent="0.25">
      <c r="A14" s="6">
        <f>IFERROR(Loans!C14,"")</f>
        <v>0</v>
      </c>
      <c r="B14" s="4">
        <f>IFERROR(Loans!B14,"")</f>
        <v>0</v>
      </c>
      <c r="C14" s="6">
        <f>IFERROR(Loans!A14,"")</f>
        <v>0</v>
      </c>
      <c r="D14" s="21">
        <f>IFERROR(Loans!E14,0)</f>
        <v>0</v>
      </c>
      <c r="E14" s="22">
        <f>IFERROR(Loans!H14,0)</f>
        <v>0</v>
      </c>
      <c r="F14" s="23">
        <f>IFERROR(Loans!I14,0)</f>
        <v>0</v>
      </c>
      <c r="G14" s="24" t="str">
        <f t="shared" si="0"/>
        <v/>
      </c>
      <c r="H14" s="25">
        <f>IF(A14="","",IFERROR(SUMIFS(Int_Repayments!E$4:E$1003,Int_Repayments!C$4:C$1003,A14,Int_Repayments!D$4:D$1003,1),0))</f>
        <v>0</v>
      </c>
      <c r="I14" s="26" t="str">
        <f t="shared" si="1"/>
        <v/>
      </c>
      <c r="J14" s="24" t="str">
        <f t="shared" si="2"/>
        <v/>
      </c>
      <c r="K14" s="25">
        <f>IF(A14="","",IFERROR(SUMIFS(Int_Repayments!E$4:E$1003,Int_Repayments!C$4:C$1003,A14,Int_Repayments!D$4:D$1003,2),0))</f>
        <v>0</v>
      </c>
      <c r="L14" s="26" t="str">
        <f t="shared" si="3"/>
        <v/>
      </c>
      <c r="M14" s="24" t="str">
        <f t="shared" si="4"/>
        <v/>
      </c>
      <c r="N14" s="25">
        <f>IF(A14="","",IFERROR(SUMIFS(Int_Repayments!E$4:E$1003,Int_Repayments!C$4:C$1003,A14,Int_Repayments!D$4:D$1003,3),0))</f>
        <v>0</v>
      </c>
      <c r="O14" s="26" t="str">
        <f t="shared" si="5"/>
        <v/>
      </c>
      <c r="P14" s="24" t="str">
        <f t="shared" si="6"/>
        <v/>
      </c>
      <c r="Q14" s="25">
        <f>IF(A14="","",IFERROR(SUMIFS(Int_Repayments!E$4:E$1003,Int_Repayments!C$4:C$1003,A14,Int_Repayments!D$4:D$1003,4),0))</f>
        <v>0</v>
      </c>
      <c r="R14" s="26" t="str">
        <f t="shared" si="7"/>
        <v/>
      </c>
      <c r="S14" s="24" t="str">
        <f t="shared" si="8"/>
        <v/>
      </c>
      <c r="T14" s="25">
        <f>IF(A14="","",IFERROR(SUMIFS(Int_Repayments!E$4:E$1003,Int_Repayments!C$4:C$1003,A14,Int_Repayments!D$4:D$1003,5),0))</f>
        <v>0</v>
      </c>
      <c r="U14" s="26" t="str">
        <f t="shared" si="9"/>
        <v/>
      </c>
      <c r="V14" s="24" t="str">
        <f t="shared" si="10"/>
        <v/>
      </c>
      <c r="W14" s="25">
        <f>IF(A14="","",IFERROR(SUMIFS(Int_Repayments!E$4:E$1003,Int_Repayments!C$4:C$1003,A14,Int_Repayments!D$4:D$1003,6),0))</f>
        <v>0</v>
      </c>
      <c r="X14" s="26" t="str">
        <f t="shared" si="11"/>
        <v/>
      </c>
      <c r="Y14" s="24" t="str">
        <f t="shared" si="12"/>
        <v/>
      </c>
      <c r="Z14" s="25">
        <f>IF(A14="","",IFERROR(SUMIFS(Int_Repayments!E$4:E$1003,Int_Repayments!C$4:C$1003,A14,Int_Repayments!D$4:D$1003,7),0))</f>
        <v>0</v>
      </c>
      <c r="AA14" s="26" t="str">
        <f t="shared" si="13"/>
        <v/>
      </c>
      <c r="AB14" s="24" t="str">
        <f t="shared" si="14"/>
        <v/>
      </c>
      <c r="AC14" s="25">
        <f>IF(A14="","",IFERROR(SUMIFS(Int_Repayments!E$4:E$1003,Int_Repayments!C$4:C$1003,A14,Int_Repayments!D$4:D$1003,8),0))</f>
        <v>0</v>
      </c>
      <c r="AD14" s="26" t="str">
        <f t="shared" si="15"/>
        <v/>
      </c>
      <c r="AE14" s="24" t="str">
        <f t="shared" si="16"/>
        <v/>
      </c>
      <c r="AF14" s="25">
        <f>IF(A14="","",IFERROR(SUMIFS(Int_Repayments!E$4:E$1003,Int_Repayments!C$4:C$1003,A14,Int_Repayments!D$4:D$1003,9),0))</f>
        <v>0</v>
      </c>
      <c r="AG14" s="26" t="str">
        <f t="shared" si="17"/>
        <v/>
      </c>
      <c r="AH14" s="24" t="str">
        <f t="shared" si="18"/>
        <v/>
      </c>
      <c r="AI14" s="25">
        <f>IF(A14="","",IFERROR(SUMIFS(Int_Repayments!E$4:E$1003,Int_Repayments!C$4:C$1003,A14,Int_Repayments!D$4:D$1003,10),0))</f>
        <v>0</v>
      </c>
      <c r="AJ14" s="26" t="str">
        <f t="shared" si="19"/>
        <v/>
      </c>
      <c r="AK14" s="24" t="str">
        <f t="shared" si="20"/>
        <v/>
      </c>
      <c r="AL14" s="25">
        <f>IF(A14="","",IFERROR(SUMIFS(Int_Repayments!E$4:E$1003,Int_Repayments!C$4:C$1003,A14,Int_Repayments!D$4:D$1003,11),0))</f>
        <v>0</v>
      </c>
      <c r="AM14" s="26" t="str">
        <f t="shared" si="21"/>
        <v/>
      </c>
      <c r="AN14" s="24" t="str">
        <f t="shared" si="22"/>
        <v/>
      </c>
      <c r="AO14" s="25">
        <f>IF(A14="","",IFERROR(SUMIFS(Int_Repayments!E$4:E$1003,Int_Repayments!C$4:C$1003,A14,Int_Repayments!D$4:D$1003,12),0))</f>
        <v>0</v>
      </c>
      <c r="AP14" s="26" t="str">
        <f t="shared" si="23"/>
        <v/>
      </c>
      <c r="AQ14" s="24" t="str">
        <f t="shared" si="24"/>
        <v/>
      </c>
      <c r="AR14" s="24" t="str">
        <f t="shared" si="25"/>
        <v/>
      </c>
      <c r="AS14" s="24" t="str">
        <f t="shared" si="26"/>
        <v/>
      </c>
    </row>
    <row r="15" spans="1:45" ht="15.75" customHeight="1" x14ac:dyDescent="0.25">
      <c r="A15" s="6">
        <f>IFERROR(Loans!C15,"")</f>
        <v>0</v>
      </c>
      <c r="B15" s="4">
        <f>IFERROR(Loans!B15,"")</f>
        <v>0</v>
      </c>
      <c r="C15" s="6">
        <f>IFERROR(Loans!A15,"")</f>
        <v>0</v>
      </c>
      <c r="D15" s="21">
        <f>IFERROR(Loans!E15,0)</f>
        <v>0</v>
      </c>
      <c r="E15" s="22">
        <f>IFERROR(Loans!H15,0)</f>
        <v>0</v>
      </c>
      <c r="F15" s="23">
        <f>IFERROR(Loans!I15,0)</f>
        <v>0</v>
      </c>
      <c r="G15" s="24" t="str">
        <f t="shared" si="0"/>
        <v/>
      </c>
      <c r="H15" s="25">
        <f>IF(A15="","",IFERROR(SUMIFS(Int_Repayments!E$4:E$1003,Int_Repayments!C$4:C$1003,A15,Int_Repayments!D$4:D$1003,1),0))</f>
        <v>0</v>
      </c>
      <c r="I15" s="26" t="str">
        <f t="shared" si="1"/>
        <v/>
      </c>
      <c r="J15" s="24" t="str">
        <f t="shared" si="2"/>
        <v/>
      </c>
      <c r="K15" s="25">
        <f>IF(A15="","",IFERROR(SUMIFS(Int_Repayments!E$4:E$1003,Int_Repayments!C$4:C$1003,A15,Int_Repayments!D$4:D$1003,2),0))</f>
        <v>0</v>
      </c>
      <c r="L15" s="26" t="str">
        <f t="shared" si="3"/>
        <v/>
      </c>
      <c r="M15" s="24" t="str">
        <f t="shared" si="4"/>
        <v/>
      </c>
      <c r="N15" s="25">
        <f>IF(A15="","",IFERROR(SUMIFS(Int_Repayments!E$4:E$1003,Int_Repayments!C$4:C$1003,A15,Int_Repayments!D$4:D$1003,3),0))</f>
        <v>0</v>
      </c>
      <c r="O15" s="26" t="str">
        <f t="shared" si="5"/>
        <v/>
      </c>
      <c r="P15" s="24" t="str">
        <f t="shared" si="6"/>
        <v/>
      </c>
      <c r="Q15" s="25">
        <f>IF(A15="","",IFERROR(SUMIFS(Int_Repayments!E$4:E$1003,Int_Repayments!C$4:C$1003,A15,Int_Repayments!D$4:D$1003,4),0))</f>
        <v>0</v>
      </c>
      <c r="R15" s="26" t="str">
        <f t="shared" si="7"/>
        <v/>
      </c>
      <c r="S15" s="24" t="str">
        <f t="shared" si="8"/>
        <v/>
      </c>
      <c r="T15" s="25">
        <f>IF(A15="","",IFERROR(SUMIFS(Int_Repayments!E$4:E$1003,Int_Repayments!C$4:C$1003,A15,Int_Repayments!D$4:D$1003,5),0))</f>
        <v>0</v>
      </c>
      <c r="U15" s="26" t="str">
        <f t="shared" si="9"/>
        <v/>
      </c>
      <c r="V15" s="24" t="str">
        <f t="shared" si="10"/>
        <v/>
      </c>
      <c r="W15" s="25">
        <f>IF(A15="","",IFERROR(SUMIFS(Int_Repayments!E$4:E$1003,Int_Repayments!C$4:C$1003,A15,Int_Repayments!D$4:D$1003,6),0))</f>
        <v>0</v>
      </c>
      <c r="X15" s="26" t="str">
        <f t="shared" si="11"/>
        <v/>
      </c>
      <c r="Y15" s="24" t="str">
        <f t="shared" si="12"/>
        <v/>
      </c>
      <c r="Z15" s="25">
        <f>IF(A15="","",IFERROR(SUMIFS(Int_Repayments!E$4:E$1003,Int_Repayments!C$4:C$1003,A15,Int_Repayments!D$4:D$1003,7),0))</f>
        <v>0</v>
      </c>
      <c r="AA15" s="26" t="str">
        <f t="shared" si="13"/>
        <v/>
      </c>
      <c r="AB15" s="24" t="str">
        <f t="shared" si="14"/>
        <v/>
      </c>
      <c r="AC15" s="25">
        <f>IF(A15="","",IFERROR(SUMIFS(Int_Repayments!E$4:E$1003,Int_Repayments!C$4:C$1003,A15,Int_Repayments!D$4:D$1003,8),0))</f>
        <v>0</v>
      </c>
      <c r="AD15" s="26" t="str">
        <f t="shared" si="15"/>
        <v/>
      </c>
      <c r="AE15" s="24" t="str">
        <f t="shared" si="16"/>
        <v/>
      </c>
      <c r="AF15" s="25">
        <f>IF(A15="","",IFERROR(SUMIFS(Int_Repayments!E$4:E$1003,Int_Repayments!C$4:C$1003,A15,Int_Repayments!D$4:D$1003,9),0))</f>
        <v>0</v>
      </c>
      <c r="AG15" s="26" t="str">
        <f t="shared" si="17"/>
        <v/>
      </c>
      <c r="AH15" s="24" t="str">
        <f t="shared" si="18"/>
        <v/>
      </c>
      <c r="AI15" s="25">
        <f>IF(A15="","",IFERROR(SUMIFS(Int_Repayments!E$4:E$1003,Int_Repayments!C$4:C$1003,A15,Int_Repayments!D$4:D$1003,10),0))</f>
        <v>0</v>
      </c>
      <c r="AJ15" s="26" t="str">
        <f t="shared" si="19"/>
        <v/>
      </c>
      <c r="AK15" s="24" t="str">
        <f t="shared" si="20"/>
        <v/>
      </c>
      <c r="AL15" s="25">
        <f>IF(A15="","",IFERROR(SUMIFS(Int_Repayments!E$4:E$1003,Int_Repayments!C$4:C$1003,A15,Int_Repayments!D$4:D$1003,11),0))</f>
        <v>0</v>
      </c>
      <c r="AM15" s="26" t="str">
        <f t="shared" si="21"/>
        <v/>
      </c>
      <c r="AN15" s="24" t="str">
        <f t="shared" si="22"/>
        <v/>
      </c>
      <c r="AO15" s="25">
        <f>IF(A15="","",IFERROR(SUMIFS(Int_Repayments!E$4:E$1003,Int_Repayments!C$4:C$1003,A15,Int_Repayments!D$4:D$1003,12),0))</f>
        <v>0</v>
      </c>
      <c r="AP15" s="26" t="str">
        <f t="shared" si="23"/>
        <v/>
      </c>
      <c r="AQ15" s="24" t="str">
        <f t="shared" si="24"/>
        <v/>
      </c>
      <c r="AR15" s="24" t="str">
        <f t="shared" si="25"/>
        <v/>
      </c>
      <c r="AS15" s="24" t="str">
        <f t="shared" si="26"/>
        <v/>
      </c>
    </row>
    <row r="16" spans="1:45" ht="15.75" customHeight="1" x14ac:dyDescent="0.25">
      <c r="A16" s="6">
        <f>IFERROR(Loans!C16,"")</f>
        <v>0</v>
      </c>
      <c r="B16" s="4">
        <f>IFERROR(Loans!B16,"")</f>
        <v>0</v>
      </c>
      <c r="C16" s="6">
        <f>IFERROR(Loans!A16,"")</f>
        <v>0</v>
      </c>
      <c r="D16" s="21">
        <f>IFERROR(Loans!E16,0)</f>
        <v>0</v>
      </c>
      <c r="E16" s="22">
        <f>IFERROR(Loans!H16,0)</f>
        <v>0</v>
      </c>
      <c r="F16" s="23">
        <f>IFERROR(Loans!I16,0)</f>
        <v>0</v>
      </c>
      <c r="G16" s="24" t="str">
        <f t="shared" si="0"/>
        <v/>
      </c>
      <c r="H16" s="25">
        <f>IF(A16="","",IFERROR(SUMIFS(Int_Repayments!E$4:E$1003,Int_Repayments!C$4:C$1003,A16,Int_Repayments!D$4:D$1003,1),0))</f>
        <v>0</v>
      </c>
      <c r="I16" s="26" t="str">
        <f t="shared" si="1"/>
        <v/>
      </c>
      <c r="J16" s="24" t="str">
        <f t="shared" si="2"/>
        <v/>
      </c>
      <c r="K16" s="25">
        <f>IF(A16="","",IFERROR(SUMIFS(Int_Repayments!E$4:E$1003,Int_Repayments!C$4:C$1003,A16,Int_Repayments!D$4:D$1003,2),0))</f>
        <v>0</v>
      </c>
      <c r="L16" s="26" t="str">
        <f t="shared" si="3"/>
        <v/>
      </c>
      <c r="M16" s="24" t="str">
        <f t="shared" si="4"/>
        <v/>
      </c>
      <c r="N16" s="25">
        <f>IF(A16="","",IFERROR(SUMIFS(Int_Repayments!E$4:E$1003,Int_Repayments!C$4:C$1003,A16,Int_Repayments!D$4:D$1003,3),0))</f>
        <v>0</v>
      </c>
      <c r="O16" s="26" t="str">
        <f t="shared" si="5"/>
        <v/>
      </c>
      <c r="P16" s="24" t="str">
        <f t="shared" si="6"/>
        <v/>
      </c>
      <c r="Q16" s="25">
        <f>IF(A16="","",IFERROR(SUMIFS(Int_Repayments!E$4:E$1003,Int_Repayments!C$4:C$1003,A16,Int_Repayments!D$4:D$1003,4),0))</f>
        <v>0</v>
      </c>
      <c r="R16" s="26" t="str">
        <f t="shared" si="7"/>
        <v/>
      </c>
      <c r="S16" s="24" t="str">
        <f t="shared" si="8"/>
        <v/>
      </c>
      <c r="T16" s="25">
        <f>IF(A16="","",IFERROR(SUMIFS(Int_Repayments!E$4:E$1003,Int_Repayments!C$4:C$1003,A16,Int_Repayments!D$4:D$1003,5),0))</f>
        <v>0</v>
      </c>
      <c r="U16" s="26" t="str">
        <f t="shared" si="9"/>
        <v/>
      </c>
      <c r="V16" s="24" t="str">
        <f t="shared" si="10"/>
        <v/>
      </c>
      <c r="W16" s="25">
        <f>IF(A16="","",IFERROR(SUMIFS(Int_Repayments!E$4:E$1003,Int_Repayments!C$4:C$1003,A16,Int_Repayments!D$4:D$1003,6),0))</f>
        <v>0</v>
      </c>
      <c r="X16" s="26" t="str">
        <f t="shared" si="11"/>
        <v/>
      </c>
      <c r="Y16" s="24" t="str">
        <f t="shared" si="12"/>
        <v/>
      </c>
      <c r="Z16" s="25">
        <f>IF(A16="","",IFERROR(SUMIFS(Int_Repayments!E$4:E$1003,Int_Repayments!C$4:C$1003,A16,Int_Repayments!D$4:D$1003,7),0))</f>
        <v>0</v>
      </c>
      <c r="AA16" s="26" t="str">
        <f t="shared" si="13"/>
        <v/>
      </c>
      <c r="AB16" s="24" t="str">
        <f t="shared" si="14"/>
        <v/>
      </c>
      <c r="AC16" s="25">
        <f>IF(A16="","",IFERROR(SUMIFS(Int_Repayments!E$4:E$1003,Int_Repayments!C$4:C$1003,A16,Int_Repayments!D$4:D$1003,8),0))</f>
        <v>0</v>
      </c>
      <c r="AD16" s="26" t="str">
        <f t="shared" si="15"/>
        <v/>
      </c>
      <c r="AE16" s="24" t="str">
        <f t="shared" si="16"/>
        <v/>
      </c>
      <c r="AF16" s="25">
        <f>IF(A16="","",IFERROR(SUMIFS(Int_Repayments!E$4:E$1003,Int_Repayments!C$4:C$1003,A16,Int_Repayments!D$4:D$1003,9),0))</f>
        <v>0</v>
      </c>
      <c r="AG16" s="26" t="str">
        <f t="shared" si="17"/>
        <v/>
      </c>
      <c r="AH16" s="24" t="str">
        <f t="shared" si="18"/>
        <v/>
      </c>
      <c r="AI16" s="25">
        <f>IF(A16="","",IFERROR(SUMIFS(Int_Repayments!E$4:E$1003,Int_Repayments!C$4:C$1003,A16,Int_Repayments!D$4:D$1003,10),0))</f>
        <v>0</v>
      </c>
      <c r="AJ16" s="26" t="str">
        <f t="shared" si="19"/>
        <v/>
      </c>
      <c r="AK16" s="24" t="str">
        <f t="shared" si="20"/>
        <v/>
      </c>
      <c r="AL16" s="25">
        <f>IF(A16="","",IFERROR(SUMIFS(Int_Repayments!E$4:E$1003,Int_Repayments!C$4:C$1003,A16,Int_Repayments!D$4:D$1003,11),0))</f>
        <v>0</v>
      </c>
      <c r="AM16" s="26" t="str">
        <f t="shared" si="21"/>
        <v/>
      </c>
      <c r="AN16" s="24" t="str">
        <f t="shared" si="22"/>
        <v/>
      </c>
      <c r="AO16" s="25">
        <f>IF(A16="","",IFERROR(SUMIFS(Int_Repayments!E$4:E$1003,Int_Repayments!C$4:C$1003,A16,Int_Repayments!D$4:D$1003,12),0))</f>
        <v>0</v>
      </c>
      <c r="AP16" s="26" t="str">
        <f t="shared" si="23"/>
        <v/>
      </c>
      <c r="AQ16" s="24" t="str">
        <f t="shared" si="24"/>
        <v/>
      </c>
      <c r="AR16" s="24" t="str">
        <f t="shared" si="25"/>
        <v/>
      </c>
      <c r="AS16" s="24" t="str">
        <f t="shared" si="26"/>
        <v/>
      </c>
    </row>
    <row r="17" spans="1:45" ht="15.75" customHeight="1" x14ac:dyDescent="0.25">
      <c r="A17" s="6">
        <f>IFERROR(Loans!C17,"")</f>
        <v>0</v>
      </c>
      <c r="B17" s="4">
        <f>IFERROR(Loans!B17,"")</f>
        <v>0</v>
      </c>
      <c r="C17" s="6">
        <f>IFERROR(Loans!A17,"")</f>
        <v>0</v>
      </c>
      <c r="D17" s="21">
        <f>IFERROR(Loans!E17,0)</f>
        <v>0</v>
      </c>
      <c r="E17" s="22">
        <f>IFERROR(Loans!H17,0)</f>
        <v>0</v>
      </c>
      <c r="F17" s="23">
        <f>IFERROR(Loans!I17,0)</f>
        <v>0</v>
      </c>
      <c r="G17" s="24" t="str">
        <f t="shared" si="0"/>
        <v/>
      </c>
      <c r="H17" s="25">
        <f>IF(A17="","",IFERROR(SUMIFS(Int_Repayments!E$4:E$1003,Int_Repayments!C$4:C$1003,A17,Int_Repayments!D$4:D$1003,1),0))</f>
        <v>0</v>
      </c>
      <c r="I17" s="26" t="str">
        <f t="shared" si="1"/>
        <v/>
      </c>
      <c r="J17" s="24" t="str">
        <f t="shared" si="2"/>
        <v/>
      </c>
      <c r="K17" s="25">
        <f>IF(A17="","",IFERROR(SUMIFS(Int_Repayments!E$4:E$1003,Int_Repayments!C$4:C$1003,A17,Int_Repayments!D$4:D$1003,2),0))</f>
        <v>0</v>
      </c>
      <c r="L17" s="26" t="str">
        <f t="shared" si="3"/>
        <v/>
      </c>
      <c r="M17" s="24" t="str">
        <f t="shared" si="4"/>
        <v/>
      </c>
      <c r="N17" s="25">
        <f>IF(A17="","",IFERROR(SUMIFS(Int_Repayments!E$4:E$1003,Int_Repayments!C$4:C$1003,A17,Int_Repayments!D$4:D$1003,3),0))</f>
        <v>0</v>
      </c>
      <c r="O17" s="26" t="str">
        <f t="shared" si="5"/>
        <v/>
      </c>
      <c r="P17" s="24" t="str">
        <f t="shared" si="6"/>
        <v/>
      </c>
      <c r="Q17" s="25">
        <f>IF(A17="","",IFERROR(SUMIFS(Int_Repayments!E$4:E$1003,Int_Repayments!C$4:C$1003,A17,Int_Repayments!D$4:D$1003,4),0))</f>
        <v>0</v>
      </c>
      <c r="R17" s="26" t="str">
        <f t="shared" si="7"/>
        <v/>
      </c>
      <c r="S17" s="24" t="str">
        <f t="shared" si="8"/>
        <v/>
      </c>
      <c r="T17" s="25">
        <f>IF(A17="","",IFERROR(SUMIFS(Int_Repayments!E$4:E$1003,Int_Repayments!C$4:C$1003,A17,Int_Repayments!D$4:D$1003,5),0))</f>
        <v>0</v>
      </c>
      <c r="U17" s="26" t="str">
        <f t="shared" si="9"/>
        <v/>
      </c>
      <c r="V17" s="24" t="str">
        <f t="shared" si="10"/>
        <v/>
      </c>
      <c r="W17" s="25">
        <f>IF(A17="","",IFERROR(SUMIFS(Int_Repayments!E$4:E$1003,Int_Repayments!C$4:C$1003,A17,Int_Repayments!D$4:D$1003,6),0))</f>
        <v>0</v>
      </c>
      <c r="X17" s="26" t="str">
        <f t="shared" si="11"/>
        <v/>
      </c>
      <c r="Y17" s="24" t="str">
        <f t="shared" si="12"/>
        <v/>
      </c>
      <c r="Z17" s="25">
        <f>IF(A17="","",IFERROR(SUMIFS(Int_Repayments!E$4:E$1003,Int_Repayments!C$4:C$1003,A17,Int_Repayments!D$4:D$1003,7),0))</f>
        <v>0</v>
      </c>
      <c r="AA17" s="26" t="str">
        <f t="shared" si="13"/>
        <v/>
      </c>
      <c r="AB17" s="24" t="str">
        <f t="shared" si="14"/>
        <v/>
      </c>
      <c r="AC17" s="25">
        <f>IF(A17="","",IFERROR(SUMIFS(Int_Repayments!E$4:E$1003,Int_Repayments!C$4:C$1003,A17,Int_Repayments!D$4:D$1003,8),0))</f>
        <v>0</v>
      </c>
      <c r="AD17" s="26" t="str">
        <f t="shared" si="15"/>
        <v/>
      </c>
      <c r="AE17" s="24" t="str">
        <f t="shared" si="16"/>
        <v/>
      </c>
      <c r="AF17" s="25">
        <f>IF(A17="","",IFERROR(SUMIFS(Int_Repayments!E$4:E$1003,Int_Repayments!C$4:C$1003,A17,Int_Repayments!D$4:D$1003,9),0))</f>
        <v>0</v>
      </c>
      <c r="AG17" s="26" t="str">
        <f t="shared" si="17"/>
        <v/>
      </c>
      <c r="AH17" s="24" t="str">
        <f t="shared" si="18"/>
        <v/>
      </c>
      <c r="AI17" s="25">
        <f>IF(A17="","",IFERROR(SUMIFS(Int_Repayments!E$4:E$1003,Int_Repayments!C$4:C$1003,A17,Int_Repayments!D$4:D$1003,10),0))</f>
        <v>0</v>
      </c>
      <c r="AJ17" s="26" t="str">
        <f t="shared" si="19"/>
        <v/>
      </c>
      <c r="AK17" s="24" t="str">
        <f t="shared" si="20"/>
        <v/>
      </c>
      <c r="AL17" s="25">
        <f>IF(A17="","",IFERROR(SUMIFS(Int_Repayments!E$4:E$1003,Int_Repayments!C$4:C$1003,A17,Int_Repayments!D$4:D$1003,11),0))</f>
        <v>0</v>
      </c>
      <c r="AM17" s="26" t="str">
        <f t="shared" si="21"/>
        <v/>
      </c>
      <c r="AN17" s="24" t="str">
        <f t="shared" si="22"/>
        <v/>
      </c>
      <c r="AO17" s="25">
        <f>IF(A17="","",IFERROR(SUMIFS(Int_Repayments!E$4:E$1003,Int_Repayments!C$4:C$1003,A17,Int_Repayments!D$4:D$1003,12),0))</f>
        <v>0</v>
      </c>
      <c r="AP17" s="26" t="str">
        <f t="shared" si="23"/>
        <v/>
      </c>
      <c r="AQ17" s="24" t="str">
        <f t="shared" si="24"/>
        <v/>
      </c>
      <c r="AR17" s="24" t="str">
        <f t="shared" si="25"/>
        <v/>
      </c>
      <c r="AS17" s="24" t="str">
        <f t="shared" si="26"/>
        <v/>
      </c>
    </row>
    <row r="18" spans="1:45" ht="15.75" customHeight="1" x14ac:dyDescent="0.25">
      <c r="A18" s="6">
        <f>IFERROR(Loans!C18,"")</f>
        <v>0</v>
      </c>
      <c r="B18" s="4">
        <f>IFERROR(Loans!B18,"")</f>
        <v>0</v>
      </c>
      <c r="C18" s="6">
        <f>IFERROR(Loans!A18,"")</f>
        <v>0</v>
      </c>
      <c r="D18" s="21">
        <f>IFERROR(Loans!E18,0)</f>
        <v>0</v>
      </c>
      <c r="E18" s="22">
        <f>IFERROR(Loans!H18,0)</f>
        <v>0</v>
      </c>
      <c r="F18" s="23">
        <f>IFERROR(Loans!I18,0)</f>
        <v>0</v>
      </c>
      <c r="G18" s="24" t="str">
        <f t="shared" si="0"/>
        <v/>
      </c>
      <c r="H18" s="25">
        <f>IF(A18="","",IFERROR(SUMIFS(Int_Repayments!E$4:E$1003,Int_Repayments!C$4:C$1003,A18,Int_Repayments!D$4:D$1003,1),0))</f>
        <v>0</v>
      </c>
      <c r="I18" s="26" t="str">
        <f t="shared" si="1"/>
        <v/>
      </c>
      <c r="J18" s="24" t="str">
        <f t="shared" si="2"/>
        <v/>
      </c>
      <c r="K18" s="25">
        <f>IF(A18="","",IFERROR(SUMIFS(Int_Repayments!E$4:E$1003,Int_Repayments!C$4:C$1003,A18,Int_Repayments!D$4:D$1003,2),0))</f>
        <v>0</v>
      </c>
      <c r="L18" s="26" t="str">
        <f t="shared" si="3"/>
        <v/>
      </c>
      <c r="M18" s="24" t="str">
        <f t="shared" si="4"/>
        <v/>
      </c>
      <c r="N18" s="25">
        <f>IF(A18="","",IFERROR(SUMIFS(Int_Repayments!E$4:E$1003,Int_Repayments!C$4:C$1003,A18,Int_Repayments!D$4:D$1003,3),0))</f>
        <v>0</v>
      </c>
      <c r="O18" s="26" t="str">
        <f t="shared" si="5"/>
        <v/>
      </c>
      <c r="P18" s="24" t="str">
        <f t="shared" si="6"/>
        <v/>
      </c>
      <c r="Q18" s="25">
        <f>IF(A18="","",IFERROR(SUMIFS(Int_Repayments!E$4:E$1003,Int_Repayments!C$4:C$1003,A18,Int_Repayments!D$4:D$1003,4),0))</f>
        <v>0</v>
      </c>
      <c r="R18" s="26" t="str">
        <f t="shared" si="7"/>
        <v/>
      </c>
      <c r="S18" s="24" t="str">
        <f t="shared" si="8"/>
        <v/>
      </c>
      <c r="T18" s="25">
        <f>IF(A18="","",IFERROR(SUMIFS(Int_Repayments!E$4:E$1003,Int_Repayments!C$4:C$1003,A18,Int_Repayments!D$4:D$1003,5),0))</f>
        <v>0</v>
      </c>
      <c r="U18" s="26" t="str">
        <f t="shared" si="9"/>
        <v/>
      </c>
      <c r="V18" s="24" t="str">
        <f t="shared" si="10"/>
        <v/>
      </c>
      <c r="W18" s="25">
        <f>IF(A18="","",IFERROR(SUMIFS(Int_Repayments!E$4:E$1003,Int_Repayments!C$4:C$1003,A18,Int_Repayments!D$4:D$1003,6),0))</f>
        <v>0</v>
      </c>
      <c r="X18" s="26" t="str">
        <f t="shared" si="11"/>
        <v/>
      </c>
      <c r="Y18" s="24" t="str">
        <f t="shared" si="12"/>
        <v/>
      </c>
      <c r="Z18" s="25">
        <f>IF(A18="","",IFERROR(SUMIFS(Int_Repayments!E$4:E$1003,Int_Repayments!C$4:C$1003,A18,Int_Repayments!D$4:D$1003,7),0))</f>
        <v>0</v>
      </c>
      <c r="AA18" s="26" t="str">
        <f t="shared" si="13"/>
        <v/>
      </c>
      <c r="AB18" s="24" t="str">
        <f t="shared" si="14"/>
        <v/>
      </c>
      <c r="AC18" s="25">
        <f>IF(A18="","",IFERROR(SUMIFS(Int_Repayments!E$4:E$1003,Int_Repayments!C$4:C$1003,A18,Int_Repayments!D$4:D$1003,8),0))</f>
        <v>0</v>
      </c>
      <c r="AD18" s="26" t="str">
        <f t="shared" si="15"/>
        <v/>
      </c>
      <c r="AE18" s="24" t="str">
        <f t="shared" si="16"/>
        <v/>
      </c>
      <c r="AF18" s="25">
        <f>IF(A18="","",IFERROR(SUMIFS(Int_Repayments!E$4:E$1003,Int_Repayments!C$4:C$1003,A18,Int_Repayments!D$4:D$1003,9),0))</f>
        <v>0</v>
      </c>
      <c r="AG18" s="26" t="str">
        <f t="shared" si="17"/>
        <v/>
      </c>
      <c r="AH18" s="24" t="str">
        <f t="shared" si="18"/>
        <v/>
      </c>
      <c r="AI18" s="25">
        <f>IF(A18="","",IFERROR(SUMIFS(Int_Repayments!E$4:E$1003,Int_Repayments!C$4:C$1003,A18,Int_Repayments!D$4:D$1003,10),0))</f>
        <v>0</v>
      </c>
      <c r="AJ18" s="26" t="str">
        <f t="shared" si="19"/>
        <v/>
      </c>
      <c r="AK18" s="24" t="str">
        <f t="shared" si="20"/>
        <v/>
      </c>
      <c r="AL18" s="25">
        <f>IF(A18="","",IFERROR(SUMIFS(Int_Repayments!E$4:E$1003,Int_Repayments!C$4:C$1003,A18,Int_Repayments!D$4:D$1003,11),0))</f>
        <v>0</v>
      </c>
      <c r="AM18" s="26" t="str">
        <f t="shared" si="21"/>
        <v/>
      </c>
      <c r="AN18" s="24" t="str">
        <f t="shared" si="22"/>
        <v/>
      </c>
      <c r="AO18" s="25">
        <f>IF(A18="","",IFERROR(SUMIFS(Int_Repayments!E$4:E$1003,Int_Repayments!C$4:C$1003,A18,Int_Repayments!D$4:D$1003,12),0))</f>
        <v>0</v>
      </c>
      <c r="AP18" s="26" t="str">
        <f t="shared" si="23"/>
        <v/>
      </c>
      <c r="AQ18" s="24" t="str">
        <f t="shared" si="24"/>
        <v/>
      </c>
      <c r="AR18" s="24" t="str">
        <f t="shared" si="25"/>
        <v/>
      </c>
      <c r="AS18" s="24" t="str">
        <f t="shared" si="26"/>
        <v/>
      </c>
    </row>
    <row r="19" spans="1:45" ht="15.75" customHeight="1" x14ac:dyDescent="0.25">
      <c r="A19" s="6">
        <f>IFERROR(Loans!C19,"")</f>
        <v>0</v>
      </c>
      <c r="B19" s="4">
        <f>IFERROR(Loans!B19,"")</f>
        <v>0</v>
      </c>
      <c r="C19" s="6">
        <f>IFERROR(Loans!A19,"")</f>
        <v>0</v>
      </c>
      <c r="D19" s="21">
        <f>IFERROR(Loans!E19,0)</f>
        <v>0</v>
      </c>
      <c r="E19" s="22">
        <f>IFERROR(Loans!H19,0)</f>
        <v>0</v>
      </c>
      <c r="F19" s="23">
        <f>IFERROR(Loans!I19,0)</f>
        <v>0</v>
      </c>
      <c r="G19" s="24" t="str">
        <f t="shared" si="0"/>
        <v/>
      </c>
      <c r="H19" s="25">
        <f>IF(A19="","",IFERROR(SUMIFS(Int_Repayments!E$4:E$1003,Int_Repayments!C$4:C$1003,A19,Int_Repayments!D$4:D$1003,1),0))</f>
        <v>0</v>
      </c>
      <c r="I19" s="26" t="str">
        <f t="shared" si="1"/>
        <v/>
      </c>
      <c r="J19" s="24" t="str">
        <f t="shared" si="2"/>
        <v/>
      </c>
      <c r="K19" s="25">
        <f>IF(A19="","",IFERROR(SUMIFS(Int_Repayments!E$4:E$1003,Int_Repayments!C$4:C$1003,A19,Int_Repayments!D$4:D$1003,2),0))</f>
        <v>0</v>
      </c>
      <c r="L19" s="26" t="str">
        <f t="shared" si="3"/>
        <v/>
      </c>
      <c r="M19" s="24" t="str">
        <f t="shared" si="4"/>
        <v/>
      </c>
      <c r="N19" s="25">
        <f>IF(A19="","",IFERROR(SUMIFS(Int_Repayments!E$4:E$1003,Int_Repayments!C$4:C$1003,A19,Int_Repayments!D$4:D$1003,3),0))</f>
        <v>0</v>
      </c>
      <c r="O19" s="26" t="str">
        <f t="shared" si="5"/>
        <v/>
      </c>
      <c r="P19" s="24" t="str">
        <f t="shared" si="6"/>
        <v/>
      </c>
      <c r="Q19" s="25">
        <f>IF(A19="","",IFERROR(SUMIFS(Int_Repayments!E$4:E$1003,Int_Repayments!C$4:C$1003,A19,Int_Repayments!D$4:D$1003,4),0))</f>
        <v>0</v>
      </c>
      <c r="R19" s="26" t="str">
        <f t="shared" si="7"/>
        <v/>
      </c>
      <c r="S19" s="24" t="str">
        <f t="shared" si="8"/>
        <v/>
      </c>
      <c r="T19" s="25">
        <f>IF(A19="","",IFERROR(SUMIFS(Int_Repayments!E$4:E$1003,Int_Repayments!C$4:C$1003,A19,Int_Repayments!D$4:D$1003,5),0))</f>
        <v>0</v>
      </c>
      <c r="U19" s="26" t="str">
        <f t="shared" si="9"/>
        <v/>
      </c>
      <c r="V19" s="24" t="str">
        <f t="shared" si="10"/>
        <v/>
      </c>
      <c r="W19" s="25">
        <f>IF(A19="","",IFERROR(SUMIFS(Int_Repayments!E$4:E$1003,Int_Repayments!C$4:C$1003,A19,Int_Repayments!D$4:D$1003,6),0))</f>
        <v>0</v>
      </c>
      <c r="X19" s="26" t="str">
        <f t="shared" si="11"/>
        <v/>
      </c>
      <c r="Y19" s="24" t="str">
        <f t="shared" si="12"/>
        <v/>
      </c>
      <c r="Z19" s="25">
        <f>IF(A19="","",IFERROR(SUMIFS(Int_Repayments!E$4:E$1003,Int_Repayments!C$4:C$1003,A19,Int_Repayments!D$4:D$1003,7),0))</f>
        <v>0</v>
      </c>
      <c r="AA19" s="26" t="str">
        <f t="shared" si="13"/>
        <v/>
      </c>
      <c r="AB19" s="24" t="str">
        <f t="shared" si="14"/>
        <v/>
      </c>
      <c r="AC19" s="25">
        <f>IF(A19="","",IFERROR(SUMIFS(Int_Repayments!E$4:E$1003,Int_Repayments!C$4:C$1003,A19,Int_Repayments!D$4:D$1003,8),0))</f>
        <v>0</v>
      </c>
      <c r="AD19" s="26" t="str">
        <f t="shared" si="15"/>
        <v/>
      </c>
      <c r="AE19" s="24" t="str">
        <f t="shared" si="16"/>
        <v/>
      </c>
      <c r="AF19" s="25">
        <f>IF(A19="","",IFERROR(SUMIFS(Int_Repayments!E$4:E$1003,Int_Repayments!C$4:C$1003,A19,Int_Repayments!D$4:D$1003,9),0))</f>
        <v>0</v>
      </c>
      <c r="AG19" s="26" t="str">
        <f t="shared" si="17"/>
        <v/>
      </c>
      <c r="AH19" s="24" t="str">
        <f t="shared" si="18"/>
        <v/>
      </c>
      <c r="AI19" s="25">
        <f>IF(A19="","",IFERROR(SUMIFS(Int_Repayments!E$4:E$1003,Int_Repayments!C$4:C$1003,A19,Int_Repayments!D$4:D$1003,10),0))</f>
        <v>0</v>
      </c>
      <c r="AJ19" s="26" t="str">
        <f t="shared" si="19"/>
        <v/>
      </c>
      <c r="AK19" s="24" t="str">
        <f t="shared" si="20"/>
        <v/>
      </c>
      <c r="AL19" s="25">
        <f>IF(A19="","",IFERROR(SUMIFS(Int_Repayments!E$4:E$1003,Int_Repayments!C$4:C$1003,A19,Int_Repayments!D$4:D$1003,11),0))</f>
        <v>0</v>
      </c>
      <c r="AM19" s="26" t="str">
        <f t="shared" si="21"/>
        <v/>
      </c>
      <c r="AN19" s="24" t="str">
        <f t="shared" si="22"/>
        <v/>
      </c>
      <c r="AO19" s="25">
        <f>IF(A19="","",IFERROR(SUMIFS(Int_Repayments!E$4:E$1003,Int_Repayments!C$4:C$1003,A19,Int_Repayments!D$4:D$1003,12),0))</f>
        <v>0</v>
      </c>
      <c r="AP19" s="26" t="str">
        <f t="shared" si="23"/>
        <v/>
      </c>
      <c r="AQ19" s="24" t="str">
        <f t="shared" si="24"/>
        <v/>
      </c>
      <c r="AR19" s="24" t="str">
        <f t="shared" si="25"/>
        <v/>
      </c>
      <c r="AS19" s="24" t="str">
        <f t="shared" si="26"/>
        <v/>
      </c>
    </row>
    <row r="20" spans="1:45" ht="15.75" customHeight="1" x14ac:dyDescent="0.25">
      <c r="A20" s="6">
        <f>IFERROR(Loans!C20,"")</f>
        <v>0</v>
      </c>
      <c r="B20" s="4">
        <f>IFERROR(Loans!B20,"")</f>
        <v>0</v>
      </c>
      <c r="C20" s="6">
        <f>IFERROR(Loans!A20,"")</f>
        <v>0</v>
      </c>
      <c r="D20" s="21">
        <f>IFERROR(Loans!E20,0)</f>
        <v>0</v>
      </c>
      <c r="E20" s="22">
        <f>IFERROR(Loans!H20,0)</f>
        <v>0</v>
      </c>
      <c r="F20" s="23">
        <f>IFERROR(Loans!I20,0)</f>
        <v>0</v>
      </c>
      <c r="G20" s="24" t="str">
        <f t="shared" si="0"/>
        <v/>
      </c>
      <c r="H20" s="25">
        <f>IF(A20="","",IFERROR(SUMIFS(Int_Repayments!E$4:E$1003,Int_Repayments!C$4:C$1003,A20,Int_Repayments!D$4:D$1003,1),0))</f>
        <v>0</v>
      </c>
      <c r="I20" s="26" t="str">
        <f t="shared" si="1"/>
        <v/>
      </c>
      <c r="J20" s="24" t="str">
        <f t="shared" si="2"/>
        <v/>
      </c>
      <c r="K20" s="25">
        <f>IF(A20="","",IFERROR(SUMIFS(Int_Repayments!E$4:E$1003,Int_Repayments!C$4:C$1003,A20,Int_Repayments!D$4:D$1003,2),0))</f>
        <v>0</v>
      </c>
      <c r="L20" s="26" t="str">
        <f t="shared" si="3"/>
        <v/>
      </c>
      <c r="M20" s="24" t="str">
        <f t="shared" si="4"/>
        <v/>
      </c>
      <c r="N20" s="25">
        <f>IF(A20="","",IFERROR(SUMIFS(Int_Repayments!E$4:E$1003,Int_Repayments!C$4:C$1003,A20,Int_Repayments!D$4:D$1003,3),0))</f>
        <v>0</v>
      </c>
      <c r="O20" s="26" t="str">
        <f t="shared" si="5"/>
        <v/>
      </c>
      <c r="P20" s="24" t="str">
        <f t="shared" si="6"/>
        <v/>
      </c>
      <c r="Q20" s="25">
        <f>IF(A20="","",IFERROR(SUMIFS(Int_Repayments!E$4:E$1003,Int_Repayments!C$4:C$1003,A20,Int_Repayments!D$4:D$1003,4),0))</f>
        <v>0</v>
      </c>
      <c r="R20" s="26" t="str">
        <f t="shared" si="7"/>
        <v/>
      </c>
      <c r="S20" s="24" t="str">
        <f t="shared" si="8"/>
        <v/>
      </c>
      <c r="T20" s="25">
        <f>IF(A20="","",IFERROR(SUMIFS(Int_Repayments!E$4:E$1003,Int_Repayments!C$4:C$1003,A20,Int_Repayments!D$4:D$1003,5),0))</f>
        <v>0</v>
      </c>
      <c r="U20" s="26" t="str">
        <f t="shared" si="9"/>
        <v/>
      </c>
      <c r="V20" s="24" t="str">
        <f t="shared" si="10"/>
        <v/>
      </c>
      <c r="W20" s="25">
        <f>IF(A20="","",IFERROR(SUMIFS(Int_Repayments!E$4:E$1003,Int_Repayments!C$4:C$1003,A20,Int_Repayments!D$4:D$1003,6),0))</f>
        <v>0</v>
      </c>
      <c r="X20" s="26" t="str">
        <f t="shared" si="11"/>
        <v/>
      </c>
      <c r="Y20" s="24" t="str">
        <f t="shared" si="12"/>
        <v/>
      </c>
      <c r="Z20" s="25">
        <f>IF(A20="","",IFERROR(SUMIFS(Int_Repayments!E$4:E$1003,Int_Repayments!C$4:C$1003,A20,Int_Repayments!D$4:D$1003,7),0))</f>
        <v>0</v>
      </c>
      <c r="AA20" s="26" t="str">
        <f t="shared" si="13"/>
        <v/>
      </c>
      <c r="AB20" s="24" t="str">
        <f t="shared" si="14"/>
        <v/>
      </c>
      <c r="AC20" s="25">
        <f>IF(A20="","",IFERROR(SUMIFS(Int_Repayments!E$4:E$1003,Int_Repayments!C$4:C$1003,A20,Int_Repayments!D$4:D$1003,8),0))</f>
        <v>0</v>
      </c>
      <c r="AD20" s="26" t="str">
        <f t="shared" si="15"/>
        <v/>
      </c>
      <c r="AE20" s="24" t="str">
        <f t="shared" si="16"/>
        <v/>
      </c>
      <c r="AF20" s="25">
        <f>IF(A20="","",IFERROR(SUMIFS(Int_Repayments!E$4:E$1003,Int_Repayments!C$4:C$1003,A20,Int_Repayments!D$4:D$1003,9),0))</f>
        <v>0</v>
      </c>
      <c r="AG20" s="26" t="str">
        <f t="shared" si="17"/>
        <v/>
      </c>
      <c r="AH20" s="24" t="str">
        <f t="shared" si="18"/>
        <v/>
      </c>
      <c r="AI20" s="25">
        <f>IF(A20="","",IFERROR(SUMIFS(Int_Repayments!E$4:E$1003,Int_Repayments!C$4:C$1003,A20,Int_Repayments!D$4:D$1003,10),0))</f>
        <v>0</v>
      </c>
      <c r="AJ20" s="26" t="str">
        <f t="shared" si="19"/>
        <v/>
      </c>
      <c r="AK20" s="24" t="str">
        <f t="shared" si="20"/>
        <v/>
      </c>
      <c r="AL20" s="25">
        <f>IF(A20="","",IFERROR(SUMIFS(Int_Repayments!E$4:E$1003,Int_Repayments!C$4:C$1003,A20,Int_Repayments!D$4:D$1003,11),0))</f>
        <v>0</v>
      </c>
      <c r="AM20" s="26" t="str">
        <f t="shared" si="21"/>
        <v/>
      </c>
      <c r="AN20" s="24" t="str">
        <f t="shared" si="22"/>
        <v/>
      </c>
      <c r="AO20" s="25">
        <f>IF(A20="","",IFERROR(SUMIFS(Int_Repayments!E$4:E$1003,Int_Repayments!C$4:C$1003,A20,Int_Repayments!D$4:D$1003,12),0))</f>
        <v>0</v>
      </c>
      <c r="AP20" s="26" t="str">
        <f t="shared" si="23"/>
        <v/>
      </c>
      <c r="AQ20" s="24" t="str">
        <f t="shared" si="24"/>
        <v/>
      </c>
      <c r="AR20" s="24" t="str">
        <f t="shared" si="25"/>
        <v/>
      </c>
      <c r="AS20" s="24" t="str">
        <f t="shared" si="26"/>
        <v/>
      </c>
    </row>
    <row r="21" spans="1:45" ht="15.75" customHeight="1" x14ac:dyDescent="0.25">
      <c r="A21" s="6">
        <f>IFERROR(Loans!C21,"")</f>
        <v>0</v>
      </c>
      <c r="B21" s="4">
        <f>IFERROR(Loans!B21,"")</f>
        <v>0</v>
      </c>
      <c r="C21" s="6">
        <f>IFERROR(Loans!A21,"")</f>
        <v>0</v>
      </c>
      <c r="D21" s="21">
        <f>IFERROR(Loans!E21,0)</f>
        <v>0</v>
      </c>
      <c r="E21" s="22">
        <f>IFERROR(Loans!H21,0)</f>
        <v>0</v>
      </c>
      <c r="F21" s="23">
        <f>IFERROR(Loans!I21,0)</f>
        <v>0</v>
      </c>
      <c r="G21" s="24" t="str">
        <f t="shared" si="0"/>
        <v/>
      </c>
      <c r="H21" s="25">
        <f>IF(A21="","",IFERROR(SUMIFS(Int_Repayments!E$4:E$1003,Int_Repayments!C$4:C$1003,A21,Int_Repayments!D$4:D$1003,1),0))</f>
        <v>0</v>
      </c>
      <c r="I21" s="26" t="str">
        <f t="shared" si="1"/>
        <v/>
      </c>
      <c r="J21" s="24" t="str">
        <f t="shared" si="2"/>
        <v/>
      </c>
      <c r="K21" s="25">
        <f>IF(A21="","",IFERROR(SUMIFS(Int_Repayments!E$4:E$1003,Int_Repayments!C$4:C$1003,A21,Int_Repayments!D$4:D$1003,2),0))</f>
        <v>0</v>
      </c>
      <c r="L21" s="26" t="str">
        <f t="shared" si="3"/>
        <v/>
      </c>
      <c r="M21" s="24" t="str">
        <f t="shared" si="4"/>
        <v/>
      </c>
      <c r="N21" s="25">
        <f>IF(A21="","",IFERROR(SUMIFS(Int_Repayments!E$4:E$1003,Int_Repayments!C$4:C$1003,A21,Int_Repayments!D$4:D$1003,3),0))</f>
        <v>0</v>
      </c>
      <c r="O21" s="26" t="str">
        <f t="shared" si="5"/>
        <v/>
      </c>
      <c r="P21" s="24" t="str">
        <f t="shared" si="6"/>
        <v/>
      </c>
      <c r="Q21" s="25">
        <f>IF(A21="","",IFERROR(SUMIFS(Int_Repayments!E$4:E$1003,Int_Repayments!C$4:C$1003,A21,Int_Repayments!D$4:D$1003,4),0))</f>
        <v>0</v>
      </c>
      <c r="R21" s="26" t="str">
        <f t="shared" si="7"/>
        <v/>
      </c>
      <c r="S21" s="24" t="str">
        <f t="shared" si="8"/>
        <v/>
      </c>
      <c r="T21" s="25">
        <f>IF(A21="","",IFERROR(SUMIFS(Int_Repayments!E$4:E$1003,Int_Repayments!C$4:C$1003,A21,Int_Repayments!D$4:D$1003,5),0))</f>
        <v>0</v>
      </c>
      <c r="U21" s="26" t="str">
        <f t="shared" si="9"/>
        <v/>
      </c>
      <c r="V21" s="24" t="str">
        <f t="shared" si="10"/>
        <v/>
      </c>
      <c r="W21" s="25">
        <f>IF(A21="","",IFERROR(SUMIFS(Int_Repayments!E$4:E$1003,Int_Repayments!C$4:C$1003,A21,Int_Repayments!D$4:D$1003,6),0))</f>
        <v>0</v>
      </c>
      <c r="X21" s="26" t="str">
        <f t="shared" si="11"/>
        <v/>
      </c>
      <c r="Y21" s="24" t="str">
        <f t="shared" si="12"/>
        <v/>
      </c>
      <c r="Z21" s="25">
        <f>IF(A21="","",IFERROR(SUMIFS(Int_Repayments!E$4:E$1003,Int_Repayments!C$4:C$1003,A21,Int_Repayments!D$4:D$1003,7),0))</f>
        <v>0</v>
      </c>
      <c r="AA21" s="26" t="str">
        <f t="shared" si="13"/>
        <v/>
      </c>
      <c r="AB21" s="24" t="str">
        <f t="shared" si="14"/>
        <v/>
      </c>
      <c r="AC21" s="25">
        <f>IF(A21="","",IFERROR(SUMIFS(Int_Repayments!E$4:E$1003,Int_Repayments!C$4:C$1003,A21,Int_Repayments!D$4:D$1003,8),0))</f>
        <v>0</v>
      </c>
      <c r="AD21" s="26" t="str">
        <f t="shared" si="15"/>
        <v/>
      </c>
      <c r="AE21" s="24" t="str">
        <f t="shared" si="16"/>
        <v/>
      </c>
      <c r="AF21" s="25">
        <f>IF(A21="","",IFERROR(SUMIFS(Int_Repayments!E$4:E$1003,Int_Repayments!C$4:C$1003,A21,Int_Repayments!D$4:D$1003,9),0))</f>
        <v>0</v>
      </c>
      <c r="AG21" s="26" t="str">
        <f t="shared" si="17"/>
        <v/>
      </c>
      <c r="AH21" s="24" t="str">
        <f t="shared" si="18"/>
        <v/>
      </c>
      <c r="AI21" s="25">
        <f>IF(A21="","",IFERROR(SUMIFS(Int_Repayments!E$4:E$1003,Int_Repayments!C$4:C$1003,A21,Int_Repayments!D$4:D$1003,10),0))</f>
        <v>0</v>
      </c>
      <c r="AJ21" s="26" t="str">
        <f t="shared" si="19"/>
        <v/>
      </c>
      <c r="AK21" s="24" t="str">
        <f t="shared" si="20"/>
        <v/>
      </c>
      <c r="AL21" s="25">
        <f>IF(A21="","",IFERROR(SUMIFS(Int_Repayments!E$4:E$1003,Int_Repayments!C$4:C$1003,A21,Int_Repayments!D$4:D$1003,11),0))</f>
        <v>0</v>
      </c>
      <c r="AM21" s="26" t="str">
        <f t="shared" si="21"/>
        <v/>
      </c>
      <c r="AN21" s="24" t="str">
        <f t="shared" si="22"/>
        <v/>
      </c>
      <c r="AO21" s="25">
        <f>IF(A21="","",IFERROR(SUMIFS(Int_Repayments!E$4:E$1003,Int_Repayments!C$4:C$1003,A21,Int_Repayments!D$4:D$1003,12),0))</f>
        <v>0</v>
      </c>
      <c r="AP21" s="26" t="str">
        <f t="shared" si="23"/>
        <v/>
      </c>
      <c r="AQ21" s="24" t="str">
        <f t="shared" si="24"/>
        <v/>
      </c>
      <c r="AR21" s="24" t="str">
        <f t="shared" si="25"/>
        <v/>
      </c>
      <c r="AS21" s="24" t="str">
        <f t="shared" si="26"/>
        <v/>
      </c>
    </row>
    <row r="22" spans="1:45" ht="15.75" customHeight="1" x14ac:dyDescent="0.25">
      <c r="A22" s="6">
        <f>IFERROR(Loans!C22,"")</f>
        <v>0</v>
      </c>
      <c r="B22" s="4">
        <f>IFERROR(Loans!B22,"")</f>
        <v>0</v>
      </c>
      <c r="C22" s="6">
        <f>IFERROR(Loans!A22,"")</f>
        <v>0</v>
      </c>
      <c r="D22" s="21">
        <f>IFERROR(Loans!E22,0)</f>
        <v>0</v>
      </c>
      <c r="E22" s="22">
        <f>IFERROR(Loans!H22,0)</f>
        <v>0</v>
      </c>
      <c r="F22" s="23">
        <f>IFERROR(Loans!I22,0)</f>
        <v>0</v>
      </c>
      <c r="G22" s="24" t="str">
        <f t="shared" si="0"/>
        <v/>
      </c>
      <c r="H22" s="25">
        <f>IF(A22="","",IFERROR(SUMIFS(Int_Repayments!E$4:E$1003,Int_Repayments!C$4:C$1003,A22,Int_Repayments!D$4:D$1003,1),0))</f>
        <v>0</v>
      </c>
      <c r="I22" s="26" t="str">
        <f t="shared" si="1"/>
        <v/>
      </c>
      <c r="J22" s="24" t="str">
        <f t="shared" si="2"/>
        <v/>
      </c>
      <c r="K22" s="25">
        <f>IF(A22="","",IFERROR(SUMIFS(Int_Repayments!E$4:E$1003,Int_Repayments!C$4:C$1003,A22,Int_Repayments!D$4:D$1003,2),0))</f>
        <v>0</v>
      </c>
      <c r="L22" s="26" t="str">
        <f t="shared" si="3"/>
        <v/>
      </c>
      <c r="M22" s="24" t="str">
        <f t="shared" si="4"/>
        <v/>
      </c>
      <c r="N22" s="25">
        <f>IF(A22="","",IFERROR(SUMIFS(Int_Repayments!E$4:E$1003,Int_Repayments!C$4:C$1003,A22,Int_Repayments!D$4:D$1003,3),0))</f>
        <v>0</v>
      </c>
      <c r="O22" s="26" t="str">
        <f t="shared" si="5"/>
        <v/>
      </c>
      <c r="P22" s="24" t="str">
        <f t="shared" si="6"/>
        <v/>
      </c>
      <c r="Q22" s="25">
        <f>IF(A22="","",IFERROR(SUMIFS(Int_Repayments!E$4:E$1003,Int_Repayments!C$4:C$1003,A22,Int_Repayments!D$4:D$1003,4),0))</f>
        <v>0</v>
      </c>
      <c r="R22" s="26" t="str">
        <f t="shared" si="7"/>
        <v/>
      </c>
      <c r="S22" s="24" t="str">
        <f t="shared" si="8"/>
        <v/>
      </c>
      <c r="T22" s="25">
        <f>IF(A22="","",IFERROR(SUMIFS(Int_Repayments!E$4:E$1003,Int_Repayments!C$4:C$1003,A22,Int_Repayments!D$4:D$1003,5),0))</f>
        <v>0</v>
      </c>
      <c r="U22" s="26" t="str">
        <f t="shared" si="9"/>
        <v/>
      </c>
      <c r="V22" s="24" t="str">
        <f t="shared" si="10"/>
        <v/>
      </c>
      <c r="W22" s="25">
        <f>IF(A22="","",IFERROR(SUMIFS(Int_Repayments!E$4:E$1003,Int_Repayments!C$4:C$1003,A22,Int_Repayments!D$4:D$1003,6),0))</f>
        <v>0</v>
      </c>
      <c r="X22" s="26" t="str">
        <f t="shared" si="11"/>
        <v/>
      </c>
      <c r="Y22" s="24" t="str">
        <f t="shared" si="12"/>
        <v/>
      </c>
      <c r="Z22" s="25">
        <f>IF(A22="","",IFERROR(SUMIFS(Int_Repayments!E$4:E$1003,Int_Repayments!C$4:C$1003,A22,Int_Repayments!D$4:D$1003,7),0))</f>
        <v>0</v>
      </c>
      <c r="AA22" s="26" t="str">
        <f t="shared" si="13"/>
        <v/>
      </c>
      <c r="AB22" s="24" t="str">
        <f t="shared" si="14"/>
        <v/>
      </c>
      <c r="AC22" s="25">
        <f>IF(A22="","",IFERROR(SUMIFS(Int_Repayments!E$4:E$1003,Int_Repayments!C$4:C$1003,A22,Int_Repayments!D$4:D$1003,8),0))</f>
        <v>0</v>
      </c>
      <c r="AD22" s="26" t="str">
        <f t="shared" si="15"/>
        <v/>
      </c>
      <c r="AE22" s="24" t="str">
        <f t="shared" si="16"/>
        <v/>
      </c>
      <c r="AF22" s="25">
        <f>IF(A22="","",IFERROR(SUMIFS(Int_Repayments!E$4:E$1003,Int_Repayments!C$4:C$1003,A22,Int_Repayments!D$4:D$1003,9),0))</f>
        <v>0</v>
      </c>
      <c r="AG22" s="26" t="str">
        <f t="shared" si="17"/>
        <v/>
      </c>
      <c r="AH22" s="24" t="str">
        <f t="shared" si="18"/>
        <v/>
      </c>
      <c r="AI22" s="25">
        <f>IF(A22="","",IFERROR(SUMIFS(Int_Repayments!E$4:E$1003,Int_Repayments!C$4:C$1003,A22,Int_Repayments!D$4:D$1003,10),0))</f>
        <v>0</v>
      </c>
      <c r="AJ22" s="26" t="str">
        <f t="shared" si="19"/>
        <v/>
      </c>
      <c r="AK22" s="24" t="str">
        <f t="shared" si="20"/>
        <v/>
      </c>
      <c r="AL22" s="25">
        <f>IF(A22="","",IFERROR(SUMIFS(Int_Repayments!E$4:E$1003,Int_Repayments!C$4:C$1003,A22,Int_Repayments!D$4:D$1003,11),0))</f>
        <v>0</v>
      </c>
      <c r="AM22" s="26" t="str">
        <f t="shared" si="21"/>
        <v/>
      </c>
      <c r="AN22" s="24" t="str">
        <f t="shared" si="22"/>
        <v/>
      </c>
      <c r="AO22" s="25">
        <f>IF(A22="","",IFERROR(SUMIFS(Int_Repayments!E$4:E$1003,Int_Repayments!C$4:C$1003,A22,Int_Repayments!D$4:D$1003,12),0))</f>
        <v>0</v>
      </c>
      <c r="AP22" s="26" t="str">
        <f t="shared" si="23"/>
        <v/>
      </c>
      <c r="AQ22" s="24" t="str">
        <f t="shared" si="24"/>
        <v/>
      </c>
      <c r="AR22" s="24" t="str">
        <f t="shared" si="25"/>
        <v/>
      </c>
      <c r="AS22" s="24" t="str">
        <f t="shared" si="26"/>
        <v/>
      </c>
    </row>
    <row r="23" spans="1:45" ht="15.75" customHeight="1" x14ac:dyDescent="0.25">
      <c r="A23" s="6">
        <f>IFERROR(Loans!C23,"")</f>
        <v>0</v>
      </c>
      <c r="B23" s="4">
        <f>IFERROR(Loans!B23,"")</f>
        <v>0</v>
      </c>
      <c r="C23" s="6">
        <f>IFERROR(Loans!A23,"")</f>
        <v>0</v>
      </c>
      <c r="D23" s="21">
        <f>IFERROR(Loans!E23,0)</f>
        <v>0</v>
      </c>
      <c r="E23" s="22">
        <f>IFERROR(Loans!H23,0)</f>
        <v>0</v>
      </c>
      <c r="F23" s="23">
        <f>IFERROR(Loans!I23,0)</f>
        <v>0</v>
      </c>
      <c r="G23" s="24" t="str">
        <f t="shared" si="0"/>
        <v/>
      </c>
      <c r="H23" s="25">
        <f>IF(A23="","",IFERROR(SUMIFS(Int_Repayments!E$4:E$1003,Int_Repayments!C$4:C$1003,A23,Int_Repayments!D$4:D$1003,1),0))</f>
        <v>0</v>
      </c>
      <c r="I23" s="26" t="str">
        <f t="shared" si="1"/>
        <v/>
      </c>
      <c r="J23" s="24" t="str">
        <f t="shared" si="2"/>
        <v/>
      </c>
      <c r="K23" s="25">
        <f>IF(A23="","",IFERROR(SUMIFS(Int_Repayments!E$4:E$1003,Int_Repayments!C$4:C$1003,A23,Int_Repayments!D$4:D$1003,2),0))</f>
        <v>0</v>
      </c>
      <c r="L23" s="26" t="str">
        <f t="shared" si="3"/>
        <v/>
      </c>
      <c r="M23" s="24" t="str">
        <f t="shared" si="4"/>
        <v/>
      </c>
      <c r="N23" s="25">
        <f>IF(A23="","",IFERROR(SUMIFS(Int_Repayments!E$4:E$1003,Int_Repayments!C$4:C$1003,A23,Int_Repayments!D$4:D$1003,3),0))</f>
        <v>0</v>
      </c>
      <c r="O23" s="26" t="str">
        <f t="shared" si="5"/>
        <v/>
      </c>
      <c r="P23" s="24" t="str">
        <f t="shared" si="6"/>
        <v/>
      </c>
      <c r="Q23" s="25">
        <f>IF(A23="","",IFERROR(SUMIFS(Int_Repayments!E$4:E$1003,Int_Repayments!C$4:C$1003,A23,Int_Repayments!D$4:D$1003,4),0))</f>
        <v>0</v>
      </c>
      <c r="R23" s="26" t="str">
        <f t="shared" si="7"/>
        <v/>
      </c>
      <c r="S23" s="24" t="str">
        <f t="shared" si="8"/>
        <v/>
      </c>
      <c r="T23" s="25">
        <f>IF(A23="","",IFERROR(SUMIFS(Int_Repayments!E$4:E$1003,Int_Repayments!C$4:C$1003,A23,Int_Repayments!D$4:D$1003,5),0))</f>
        <v>0</v>
      </c>
      <c r="U23" s="26" t="str">
        <f t="shared" si="9"/>
        <v/>
      </c>
      <c r="V23" s="24" t="str">
        <f t="shared" si="10"/>
        <v/>
      </c>
      <c r="W23" s="25">
        <f>IF(A23="","",IFERROR(SUMIFS(Int_Repayments!E$4:E$1003,Int_Repayments!C$4:C$1003,A23,Int_Repayments!D$4:D$1003,6),0))</f>
        <v>0</v>
      </c>
      <c r="X23" s="26" t="str">
        <f t="shared" si="11"/>
        <v/>
      </c>
      <c r="Y23" s="24" t="str">
        <f t="shared" si="12"/>
        <v/>
      </c>
      <c r="Z23" s="25">
        <f>IF(A23="","",IFERROR(SUMIFS(Int_Repayments!E$4:E$1003,Int_Repayments!C$4:C$1003,A23,Int_Repayments!D$4:D$1003,7),0))</f>
        <v>0</v>
      </c>
      <c r="AA23" s="26" t="str">
        <f t="shared" si="13"/>
        <v/>
      </c>
      <c r="AB23" s="24" t="str">
        <f t="shared" si="14"/>
        <v/>
      </c>
      <c r="AC23" s="25">
        <f>IF(A23="","",IFERROR(SUMIFS(Int_Repayments!E$4:E$1003,Int_Repayments!C$4:C$1003,A23,Int_Repayments!D$4:D$1003,8),0))</f>
        <v>0</v>
      </c>
      <c r="AD23" s="26" t="str">
        <f t="shared" si="15"/>
        <v/>
      </c>
      <c r="AE23" s="24" t="str">
        <f t="shared" si="16"/>
        <v/>
      </c>
      <c r="AF23" s="25">
        <f>IF(A23="","",IFERROR(SUMIFS(Int_Repayments!E$4:E$1003,Int_Repayments!C$4:C$1003,A23,Int_Repayments!D$4:D$1003,9),0))</f>
        <v>0</v>
      </c>
      <c r="AG23" s="26" t="str">
        <f t="shared" si="17"/>
        <v/>
      </c>
      <c r="AH23" s="24" t="str">
        <f t="shared" si="18"/>
        <v/>
      </c>
      <c r="AI23" s="25">
        <f>IF(A23="","",IFERROR(SUMIFS(Int_Repayments!E$4:E$1003,Int_Repayments!C$4:C$1003,A23,Int_Repayments!D$4:D$1003,10),0))</f>
        <v>0</v>
      </c>
      <c r="AJ23" s="26" t="str">
        <f t="shared" si="19"/>
        <v/>
      </c>
      <c r="AK23" s="24" t="str">
        <f t="shared" si="20"/>
        <v/>
      </c>
      <c r="AL23" s="25">
        <f>IF(A23="","",IFERROR(SUMIFS(Int_Repayments!E$4:E$1003,Int_Repayments!C$4:C$1003,A23,Int_Repayments!D$4:D$1003,11),0))</f>
        <v>0</v>
      </c>
      <c r="AM23" s="26" t="str">
        <f t="shared" si="21"/>
        <v/>
      </c>
      <c r="AN23" s="24" t="str">
        <f t="shared" si="22"/>
        <v/>
      </c>
      <c r="AO23" s="25">
        <f>IF(A23="","",IFERROR(SUMIFS(Int_Repayments!E$4:E$1003,Int_Repayments!C$4:C$1003,A23,Int_Repayments!D$4:D$1003,12),0))</f>
        <v>0</v>
      </c>
      <c r="AP23" s="26" t="str">
        <f t="shared" si="23"/>
        <v/>
      </c>
      <c r="AQ23" s="24" t="str">
        <f t="shared" si="24"/>
        <v/>
      </c>
      <c r="AR23" s="24" t="str">
        <f t="shared" si="25"/>
        <v/>
      </c>
      <c r="AS23" s="24" t="str">
        <f t="shared" si="26"/>
        <v/>
      </c>
    </row>
    <row r="24" spans="1:45" ht="15.75" customHeight="1" x14ac:dyDescent="0.25">
      <c r="A24" s="6">
        <f>IFERROR(Loans!C24,"")</f>
        <v>0</v>
      </c>
      <c r="B24" s="4">
        <f>IFERROR(Loans!B24,"")</f>
        <v>0</v>
      </c>
      <c r="C24" s="6">
        <f>IFERROR(Loans!A24,"")</f>
        <v>0</v>
      </c>
      <c r="D24" s="21">
        <f>IFERROR(Loans!E24,0)</f>
        <v>0</v>
      </c>
      <c r="E24" s="22">
        <f>IFERROR(Loans!H24,0)</f>
        <v>0</v>
      </c>
      <c r="F24" s="23">
        <f>IFERROR(Loans!I24,0)</f>
        <v>0</v>
      </c>
      <c r="G24" s="24" t="str">
        <f t="shared" si="0"/>
        <v/>
      </c>
      <c r="H24" s="25">
        <f>IF(A24="","",IFERROR(SUMIFS(Int_Repayments!E$4:E$1003,Int_Repayments!C$4:C$1003,A24,Int_Repayments!D$4:D$1003,1),0))</f>
        <v>0</v>
      </c>
      <c r="I24" s="26" t="str">
        <f t="shared" si="1"/>
        <v/>
      </c>
      <c r="J24" s="24" t="str">
        <f t="shared" si="2"/>
        <v/>
      </c>
      <c r="K24" s="25">
        <f>IF(A24="","",IFERROR(SUMIFS(Int_Repayments!E$4:E$1003,Int_Repayments!C$4:C$1003,A24,Int_Repayments!D$4:D$1003,2),0))</f>
        <v>0</v>
      </c>
      <c r="L24" s="26" t="str">
        <f t="shared" si="3"/>
        <v/>
      </c>
      <c r="M24" s="24" t="str">
        <f t="shared" si="4"/>
        <v/>
      </c>
      <c r="N24" s="25">
        <f>IF(A24="","",IFERROR(SUMIFS(Int_Repayments!E$4:E$1003,Int_Repayments!C$4:C$1003,A24,Int_Repayments!D$4:D$1003,3),0))</f>
        <v>0</v>
      </c>
      <c r="O24" s="26" t="str">
        <f t="shared" si="5"/>
        <v/>
      </c>
      <c r="P24" s="24" t="str">
        <f t="shared" si="6"/>
        <v/>
      </c>
      <c r="Q24" s="25">
        <f>IF(A24="","",IFERROR(SUMIFS(Int_Repayments!E$4:E$1003,Int_Repayments!C$4:C$1003,A24,Int_Repayments!D$4:D$1003,4),0))</f>
        <v>0</v>
      </c>
      <c r="R24" s="26" t="str">
        <f t="shared" si="7"/>
        <v/>
      </c>
      <c r="S24" s="24" t="str">
        <f t="shared" si="8"/>
        <v/>
      </c>
      <c r="T24" s="25">
        <f>IF(A24="","",IFERROR(SUMIFS(Int_Repayments!E$4:E$1003,Int_Repayments!C$4:C$1003,A24,Int_Repayments!D$4:D$1003,5),0))</f>
        <v>0</v>
      </c>
      <c r="U24" s="26" t="str">
        <f t="shared" si="9"/>
        <v/>
      </c>
      <c r="V24" s="24" t="str">
        <f t="shared" si="10"/>
        <v/>
      </c>
      <c r="W24" s="25">
        <f>IF(A24="","",IFERROR(SUMIFS(Int_Repayments!E$4:E$1003,Int_Repayments!C$4:C$1003,A24,Int_Repayments!D$4:D$1003,6),0))</f>
        <v>0</v>
      </c>
      <c r="X24" s="26" t="str">
        <f t="shared" si="11"/>
        <v/>
      </c>
      <c r="Y24" s="24" t="str">
        <f t="shared" si="12"/>
        <v/>
      </c>
      <c r="Z24" s="25">
        <f>IF(A24="","",IFERROR(SUMIFS(Int_Repayments!E$4:E$1003,Int_Repayments!C$4:C$1003,A24,Int_Repayments!D$4:D$1003,7),0))</f>
        <v>0</v>
      </c>
      <c r="AA24" s="26" t="str">
        <f t="shared" si="13"/>
        <v/>
      </c>
      <c r="AB24" s="24" t="str">
        <f t="shared" si="14"/>
        <v/>
      </c>
      <c r="AC24" s="25">
        <f>IF(A24="","",IFERROR(SUMIFS(Int_Repayments!E$4:E$1003,Int_Repayments!C$4:C$1003,A24,Int_Repayments!D$4:D$1003,8),0))</f>
        <v>0</v>
      </c>
      <c r="AD24" s="26" t="str">
        <f t="shared" si="15"/>
        <v/>
      </c>
      <c r="AE24" s="24" t="str">
        <f t="shared" si="16"/>
        <v/>
      </c>
      <c r="AF24" s="25">
        <f>IF(A24="","",IFERROR(SUMIFS(Int_Repayments!E$4:E$1003,Int_Repayments!C$4:C$1003,A24,Int_Repayments!D$4:D$1003,9),0))</f>
        <v>0</v>
      </c>
      <c r="AG24" s="26" t="str">
        <f t="shared" si="17"/>
        <v/>
      </c>
      <c r="AH24" s="24" t="str">
        <f t="shared" si="18"/>
        <v/>
      </c>
      <c r="AI24" s="25">
        <f>IF(A24="","",IFERROR(SUMIFS(Int_Repayments!E$4:E$1003,Int_Repayments!C$4:C$1003,A24,Int_Repayments!D$4:D$1003,10),0))</f>
        <v>0</v>
      </c>
      <c r="AJ24" s="26" t="str">
        <f t="shared" si="19"/>
        <v/>
      </c>
      <c r="AK24" s="24" t="str">
        <f t="shared" si="20"/>
        <v/>
      </c>
      <c r="AL24" s="25">
        <f>IF(A24="","",IFERROR(SUMIFS(Int_Repayments!E$4:E$1003,Int_Repayments!C$4:C$1003,A24,Int_Repayments!D$4:D$1003,11),0))</f>
        <v>0</v>
      </c>
      <c r="AM24" s="26" t="str">
        <f t="shared" si="21"/>
        <v/>
      </c>
      <c r="AN24" s="24" t="str">
        <f t="shared" si="22"/>
        <v/>
      </c>
      <c r="AO24" s="25">
        <f>IF(A24="","",IFERROR(SUMIFS(Int_Repayments!E$4:E$1003,Int_Repayments!C$4:C$1003,A24,Int_Repayments!D$4:D$1003,12),0))</f>
        <v>0</v>
      </c>
      <c r="AP24" s="26" t="str">
        <f t="shared" si="23"/>
        <v/>
      </c>
      <c r="AQ24" s="24" t="str">
        <f t="shared" si="24"/>
        <v/>
      </c>
      <c r="AR24" s="24" t="str">
        <f t="shared" si="25"/>
        <v/>
      </c>
      <c r="AS24" s="24" t="str">
        <f t="shared" si="26"/>
        <v/>
      </c>
    </row>
    <row r="25" spans="1:45" ht="15.75" customHeight="1" x14ac:dyDescent="0.25">
      <c r="A25" s="6">
        <f>IFERROR(Loans!C25,"")</f>
        <v>0</v>
      </c>
      <c r="B25" s="4">
        <f>IFERROR(Loans!B25,"")</f>
        <v>0</v>
      </c>
      <c r="C25" s="6">
        <f>IFERROR(Loans!A25,"")</f>
        <v>0</v>
      </c>
      <c r="D25" s="21">
        <f>IFERROR(Loans!E25,0)</f>
        <v>0</v>
      </c>
      <c r="E25" s="22">
        <f>IFERROR(Loans!H25,0)</f>
        <v>0</v>
      </c>
      <c r="F25" s="23">
        <f>IFERROR(Loans!I25,0)</f>
        <v>0</v>
      </c>
      <c r="G25" s="24" t="str">
        <f t="shared" si="0"/>
        <v/>
      </c>
      <c r="H25" s="25">
        <f>IF(A25="","",IFERROR(SUMIFS(Int_Repayments!E$4:E$1003,Int_Repayments!C$4:C$1003,A25,Int_Repayments!D$4:D$1003,1),0))</f>
        <v>0</v>
      </c>
      <c r="I25" s="26" t="str">
        <f t="shared" si="1"/>
        <v/>
      </c>
      <c r="J25" s="24" t="str">
        <f t="shared" si="2"/>
        <v/>
      </c>
      <c r="K25" s="25">
        <f>IF(A25="","",IFERROR(SUMIFS(Int_Repayments!E$4:E$1003,Int_Repayments!C$4:C$1003,A25,Int_Repayments!D$4:D$1003,2),0))</f>
        <v>0</v>
      </c>
      <c r="L25" s="26" t="str">
        <f t="shared" si="3"/>
        <v/>
      </c>
      <c r="M25" s="24" t="str">
        <f t="shared" si="4"/>
        <v/>
      </c>
      <c r="N25" s="25">
        <f>IF(A25="","",IFERROR(SUMIFS(Int_Repayments!E$4:E$1003,Int_Repayments!C$4:C$1003,A25,Int_Repayments!D$4:D$1003,3),0))</f>
        <v>0</v>
      </c>
      <c r="O25" s="26" t="str">
        <f t="shared" si="5"/>
        <v/>
      </c>
      <c r="P25" s="24" t="str">
        <f t="shared" si="6"/>
        <v/>
      </c>
      <c r="Q25" s="25">
        <f>IF(A25="","",IFERROR(SUMIFS(Int_Repayments!E$4:E$1003,Int_Repayments!C$4:C$1003,A25,Int_Repayments!D$4:D$1003,4),0))</f>
        <v>0</v>
      </c>
      <c r="R25" s="26" t="str">
        <f t="shared" si="7"/>
        <v/>
      </c>
      <c r="S25" s="24" t="str">
        <f t="shared" si="8"/>
        <v/>
      </c>
      <c r="T25" s="25">
        <f>IF(A25="","",IFERROR(SUMIFS(Int_Repayments!E$4:E$1003,Int_Repayments!C$4:C$1003,A25,Int_Repayments!D$4:D$1003,5),0))</f>
        <v>0</v>
      </c>
      <c r="U25" s="26" t="str">
        <f t="shared" si="9"/>
        <v/>
      </c>
      <c r="V25" s="24" t="str">
        <f t="shared" si="10"/>
        <v/>
      </c>
      <c r="W25" s="25">
        <f>IF(A25="","",IFERROR(SUMIFS(Int_Repayments!E$4:E$1003,Int_Repayments!C$4:C$1003,A25,Int_Repayments!D$4:D$1003,6),0))</f>
        <v>0</v>
      </c>
      <c r="X25" s="26" t="str">
        <f t="shared" si="11"/>
        <v/>
      </c>
      <c r="Y25" s="24" t="str">
        <f t="shared" si="12"/>
        <v/>
      </c>
      <c r="Z25" s="25">
        <f>IF(A25="","",IFERROR(SUMIFS(Int_Repayments!E$4:E$1003,Int_Repayments!C$4:C$1003,A25,Int_Repayments!D$4:D$1003,7),0))</f>
        <v>0</v>
      </c>
      <c r="AA25" s="26" t="str">
        <f t="shared" si="13"/>
        <v/>
      </c>
      <c r="AB25" s="24" t="str">
        <f t="shared" si="14"/>
        <v/>
      </c>
      <c r="AC25" s="25">
        <f>IF(A25="","",IFERROR(SUMIFS(Int_Repayments!E$4:E$1003,Int_Repayments!C$4:C$1003,A25,Int_Repayments!D$4:D$1003,8),0))</f>
        <v>0</v>
      </c>
      <c r="AD25" s="26" t="str">
        <f t="shared" si="15"/>
        <v/>
      </c>
      <c r="AE25" s="24" t="str">
        <f t="shared" si="16"/>
        <v/>
      </c>
      <c r="AF25" s="25">
        <f>IF(A25="","",IFERROR(SUMIFS(Int_Repayments!E$4:E$1003,Int_Repayments!C$4:C$1003,A25,Int_Repayments!D$4:D$1003,9),0))</f>
        <v>0</v>
      </c>
      <c r="AG25" s="26" t="str">
        <f t="shared" si="17"/>
        <v/>
      </c>
      <c r="AH25" s="24" t="str">
        <f t="shared" si="18"/>
        <v/>
      </c>
      <c r="AI25" s="25">
        <f>IF(A25="","",IFERROR(SUMIFS(Int_Repayments!E$4:E$1003,Int_Repayments!C$4:C$1003,A25,Int_Repayments!D$4:D$1003,10),0))</f>
        <v>0</v>
      </c>
      <c r="AJ25" s="26" t="str">
        <f t="shared" si="19"/>
        <v/>
      </c>
      <c r="AK25" s="24" t="str">
        <f t="shared" si="20"/>
        <v/>
      </c>
      <c r="AL25" s="25">
        <f>IF(A25="","",IFERROR(SUMIFS(Int_Repayments!E$4:E$1003,Int_Repayments!C$4:C$1003,A25,Int_Repayments!D$4:D$1003,11),0))</f>
        <v>0</v>
      </c>
      <c r="AM25" s="26" t="str">
        <f t="shared" si="21"/>
        <v/>
      </c>
      <c r="AN25" s="24" t="str">
        <f t="shared" si="22"/>
        <v/>
      </c>
      <c r="AO25" s="25">
        <f>IF(A25="","",IFERROR(SUMIFS(Int_Repayments!E$4:E$1003,Int_Repayments!C$4:C$1003,A25,Int_Repayments!D$4:D$1003,12),0))</f>
        <v>0</v>
      </c>
      <c r="AP25" s="26" t="str">
        <f t="shared" si="23"/>
        <v/>
      </c>
      <c r="AQ25" s="24" t="str">
        <f t="shared" si="24"/>
        <v/>
      </c>
      <c r="AR25" s="24" t="str">
        <f t="shared" si="25"/>
        <v/>
      </c>
      <c r="AS25" s="24" t="str">
        <f t="shared" si="26"/>
        <v/>
      </c>
    </row>
    <row r="26" spans="1:45" ht="15.75" customHeight="1" x14ac:dyDescent="0.25">
      <c r="A26" s="6">
        <f>IFERROR(Loans!C26,"")</f>
        <v>0</v>
      </c>
      <c r="B26" s="4">
        <f>IFERROR(Loans!B26,"")</f>
        <v>0</v>
      </c>
      <c r="C26" s="6">
        <f>IFERROR(Loans!A26,"")</f>
        <v>0</v>
      </c>
      <c r="D26" s="21">
        <f>IFERROR(Loans!E26,0)</f>
        <v>0</v>
      </c>
      <c r="E26" s="22">
        <f>IFERROR(Loans!H26,0)</f>
        <v>0</v>
      </c>
      <c r="F26" s="23">
        <f>IFERROR(Loans!I26,0)</f>
        <v>0</v>
      </c>
      <c r="G26" s="24" t="str">
        <f t="shared" si="0"/>
        <v/>
      </c>
      <c r="H26" s="25">
        <f>IF(A26="","",IFERROR(SUMIFS(Int_Repayments!E$4:E$1003,Int_Repayments!C$4:C$1003,A26,Int_Repayments!D$4:D$1003,1),0))</f>
        <v>0</v>
      </c>
      <c r="I26" s="26" t="str">
        <f t="shared" si="1"/>
        <v/>
      </c>
      <c r="J26" s="24" t="str">
        <f t="shared" si="2"/>
        <v/>
      </c>
      <c r="K26" s="25">
        <f>IF(A26="","",IFERROR(SUMIFS(Int_Repayments!E$4:E$1003,Int_Repayments!C$4:C$1003,A26,Int_Repayments!D$4:D$1003,2),0))</f>
        <v>0</v>
      </c>
      <c r="L26" s="26" t="str">
        <f t="shared" si="3"/>
        <v/>
      </c>
      <c r="M26" s="24" t="str">
        <f t="shared" si="4"/>
        <v/>
      </c>
      <c r="N26" s="25">
        <f>IF(A26="","",IFERROR(SUMIFS(Int_Repayments!E$4:E$1003,Int_Repayments!C$4:C$1003,A26,Int_Repayments!D$4:D$1003,3),0))</f>
        <v>0</v>
      </c>
      <c r="O26" s="26" t="str">
        <f t="shared" si="5"/>
        <v/>
      </c>
      <c r="P26" s="24" t="str">
        <f t="shared" si="6"/>
        <v/>
      </c>
      <c r="Q26" s="25">
        <f>IF(A26="","",IFERROR(SUMIFS(Int_Repayments!E$4:E$1003,Int_Repayments!C$4:C$1003,A26,Int_Repayments!D$4:D$1003,4),0))</f>
        <v>0</v>
      </c>
      <c r="R26" s="26" t="str">
        <f t="shared" si="7"/>
        <v/>
      </c>
      <c r="S26" s="24" t="str">
        <f t="shared" si="8"/>
        <v/>
      </c>
      <c r="T26" s="25">
        <f>IF(A26="","",IFERROR(SUMIFS(Int_Repayments!E$4:E$1003,Int_Repayments!C$4:C$1003,A26,Int_Repayments!D$4:D$1003,5),0))</f>
        <v>0</v>
      </c>
      <c r="U26" s="26" t="str">
        <f t="shared" si="9"/>
        <v/>
      </c>
      <c r="V26" s="24" t="str">
        <f t="shared" si="10"/>
        <v/>
      </c>
      <c r="W26" s="25">
        <f>IF(A26="","",IFERROR(SUMIFS(Int_Repayments!E$4:E$1003,Int_Repayments!C$4:C$1003,A26,Int_Repayments!D$4:D$1003,6),0))</f>
        <v>0</v>
      </c>
      <c r="X26" s="26" t="str">
        <f t="shared" si="11"/>
        <v/>
      </c>
      <c r="Y26" s="24" t="str">
        <f t="shared" si="12"/>
        <v/>
      </c>
      <c r="Z26" s="25">
        <f>IF(A26="","",IFERROR(SUMIFS(Int_Repayments!E$4:E$1003,Int_Repayments!C$4:C$1003,A26,Int_Repayments!D$4:D$1003,7),0))</f>
        <v>0</v>
      </c>
      <c r="AA26" s="26" t="str">
        <f t="shared" si="13"/>
        <v/>
      </c>
      <c r="AB26" s="24" t="str">
        <f t="shared" si="14"/>
        <v/>
      </c>
      <c r="AC26" s="25">
        <f>IF(A26="","",IFERROR(SUMIFS(Int_Repayments!E$4:E$1003,Int_Repayments!C$4:C$1003,A26,Int_Repayments!D$4:D$1003,8),0))</f>
        <v>0</v>
      </c>
      <c r="AD26" s="26" t="str">
        <f t="shared" si="15"/>
        <v/>
      </c>
      <c r="AE26" s="24" t="str">
        <f t="shared" si="16"/>
        <v/>
      </c>
      <c r="AF26" s="25">
        <f>IF(A26="","",IFERROR(SUMIFS(Int_Repayments!E$4:E$1003,Int_Repayments!C$4:C$1003,A26,Int_Repayments!D$4:D$1003,9),0))</f>
        <v>0</v>
      </c>
      <c r="AG26" s="26" t="str">
        <f t="shared" si="17"/>
        <v/>
      </c>
      <c r="AH26" s="24" t="str">
        <f t="shared" si="18"/>
        <v/>
      </c>
      <c r="AI26" s="25">
        <f>IF(A26="","",IFERROR(SUMIFS(Int_Repayments!E$4:E$1003,Int_Repayments!C$4:C$1003,A26,Int_Repayments!D$4:D$1003,10),0))</f>
        <v>0</v>
      </c>
      <c r="AJ26" s="26" t="str">
        <f t="shared" si="19"/>
        <v/>
      </c>
      <c r="AK26" s="24" t="str">
        <f t="shared" si="20"/>
        <v/>
      </c>
      <c r="AL26" s="25">
        <f>IF(A26="","",IFERROR(SUMIFS(Int_Repayments!E$4:E$1003,Int_Repayments!C$4:C$1003,A26,Int_Repayments!D$4:D$1003,11),0))</f>
        <v>0</v>
      </c>
      <c r="AM26" s="26" t="str">
        <f t="shared" si="21"/>
        <v/>
      </c>
      <c r="AN26" s="24" t="str">
        <f t="shared" si="22"/>
        <v/>
      </c>
      <c r="AO26" s="25">
        <f>IF(A26="","",IFERROR(SUMIFS(Int_Repayments!E$4:E$1003,Int_Repayments!C$4:C$1003,A26,Int_Repayments!D$4:D$1003,12),0))</f>
        <v>0</v>
      </c>
      <c r="AP26" s="26" t="str">
        <f t="shared" si="23"/>
        <v/>
      </c>
      <c r="AQ26" s="24" t="str">
        <f t="shared" si="24"/>
        <v/>
      </c>
      <c r="AR26" s="24" t="str">
        <f t="shared" si="25"/>
        <v/>
      </c>
      <c r="AS26" s="24" t="str">
        <f t="shared" si="26"/>
        <v/>
      </c>
    </row>
    <row r="27" spans="1:45" ht="15.75" customHeight="1" x14ac:dyDescent="0.25">
      <c r="A27" s="6">
        <f>IFERROR(Loans!C27,"")</f>
        <v>0</v>
      </c>
      <c r="B27" s="4">
        <f>IFERROR(Loans!B27,"")</f>
        <v>0</v>
      </c>
      <c r="C27" s="6">
        <f>IFERROR(Loans!A27,"")</f>
        <v>0</v>
      </c>
      <c r="D27" s="21">
        <f>IFERROR(Loans!E27,0)</f>
        <v>0</v>
      </c>
      <c r="E27" s="22">
        <f>IFERROR(Loans!H27,0)</f>
        <v>0</v>
      </c>
      <c r="F27" s="23">
        <f>IFERROR(Loans!I27,0)</f>
        <v>0</v>
      </c>
      <c r="G27" s="24" t="str">
        <f t="shared" si="0"/>
        <v/>
      </c>
      <c r="H27" s="25">
        <f>IF(A27="","",IFERROR(SUMIFS(Int_Repayments!E$4:E$1003,Int_Repayments!C$4:C$1003,A27,Int_Repayments!D$4:D$1003,1),0))</f>
        <v>0</v>
      </c>
      <c r="I27" s="26" t="str">
        <f t="shared" si="1"/>
        <v/>
      </c>
      <c r="J27" s="24" t="str">
        <f t="shared" si="2"/>
        <v/>
      </c>
      <c r="K27" s="25">
        <f>IF(A27="","",IFERROR(SUMIFS(Int_Repayments!E$4:E$1003,Int_Repayments!C$4:C$1003,A27,Int_Repayments!D$4:D$1003,2),0))</f>
        <v>0</v>
      </c>
      <c r="L27" s="26" t="str">
        <f t="shared" si="3"/>
        <v/>
      </c>
      <c r="M27" s="24" t="str">
        <f t="shared" si="4"/>
        <v/>
      </c>
      <c r="N27" s="25">
        <f>IF(A27="","",IFERROR(SUMIFS(Int_Repayments!E$4:E$1003,Int_Repayments!C$4:C$1003,A27,Int_Repayments!D$4:D$1003,3),0))</f>
        <v>0</v>
      </c>
      <c r="O27" s="26" t="str">
        <f t="shared" si="5"/>
        <v/>
      </c>
      <c r="P27" s="24" t="str">
        <f t="shared" si="6"/>
        <v/>
      </c>
      <c r="Q27" s="25">
        <f>IF(A27="","",IFERROR(SUMIFS(Int_Repayments!E$4:E$1003,Int_Repayments!C$4:C$1003,A27,Int_Repayments!D$4:D$1003,4),0))</f>
        <v>0</v>
      </c>
      <c r="R27" s="26" t="str">
        <f t="shared" si="7"/>
        <v/>
      </c>
      <c r="S27" s="24" t="str">
        <f t="shared" si="8"/>
        <v/>
      </c>
      <c r="T27" s="25">
        <f>IF(A27="","",IFERROR(SUMIFS(Int_Repayments!E$4:E$1003,Int_Repayments!C$4:C$1003,A27,Int_Repayments!D$4:D$1003,5),0))</f>
        <v>0</v>
      </c>
      <c r="U27" s="26" t="str">
        <f t="shared" si="9"/>
        <v/>
      </c>
      <c r="V27" s="24" t="str">
        <f t="shared" si="10"/>
        <v/>
      </c>
      <c r="W27" s="25">
        <f>IF(A27="","",IFERROR(SUMIFS(Int_Repayments!E$4:E$1003,Int_Repayments!C$4:C$1003,A27,Int_Repayments!D$4:D$1003,6),0))</f>
        <v>0</v>
      </c>
      <c r="X27" s="26" t="str">
        <f t="shared" si="11"/>
        <v/>
      </c>
      <c r="Y27" s="24" t="str">
        <f t="shared" si="12"/>
        <v/>
      </c>
      <c r="Z27" s="25">
        <f>IF(A27="","",IFERROR(SUMIFS(Int_Repayments!E$4:E$1003,Int_Repayments!C$4:C$1003,A27,Int_Repayments!D$4:D$1003,7),0))</f>
        <v>0</v>
      </c>
      <c r="AA27" s="26" t="str">
        <f t="shared" si="13"/>
        <v/>
      </c>
      <c r="AB27" s="24" t="str">
        <f t="shared" si="14"/>
        <v/>
      </c>
      <c r="AC27" s="25">
        <f>IF(A27="","",IFERROR(SUMIFS(Int_Repayments!E$4:E$1003,Int_Repayments!C$4:C$1003,A27,Int_Repayments!D$4:D$1003,8),0))</f>
        <v>0</v>
      </c>
      <c r="AD27" s="26" t="str">
        <f t="shared" si="15"/>
        <v/>
      </c>
      <c r="AE27" s="24" t="str">
        <f t="shared" si="16"/>
        <v/>
      </c>
      <c r="AF27" s="25">
        <f>IF(A27="","",IFERROR(SUMIFS(Int_Repayments!E$4:E$1003,Int_Repayments!C$4:C$1003,A27,Int_Repayments!D$4:D$1003,9),0))</f>
        <v>0</v>
      </c>
      <c r="AG27" s="26" t="str">
        <f t="shared" si="17"/>
        <v/>
      </c>
      <c r="AH27" s="24" t="str">
        <f t="shared" si="18"/>
        <v/>
      </c>
      <c r="AI27" s="25">
        <f>IF(A27="","",IFERROR(SUMIFS(Int_Repayments!E$4:E$1003,Int_Repayments!C$4:C$1003,A27,Int_Repayments!D$4:D$1003,10),0))</f>
        <v>0</v>
      </c>
      <c r="AJ27" s="26" t="str">
        <f t="shared" si="19"/>
        <v/>
      </c>
      <c r="AK27" s="24" t="str">
        <f t="shared" si="20"/>
        <v/>
      </c>
      <c r="AL27" s="25">
        <f>IF(A27="","",IFERROR(SUMIFS(Int_Repayments!E$4:E$1003,Int_Repayments!C$4:C$1003,A27,Int_Repayments!D$4:D$1003,11),0))</f>
        <v>0</v>
      </c>
      <c r="AM27" s="26" t="str">
        <f t="shared" si="21"/>
        <v/>
      </c>
      <c r="AN27" s="24" t="str">
        <f t="shared" si="22"/>
        <v/>
      </c>
      <c r="AO27" s="25">
        <f>IF(A27="","",IFERROR(SUMIFS(Int_Repayments!E$4:E$1003,Int_Repayments!C$4:C$1003,A27,Int_Repayments!D$4:D$1003,12),0))</f>
        <v>0</v>
      </c>
      <c r="AP27" s="26" t="str">
        <f t="shared" si="23"/>
        <v/>
      </c>
      <c r="AQ27" s="24" t="str">
        <f t="shared" si="24"/>
        <v/>
      </c>
      <c r="AR27" s="24" t="str">
        <f t="shared" si="25"/>
        <v/>
      </c>
      <c r="AS27" s="24" t="str">
        <f t="shared" si="26"/>
        <v/>
      </c>
    </row>
    <row r="28" spans="1:45" ht="15.75" customHeight="1" x14ac:dyDescent="0.25">
      <c r="A28" s="6">
        <f>IFERROR(Loans!C28,"")</f>
        <v>0</v>
      </c>
      <c r="B28" s="4">
        <f>IFERROR(Loans!B28,"")</f>
        <v>0</v>
      </c>
      <c r="C28" s="6">
        <f>IFERROR(Loans!A28,"")</f>
        <v>0</v>
      </c>
      <c r="D28" s="21">
        <f>IFERROR(Loans!E28,0)</f>
        <v>0</v>
      </c>
      <c r="E28" s="22">
        <f>IFERROR(Loans!H28,0)</f>
        <v>0</v>
      </c>
      <c r="F28" s="23">
        <f>IFERROR(Loans!I28,0)</f>
        <v>0</v>
      </c>
      <c r="G28" s="24" t="str">
        <f t="shared" si="0"/>
        <v/>
      </c>
      <c r="H28" s="25">
        <f>IF(A28="","",IFERROR(SUMIFS(Int_Repayments!E$4:E$1003,Int_Repayments!C$4:C$1003,A28,Int_Repayments!D$4:D$1003,1),0))</f>
        <v>0</v>
      </c>
      <c r="I28" s="26" t="str">
        <f t="shared" si="1"/>
        <v/>
      </c>
      <c r="J28" s="24" t="str">
        <f t="shared" si="2"/>
        <v/>
      </c>
      <c r="K28" s="25">
        <f>IF(A28="","",IFERROR(SUMIFS(Int_Repayments!E$4:E$1003,Int_Repayments!C$4:C$1003,A28,Int_Repayments!D$4:D$1003,2),0))</f>
        <v>0</v>
      </c>
      <c r="L28" s="26" t="str">
        <f t="shared" si="3"/>
        <v/>
      </c>
      <c r="M28" s="24" t="str">
        <f t="shared" si="4"/>
        <v/>
      </c>
      <c r="N28" s="25">
        <f>IF(A28="","",IFERROR(SUMIFS(Int_Repayments!E$4:E$1003,Int_Repayments!C$4:C$1003,A28,Int_Repayments!D$4:D$1003,3),0))</f>
        <v>0</v>
      </c>
      <c r="O28" s="26" t="str">
        <f t="shared" si="5"/>
        <v/>
      </c>
      <c r="P28" s="24" t="str">
        <f t="shared" si="6"/>
        <v/>
      </c>
      <c r="Q28" s="25">
        <f>IF(A28="","",IFERROR(SUMIFS(Int_Repayments!E$4:E$1003,Int_Repayments!C$4:C$1003,A28,Int_Repayments!D$4:D$1003,4),0))</f>
        <v>0</v>
      </c>
      <c r="R28" s="26" t="str">
        <f t="shared" si="7"/>
        <v/>
      </c>
      <c r="S28" s="24" t="str">
        <f t="shared" si="8"/>
        <v/>
      </c>
      <c r="T28" s="25">
        <f>IF(A28="","",IFERROR(SUMIFS(Int_Repayments!E$4:E$1003,Int_Repayments!C$4:C$1003,A28,Int_Repayments!D$4:D$1003,5),0))</f>
        <v>0</v>
      </c>
      <c r="U28" s="26" t="str">
        <f t="shared" si="9"/>
        <v/>
      </c>
      <c r="V28" s="24" t="str">
        <f t="shared" si="10"/>
        <v/>
      </c>
      <c r="W28" s="25">
        <f>IF(A28="","",IFERROR(SUMIFS(Int_Repayments!E$4:E$1003,Int_Repayments!C$4:C$1003,A28,Int_Repayments!D$4:D$1003,6),0))</f>
        <v>0</v>
      </c>
      <c r="X28" s="26" t="str">
        <f t="shared" si="11"/>
        <v/>
      </c>
      <c r="Y28" s="24" t="str">
        <f t="shared" si="12"/>
        <v/>
      </c>
      <c r="Z28" s="25">
        <f>IF(A28="","",IFERROR(SUMIFS(Int_Repayments!E$4:E$1003,Int_Repayments!C$4:C$1003,A28,Int_Repayments!D$4:D$1003,7),0))</f>
        <v>0</v>
      </c>
      <c r="AA28" s="26" t="str">
        <f t="shared" si="13"/>
        <v/>
      </c>
      <c r="AB28" s="24" t="str">
        <f t="shared" si="14"/>
        <v/>
      </c>
      <c r="AC28" s="25">
        <f>IF(A28="","",IFERROR(SUMIFS(Int_Repayments!E$4:E$1003,Int_Repayments!C$4:C$1003,A28,Int_Repayments!D$4:D$1003,8),0))</f>
        <v>0</v>
      </c>
      <c r="AD28" s="26" t="str">
        <f t="shared" si="15"/>
        <v/>
      </c>
      <c r="AE28" s="24" t="str">
        <f t="shared" si="16"/>
        <v/>
      </c>
      <c r="AF28" s="25">
        <f>IF(A28="","",IFERROR(SUMIFS(Int_Repayments!E$4:E$1003,Int_Repayments!C$4:C$1003,A28,Int_Repayments!D$4:D$1003,9),0))</f>
        <v>0</v>
      </c>
      <c r="AG28" s="26" t="str">
        <f t="shared" si="17"/>
        <v/>
      </c>
      <c r="AH28" s="24" t="str">
        <f t="shared" si="18"/>
        <v/>
      </c>
      <c r="AI28" s="25">
        <f>IF(A28="","",IFERROR(SUMIFS(Int_Repayments!E$4:E$1003,Int_Repayments!C$4:C$1003,A28,Int_Repayments!D$4:D$1003,10),0))</f>
        <v>0</v>
      </c>
      <c r="AJ28" s="26" t="str">
        <f t="shared" si="19"/>
        <v/>
      </c>
      <c r="AK28" s="24" t="str">
        <f t="shared" si="20"/>
        <v/>
      </c>
      <c r="AL28" s="25">
        <f>IF(A28="","",IFERROR(SUMIFS(Int_Repayments!E$4:E$1003,Int_Repayments!C$4:C$1003,A28,Int_Repayments!D$4:D$1003,11),0))</f>
        <v>0</v>
      </c>
      <c r="AM28" s="26" t="str">
        <f t="shared" si="21"/>
        <v/>
      </c>
      <c r="AN28" s="24" t="str">
        <f t="shared" si="22"/>
        <v/>
      </c>
      <c r="AO28" s="25">
        <f>IF(A28="","",IFERROR(SUMIFS(Int_Repayments!E$4:E$1003,Int_Repayments!C$4:C$1003,A28,Int_Repayments!D$4:D$1003,12),0))</f>
        <v>0</v>
      </c>
      <c r="AP28" s="26" t="str">
        <f t="shared" si="23"/>
        <v/>
      </c>
      <c r="AQ28" s="24" t="str">
        <f t="shared" si="24"/>
        <v/>
      </c>
      <c r="AR28" s="24" t="str">
        <f t="shared" si="25"/>
        <v/>
      </c>
      <c r="AS28" s="24" t="str">
        <f t="shared" si="26"/>
        <v/>
      </c>
    </row>
    <row r="29" spans="1:45" ht="15.75" customHeight="1" x14ac:dyDescent="0.25">
      <c r="A29" s="6">
        <f>IFERROR(Loans!C29,"")</f>
        <v>0</v>
      </c>
      <c r="B29" s="4">
        <f>IFERROR(Loans!B29,"")</f>
        <v>0</v>
      </c>
      <c r="C29" s="6">
        <f>IFERROR(Loans!A29,"")</f>
        <v>0</v>
      </c>
      <c r="D29" s="21">
        <f>IFERROR(Loans!E29,0)</f>
        <v>0</v>
      </c>
      <c r="E29" s="22">
        <f>IFERROR(Loans!H29,0)</f>
        <v>0</v>
      </c>
      <c r="F29" s="23">
        <f>IFERROR(Loans!I29,0)</f>
        <v>0</v>
      </c>
      <c r="G29" s="24" t="str">
        <f t="shared" si="0"/>
        <v/>
      </c>
      <c r="H29" s="25">
        <f>IF(A29="","",IFERROR(SUMIFS(Int_Repayments!E$4:E$1003,Int_Repayments!C$4:C$1003,A29,Int_Repayments!D$4:D$1003,1),0))</f>
        <v>0</v>
      </c>
      <c r="I29" s="26" t="str">
        <f t="shared" si="1"/>
        <v/>
      </c>
      <c r="J29" s="24" t="str">
        <f t="shared" si="2"/>
        <v/>
      </c>
      <c r="K29" s="25">
        <f>IF(A29="","",IFERROR(SUMIFS(Int_Repayments!E$4:E$1003,Int_Repayments!C$4:C$1003,A29,Int_Repayments!D$4:D$1003,2),0))</f>
        <v>0</v>
      </c>
      <c r="L29" s="26" t="str">
        <f t="shared" si="3"/>
        <v/>
      </c>
      <c r="M29" s="24" t="str">
        <f t="shared" si="4"/>
        <v/>
      </c>
      <c r="N29" s="25">
        <f>IF(A29="","",IFERROR(SUMIFS(Int_Repayments!E$4:E$1003,Int_Repayments!C$4:C$1003,A29,Int_Repayments!D$4:D$1003,3),0))</f>
        <v>0</v>
      </c>
      <c r="O29" s="26" t="str">
        <f t="shared" si="5"/>
        <v/>
      </c>
      <c r="P29" s="24" t="str">
        <f t="shared" si="6"/>
        <v/>
      </c>
      <c r="Q29" s="25">
        <f>IF(A29="","",IFERROR(SUMIFS(Int_Repayments!E$4:E$1003,Int_Repayments!C$4:C$1003,A29,Int_Repayments!D$4:D$1003,4),0))</f>
        <v>0</v>
      </c>
      <c r="R29" s="26" t="str">
        <f t="shared" si="7"/>
        <v/>
      </c>
      <c r="S29" s="24" t="str">
        <f t="shared" si="8"/>
        <v/>
      </c>
      <c r="T29" s="25">
        <f>IF(A29="","",IFERROR(SUMIFS(Int_Repayments!E$4:E$1003,Int_Repayments!C$4:C$1003,A29,Int_Repayments!D$4:D$1003,5),0))</f>
        <v>0</v>
      </c>
      <c r="U29" s="26" t="str">
        <f t="shared" si="9"/>
        <v/>
      </c>
      <c r="V29" s="24" t="str">
        <f t="shared" si="10"/>
        <v/>
      </c>
      <c r="W29" s="25">
        <f>IF(A29="","",IFERROR(SUMIFS(Int_Repayments!E$4:E$1003,Int_Repayments!C$4:C$1003,A29,Int_Repayments!D$4:D$1003,6),0))</f>
        <v>0</v>
      </c>
      <c r="X29" s="26" t="str">
        <f t="shared" si="11"/>
        <v/>
      </c>
      <c r="Y29" s="24" t="str">
        <f t="shared" si="12"/>
        <v/>
      </c>
      <c r="Z29" s="25">
        <f>IF(A29="","",IFERROR(SUMIFS(Int_Repayments!E$4:E$1003,Int_Repayments!C$4:C$1003,A29,Int_Repayments!D$4:D$1003,7),0))</f>
        <v>0</v>
      </c>
      <c r="AA29" s="26" t="str">
        <f t="shared" si="13"/>
        <v/>
      </c>
      <c r="AB29" s="24" t="str">
        <f t="shared" si="14"/>
        <v/>
      </c>
      <c r="AC29" s="25">
        <f>IF(A29="","",IFERROR(SUMIFS(Int_Repayments!E$4:E$1003,Int_Repayments!C$4:C$1003,A29,Int_Repayments!D$4:D$1003,8),0))</f>
        <v>0</v>
      </c>
      <c r="AD29" s="26" t="str">
        <f t="shared" si="15"/>
        <v/>
      </c>
      <c r="AE29" s="24" t="str">
        <f t="shared" si="16"/>
        <v/>
      </c>
      <c r="AF29" s="25">
        <f>IF(A29="","",IFERROR(SUMIFS(Int_Repayments!E$4:E$1003,Int_Repayments!C$4:C$1003,A29,Int_Repayments!D$4:D$1003,9),0))</f>
        <v>0</v>
      </c>
      <c r="AG29" s="26" t="str">
        <f t="shared" si="17"/>
        <v/>
      </c>
      <c r="AH29" s="24" t="str">
        <f t="shared" si="18"/>
        <v/>
      </c>
      <c r="AI29" s="25">
        <f>IF(A29="","",IFERROR(SUMIFS(Int_Repayments!E$4:E$1003,Int_Repayments!C$4:C$1003,A29,Int_Repayments!D$4:D$1003,10),0))</f>
        <v>0</v>
      </c>
      <c r="AJ29" s="26" t="str">
        <f t="shared" si="19"/>
        <v/>
      </c>
      <c r="AK29" s="24" t="str">
        <f t="shared" si="20"/>
        <v/>
      </c>
      <c r="AL29" s="25">
        <f>IF(A29="","",IFERROR(SUMIFS(Int_Repayments!E$4:E$1003,Int_Repayments!C$4:C$1003,A29,Int_Repayments!D$4:D$1003,11),0))</f>
        <v>0</v>
      </c>
      <c r="AM29" s="26" t="str">
        <f t="shared" si="21"/>
        <v/>
      </c>
      <c r="AN29" s="24" t="str">
        <f t="shared" si="22"/>
        <v/>
      </c>
      <c r="AO29" s="25">
        <f>IF(A29="","",IFERROR(SUMIFS(Int_Repayments!E$4:E$1003,Int_Repayments!C$4:C$1003,A29,Int_Repayments!D$4:D$1003,12),0))</f>
        <v>0</v>
      </c>
      <c r="AP29" s="26" t="str">
        <f t="shared" si="23"/>
        <v/>
      </c>
      <c r="AQ29" s="24" t="str">
        <f t="shared" si="24"/>
        <v/>
      </c>
      <c r="AR29" s="24" t="str">
        <f t="shared" si="25"/>
        <v/>
      </c>
      <c r="AS29" s="24" t="str">
        <f t="shared" si="26"/>
        <v/>
      </c>
    </row>
    <row r="30" spans="1:45" ht="15.75" customHeight="1" x14ac:dyDescent="0.25">
      <c r="A30" s="6">
        <f>IFERROR(Loans!C30,"")</f>
        <v>0</v>
      </c>
      <c r="B30" s="4">
        <f>IFERROR(Loans!B30,"")</f>
        <v>0</v>
      </c>
      <c r="C30" s="6">
        <f>IFERROR(Loans!A30,"")</f>
        <v>0</v>
      </c>
      <c r="D30" s="21">
        <f>IFERROR(Loans!E30,0)</f>
        <v>0</v>
      </c>
      <c r="E30" s="22">
        <f>IFERROR(Loans!H30,0)</f>
        <v>0</v>
      </c>
      <c r="F30" s="23">
        <f>IFERROR(Loans!I30,0)</f>
        <v>0</v>
      </c>
      <c r="G30" s="24" t="str">
        <f t="shared" si="0"/>
        <v/>
      </c>
      <c r="H30" s="25">
        <f>IF(A30="","",IFERROR(SUMIFS(Int_Repayments!E$4:E$1003,Int_Repayments!C$4:C$1003,A30,Int_Repayments!D$4:D$1003,1),0))</f>
        <v>0</v>
      </c>
      <c r="I30" s="26" t="str">
        <f t="shared" si="1"/>
        <v/>
      </c>
      <c r="J30" s="24" t="str">
        <f t="shared" si="2"/>
        <v/>
      </c>
      <c r="K30" s="25">
        <f>IF(A30="","",IFERROR(SUMIFS(Int_Repayments!E$4:E$1003,Int_Repayments!C$4:C$1003,A30,Int_Repayments!D$4:D$1003,2),0))</f>
        <v>0</v>
      </c>
      <c r="L30" s="26" t="str">
        <f t="shared" si="3"/>
        <v/>
      </c>
      <c r="M30" s="24" t="str">
        <f t="shared" si="4"/>
        <v/>
      </c>
      <c r="N30" s="25">
        <f>IF(A30="","",IFERROR(SUMIFS(Int_Repayments!E$4:E$1003,Int_Repayments!C$4:C$1003,A30,Int_Repayments!D$4:D$1003,3),0))</f>
        <v>0</v>
      </c>
      <c r="O30" s="26" t="str">
        <f t="shared" si="5"/>
        <v/>
      </c>
      <c r="P30" s="24" t="str">
        <f t="shared" si="6"/>
        <v/>
      </c>
      <c r="Q30" s="25">
        <f>IF(A30="","",IFERROR(SUMIFS(Int_Repayments!E$4:E$1003,Int_Repayments!C$4:C$1003,A30,Int_Repayments!D$4:D$1003,4),0))</f>
        <v>0</v>
      </c>
      <c r="R30" s="26" t="str">
        <f t="shared" si="7"/>
        <v/>
      </c>
      <c r="S30" s="24" t="str">
        <f t="shared" si="8"/>
        <v/>
      </c>
      <c r="T30" s="25">
        <f>IF(A30="","",IFERROR(SUMIFS(Int_Repayments!E$4:E$1003,Int_Repayments!C$4:C$1003,A30,Int_Repayments!D$4:D$1003,5),0))</f>
        <v>0</v>
      </c>
      <c r="U30" s="26" t="str">
        <f t="shared" si="9"/>
        <v/>
      </c>
      <c r="V30" s="24" t="str">
        <f t="shared" si="10"/>
        <v/>
      </c>
      <c r="W30" s="25">
        <f>IF(A30="","",IFERROR(SUMIFS(Int_Repayments!E$4:E$1003,Int_Repayments!C$4:C$1003,A30,Int_Repayments!D$4:D$1003,6),0))</f>
        <v>0</v>
      </c>
      <c r="X30" s="26" t="str">
        <f t="shared" si="11"/>
        <v/>
      </c>
      <c r="Y30" s="24" t="str">
        <f t="shared" si="12"/>
        <v/>
      </c>
      <c r="Z30" s="25">
        <f>IF(A30="","",IFERROR(SUMIFS(Int_Repayments!E$4:E$1003,Int_Repayments!C$4:C$1003,A30,Int_Repayments!D$4:D$1003,7),0))</f>
        <v>0</v>
      </c>
      <c r="AA30" s="26" t="str">
        <f t="shared" si="13"/>
        <v/>
      </c>
      <c r="AB30" s="24" t="str">
        <f t="shared" si="14"/>
        <v/>
      </c>
      <c r="AC30" s="25">
        <f>IF(A30="","",IFERROR(SUMIFS(Int_Repayments!E$4:E$1003,Int_Repayments!C$4:C$1003,A30,Int_Repayments!D$4:D$1003,8),0))</f>
        <v>0</v>
      </c>
      <c r="AD30" s="26" t="str">
        <f t="shared" si="15"/>
        <v/>
      </c>
      <c r="AE30" s="24" t="str">
        <f t="shared" si="16"/>
        <v/>
      </c>
      <c r="AF30" s="25">
        <f>IF(A30="","",IFERROR(SUMIFS(Int_Repayments!E$4:E$1003,Int_Repayments!C$4:C$1003,A30,Int_Repayments!D$4:D$1003,9),0))</f>
        <v>0</v>
      </c>
      <c r="AG30" s="26" t="str">
        <f t="shared" si="17"/>
        <v/>
      </c>
      <c r="AH30" s="24" t="str">
        <f t="shared" si="18"/>
        <v/>
      </c>
      <c r="AI30" s="25">
        <f>IF(A30="","",IFERROR(SUMIFS(Int_Repayments!E$4:E$1003,Int_Repayments!C$4:C$1003,A30,Int_Repayments!D$4:D$1003,10),0))</f>
        <v>0</v>
      </c>
      <c r="AJ30" s="26" t="str">
        <f t="shared" si="19"/>
        <v/>
      </c>
      <c r="AK30" s="24" t="str">
        <f t="shared" si="20"/>
        <v/>
      </c>
      <c r="AL30" s="25">
        <f>IF(A30="","",IFERROR(SUMIFS(Int_Repayments!E$4:E$1003,Int_Repayments!C$4:C$1003,A30,Int_Repayments!D$4:D$1003,11),0))</f>
        <v>0</v>
      </c>
      <c r="AM30" s="26" t="str">
        <f t="shared" si="21"/>
        <v/>
      </c>
      <c r="AN30" s="24" t="str">
        <f t="shared" si="22"/>
        <v/>
      </c>
      <c r="AO30" s="25">
        <f>IF(A30="","",IFERROR(SUMIFS(Int_Repayments!E$4:E$1003,Int_Repayments!C$4:C$1003,A30,Int_Repayments!D$4:D$1003,12),0))</f>
        <v>0</v>
      </c>
      <c r="AP30" s="26" t="str">
        <f t="shared" si="23"/>
        <v/>
      </c>
      <c r="AQ30" s="24" t="str">
        <f t="shared" si="24"/>
        <v/>
      </c>
      <c r="AR30" s="24" t="str">
        <f t="shared" si="25"/>
        <v/>
      </c>
      <c r="AS30" s="24" t="str">
        <f t="shared" si="26"/>
        <v/>
      </c>
    </row>
    <row r="31" spans="1:45" ht="15.75" customHeight="1" x14ac:dyDescent="0.25">
      <c r="A31" s="6">
        <f>IFERROR(Loans!C31,"")</f>
        <v>0</v>
      </c>
      <c r="B31" s="4">
        <f>IFERROR(Loans!B31,"")</f>
        <v>0</v>
      </c>
      <c r="C31" s="6">
        <f>IFERROR(Loans!A31,"")</f>
        <v>0</v>
      </c>
      <c r="D31" s="21">
        <f>IFERROR(Loans!E31,0)</f>
        <v>0</v>
      </c>
      <c r="E31" s="22">
        <f>IFERROR(Loans!H31,0)</f>
        <v>0</v>
      </c>
      <c r="F31" s="23">
        <f>IFERROR(Loans!I31,0)</f>
        <v>0</v>
      </c>
      <c r="G31" s="24" t="str">
        <f t="shared" si="0"/>
        <v/>
      </c>
      <c r="H31" s="25">
        <f>IF(A31="","",IFERROR(SUMIFS(Int_Repayments!E$4:E$1003,Int_Repayments!C$4:C$1003,A31,Int_Repayments!D$4:D$1003,1),0))</f>
        <v>0</v>
      </c>
      <c r="I31" s="26" t="str">
        <f t="shared" si="1"/>
        <v/>
      </c>
      <c r="J31" s="24" t="str">
        <f t="shared" si="2"/>
        <v/>
      </c>
      <c r="K31" s="25">
        <f>IF(A31="","",IFERROR(SUMIFS(Int_Repayments!E$4:E$1003,Int_Repayments!C$4:C$1003,A31,Int_Repayments!D$4:D$1003,2),0))</f>
        <v>0</v>
      </c>
      <c r="L31" s="26" t="str">
        <f t="shared" si="3"/>
        <v/>
      </c>
      <c r="M31" s="24" t="str">
        <f t="shared" si="4"/>
        <v/>
      </c>
      <c r="N31" s="25">
        <f>IF(A31="","",IFERROR(SUMIFS(Int_Repayments!E$4:E$1003,Int_Repayments!C$4:C$1003,A31,Int_Repayments!D$4:D$1003,3),0))</f>
        <v>0</v>
      </c>
      <c r="O31" s="26" t="str">
        <f t="shared" si="5"/>
        <v/>
      </c>
      <c r="P31" s="24" t="str">
        <f t="shared" si="6"/>
        <v/>
      </c>
      <c r="Q31" s="25">
        <f>IF(A31="","",IFERROR(SUMIFS(Int_Repayments!E$4:E$1003,Int_Repayments!C$4:C$1003,A31,Int_Repayments!D$4:D$1003,4),0))</f>
        <v>0</v>
      </c>
      <c r="R31" s="26" t="str">
        <f t="shared" si="7"/>
        <v/>
      </c>
      <c r="S31" s="24" t="str">
        <f t="shared" si="8"/>
        <v/>
      </c>
      <c r="T31" s="25">
        <f>IF(A31="","",IFERROR(SUMIFS(Int_Repayments!E$4:E$1003,Int_Repayments!C$4:C$1003,A31,Int_Repayments!D$4:D$1003,5),0))</f>
        <v>0</v>
      </c>
      <c r="U31" s="26" t="str">
        <f t="shared" si="9"/>
        <v/>
      </c>
      <c r="V31" s="24" t="str">
        <f t="shared" si="10"/>
        <v/>
      </c>
      <c r="W31" s="25">
        <f>IF(A31="","",IFERROR(SUMIFS(Int_Repayments!E$4:E$1003,Int_Repayments!C$4:C$1003,A31,Int_Repayments!D$4:D$1003,6),0))</f>
        <v>0</v>
      </c>
      <c r="X31" s="26" t="str">
        <f t="shared" si="11"/>
        <v/>
      </c>
      <c r="Y31" s="24" t="str">
        <f t="shared" si="12"/>
        <v/>
      </c>
      <c r="Z31" s="25">
        <f>IF(A31="","",IFERROR(SUMIFS(Int_Repayments!E$4:E$1003,Int_Repayments!C$4:C$1003,A31,Int_Repayments!D$4:D$1003,7),0))</f>
        <v>0</v>
      </c>
      <c r="AA31" s="26" t="str">
        <f t="shared" si="13"/>
        <v/>
      </c>
      <c r="AB31" s="24" t="str">
        <f t="shared" si="14"/>
        <v/>
      </c>
      <c r="AC31" s="25">
        <f>IF(A31="","",IFERROR(SUMIFS(Int_Repayments!E$4:E$1003,Int_Repayments!C$4:C$1003,A31,Int_Repayments!D$4:D$1003,8),0))</f>
        <v>0</v>
      </c>
      <c r="AD31" s="26" t="str">
        <f t="shared" si="15"/>
        <v/>
      </c>
      <c r="AE31" s="24" t="str">
        <f t="shared" si="16"/>
        <v/>
      </c>
      <c r="AF31" s="25">
        <f>IF(A31="","",IFERROR(SUMIFS(Int_Repayments!E$4:E$1003,Int_Repayments!C$4:C$1003,A31,Int_Repayments!D$4:D$1003,9),0))</f>
        <v>0</v>
      </c>
      <c r="AG31" s="26" t="str">
        <f t="shared" si="17"/>
        <v/>
      </c>
      <c r="AH31" s="24" t="str">
        <f t="shared" si="18"/>
        <v/>
      </c>
      <c r="AI31" s="25">
        <f>IF(A31="","",IFERROR(SUMIFS(Int_Repayments!E$4:E$1003,Int_Repayments!C$4:C$1003,A31,Int_Repayments!D$4:D$1003,10),0))</f>
        <v>0</v>
      </c>
      <c r="AJ31" s="26" t="str">
        <f t="shared" si="19"/>
        <v/>
      </c>
      <c r="AK31" s="24" t="str">
        <f t="shared" si="20"/>
        <v/>
      </c>
      <c r="AL31" s="25">
        <f>IF(A31="","",IFERROR(SUMIFS(Int_Repayments!E$4:E$1003,Int_Repayments!C$4:C$1003,A31,Int_Repayments!D$4:D$1003,11),0))</f>
        <v>0</v>
      </c>
      <c r="AM31" s="26" t="str">
        <f t="shared" si="21"/>
        <v/>
      </c>
      <c r="AN31" s="24" t="str">
        <f t="shared" si="22"/>
        <v/>
      </c>
      <c r="AO31" s="25">
        <f>IF(A31="","",IFERROR(SUMIFS(Int_Repayments!E$4:E$1003,Int_Repayments!C$4:C$1003,A31,Int_Repayments!D$4:D$1003,12),0))</f>
        <v>0</v>
      </c>
      <c r="AP31" s="26" t="str">
        <f t="shared" si="23"/>
        <v/>
      </c>
      <c r="AQ31" s="24" t="str">
        <f t="shared" si="24"/>
        <v/>
      </c>
      <c r="AR31" s="24" t="str">
        <f t="shared" si="25"/>
        <v/>
      </c>
      <c r="AS31" s="24" t="str">
        <f t="shared" si="26"/>
        <v/>
      </c>
    </row>
    <row r="32" spans="1:45" ht="15.75" customHeight="1" x14ac:dyDescent="0.25">
      <c r="A32" s="6">
        <f>IFERROR(Loans!C32,"")</f>
        <v>0</v>
      </c>
      <c r="B32" s="4">
        <f>IFERROR(Loans!B32,"")</f>
        <v>0</v>
      </c>
      <c r="C32" s="6">
        <f>IFERROR(Loans!A32,"")</f>
        <v>0</v>
      </c>
      <c r="D32" s="21">
        <f>IFERROR(Loans!E32,0)</f>
        <v>0</v>
      </c>
      <c r="E32" s="22">
        <f>IFERROR(Loans!H32,0)</f>
        <v>0</v>
      </c>
      <c r="F32" s="23">
        <f>IFERROR(Loans!I32,0)</f>
        <v>0</v>
      </c>
      <c r="G32" s="24" t="str">
        <f t="shared" si="0"/>
        <v/>
      </c>
      <c r="H32" s="25">
        <f>IF(A32="","",IFERROR(SUMIFS(Int_Repayments!E$4:E$1003,Int_Repayments!C$4:C$1003,A32,Int_Repayments!D$4:D$1003,1),0))</f>
        <v>0</v>
      </c>
      <c r="I32" s="26" t="str">
        <f t="shared" si="1"/>
        <v/>
      </c>
      <c r="J32" s="24" t="str">
        <f t="shared" si="2"/>
        <v/>
      </c>
      <c r="K32" s="25">
        <f>IF(A32="","",IFERROR(SUMIFS(Int_Repayments!E$4:E$1003,Int_Repayments!C$4:C$1003,A32,Int_Repayments!D$4:D$1003,2),0))</f>
        <v>0</v>
      </c>
      <c r="L32" s="26" t="str">
        <f t="shared" si="3"/>
        <v/>
      </c>
      <c r="M32" s="24" t="str">
        <f t="shared" si="4"/>
        <v/>
      </c>
      <c r="N32" s="25">
        <f>IF(A32="","",IFERROR(SUMIFS(Int_Repayments!E$4:E$1003,Int_Repayments!C$4:C$1003,A32,Int_Repayments!D$4:D$1003,3),0))</f>
        <v>0</v>
      </c>
      <c r="O32" s="26" t="str">
        <f t="shared" si="5"/>
        <v/>
      </c>
      <c r="P32" s="24" t="str">
        <f t="shared" si="6"/>
        <v/>
      </c>
      <c r="Q32" s="25">
        <f>IF(A32="","",IFERROR(SUMIFS(Int_Repayments!E$4:E$1003,Int_Repayments!C$4:C$1003,A32,Int_Repayments!D$4:D$1003,4),0))</f>
        <v>0</v>
      </c>
      <c r="R32" s="26" t="str">
        <f t="shared" si="7"/>
        <v/>
      </c>
      <c r="S32" s="24" t="str">
        <f t="shared" si="8"/>
        <v/>
      </c>
      <c r="T32" s="25">
        <f>IF(A32="","",IFERROR(SUMIFS(Int_Repayments!E$4:E$1003,Int_Repayments!C$4:C$1003,A32,Int_Repayments!D$4:D$1003,5),0))</f>
        <v>0</v>
      </c>
      <c r="U32" s="26" t="str">
        <f t="shared" si="9"/>
        <v/>
      </c>
      <c r="V32" s="24" t="str">
        <f t="shared" si="10"/>
        <v/>
      </c>
      <c r="W32" s="25">
        <f>IF(A32="","",IFERROR(SUMIFS(Int_Repayments!E$4:E$1003,Int_Repayments!C$4:C$1003,A32,Int_Repayments!D$4:D$1003,6),0))</f>
        <v>0</v>
      </c>
      <c r="X32" s="26" t="str">
        <f t="shared" si="11"/>
        <v/>
      </c>
      <c r="Y32" s="24" t="str">
        <f t="shared" si="12"/>
        <v/>
      </c>
      <c r="Z32" s="25">
        <f>IF(A32="","",IFERROR(SUMIFS(Int_Repayments!E$4:E$1003,Int_Repayments!C$4:C$1003,A32,Int_Repayments!D$4:D$1003,7),0))</f>
        <v>0</v>
      </c>
      <c r="AA32" s="26" t="str">
        <f t="shared" si="13"/>
        <v/>
      </c>
      <c r="AB32" s="24" t="str">
        <f t="shared" si="14"/>
        <v/>
      </c>
      <c r="AC32" s="25">
        <f>IF(A32="","",IFERROR(SUMIFS(Int_Repayments!E$4:E$1003,Int_Repayments!C$4:C$1003,A32,Int_Repayments!D$4:D$1003,8),0))</f>
        <v>0</v>
      </c>
      <c r="AD32" s="26" t="str">
        <f t="shared" si="15"/>
        <v/>
      </c>
      <c r="AE32" s="24" t="str">
        <f t="shared" si="16"/>
        <v/>
      </c>
      <c r="AF32" s="25">
        <f>IF(A32="","",IFERROR(SUMIFS(Int_Repayments!E$4:E$1003,Int_Repayments!C$4:C$1003,A32,Int_Repayments!D$4:D$1003,9),0))</f>
        <v>0</v>
      </c>
      <c r="AG32" s="26" t="str">
        <f t="shared" si="17"/>
        <v/>
      </c>
      <c r="AH32" s="24" t="str">
        <f t="shared" si="18"/>
        <v/>
      </c>
      <c r="AI32" s="25">
        <f>IF(A32="","",IFERROR(SUMIFS(Int_Repayments!E$4:E$1003,Int_Repayments!C$4:C$1003,A32,Int_Repayments!D$4:D$1003,10),0))</f>
        <v>0</v>
      </c>
      <c r="AJ32" s="26" t="str">
        <f t="shared" si="19"/>
        <v/>
      </c>
      <c r="AK32" s="24" t="str">
        <f t="shared" si="20"/>
        <v/>
      </c>
      <c r="AL32" s="25">
        <f>IF(A32="","",IFERROR(SUMIFS(Int_Repayments!E$4:E$1003,Int_Repayments!C$4:C$1003,A32,Int_Repayments!D$4:D$1003,11),0))</f>
        <v>0</v>
      </c>
      <c r="AM32" s="26" t="str">
        <f t="shared" si="21"/>
        <v/>
      </c>
      <c r="AN32" s="24" t="str">
        <f t="shared" si="22"/>
        <v/>
      </c>
      <c r="AO32" s="25">
        <f>IF(A32="","",IFERROR(SUMIFS(Int_Repayments!E$4:E$1003,Int_Repayments!C$4:C$1003,A32,Int_Repayments!D$4:D$1003,12),0))</f>
        <v>0</v>
      </c>
      <c r="AP32" s="26" t="str">
        <f t="shared" si="23"/>
        <v/>
      </c>
      <c r="AQ32" s="24" t="str">
        <f t="shared" si="24"/>
        <v/>
      </c>
      <c r="AR32" s="24" t="str">
        <f t="shared" si="25"/>
        <v/>
      </c>
      <c r="AS32" s="24" t="str">
        <f t="shared" si="26"/>
        <v/>
      </c>
    </row>
    <row r="33" spans="1:45" ht="15.75" customHeight="1" x14ac:dyDescent="0.25">
      <c r="A33" s="6">
        <f>IFERROR(Loans!C33,"")</f>
        <v>0</v>
      </c>
      <c r="B33" s="4">
        <f>IFERROR(Loans!B33,"")</f>
        <v>0</v>
      </c>
      <c r="C33" s="6">
        <f>IFERROR(Loans!A33,"")</f>
        <v>0</v>
      </c>
      <c r="D33" s="21">
        <f>IFERROR(Loans!E33,0)</f>
        <v>0</v>
      </c>
      <c r="E33" s="22">
        <f>IFERROR(Loans!H33,0)</f>
        <v>0</v>
      </c>
      <c r="F33" s="23">
        <f>IFERROR(Loans!I33,0)</f>
        <v>0</v>
      </c>
      <c r="G33" s="24" t="str">
        <f t="shared" si="0"/>
        <v/>
      </c>
      <c r="H33" s="25">
        <f>IF(A33="","",IFERROR(SUMIFS(Int_Repayments!E$4:E$1003,Int_Repayments!C$4:C$1003,A33,Int_Repayments!D$4:D$1003,1),0))</f>
        <v>0</v>
      </c>
      <c r="I33" s="26" t="str">
        <f t="shared" si="1"/>
        <v/>
      </c>
      <c r="J33" s="24" t="str">
        <f t="shared" si="2"/>
        <v/>
      </c>
      <c r="K33" s="25">
        <f>IF(A33="","",IFERROR(SUMIFS(Int_Repayments!E$4:E$1003,Int_Repayments!C$4:C$1003,A33,Int_Repayments!D$4:D$1003,2),0))</f>
        <v>0</v>
      </c>
      <c r="L33" s="26" t="str">
        <f t="shared" si="3"/>
        <v/>
      </c>
      <c r="M33" s="24" t="str">
        <f t="shared" si="4"/>
        <v/>
      </c>
      <c r="N33" s="25">
        <f>IF(A33="","",IFERROR(SUMIFS(Int_Repayments!E$4:E$1003,Int_Repayments!C$4:C$1003,A33,Int_Repayments!D$4:D$1003,3),0))</f>
        <v>0</v>
      </c>
      <c r="O33" s="26" t="str">
        <f t="shared" si="5"/>
        <v/>
      </c>
      <c r="P33" s="24" t="str">
        <f t="shared" si="6"/>
        <v/>
      </c>
      <c r="Q33" s="25">
        <f>IF(A33="","",IFERROR(SUMIFS(Int_Repayments!E$4:E$1003,Int_Repayments!C$4:C$1003,A33,Int_Repayments!D$4:D$1003,4),0))</f>
        <v>0</v>
      </c>
      <c r="R33" s="26" t="str">
        <f t="shared" si="7"/>
        <v/>
      </c>
      <c r="S33" s="24" t="str">
        <f t="shared" si="8"/>
        <v/>
      </c>
      <c r="T33" s="25">
        <f>IF(A33="","",IFERROR(SUMIFS(Int_Repayments!E$4:E$1003,Int_Repayments!C$4:C$1003,A33,Int_Repayments!D$4:D$1003,5),0))</f>
        <v>0</v>
      </c>
      <c r="U33" s="26" t="str">
        <f t="shared" si="9"/>
        <v/>
      </c>
      <c r="V33" s="24" t="str">
        <f t="shared" si="10"/>
        <v/>
      </c>
      <c r="W33" s="25">
        <f>IF(A33="","",IFERROR(SUMIFS(Int_Repayments!E$4:E$1003,Int_Repayments!C$4:C$1003,A33,Int_Repayments!D$4:D$1003,6),0))</f>
        <v>0</v>
      </c>
      <c r="X33" s="26" t="str">
        <f t="shared" si="11"/>
        <v/>
      </c>
      <c r="Y33" s="24" t="str">
        <f t="shared" si="12"/>
        <v/>
      </c>
      <c r="Z33" s="25">
        <f>IF(A33="","",IFERROR(SUMIFS(Int_Repayments!E$4:E$1003,Int_Repayments!C$4:C$1003,A33,Int_Repayments!D$4:D$1003,7),0))</f>
        <v>0</v>
      </c>
      <c r="AA33" s="26" t="str">
        <f t="shared" si="13"/>
        <v/>
      </c>
      <c r="AB33" s="24" t="str">
        <f t="shared" si="14"/>
        <v/>
      </c>
      <c r="AC33" s="25">
        <f>IF(A33="","",IFERROR(SUMIFS(Int_Repayments!E$4:E$1003,Int_Repayments!C$4:C$1003,A33,Int_Repayments!D$4:D$1003,8),0))</f>
        <v>0</v>
      </c>
      <c r="AD33" s="26" t="str">
        <f t="shared" si="15"/>
        <v/>
      </c>
      <c r="AE33" s="24" t="str">
        <f t="shared" si="16"/>
        <v/>
      </c>
      <c r="AF33" s="25">
        <f>IF(A33="","",IFERROR(SUMIFS(Int_Repayments!E$4:E$1003,Int_Repayments!C$4:C$1003,A33,Int_Repayments!D$4:D$1003,9),0))</f>
        <v>0</v>
      </c>
      <c r="AG33" s="26" t="str">
        <f t="shared" si="17"/>
        <v/>
      </c>
      <c r="AH33" s="24" t="str">
        <f t="shared" si="18"/>
        <v/>
      </c>
      <c r="AI33" s="25">
        <f>IF(A33="","",IFERROR(SUMIFS(Int_Repayments!E$4:E$1003,Int_Repayments!C$4:C$1003,A33,Int_Repayments!D$4:D$1003,10),0))</f>
        <v>0</v>
      </c>
      <c r="AJ33" s="26" t="str">
        <f t="shared" si="19"/>
        <v/>
      </c>
      <c r="AK33" s="24" t="str">
        <f t="shared" si="20"/>
        <v/>
      </c>
      <c r="AL33" s="25">
        <f>IF(A33="","",IFERROR(SUMIFS(Int_Repayments!E$4:E$1003,Int_Repayments!C$4:C$1003,A33,Int_Repayments!D$4:D$1003,11),0))</f>
        <v>0</v>
      </c>
      <c r="AM33" s="26" t="str">
        <f t="shared" si="21"/>
        <v/>
      </c>
      <c r="AN33" s="24" t="str">
        <f t="shared" si="22"/>
        <v/>
      </c>
      <c r="AO33" s="25">
        <f>IF(A33="","",IFERROR(SUMIFS(Int_Repayments!E$4:E$1003,Int_Repayments!C$4:C$1003,A33,Int_Repayments!D$4:D$1003,12),0))</f>
        <v>0</v>
      </c>
      <c r="AP33" s="26" t="str">
        <f t="shared" si="23"/>
        <v/>
      </c>
      <c r="AQ33" s="24" t="str">
        <f t="shared" si="24"/>
        <v/>
      </c>
      <c r="AR33" s="24" t="str">
        <f t="shared" si="25"/>
        <v/>
      </c>
      <c r="AS33" s="24" t="str">
        <f t="shared" si="26"/>
        <v/>
      </c>
    </row>
    <row r="34" spans="1:45" ht="15.75" customHeight="1" x14ac:dyDescent="0.25">
      <c r="A34" s="6">
        <f>IFERROR(Loans!C34,"")</f>
        <v>0</v>
      </c>
      <c r="B34" s="4">
        <f>IFERROR(Loans!B34,"")</f>
        <v>0</v>
      </c>
      <c r="C34" s="6">
        <f>IFERROR(Loans!A34,"")</f>
        <v>0</v>
      </c>
      <c r="D34" s="21">
        <f>IFERROR(Loans!E34,0)</f>
        <v>0</v>
      </c>
      <c r="E34" s="22">
        <f>IFERROR(Loans!H34,0)</f>
        <v>0</v>
      </c>
      <c r="F34" s="23">
        <f>IFERROR(Loans!I34,0)</f>
        <v>0</v>
      </c>
      <c r="G34" s="24" t="str">
        <f t="shared" si="0"/>
        <v/>
      </c>
      <c r="H34" s="25">
        <f>IF(A34="","",IFERROR(SUMIFS(Int_Repayments!E$4:E$1003,Int_Repayments!C$4:C$1003,A34,Int_Repayments!D$4:D$1003,1),0))</f>
        <v>0</v>
      </c>
      <c r="I34" s="26" t="str">
        <f t="shared" si="1"/>
        <v/>
      </c>
      <c r="J34" s="24" t="str">
        <f t="shared" si="2"/>
        <v/>
      </c>
      <c r="K34" s="25">
        <f>IF(A34="","",IFERROR(SUMIFS(Int_Repayments!E$4:E$1003,Int_Repayments!C$4:C$1003,A34,Int_Repayments!D$4:D$1003,2),0))</f>
        <v>0</v>
      </c>
      <c r="L34" s="26" t="str">
        <f t="shared" si="3"/>
        <v/>
      </c>
      <c r="M34" s="24" t="str">
        <f t="shared" si="4"/>
        <v/>
      </c>
      <c r="N34" s="25">
        <f>IF(A34="","",IFERROR(SUMIFS(Int_Repayments!E$4:E$1003,Int_Repayments!C$4:C$1003,A34,Int_Repayments!D$4:D$1003,3),0))</f>
        <v>0</v>
      </c>
      <c r="O34" s="26" t="str">
        <f t="shared" si="5"/>
        <v/>
      </c>
      <c r="P34" s="24" t="str">
        <f t="shared" si="6"/>
        <v/>
      </c>
      <c r="Q34" s="25">
        <f>IF(A34="","",IFERROR(SUMIFS(Int_Repayments!E$4:E$1003,Int_Repayments!C$4:C$1003,A34,Int_Repayments!D$4:D$1003,4),0))</f>
        <v>0</v>
      </c>
      <c r="R34" s="26" t="str">
        <f t="shared" si="7"/>
        <v/>
      </c>
      <c r="S34" s="24" t="str">
        <f t="shared" si="8"/>
        <v/>
      </c>
      <c r="T34" s="25">
        <f>IF(A34="","",IFERROR(SUMIFS(Int_Repayments!E$4:E$1003,Int_Repayments!C$4:C$1003,A34,Int_Repayments!D$4:D$1003,5),0))</f>
        <v>0</v>
      </c>
      <c r="U34" s="26" t="str">
        <f t="shared" si="9"/>
        <v/>
      </c>
      <c r="V34" s="24" t="str">
        <f t="shared" si="10"/>
        <v/>
      </c>
      <c r="W34" s="25">
        <f>IF(A34="","",IFERROR(SUMIFS(Int_Repayments!E$4:E$1003,Int_Repayments!C$4:C$1003,A34,Int_Repayments!D$4:D$1003,6),0))</f>
        <v>0</v>
      </c>
      <c r="X34" s="26" t="str">
        <f t="shared" si="11"/>
        <v/>
      </c>
      <c r="Y34" s="24" t="str">
        <f t="shared" si="12"/>
        <v/>
      </c>
      <c r="Z34" s="25">
        <f>IF(A34="","",IFERROR(SUMIFS(Int_Repayments!E$4:E$1003,Int_Repayments!C$4:C$1003,A34,Int_Repayments!D$4:D$1003,7),0))</f>
        <v>0</v>
      </c>
      <c r="AA34" s="26" t="str">
        <f t="shared" si="13"/>
        <v/>
      </c>
      <c r="AB34" s="24" t="str">
        <f t="shared" si="14"/>
        <v/>
      </c>
      <c r="AC34" s="25">
        <f>IF(A34="","",IFERROR(SUMIFS(Int_Repayments!E$4:E$1003,Int_Repayments!C$4:C$1003,A34,Int_Repayments!D$4:D$1003,8),0))</f>
        <v>0</v>
      </c>
      <c r="AD34" s="26" t="str">
        <f t="shared" si="15"/>
        <v/>
      </c>
      <c r="AE34" s="24" t="str">
        <f t="shared" si="16"/>
        <v/>
      </c>
      <c r="AF34" s="25">
        <f>IF(A34="","",IFERROR(SUMIFS(Int_Repayments!E$4:E$1003,Int_Repayments!C$4:C$1003,A34,Int_Repayments!D$4:D$1003,9),0))</f>
        <v>0</v>
      </c>
      <c r="AG34" s="26" t="str">
        <f t="shared" si="17"/>
        <v/>
      </c>
      <c r="AH34" s="24" t="str">
        <f t="shared" si="18"/>
        <v/>
      </c>
      <c r="AI34" s="25">
        <f>IF(A34="","",IFERROR(SUMIFS(Int_Repayments!E$4:E$1003,Int_Repayments!C$4:C$1003,A34,Int_Repayments!D$4:D$1003,10),0))</f>
        <v>0</v>
      </c>
      <c r="AJ34" s="26" t="str">
        <f t="shared" si="19"/>
        <v/>
      </c>
      <c r="AK34" s="24" t="str">
        <f t="shared" si="20"/>
        <v/>
      </c>
      <c r="AL34" s="25">
        <f>IF(A34="","",IFERROR(SUMIFS(Int_Repayments!E$4:E$1003,Int_Repayments!C$4:C$1003,A34,Int_Repayments!D$4:D$1003,11),0))</f>
        <v>0</v>
      </c>
      <c r="AM34" s="26" t="str">
        <f t="shared" si="21"/>
        <v/>
      </c>
      <c r="AN34" s="24" t="str">
        <f t="shared" si="22"/>
        <v/>
      </c>
      <c r="AO34" s="25">
        <f>IF(A34="","",IFERROR(SUMIFS(Int_Repayments!E$4:E$1003,Int_Repayments!C$4:C$1003,A34,Int_Repayments!D$4:D$1003,12),0))</f>
        <v>0</v>
      </c>
      <c r="AP34" s="26" t="str">
        <f t="shared" si="23"/>
        <v/>
      </c>
      <c r="AQ34" s="24" t="str">
        <f t="shared" si="24"/>
        <v/>
      </c>
      <c r="AR34" s="24" t="str">
        <f t="shared" si="25"/>
        <v/>
      </c>
      <c r="AS34" s="24" t="str">
        <f t="shared" si="26"/>
        <v/>
      </c>
    </row>
    <row r="35" spans="1:45" ht="15.75" customHeight="1" x14ac:dyDescent="0.25">
      <c r="A35" s="6">
        <f>IFERROR(Loans!C35,"")</f>
        <v>0</v>
      </c>
      <c r="B35" s="4">
        <f>IFERROR(Loans!B35,"")</f>
        <v>0</v>
      </c>
      <c r="C35" s="6">
        <f>IFERROR(Loans!A35,"")</f>
        <v>0</v>
      </c>
      <c r="D35" s="21">
        <f>IFERROR(Loans!E35,0)</f>
        <v>0</v>
      </c>
      <c r="E35" s="22">
        <f>IFERROR(Loans!H35,0)</f>
        <v>0</v>
      </c>
      <c r="F35" s="23">
        <f>IFERROR(Loans!I35,0)</f>
        <v>0</v>
      </c>
      <c r="G35" s="24" t="str">
        <f t="shared" si="0"/>
        <v/>
      </c>
      <c r="H35" s="25">
        <f>IF(A35="","",IFERROR(SUMIFS(Int_Repayments!E$4:E$1003,Int_Repayments!C$4:C$1003,A35,Int_Repayments!D$4:D$1003,1),0))</f>
        <v>0</v>
      </c>
      <c r="I35" s="26" t="str">
        <f t="shared" si="1"/>
        <v/>
      </c>
      <c r="J35" s="24" t="str">
        <f t="shared" si="2"/>
        <v/>
      </c>
      <c r="K35" s="25">
        <f>IF(A35="","",IFERROR(SUMIFS(Int_Repayments!E$4:E$1003,Int_Repayments!C$4:C$1003,A35,Int_Repayments!D$4:D$1003,2),0))</f>
        <v>0</v>
      </c>
      <c r="L35" s="26" t="str">
        <f t="shared" si="3"/>
        <v/>
      </c>
      <c r="M35" s="24" t="str">
        <f t="shared" si="4"/>
        <v/>
      </c>
      <c r="N35" s="25">
        <f>IF(A35="","",IFERROR(SUMIFS(Int_Repayments!E$4:E$1003,Int_Repayments!C$4:C$1003,A35,Int_Repayments!D$4:D$1003,3),0))</f>
        <v>0</v>
      </c>
      <c r="O35" s="26" t="str">
        <f t="shared" si="5"/>
        <v/>
      </c>
      <c r="P35" s="24" t="str">
        <f t="shared" si="6"/>
        <v/>
      </c>
      <c r="Q35" s="25">
        <f>IF(A35="","",IFERROR(SUMIFS(Int_Repayments!E$4:E$1003,Int_Repayments!C$4:C$1003,A35,Int_Repayments!D$4:D$1003,4),0))</f>
        <v>0</v>
      </c>
      <c r="R35" s="26" t="str">
        <f t="shared" si="7"/>
        <v/>
      </c>
      <c r="S35" s="24" t="str">
        <f t="shared" si="8"/>
        <v/>
      </c>
      <c r="T35" s="25">
        <f>IF(A35="","",IFERROR(SUMIFS(Int_Repayments!E$4:E$1003,Int_Repayments!C$4:C$1003,A35,Int_Repayments!D$4:D$1003,5),0))</f>
        <v>0</v>
      </c>
      <c r="U35" s="26" t="str">
        <f t="shared" si="9"/>
        <v/>
      </c>
      <c r="V35" s="24" t="str">
        <f t="shared" si="10"/>
        <v/>
      </c>
      <c r="W35" s="25">
        <f>IF(A35="","",IFERROR(SUMIFS(Int_Repayments!E$4:E$1003,Int_Repayments!C$4:C$1003,A35,Int_Repayments!D$4:D$1003,6),0))</f>
        <v>0</v>
      </c>
      <c r="X35" s="26" t="str">
        <f t="shared" si="11"/>
        <v/>
      </c>
      <c r="Y35" s="24" t="str">
        <f t="shared" si="12"/>
        <v/>
      </c>
      <c r="Z35" s="25">
        <f>IF(A35="","",IFERROR(SUMIFS(Int_Repayments!E$4:E$1003,Int_Repayments!C$4:C$1003,A35,Int_Repayments!D$4:D$1003,7),0))</f>
        <v>0</v>
      </c>
      <c r="AA35" s="26" t="str">
        <f t="shared" si="13"/>
        <v/>
      </c>
      <c r="AB35" s="24" t="str">
        <f t="shared" si="14"/>
        <v/>
      </c>
      <c r="AC35" s="25">
        <f>IF(A35="","",IFERROR(SUMIFS(Int_Repayments!E$4:E$1003,Int_Repayments!C$4:C$1003,A35,Int_Repayments!D$4:D$1003,8),0))</f>
        <v>0</v>
      </c>
      <c r="AD35" s="26" t="str">
        <f t="shared" si="15"/>
        <v/>
      </c>
      <c r="AE35" s="24" t="str">
        <f t="shared" si="16"/>
        <v/>
      </c>
      <c r="AF35" s="25">
        <f>IF(A35="","",IFERROR(SUMIFS(Int_Repayments!E$4:E$1003,Int_Repayments!C$4:C$1003,A35,Int_Repayments!D$4:D$1003,9),0))</f>
        <v>0</v>
      </c>
      <c r="AG35" s="26" t="str">
        <f t="shared" si="17"/>
        <v/>
      </c>
      <c r="AH35" s="24" t="str">
        <f t="shared" si="18"/>
        <v/>
      </c>
      <c r="AI35" s="25">
        <f>IF(A35="","",IFERROR(SUMIFS(Int_Repayments!E$4:E$1003,Int_Repayments!C$4:C$1003,A35,Int_Repayments!D$4:D$1003,10),0))</f>
        <v>0</v>
      </c>
      <c r="AJ35" s="26" t="str">
        <f t="shared" si="19"/>
        <v/>
      </c>
      <c r="AK35" s="24" t="str">
        <f t="shared" si="20"/>
        <v/>
      </c>
      <c r="AL35" s="25">
        <f>IF(A35="","",IFERROR(SUMIFS(Int_Repayments!E$4:E$1003,Int_Repayments!C$4:C$1003,A35,Int_Repayments!D$4:D$1003,11),0))</f>
        <v>0</v>
      </c>
      <c r="AM35" s="26" t="str">
        <f t="shared" si="21"/>
        <v/>
      </c>
      <c r="AN35" s="24" t="str">
        <f t="shared" si="22"/>
        <v/>
      </c>
      <c r="AO35" s="25">
        <f>IF(A35="","",IFERROR(SUMIFS(Int_Repayments!E$4:E$1003,Int_Repayments!C$4:C$1003,A35,Int_Repayments!D$4:D$1003,12),0))</f>
        <v>0</v>
      </c>
      <c r="AP35" s="26" t="str">
        <f t="shared" si="23"/>
        <v/>
      </c>
      <c r="AQ35" s="24" t="str">
        <f t="shared" si="24"/>
        <v/>
      </c>
      <c r="AR35" s="24" t="str">
        <f t="shared" si="25"/>
        <v/>
      </c>
      <c r="AS35" s="24" t="str">
        <f t="shared" si="26"/>
        <v/>
      </c>
    </row>
    <row r="36" spans="1:45" ht="15.75" customHeight="1" x14ac:dyDescent="0.25">
      <c r="A36" s="6">
        <f>IFERROR(Loans!C36,"")</f>
        <v>0</v>
      </c>
      <c r="B36" s="4">
        <f>IFERROR(Loans!B36,"")</f>
        <v>0</v>
      </c>
      <c r="C36" s="6">
        <f>IFERROR(Loans!A36,"")</f>
        <v>0</v>
      </c>
      <c r="D36" s="21">
        <f>IFERROR(Loans!E36,0)</f>
        <v>0</v>
      </c>
      <c r="E36" s="22">
        <f>IFERROR(Loans!H36,0)</f>
        <v>0</v>
      </c>
      <c r="F36" s="23">
        <f>IFERROR(Loans!I36,0)</f>
        <v>0</v>
      </c>
      <c r="G36" s="24" t="str">
        <f t="shared" ref="G36:G67" si="27">IF(D36=0,"",IFERROR(D36*(E36/12),0))</f>
        <v/>
      </c>
      <c r="H36" s="25">
        <f>IF(A36="","",IFERROR(SUMIFS(Int_Repayments!E$4:E$1003,Int_Repayments!C$4:C$1003,A36,Int_Repayments!D$4:D$1003,1),0))</f>
        <v>0</v>
      </c>
      <c r="I36" s="26" t="str">
        <f t="shared" ref="I36:I67" si="28">IF(D36=0,"",MAX(0,G36-H36))</f>
        <v/>
      </c>
      <c r="J36" s="24" t="str">
        <f t="shared" ref="J36:J67" si="29">IF(D36=0,"",IFERROR(D36*(E36/12),0))</f>
        <v/>
      </c>
      <c r="K36" s="25">
        <f>IF(A36="","",IFERROR(SUMIFS(Int_Repayments!E$4:E$1003,Int_Repayments!C$4:C$1003,A36,Int_Repayments!D$4:D$1003,2),0))</f>
        <v>0</v>
      </c>
      <c r="L36" s="26" t="str">
        <f t="shared" ref="L36:L67" si="30">IF(D36=0,"",MAX(0,J36-K36))</f>
        <v/>
      </c>
      <c r="M36" s="24" t="str">
        <f t="shared" ref="M36:M67" si="31">IF(D36=0,"",IFERROR(D36*(E36/12),0))</f>
        <v/>
      </c>
      <c r="N36" s="25">
        <f>IF(A36="","",IFERROR(SUMIFS(Int_Repayments!E$4:E$1003,Int_Repayments!C$4:C$1003,A36,Int_Repayments!D$4:D$1003,3),0))</f>
        <v>0</v>
      </c>
      <c r="O36" s="26" t="str">
        <f t="shared" ref="O36:O67" si="32">IF(D36=0,"",MAX(0,M36-N36))</f>
        <v/>
      </c>
      <c r="P36" s="24" t="str">
        <f t="shared" ref="P36:P67" si="33">IF(D36=0,"",IFERROR(D36*(E36/12),0))</f>
        <v/>
      </c>
      <c r="Q36" s="25">
        <f>IF(A36="","",IFERROR(SUMIFS(Int_Repayments!E$4:E$1003,Int_Repayments!C$4:C$1003,A36,Int_Repayments!D$4:D$1003,4),0))</f>
        <v>0</v>
      </c>
      <c r="R36" s="26" t="str">
        <f t="shared" ref="R36:R67" si="34">IF(D36=0,"",MAX(0,P36-Q36))</f>
        <v/>
      </c>
      <c r="S36" s="24" t="str">
        <f t="shared" ref="S36:S67" si="35">IF(D36=0,"",IFERROR(D36*(E36/12),0))</f>
        <v/>
      </c>
      <c r="T36" s="25">
        <f>IF(A36="","",IFERROR(SUMIFS(Int_Repayments!E$4:E$1003,Int_Repayments!C$4:C$1003,A36,Int_Repayments!D$4:D$1003,5),0))</f>
        <v>0</v>
      </c>
      <c r="U36" s="26" t="str">
        <f t="shared" ref="U36:U67" si="36">IF(D36=0,"",MAX(0,S36-T36))</f>
        <v/>
      </c>
      <c r="V36" s="24" t="str">
        <f t="shared" ref="V36:V67" si="37">IF(D36=0,"",IFERROR(D36*(E36/12),0))</f>
        <v/>
      </c>
      <c r="W36" s="25">
        <f>IF(A36="","",IFERROR(SUMIFS(Int_Repayments!E$4:E$1003,Int_Repayments!C$4:C$1003,A36,Int_Repayments!D$4:D$1003,6),0))</f>
        <v>0</v>
      </c>
      <c r="X36" s="26" t="str">
        <f t="shared" ref="X36:X67" si="38">IF(D36=0,"",MAX(0,V36-W36))</f>
        <v/>
      </c>
      <c r="Y36" s="24" t="str">
        <f t="shared" ref="Y36:Y67" si="39">IF(D36=0,"",IFERROR(D36*(E36/12),0))</f>
        <v/>
      </c>
      <c r="Z36" s="25">
        <f>IF(A36="","",IFERROR(SUMIFS(Int_Repayments!E$4:E$1003,Int_Repayments!C$4:C$1003,A36,Int_Repayments!D$4:D$1003,7),0))</f>
        <v>0</v>
      </c>
      <c r="AA36" s="26" t="str">
        <f t="shared" ref="AA36:AA67" si="40">IF(D36=0,"",MAX(0,Y36-Z36))</f>
        <v/>
      </c>
      <c r="AB36" s="24" t="str">
        <f t="shared" ref="AB36:AB67" si="41">IF(D36=0,"",IFERROR(D36*(E36/12),0))</f>
        <v/>
      </c>
      <c r="AC36" s="25">
        <f>IF(A36="","",IFERROR(SUMIFS(Int_Repayments!E$4:E$1003,Int_Repayments!C$4:C$1003,A36,Int_Repayments!D$4:D$1003,8),0))</f>
        <v>0</v>
      </c>
      <c r="AD36" s="26" t="str">
        <f t="shared" ref="AD36:AD67" si="42">IF(D36=0,"",MAX(0,AB36-AC36))</f>
        <v/>
      </c>
      <c r="AE36" s="24" t="str">
        <f t="shared" ref="AE36:AE67" si="43">IF(D36=0,"",IFERROR(D36*(E36/12),0))</f>
        <v/>
      </c>
      <c r="AF36" s="25">
        <f>IF(A36="","",IFERROR(SUMIFS(Int_Repayments!E$4:E$1003,Int_Repayments!C$4:C$1003,A36,Int_Repayments!D$4:D$1003,9),0))</f>
        <v>0</v>
      </c>
      <c r="AG36" s="26" t="str">
        <f t="shared" ref="AG36:AG67" si="44">IF(D36=0,"",MAX(0,AE36-AF36))</f>
        <v/>
      </c>
      <c r="AH36" s="24" t="str">
        <f t="shared" ref="AH36:AH67" si="45">IF(D36=0,"",IFERROR(D36*(E36/12),0))</f>
        <v/>
      </c>
      <c r="AI36" s="25">
        <f>IF(A36="","",IFERROR(SUMIFS(Int_Repayments!E$4:E$1003,Int_Repayments!C$4:C$1003,A36,Int_Repayments!D$4:D$1003,10),0))</f>
        <v>0</v>
      </c>
      <c r="AJ36" s="26" t="str">
        <f t="shared" ref="AJ36:AJ67" si="46">IF(D36=0,"",MAX(0,AH36-AI36))</f>
        <v/>
      </c>
      <c r="AK36" s="24" t="str">
        <f t="shared" ref="AK36:AK67" si="47">IF(D36=0,"",IFERROR(D36*(E36/12),0))</f>
        <v/>
      </c>
      <c r="AL36" s="25">
        <f>IF(A36="","",IFERROR(SUMIFS(Int_Repayments!E$4:E$1003,Int_Repayments!C$4:C$1003,A36,Int_Repayments!D$4:D$1003,11),0))</f>
        <v>0</v>
      </c>
      <c r="AM36" s="26" t="str">
        <f t="shared" ref="AM36:AM67" si="48">IF(D36=0,"",MAX(0,AK36-AL36))</f>
        <v/>
      </c>
      <c r="AN36" s="24" t="str">
        <f t="shared" ref="AN36:AN67" si="49">IF(D36=0,"",IFERROR(D36*(E36/12),0))</f>
        <v/>
      </c>
      <c r="AO36" s="25">
        <f>IF(A36="","",IFERROR(SUMIFS(Int_Repayments!E$4:E$1003,Int_Repayments!C$4:C$1003,A36,Int_Repayments!D$4:D$1003,12),0))</f>
        <v>0</v>
      </c>
      <c r="AP36" s="26" t="str">
        <f t="shared" ref="AP36:AP67" si="50">IF(D36=0,"",MAX(0,AN36-AO36))</f>
        <v/>
      </c>
      <c r="AQ36" s="24" t="str">
        <f t="shared" ref="AQ36:AQ67" si="51">IF(D36=0,"",G36+J36+M36+P36+S36+V36+Y36+AB36+AE36+AH36+AK36+AN36)</f>
        <v/>
      </c>
      <c r="AR36" s="24" t="str">
        <f t="shared" ref="AR36:AR67" si="52">IF(D36=0,"",H36+K36+N36+Q36+T36+W36+Z36+AC36+AF36+AI36+AL36+AO36)</f>
        <v/>
      </c>
      <c r="AS36" s="24" t="str">
        <f t="shared" ref="AS36:AS67" si="53">IF(D36=0,"",MAX(0,AQ36-AR36))</f>
        <v/>
      </c>
    </row>
    <row r="37" spans="1:45" ht="15.75" customHeight="1" x14ac:dyDescent="0.25">
      <c r="A37" s="6">
        <f>IFERROR(Loans!C37,"")</f>
        <v>0</v>
      </c>
      <c r="B37" s="4">
        <f>IFERROR(Loans!B37,"")</f>
        <v>0</v>
      </c>
      <c r="C37" s="6">
        <f>IFERROR(Loans!A37,"")</f>
        <v>0</v>
      </c>
      <c r="D37" s="21">
        <f>IFERROR(Loans!E37,0)</f>
        <v>0</v>
      </c>
      <c r="E37" s="22">
        <f>IFERROR(Loans!H37,0)</f>
        <v>0</v>
      </c>
      <c r="F37" s="23">
        <f>IFERROR(Loans!I37,0)</f>
        <v>0</v>
      </c>
      <c r="G37" s="24" t="str">
        <f t="shared" si="27"/>
        <v/>
      </c>
      <c r="H37" s="25">
        <f>IF(A37="","",IFERROR(SUMIFS(Int_Repayments!E$4:E$1003,Int_Repayments!C$4:C$1003,A37,Int_Repayments!D$4:D$1003,1),0))</f>
        <v>0</v>
      </c>
      <c r="I37" s="26" t="str">
        <f t="shared" si="28"/>
        <v/>
      </c>
      <c r="J37" s="24" t="str">
        <f t="shared" si="29"/>
        <v/>
      </c>
      <c r="K37" s="25">
        <f>IF(A37="","",IFERROR(SUMIFS(Int_Repayments!E$4:E$1003,Int_Repayments!C$4:C$1003,A37,Int_Repayments!D$4:D$1003,2),0))</f>
        <v>0</v>
      </c>
      <c r="L37" s="26" t="str">
        <f t="shared" si="30"/>
        <v/>
      </c>
      <c r="M37" s="24" t="str">
        <f t="shared" si="31"/>
        <v/>
      </c>
      <c r="N37" s="25">
        <f>IF(A37="","",IFERROR(SUMIFS(Int_Repayments!E$4:E$1003,Int_Repayments!C$4:C$1003,A37,Int_Repayments!D$4:D$1003,3),0))</f>
        <v>0</v>
      </c>
      <c r="O37" s="26" t="str">
        <f t="shared" si="32"/>
        <v/>
      </c>
      <c r="P37" s="24" t="str">
        <f t="shared" si="33"/>
        <v/>
      </c>
      <c r="Q37" s="25">
        <f>IF(A37="","",IFERROR(SUMIFS(Int_Repayments!E$4:E$1003,Int_Repayments!C$4:C$1003,A37,Int_Repayments!D$4:D$1003,4),0))</f>
        <v>0</v>
      </c>
      <c r="R37" s="26" t="str">
        <f t="shared" si="34"/>
        <v/>
      </c>
      <c r="S37" s="24" t="str">
        <f t="shared" si="35"/>
        <v/>
      </c>
      <c r="T37" s="25">
        <f>IF(A37="","",IFERROR(SUMIFS(Int_Repayments!E$4:E$1003,Int_Repayments!C$4:C$1003,A37,Int_Repayments!D$4:D$1003,5),0))</f>
        <v>0</v>
      </c>
      <c r="U37" s="26" t="str">
        <f t="shared" si="36"/>
        <v/>
      </c>
      <c r="V37" s="24" t="str">
        <f t="shared" si="37"/>
        <v/>
      </c>
      <c r="W37" s="25">
        <f>IF(A37="","",IFERROR(SUMIFS(Int_Repayments!E$4:E$1003,Int_Repayments!C$4:C$1003,A37,Int_Repayments!D$4:D$1003,6),0))</f>
        <v>0</v>
      </c>
      <c r="X37" s="26" t="str">
        <f t="shared" si="38"/>
        <v/>
      </c>
      <c r="Y37" s="24" t="str">
        <f t="shared" si="39"/>
        <v/>
      </c>
      <c r="Z37" s="25">
        <f>IF(A37="","",IFERROR(SUMIFS(Int_Repayments!E$4:E$1003,Int_Repayments!C$4:C$1003,A37,Int_Repayments!D$4:D$1003,7),0))</f>
        <v>0</v>
      </c>
      <c r="AA37" s="26" t="str">
        <f t="shared" si="40"/>
        <v/>
      </c>
      <c r="AB37" s="24" t="str">
        <f t="shared" si="41"/>
        <v/>
      </c>
      <c r="AC37" s="25">
        <f>IF(A37="","",IFERROR(SUMIFS(Int_Repayments!E$4:E$1003,Int_Repayments!C$4:C$1003,A37,Int_Repayments!D$4:D$1003,8),0))</f>
        <v>0</v>
      </c>
      <c r="AD37" s="26" t="str">
        <f t="shared" si="42"/>
        <v/>
      </c>
      <c r="AE37" s="24" t="str">
        <f t="shared" si="43"/>
        <v/>
      </c>
      <c r="AF37" s="25">
        <f>IF(A37="","",IFERROR(SUMIFS(Int_Repayments!E$4:E$1003,Int_Repayments!C$4:C$1003,A37,Int_Repayments!D$4:D$1003,9),0))</f>
        <v>0</v>
      </c>
      <c r="AG37" s="26" t="str">
        <f t="shared" si="44"/>
        <v/>
      </c>
      <c r="AH37" s="24" t="str">
        <f t="shared" si="45"/>
        <v/>
      </c>
      <c r="AI37" s="25">
        <f>IF(A37="","",IFERROR(SUMIFS(Int_Repayments!E$4:E$1003,Int_Repayments!C$4:C$1003,A37,Int_Repayments!D$4:D$1003,10),0))</f>
        <v>0</v>
      </c>
      <c r="AJ37" s="26" t="str">
        <f t="shared" si="46"/>
        <v/>
      </c>
      <c r="AK37" s="24" t="str">
        <f t="shared" si="47"/>
        <v/>
      </c>
      <c r="AL37" s="25">
        <f>IF(A37="","",IFERROR(SUMIFS(Int_Repayments!E$4:E$1003,Int_Repayments!C$4:C$1003,A37,Int_Repayments!D$4:D$1003,11),0))</f>
        <v>0</v>
      </c>
      <c r="AM37" s="26" t="str">
        <f t="shared" si="48"/>
        <v/>
      </c>
      <c r="AN37" s="24" t="str">
        <f t="shared" si="49"/>
        <v/>
      </c>
      <c r="AO37" s="25">
        <f>IF(A37="","",IFERROR(SUMIFS(Int_Repayments!E$4:E$1003,Int_Repayments!C$4:C$1003,A37,Int_Repayments!D$4:D$1003,12),0))</f>
        <v>0</v>
      </c>
      <c r="AP37" s="26" t="str">
        <f t="shared" si="50"/>
        <v/>
      </c>
      <c r="AQ37" s="24" t="str">
        <f t="shared" si="51"/>
        <v/>
      </c>
      <c r="AR37" s="24" t="str">
        <f t="shared" si="52"/>
        <v/>
      </c>
      <c r="AS37" s="24" t="str">
        <f t="shared" si="53"/>
        <v/>
      </c>
    </row>
    <row r="38" spans="1:45" ht="15.75" customHeight="1" x14ac:dyDescent="0.25">
      <c r="A38" s="6">
        <f>IFERROR(Loans!C38,"")</f>
        <v>0</v>
      </c>
      <c r="B38" s="4">
        <f>IFERROR(Loans!B38,"")</f>
        <v>0</v>
      </c>
      <c r="C38" s="6">
        <f>IFERROR(Loans!A38,"")</f>
        <v>0</v>
      </c>
      <c r="D38" s="21">
        <f>IFERROR(Loans!E38,0)</f>
        <v>0</v>
      </c>
      <c r="E38" s="22">
        <f>IFERROR(Loans!H38,0)</f>
        <v>0</v>
      </c>
      <c r="F38" s="23">
        <f>IFERROR(Loans!I38,0)</f>
        <v>0</v>
      </c>
      <c r="G38" s="24" t="str">
        <f t="shared" si="27"/>
        <v/>
      </c>
      <c r="H38" s="25">
        <f>IF(A38="","",IFERROR(SUMIFS(Int_Repayments!E$4:E$1003,Int_Repayments!C$4:C$1003,A38,Int_Repayments!D$4:D$1003,1),0))</f>
        <v>0</v>
      </c>
      <c r="I38" s="26" t="str">
        <f t="shared" si="28"/>
        <v/>
      </c>
      <c r="J38" s="24" t="str">
        <f t="shared" si="29"/>
        <v/>
      </c>
      <c r="K38" s="25">
        <f>IF(A38="","",IFERROR(SUMIFS(Int_Repayments!E$4:E$1003,Int_Repayments!C$4:C$1003,A38,Int_Repayments!D$4:D$1003,2),0))</f>
        <v>0</v>
      </c>
      <c r="L38" s="26" t="str">
        <f t="shared" si="30"/>
        <v/>
      </c>
      <c r="M38" s="24" t="str">
        <f t="shared" si="31"/>
        <v/>
      </c>
      <c r="N38" s="25">
        <f>IF(A38="","",IFERROR(SUMIFS(Int_Repayments!E$4:E$1003,Int_Repayments!C$4:C$1003,A38,Int_Repayments!D$4:D$1003,3),0))</f>
        <v>0</v>
      </c>
      <c r="O38" s="26" t="str">
        <f t="shared" si="32"/>
        <v/>
      </c>
      <c r="P38" s="24" t="str">
        <f t="shared" si="33"/>
        <v/>
      </c>
      <c r="Q38" s="25">
        <f>IF(A38="","",IFERROR(SUMIFS(Int_Repayments!E$4:E$1003,Int_Repayments!C$4:C$1003,A38,Int_Repayments!D$4:D$1003,4),0))</f>
        <v>0</v>
      </c>
      <c r="R38" s="26" t="str">
        <f t="shared" si="34"/>
        <v/>
      </c>
      <c r="S38" s="24" t="str">
        <f t="shared" si="35"/>
        <v/>
      </c>
      <c r="T38" s="25">
        <f>IF(A38="","",IFERROR(SUMIFS(Int_Repayments!E$4:E$1003,Int_Repayments!C$4:C$1003,A38,Int_Repayments!D$4:D$1003,5),0))</f>
        <v>0</v>
      </c>
      <c r="U38" s="26" t="str">
        <f t="shared" si="36"/>
        <v/>
      </c>
      <c r="V38" s="24" t="str">
        <f t="shared" si="37"/>
        <v/>
      </c>
      <c r="W38" s="25">
        <f>IF(A38="","",IFERROR(SUMIFS(Int_Repayments!E$4:E$1003,Int_Repayments!C$4:C$1003,A38,Int_Repayments!D$4:D$1003,6),0))</f>
        <v>0</v>
      </c>
      <c r="X38" s="26" t="str">
        <f t="shared" si="38"/>
        <v/>
      </c>
      <c r="Y38" s="24" t="str">
        <f t="shared" si="39"/>
        <v/>
      </c>
      <c r="Z38" s="25">
        <f>IF(A38="","",IFERROR(SUMIFS(Int_Repayments!E$4:E$1003,Int_Repayments!C$4:C$1003,A38,Int_Repayments!D$4:D$1003,7),0))</f>
        <v>0</v>
      </c>
      <c r="AA38" s="26" t="str">
        <f t="shared" si="40"/>
        <v/>
      </c>
      <c r="AB38" s="24" t="str">
        <f t="shared" si="41"/>
        <v/>
      </c>
      <c r="AC38" s="25">
        <f>IF(A38="","",IFERROR(SUMIFS(Int_Repayments!E$4:E$1003,Int_Repayments!C$4:C$1003,A38,Int_Repayments!D$4:D$1003,8),0))</f>
        <v>0</v>
      </c>
      <c r="AD38" s="26" t="str">
        <f t="shared" si="42"/>
        <v/>
      </c>
      <c r="AE38" s="24" t="str">
        <f t="shared" si="43"/>
        <v/>
      </c>
      <c r="AF38" s="25">
        <f>IF(A38="","",IFERROR(SUMIFS(Int_Repayments!E$4:E$1003,Int_Repayments!C$4:C$1003,A38,Int_Repayments!D$4:D$1003,9),0))</f>
        <v>0</v>
      </c>
      <c r="AG38" s="26" t="str">
        <f t="shared" si="44"/>
        <v/>
      </c>
      <c r="AH38" s="24" t="str">
        <f t="shared" si="45"/>
        <v/>
      </c>
      <c r="AI38" s="25">
        <f>IF(A38="","",IFERROR(SUMIFS(Int_Repayments!E$4:E$1003,Int_Repayments!C$4:C$1003,A38,Int_Repayments!D$4:D$1003,10),0))</f>
        <v>0</v>
      </c>
      <c r="AJ38" s="26" t="str">
        <f t="shared" si="46"/>
        <v/>
      </c>
      <c r="AK38" s="24" t="str">
        <f t="shared" si="47"/>
        <v/>
      </c>
      <c r="AL38" s="25">
        <f>IF(A38="","",IFERROR(SUMIFS(Int_Repayments!E$4:E$1003,Int_Repayments!C$4:C$1003,A38,Int_Repayments!D$4:D$1003,11),0))</f>
        <v>0</v>
      </c>
      <c r="AM38" s="26" t="str">
        <f t="shared" si="48"/>
        <v/>
      </c>
      <c r="AN38" s="24" t="str">
        <f t="shared" si="49"/>
        <v/>
      </c>
      <c r="AO38" s="25">
        <f>IF(A38="","",IFERROR(SUMIFS(Int_Repayments!E$4:E$1003,Int_Repayments!C$4:C$1003,A38,Int_Repayments!D$4:D$1003,12),0))</f>
        <v>0</v>
      </c>
      <c r="AP38" s="26" t="str">
        <f t="shared" si="50"/>
        <v/>
      </c>
      <c r="AQ38" s="24" t="str">
        <f t="shared" si="51"/>
        <v/>
      </c>
      <c r="AR38" s="24" t="str">
        <f t="shared" si="52"/>
        <v/>
      </c>
      <c r="AS38" s="24" t="str">
        <f t="shared" si="53"/>
        <v/>
      </c>
    </row>
    <row r="39" spans="1:45" ht="15.75" customHeight="1" x14ac:dyDescent="0.25">
      <c r="A39" s="6">
        <f>IFERROR(Loans!C39,"")</f>
        <v>0</v>
      </c>
      <c r="B39" s="4">
        <f>IFERROR(Loans!B39,"")</f>
        <v>0</v>
      </c>
      <c r="C39" s="6">
        <f>IFERROR(Loans!A39,"")</f>
        <v>0</v>
      </c>
      <c r="D39" s="21">
        <f>IFERROR(Loans!E39,0)</f>
        <v>0</v>
      </c>
      <c r="E39" s="22">
        <f>IFERROR(Loans!H39,0)</f>
        <v>0</v>
      </c>
      <c r="F39" s="23">
        <f>IFERROR(Loans!I39,0)</f>
        <v>0</v>
      </c>
      <c r="G39" s="24" t="str">
        <f t="shared" si="27"/>
        <v/>
      </c>
      <c r="H39" s="25">
        <f>IF(A39="","",IFERROR(SUMIFS(Int_Repayments!E$4:E$1003,Int_Repayments!C$4:C$1003,A39,Int_Repayments!D$4:D$1003,1),0))</f>
        <v>0</v>
      </c>
      <c r="I39" s="26" t="str">
        <f t="shared" si="28"/>
        <v/>
      </c>
      <c r="J39" s="24" t="str">
        <f t="shared" si="29"/>
        <v/>
      </c>
      <c r="K39" s="25">
        <f>IF(A39="","",IFERROR(SUMIFS(Int_Repayments!E$4:E$1003,Int_Repayments!C$4:C$1003,A39,Int_Repayments!D$4:D$1003,2),0))</f>
        <v>0</v>
      </c>
      <c r="L39" s="26" t="str">
        <f t="shared" si="30"/>
        <v/>
      </c>
      <c r="M39" s="24" t="str">
        <f t="shared" si="31"/>
        <v/>
      </c>
      <c r="N39" s="25">
        <f>IF(A39="","",IFERROR(SUMIFS(Int_Repayments!E$4:E$1003,Int_Repayments!C$4:C$1003,A39,Int_Repayments!D$4:D$1003,3),0))</f>
        <v>0</v>
      </c>
      <c r="O39" s="26" t="str">
        <f t="shared" si="32"/>
        <v/>
      </c>
      <c r="P39" s="24" t="str">
        <f t="shared" si="33"/>
        <v/>
      </c>
      <c r="Q39" s="25">
        <f>IF(A39="","",IFERROR(SUMIFS(Int_Repayments!E$4:E$1003,Int_Repayments!C$4:C$1003,A39,Int_Repayments!D$4:D$1003,4),0))</f>
        <v>0</v>
      </c>
      <c r="R39" s="26" t="str">
        <f t="shared" si="34"/>
        <v/>
      </c>
      <c r="S39" s="24" t="str">
        <f t="shared" si="35"/>
        <v/>
      </c>
      <c r="T39" s="25">
        <f>IF(A39="","",IFERROR(SUMIFS(Int_Repayments!E$4:E$1003,Int_Repayments!C$4:C$1003,A39,Int_Repayments!D$4:D$1003,5),0))</f>
        <v>0</v>
      </c>
      <c r="U39" s="26" t="str">
        <f t="shared" si="36"/>
        <v/>
      </c>
      <c r="V39" s="24" t="str">
        <f t="shared" si="37"/>
        <v/>
      </c>
      <c r="W39" s="25">
        <f>IF(A39="","",IFERROR(SUMIFS(Int_Repayments!E$4:E$1003,Int_Repayments!C$4:C$1003,A39,Int_Repayments!D$4:D$1003,6),0))</f>
        <v>0</v>
      </c>
      <c r="X39" s="26" t="str">
        <f t="shared" si="38"/>
        <v/>
      </c>
      <c r="Y39" s="24" t="str">
        <f t="shared" si="39"/>
        <v/>
      </c>
      <c r="Z39" s="25">
        <f>IF(A39="","",IFERROR(SUMIFS(Int_Repayments!E$4:E$1003,Int_Repayments!C$4:C$1003,A39,Int_Repayments!D$4:D$1003,7),0))</f>
        <v>0</v>
      </c>
      <c r="AA39" s="26" t="str">
        <f t="shared" si="40"/>
        <v/>
      </c>
      <c r="AB39" s="24" t="str">
        <f t="shared" si="41"/>
        <v/>
      </c>
      <c r="AC39" s="25">
        <f>IF(A39="","",IFERROR(SUMIFS(Int_Repayments!E$4:E$1003,Int_Repayments!C$4:C$1003,A39,Int_Repayments!D$4:D$1003,8),0))</f>
        <v>0</v>
      </c>
      <c r="AD39" s="26" t="str">
        <f t="shared" si="42"/>
        <v/>
      </c>
      <c r="AE39" s="24" t="str">
        <f t="shared" si="43"/>
        <v/>
      </c>
      <c r="AF39" s="25">
        <f>IF(A39="","",IFERROR(SUMIFS(Int_Repayments!E$4:E$1003,Int_Repayments!C$4:C$1003,A39,Int_Repayments!D$4:D$1003,9),0))</f>
        <v>0</v>
      </c>
      <c r="AG39" s="26" t="str">
        <f t="shared" si="44"/>
        <v/>
      </c>
      <c r="AH39" s="24" t="str">
        <f t="shared" si="45"/>
        <v/>
      </c>
      <c r="AI39" s="25">
        <f>IF(A39="","",IFERROR(SUMIFS(Int_Repayments!E$4:E$1003,Int_Repayments!C$4:C$1003,A39,Int_Repayments!D$4:D$1003,10),0))</f>
        <v>0</v>
      </c>
      <c r="AJ39" s="26" t="str">
        <f t="shared" si="46"/>
        <v/>
      </c>
      <c r="AK39" s="24" t="str">
        <f t="shared" si="47"/>
        <v/>
      </c>
      <c r="AL39" s="25">
        <f>IF(A39="","",IFERROR(SUMIFS(Int_Repayments!E$4:E$1003,Int_Repayments!C$4:C$1003,A39,Int_Repayments!D$4:D$1003,11),0))</f>
        <v>0</v>
      </c>
      <c r="AM39" s="26" t="str">
        <f t="shared" si="48"/>
        <v/>
      </c>
      <c r="AN39" s="24" t="str">
        <f t="shared" si="49"/>
        <v/>
      </c>
      <c r="AO39" s="25">
        <f>IF(A39="","",IFERROR(SUMIFS(Int_Repayments!E$4:E$1003,Int_Repayments!C$4:C$1003,A39,Int_Repayments!D$4:D$1003,12),0))</f>
        <v>0</v>
      </c>
      <c r="AP39" s="26" t="str">
        <f t="shared" si="50"/>
        <v/>
      </c>
      <c r="AQ39" s="24" t="str">
        <f t="shared" si="51"/>
        <v/>
      </c>
      <c r="AR39" s="24" t="str">
        <f t="shared" si="52"/>
        <v/>
      </c>
      <c r="AS39" s="24" t="str">
        <f t="shared" si="53"/>
        <v/>
      </c>
    </row>
    <row r="40" spans="1:45" ht="15.75" customHeight="1" x14ac:dyDescent="0.25">
      <c r="A40" s="6">
        <f>IFERROR(Loans!C40,"")</f>
        <v>0</v>
      </c>
      <c r="B40" s="4">
        <f>IFERROR(Loans!B40,"")</f>
        <v>0</v>
      </c>
      <c r="C40" s="6">
        <f>IFERROR(Loans!A40,"")</f>
        <v>0</v>
      </c>
      <c r="D40" s="21">
        <f>IFERROR(Loans!E40,0)</f>
        <v>0</v>
      </c>
      <c r="E40" s="22">
        <f>IFERROR(Loans!H40,0)</f>
        <v>0</v>
      </c>
      <c r="F40" s="23">
        <f>IFERROR(Loans!I40,0)</f>
        <v>0</v>
      </c>
      <c r="G40" s="24" t="str">
        <f t="shared" si="27"/>
        <v/>
      </c>
      <c r="H40" s="25">
        <f>IF(A40="","",IFERROR(SUMIFS(Int_Repayments!E$4:E$1003,Int_Repayments!C$4:C$1003,A40,Int_Repayments!D$4:D$1003,1),0))</f>
        <v>0</v>
      </c>
      <c r="I40" s="26" t="str">
        <f t="shared" si="28"/>
        <v/>
      </c>
      <c r="J40" s="24" t="str">
        <f t="shared" si="29"/>
        <v/>
      </c>
      <c r="K40" s="25">
        <f>IF(A40="","",IFERROR(SUMIFS(Int_Repayments!E$4:E$1003,Int_Repayments!C$4:C$1003,A40,Int_Repayments!D$4:D$1003,2),0))</f>
        <v>0</v>
      </c>
      <c r="L40" s="26" t="str">
        <f t="shared" si="30"/>
        <v/>
      </c>
      <c r="M40" s="24" t="str">
        <f t="shared" si="31"/>
        <v/>
      </c>
      <c r="N40" s="25">
        <f>IF(A40="","",IFERROR(SUMIFS(Int_Repayments!E$4:E$1003,Int_Repayments!C$4:C$1003,A40,Int_Repayments!D$4:D$1003,3),0))</f>
        <v>0</v>
      </c>
      <c r="O40" s="26" t="str">
        <f t="shared" si="32"/>
        <v/>
      </c>
      <c r="P40" s="24" t="str">
        <f t="shared" si="33"/>
        <v/>
      </c>
      <c r="Q40" s="25">
        <f>IF(A40="","",IFERROR(SUMIFS(Int_Repayments!E$4:E$1003,Int_Repayments!C$4:C$1003,A40,Int_Repayments!D$4:D$1003,4),0))</f>
        <v>0</v>
      </c>
      <c r="R40" s="26" t="str">
        <f t="shared" si="34"/>
        <v/>
      </c>
      <c r="S40" s="24" t="str">
        <f t="shared" si="35"/>
        <v/>
      </c>
      <c r="T40" s="25">
        <f>IF(A40="","",IFERROR(SUMIFS(Int_Repayments!E$4:E$1003,Int_Repayments!C$4:C$1003,A40,Int_Repayments!D$4:D$1003,5),0))</f>
        <v>0</v>
      </c>
      <c r="U40" s="26" t="str">
        <f t="shared" si="36"/>
        <v/>
      </c>
      <c r="V40" s="24" t="str">
        <f t="shared" si="37"/>
        <v/>
      </c>
      <c r="W40" s="25">
        <f>IF(A40="","",IFERROR(SUMIFS(Int_Repayments!E$4:E$1003,Int_Repayments!C$4:C$1003,A40,Int_Repayments!D$4:D$1003,6),0))</f>
        <v>0</v>
      </c>
      <c r="X40" s="26" t="str">
        <f t="shared" si="38"/>
        <v/>
      </c>
      <c r="Y40" s="24" t="str">
        <f t="shared" si="39"/>
        <v/>
      </c>
      <c r="Z40" s="25">
        <f>IF(A40="","",IFERROR(SUMIFS(Int_Repayments!E$4:E$1003,Int_Repayments!C$4:C$1003,A40,Int_Repayments!D$4:D$1003,7),0))</f>
        <v>0</v>
      </c>
      <c r="AA40" s="26" t="str">
        <f t="shared" si="40"/>
        <v/>
      </c>
      <c r="AB40" s="24" t="str">
        <f t="shared" si="41"/>
        <v/>
      </c>
      <c r="AC40" s="25">
        <f>IF(A40="","",IFERROR(SUMIFS(Int_Repayments!E$4:E$1003,Int_Repayments!C$4:C$1003,A40,Int_Repayments!D$4:D$1003,8),0))</f>
        <v>0</v>
      </c>
      <c r="AD40" s="26" t="str">
        <f t="shared" si="42"/>
        <v/>
      </c>
      <c r="AE40" s="24" t="str">
        <f t="shared" si="43"/>
        <v/>
      </c>
      <c r="AF40" s="25">
        <f>IF(A40="","",IFERROR(SUMIFS(Int_Repayments!E$4:E$1003,Int_Repayments!C$4:C$1003,A40,Int_Repayments!D$4:D$1003,9),0))</f>
        <v>0</v>
      </c>
      <c r="AG40" s="26" t="str">
        <f t="shared" si="44"/>
        <v/>
      </c>
      <c r="AH40" s="24" t="str">
        <f t="shared" si="45"/>
        <v/>
      </c>
      <c r="AI40" s="25">
        <f>IF(A40="","",IFERROR(SUMIFS(Int_Repayments!E$4:E$1003,Int_Repayments!C$4:C$1003,A40,Int_Repayments!D$4:D$1003,10),0))</f>
        <v>0</v>
      </c>
      <c r="AJ40" s="26" t="str">
        <f t="shared" si="46"/>
        <v/>
      </c>
      <c r="AK40" s="24" t="str">
        <f t="shared" si="47"/>
        <v/>
      </c>
      <c r="AL40" s="25">
        <f>IF(A40="","",IFERROR(SUMIFS(Int_Repayments!E$4:E$1003,Int_Repayments!C$4:C$1003,A40,Int_Repayments!D$4:D$1003,11),0))</f>
        <v>0</v>
      </c>
      <c r="AM40" s="26" t="str">
        <f t="shared" si="48"/>
        <v/>
      </c>
      <c r="AN40" s="24" t="str">
        <f t="shared" si="49"/>
        <v/>
      </c>
      <c r="AO40" s="25">
        <f>IF(A40="","",IFERROR(SUMIFS(Int_Repayments!E$4:E$1003,Int_Repayments!C$4:C$1003,A40,Int_Repayments!D$4:D$1003,12),0))</f>
        <v>0</v>
      </c>
      <c r="AP40" s="26" t="str">
        <f t="shared" si="50"/>
        <v/>
      </c>
      <c r="AQ40" s="24" t="str">
        <f t="shared" si="51"/>
        <v/>
      </c>
      <c r="AR40" s="24" t="str">
        <f t="shared" si="52"/>
        <v/>
      </c>
      <c r="AS40" s="24" t="str">
        <f t="shared" si="53"/>
        <v/>
      </c>
    </row>
    <row r="41" spans="1:45" ht="15.75" customHeight="1" x14ac:dyDescent="0.25">
      <c r="A41" s="6">
        <f>IFERROR(Loans!C41,"")</f>
        <v>0</v>
      </c>
      <c r="B41" s="4">
        <f>IFERROR(Loans!B41,"")</f>
        <v>0</v>
      </c>
      <c r="C41" s="6">
        <f>IFERROR(Loans!A41,"")</f>
        <v>0</v>
      </c>
      <c r="D41" s="21">
        <f>IFERROR(Loans!E41,0)</f>
        <v>0</v>
      </c>
      <c r="E41" s="22">
        <f>IFERROR(Loans!H41,0)</f>
        <v>0</v>
      </c>
      <c r="F41" s="23">
        <f>IFERROR(Loans!I41,0)</f>
        <v>0</v>
      </c>
      <c r="G41" s="24" t="str">
        <f t="shared" si="27"/>
        <v/>
      </c>
      <c r="H41" s="25">
        <f>IF(A41="","",IFERROR(SUMIFS(Int_Repayments!E$4:E$1003,Int_Repayments!C$4:C$1003,A41,Int_Repayments!D$4:D$1003,1),0))</f>
        <v>0</v>
      </c>
      <c r="I41" s="26" t="str">
        <f t="shared" si="28"/>
        <v/>
      </c>
      <c r="J41" s="24" t="str">
        <f t="shared" si="29"/>
        <v/>
      </c>
      <c r="K41" s="25">
        <f>IF(A41="","",IFERROR(SUMIFS(Int_Repayments!E$4:E$1003,Int_Repayments!C$4:C$1003,A41,Int_Repayments!D$4:D$1003,2),0))</f>
        <v>0</v>
      </c>
      <c r="L41" s="26" t="str">
        <f t="shared" si="30"/>
        <v/>
      </c>
      <c r="M41" s="24" t="str">
        <f t="shared" si="31"/>
        <v/>
      </c>
      <c r="N41" s="25">
        <f>IF(A41="","",IFERROR(SUMIFS(Int_Repayments!E$4:E$1003,Int_Repayments!C$4:C$1003,A41,Int_Repayments!D$4:D$1003,3),0))</f>
        <v>0</v>
      </c>
      <c r="O41" s="26" t="str">
        <f t="shared" si="32"/>
        <v/>
      </c>
      <c r="P41" s="24" t="str">
        <f t="shared" si="33"/>
        <v/>
      </c>
      <c r="Q41" s="25">
        <f>IF(A41="","",IFERROR(SUMIFS(Int_Repayments!E$4:E$1003,Int_Repayments!C$4:C$1003,A41,Int_Repayments!D$4:D$1003,4),0))</f>
        <v>0</v>
      </c>
      <c r="R41" s="26" t="str">
        <f t="shared" si="34"/>
        <v/>
      </c>
      <c r="S41" s="24" t="str">
        <f t="shared" si="35"/>
        <v/>
      </c>
      <c r="T41" s="25">
        <f>IF(A41="","",IFERROR(SUMIFS(Int_Repayments!E$4:E$1003,Int_Repayments!C$4:C$1003,A41,Int_Repayments!D$4:D$1003,5),0))</f>
        <v>0</v>
      </c>
      <c r="U41" s="26" t="str">
        <f t="shared" si="36"/>
        <v/>
      </c>
      <c r="V41" s="24" t="str">
        <f t="shared" si="37"/>
        <v/>
      </c>
      <c r="W41" s="25">
        <f>IF(A41="","",IFERROR(SUMIFS(Int_Repayments!E$4:E$1003,Int_Repayments!C$4:C$1003,A41,Int_Repayments!D$4:D$1003,6),0))</f>
        <v>0</v>
      </c>
      <c r="X41" s="26" t="str">
        <f t="shared" si="38"/>
        <v/>
      </c>
      <c r="Y41" s="24" t="str">
        <f t="shared" si="39"/>
        <v/>
      </c>
      <c r="Z41" s="25">
        <f>IF(A41="","",IFERROR(SUMIFS(Int_Repayments!E$4:E$1003,Int_Repayments!C$4:C$1003,A41,Int_Repayments!D$4:D$1003,7),0))</f>
        <v>0</v>
      </c>
      <c r="AA41" s="26" t="str">
        <f t="shared" si="40"/>
        <v/>
      </c>
      <c r="AB41" s="24" t="str">
        <f t="shared" si="41"/>
        <v/>
      </c>
      <c r="AC41" s="25">
        <f>IF(A41="","",IFERROR(SUMIFS(Int_Repayments!E$4:E$1003,Int_Repayments!C$4:C$1003,A41,Int_Repayments!D$4:D$1003,8),0))</f>
        <v>0</v>
      </c>
      <c r="AD41" s="26" t="str">
        <f t="shared" si="42"/>
        <v/>
      </c>
      <c r="AE41" s="24" t="str">
        <f t="shared" si="43"/>
        <v/>
      </c>
      <c r="AF41" s="25">
        <f>IF(A41="","",IFERROR(SUMIFS(Int_Repayments!E$4:E$1003,Int_Repayments!C$4:C$1003,A41,Int_Repayments!D$4:D$1003,9),0))</f>
        <v>0</v>
      </c>
      <c r="AG41" s="26" t="str">
        <f t="shared" si="44"/>
        <v/>
      </c>
      <c r="AH41" s="24" t="str">
        <f t="shared" si="45"/>
        <v/>
      </c>
      <c r="AI41" s="25">
        <f>IF(A41="","",IFERROR(SUMIFS(Int_Repayments!E$4:E$1003,Int_Repayments!C$4:C$1003,A41,Int_Repayments!D$4:D$1003,10),0))</f>
        <v>0</v>
      </c>
      <c r="AJ41" s="26" t="str">
        <f t="shared" si="46"/>
        <v/>
      </c>
      <c r="AK41" s="24" t="str">
        <f t="shared" si="47"/>
        <v/>
      </c>
      <c r="AL41" s="25">
        <f>IF(A41="","",IFERROR(SUMIFS(Int_Repayments!E$4:E$1003,Int_Repayments!C$4:C$1003,A41,Int_Repayments!D$4:D$1003,11),0))</f>
        <v>0</v>
      </c>
      <c r="AM41" s="26" t="str">
        <f t="shared" si="48"/>
        <v/>
      </c>
      <c r="AN41" s="24" t="str">
        <f t="shared" si="49"/>
        <v/>
      </c>
      <c r="AO41" s="25">
        <f>IF(A41="","",IFERROR(SUMIFS(Int_Repayments!E$4:E$1003,Int_Repayments!C$4:C$1003,A41,Int_Repayments!D$4:D$1003,12),0))</f>
        <v>0</v>
      </c>
      <c r="AP41" s="26" t="str">
        <f t="shared" si="50"/>
        <v/>
      </c>
      <c r="AQ41" s="24" t="str">
        <f t="shared" si="51"/>
        <v/>
      </c>
      <c r="AR41" s="24" t="str">
        <f t="shared" si="52"/>
        <v/>
      </c>
      <c r="AS41" s="24" t="str">
        <f t="shared" si="53"/>
        <v/>
      </c>
    </row>
    <row r="42" spans="1:45" ht="15.75" customHeight="1" x14ac:dyDescent="0.25">
      <c r="A42" s="6">
        <f>IFERROR(Loans!C42,"")</f>
        <v>0</v>
      </c>
      <c r="B42" s="4">
        <f>IFERROR(Loans!B42,"")</f>
        <v>0</v>
      </c>
      <c r="C42" s="6">
        <f>IFERROR(Loans!A42,"")</f>
        <v>0</v>
      </c>
      <c r="D42" s="21">
        <f>IFERROR(Loans!E42,0)</f>
        <v>0</v>
      </c>
      <c r="E42" s="22">
        <f>IFERROR(Loans!H42,0)</f>
        <v>0</v>
      </c>
      <c r="F42" s="23">
        <f>IFERROR(Loans!I42,0)</f>
        <v>0</v>
      </c>
      <c r="G42" s="24" t="str">
        <f t="shared" si="27"/>
        <v/>
      </c>
      <c r="H42" s="25">
        <f>IF(A42="","",IFERROR(SUMIFS(Int_Repayments!E$4:E$1003,Int_Repayments!C$4:C$1003,A42,Int_Repayments!D$4:D$1003,1),0))</f>
        <v>0</v>
      </c>
      <c r="I42" s="26" t="str">
        <f t="shared" si="28"/>
        <v/>
      </c>
      <c r="J42" s="24" t="str">
        <f t="shared" si="29"/>
        <v/>
      </c>
      <c r="K42" s="25">
        <f>IF(A42="","",IFERROR(SUMIFS(Int_Repayments!E$4:E$1003,Int_Repayments!C$4:C$1003,A42,Int_Repayments!D$4:D$1003,2),0))</f>
        <v>0</v>
      </c>
      <c r="L42" s="26" t="str">
        <f t="shared" si="30"/>
        <v/>
      </c>
      <c r="M42" s="24" t="str">
        <f t="shared" si="31"/>
        <v/>
      </c>
      <c r="N42" s="25">
        <f>IF(A42="","",IFERROR(SUMIFS(Int_Repayments!E$4:E$1003,Int_Repayments!C$4:C$1003,A42,Int_Repayments!D$4:D$1003,3),0))</f>
        <v>0</v>
      </c>
      <c r="O42" s="26" t="str">
        <f t="shared" si="32"/>
        <v/>
      </c>
      <c r="P42" s="24" t="str">
        <f t="shared" si="33"/>
        <v/>
      </c>
      <c r="Q42" s="25">
        <f>IF(A42="","",IFERROR(SUMIFS(Int_Repayments!E$4:E$1003,Int_Repayments!C$4:C$1003,A42,Int_Repayments!D$4:D$1003,4),0))</f>
        <v>0</v>
      </c>
      <c r="R42" s="26" t="str">
        <f t="shared" si="34"/>
        <v/>
      </c>
      <c r="S42" s="24" t="str">
        <f t="shared" si="35"/>
        <v/>
      </c>
      <c r="T42" s="25">
        <f>IF(A42="","",IFERROR(SUMIFS(Int_Repayments!E$4:E$1003,Int_Repayments!C$4:C$1003,A42,Int_Repayments!D$4:D$1003,5),0))</f>
        <v>0</v>
      </c>
      <c r="U42" s="26" t="str">
        <f t="shared" si="36"/>
        <v/>
      </c>
      <c r="V42" s="24" t="str">
        <f t="shared" si="37"/>
        <v/>
      </c>
      <c r="W42" s="25">
        <f>IF(A42="","",IFERROR(SUMIFS(Int_Repayments!E$4:E$1003,Int_Repayments!C$4:C$1003,A42,Int_Repayments!D$4:D$1003,6),0))</f>
        <v>0</v>
      </c>
      <c r="X42" s="26" t="str">
        <f t="shared" si="38"/>
        <v/>
      </c>
      <c r="Y42" s="24" t="str">
        <f t="shared" si="39"/>
        <v/>
      </c>
      <c r="Z42" s="25">
        <f>IF(A42="","",IFERROR(SUMIFS(Int_Repayments!E$4:E$1003,Int_Repayments!C$4:C$1003,A42,Int_Repayments!D$4:D$1003,7),0))</f>
        <v>0</v>
      </c>
      <c r="AA42" s="26" t="str">
        <f t="shared" si="40"/>
        <v/>
      </c>
      <c r="AB42" s="24" t="str">
        <f t="shared" si="41"/>
        <v/>
      </c>
      <c r="AC42" s="25">
        <f>IF(A42="","",IFERROR(SUMIFS(Int_Repayments!E$4:E$1003,Int_Repayments!C$4:C$1003,A42,Int_Repayments!D$4:D$1003,8),0))</f>
        <v>0</v>
      </c>
      <c r="AD42" s="26" t="str">
        <f t="shared" si="42"/>
        <v/>
      </c>
      <c r="AE42" s="24" t="str">
        <f t="shared" si="43"/>
        <v/>
      </c>
      <c r="AF42" s="25">
        <f>IF(A42="","",IFERROR(SUMIFS(Int_Repayments!E$4:E$1003,Int_Repayments!C$4:C$1003,A42,Int_Repayments!D$4:D$1003,9),0))</f>
        <v>0</v>
      </c>
      <c r="AG42" s="26" t="str">
        <f t="shared" si="44"/>
        <v/>
      </c>
      <c r="AH42" s="24" t="str">
        <f t="shared" si="45"/>
        <v/>
      </c>
      <c r="AI42" s="25">
        <f>IF(A42="","",IFERROR(SUMIFS(Int_Repayments!E$4:E$1003,Int_Repayments!C$4:C$1003,A42,Int_Repayments!D$4:D$1003,10),0))</f>
        <v>0</v>
      </c>
      <c r="AJ42" s="26" t="str">
        <f t="shared" si="46"/>
        <v/>
      </c>
      <c r="AK42" s="24" t="str">
        <f t="shared" si="47"/>
        <v/>
      </c>
      <c r="AL42" s="25">
        <f>IF(A42="","",IFERROR(SUMIFS(Int_Repayments!E$4:E$1003,Int_Repayments!C$4:C$1003,A42,Int_Repayments!D$4:D$1003,11),0))</f>
        <v>0</v>
      </c>
      <c r="AM42" s="26" t="str">
        <f t="shared" si="48"/>
        <v/>
      </c>
      <c r="AN42" s="24" t="str">
        <f t="shared" si="49"/>
        <v/>
      </c>
      <c r="AO42" s="25">
        <f>IF(A42="","",IFERROR(SUMIFS(Int_Repayments!E$4:E$1003,Int_Repayments!C$4:C$1003,A42,Int_Repayments!D$4:D$1003,12),0))</f>
        <v>0</v>
      </c>
      <c r="AP42" s="26" t="str">
        <f t="shared" si="50"/>
        <v/>
      </c>
      <c r="AQ42" s="24" t="str">
        <f t="shared" si="51"/>
        <v/>
      </c>
      <c r="AR42" s="24" t="str">
        <f t="shared" si="52"/>
        <v/>
      </c>
      <c r="AS42" s="24" t="str">
        <f t="shared" si="53"/>
        <v/>
      </c>
    </row>
    <row r="43" spans="1:45" ht="15.75" customHeight="1" x14ac:dyDescent="0.25">
      <c r="A43" s="6">
        <f>IFERROR(Loans!C43,"")</f>
        <v>0</v>
      </c>
      <c r="B43" s="4">
        <f>IFERROR(Loans!B43,"")</f>
        <v>0</v>
      </c>
      <c r="C43" s="6">
        <f>IFERROR(Loans!A43,"")</f>
        <v>0</v>
      </c>
      <c r="D43" s="21">
        <f>IFERROR(Loans!E43,0)</f>
        <v>0</v>
      </c>
      <c r="E43" s="22">
        <f>IFERROR(Loans!H43,0)</f>
        <v>0</v>
      </c>
      <c r="F43" s="23">
        <f>IFERROR(Loans!I43,0)</f>
        <v>0</v>
      </c>
      <c r="G43" s="24" t="str">
        <f t="shared" si="27"/>
        <v/>
      </c>
      <c r="H43" s="25">
        <f>IF(A43="","",IFERROR(SUMIFS(Int_Repayments!E$4:E$1003,Int_Repayments!C$4:C$1003,A43,Int_Repayments!D$4:D$1003,1),0))</f>
        <v>0</v>
      </c>
      <c r="I43" s="26" t="str">
        <f t="shared" si="28"/>
        <v/>
      </c>
      <c r="J43" s="24" t="str">
        <f t="shared" si="29"/>
        <v/>
      </c>
      <c r="K43" s="25">
        <f>IF(A43="","",IFERROR(SUMIFS(Int_Repayments!E$4:E$1003,Int_Repayments!C$4:C$1003,A43,Int_Repayments!D$4:D$1003,2),0))</f>
        <v>0</v>
      </c>
      <c r="L43" s="26" t="str">
        <f t="shared" si="30"/>
        <v/>
      </c>
      <c r="M43" s="24" t="str">
        <f t="shared" si="31"/>
        <v/>
      </c>
      <c r="N43" s="25">
        <f>IF(A43="","",IFERROR(SUMIFS(Int_Repayments!E$4:E$1003,Int_Repayments!C$4:C$1003,A43,Int_Repayments!D$4:D$1003,3),0))</f>
        <v>0</v>
      </c>
      <c r="O43" s="26" t="str">
        <f t="shared" si="32"/>
        <v/>
      </c>
      <c r="P43" s="24" t="str">
        <f t="shared" si="33"/>
        <v/>
      </c>
      <c r="Q43" s="25">
        <f>IF(A43="","",IFERROR(SUMIFS(Int_Repayments!E$4:E$1003,Int_Repayments!C$4:C$1003,A43,Int_Repayments!D$4:D$1003,4),0))</f>
        <v>0</v>
      </c>
      <c r="R43" s="26" t="str">
        <f t="shared" si="34"/>
        <v/>
      </c>
      <c r="S43" s="24" t="str">
        <f t="shared" si="35"/>
        <v/>
      </c>
      <c r="T43" s="25">
        <f>IF(A43="","",IFERROR(SUMIFS(Int_Repayments!E$4:E$1003,Int_Repayments!C$4:C$1003,A43,Int_Repayments!D$4:D$1003,5),0))</f>
        <v>0</v>
      </c>
      <c r="U43" s="26" t="str">
        <f t="shared" si="36"/>
        <v/>
      </c>
      <c r="V43" s="24" t="str">
        <f t="shared" si="37"/>
        <v/>
      </c>
      <c r="W43" s="25">
        <f>IF(A43="","",IFERROR(SUMIFS(Int_Repayments!E$4:E$1003,Int_Repayments!C$4:C$1003,A43,Int_Repayments!D$4:D$1003,6),0))</f>
        <v>0</v>
      </c>
      <c r="X43" s="26" t="str">
        <f t="shared" si="38"/>
        <v/>
      </c>
      <c r="Y43" s="24" t="str">
        <f t="shared" si="39"/>
        <v/>
      </c>
      <c r="Z43" s="25">
        <f>IF(A43="","",IFERROR(SUMIFS(Int_Repayments!E$4:E$1003,Int_Repayments!C$4:C$1003,A43,Int_Repayments!D$4:D$1003,7),0))</f>
        <v>0</v>
      </c>
      <c r="AA43" s="26" t="str">
        <f t="shared" si="40"/>
        <v/>
      </c>
      <c r="AB43" s="24" t="str">
        <f t="shared" si="41"/>
        <v/>
      </c>
      <c r="AC43" s="25">
        <f>IF(A43="","",IFERROR(SUMIFS(Int_Repayments!E$4:E$1003,Int_Repayments!C$4:C$1003,A43,Int_Repayments!D$4:D$1003,8),0))</f>
        <v>0</v>
      </c>
      <c r="AD43" s="26" t="str">
        <f t="shared" si="42"/>
        <v/>
      </c>
      <c r="AE43" s="24" t="str">
        <f t="shared" si="43"/>
        <v/>
      </c>
      <c r="AF43" s="25">
        <f>IF(A43="","",IFERROR(SUMIFS(Int_Repayments!E$4:E$1003,Int_Repayments!C$4:C$1003,A43,Int_Repayments!D$4:D$1003,9),0))</f>
        <v>0</v>
      </c>
      <c r="AG43" s="26" t="str">
        <f t="shared" si="44"/>
        <v/>
      </c>
      <c r="AH43" s="24" t="str">
        <f t="shared" si="45"/>
        <v/>
      </c>
      <c r="AI43" s="25">
        <f>IF(A43="","",IFERROR(SUMIFS(Int_Repayments!E$4:E$1003,Int_Repayments!C$4:C$1003,A43,Int_Repayments!D$4:D$1003,10),0))</f>
        <v>0</v>
      </c>
      <c r="AJ43" s="26" t="str">
        <f t="shared" si="46"/>
        <v/>
      </c>
      <c r="AK43" s="24" t="str">
        <f t="shared" si="47"/>
        <v/>
      </c>
      <c r="AL43" s="25">
        <f>IF(A43="","",IFERROR(SUMIFS(Int_Repayments!E$4:E$1003,Int_Repayments!C$4:C$1003,A43,Int_Repayments!D$4:D$1003,11),0))</f>
        <v>0</v>
      </c>
      <c r="AM43" s="26" t="str">
        <f t="shared" si="48"/>
        <v/>
      </c>
      <c r="AN43" s="24" t="str">
        <f t="shared" si="49"/>
        <v/>
      </c>
      <c r="AO43" s="25">
        <f>IF(A43="","",IFERROR(SUMIFS(Int_Repayments!E$4:E$1003,Int_Repayments!C$4:C$1003,A43,Int_Repayments!D$4:D$1003,12),0))</f>
        <v>0</v>
      </c>
      <c r="AP43" s="26" t="str">
        <f t="shared" si="50"/>
        <v/>
      </c>
      <c r="AQ43" s="24" t="str">
        <f t="shared" si="51"/>
        <v/>
      </c>
      <c r="AR43" s="24" t="str">
        <f t="shared" si="52"/>
        <v/>
      </c>
      <c r="AS43" s="24" t="str">
        <f t="shared" si="53"/>
        <v/>
      </c>
    </row>
    <row r="44" spans="1:45" ht="15.75" customHeight="1" x14ac:dyDescent="0.25">
      <c r="A44" s="6">
        <f>IFERROR(Loans!C44,"")</f>
        <v>0</v>
      </c>
      <c r="B44" s="4">
        <f>IFERROR(Loans!B44,"")</f>
        <v>0</v>
      </c>
      <c r="C44" s="6">
        <f>IFERROR(Loans!A44,"")</f>
        <v>0</v>
      </c>
      <c r="D44" s="21">
        <f>IFERROR(Loans!E44,0)</f>
        <v>0</v>
      </c>
      <c r="E44" s="22">
        <f>IFERROR(Loans!H44,0)</f>
        <v>0</v>
      </c>
      <c r="F44" s="23">
        <f>IFERROR(Loans!I44,0)</f>
        <v>0</v>
      </c>
      <c r="G44" s="24" t="str">
        <f t="shared" si="27"/>
        <v/>
      </c>
      <c r="H44" s="25">
        <f>IF(A44="","",IFERROR(SUMIFS(Int_Repayments!E$4:E$1003,Int_Repayments!C$4:C$1003,A44,Int_Repayments!D$4:D$1003,1),0))</f>
        <v>0</v>
      </c>
      <c r="I44" s="26" t="str">
        <f t="shared" si="28"/>
        <v/>
      </c>
      <c r="J44" s="24" t="str">
        <f t="shared" si="29"/>
        <v/>
      </c>
      <c r="K44" s="25">
        <f>IF(A44="","",IFERROR(SUMIFS(Int_Repayments!E$4:E$1003,Int_Repayments!C$4:C$1003,A44,Int_Repayments!D$4:D$1003,2),0))</f>
        <v>0</v>
      </c>
      <c r="L44" s="26" t="str">
        <f t="shared" si="30"/>
        <v/>
      </c>
      <c r="M44" s="24" t="str">
        <f t="shared" si="31"/>
        <v/>
      </c>
      <c r="N44" s="25">
        <f>IF(A44="","",IFERROR(SUMIFS(Int_Repayments!E$4:E$1003,Int_Repayments!C$4:C$1003,A44,Int_Repayments!D$4:D$1003,3),0))</f>
        <v>0</v>
      </c>
      <c r="O44" s="26" t="str">
        <f t="shared" si="32"/>
        <v/>
      </c>
      <c r="P44" s="24" t="str">
        <f t="shared" si="33"/>
        <v/>
      </c>
      <c r="Q44" s="25">
        <f>IF(A44="","",IFERROR(SUMIFS(Int_Repayments!E$4:E$1003,Int_Repayments!C$4:C$1003,A44,Int_Repayments!D$4:D$1003,4),0))</f>
        <v>0</v>
      </c>
      <c r="R44" s="26" t="str">
        <f t="shared" si="34"/>
        <v/>
      </c>
      <c r="S44" s="24" t="str">
        <f t="shared" si="35"/>
        <v/>
      </c>
      <c r="T44" s="25">
        <f>IF(A44="","",IFERROR(SUMIFS(Int_Repayments!E$4:E$1003,Int_Repayments!C$4:C$1003,A44,Int_Repayments!D$4:D$1003,5),0))</f>
        <v>0</v>
      </c>
      <c r="U44" s="26" t="str">
        <f t="shared" si="36"/>
        <v/>
      </c>
      <c r="V44" s="24" t="str">
        <f t="shared" si="37"/>
        <v/>
      </c>
      <c r="W44" s="25">
        <f>IF(A44="","",IFERROR(SUMIFS(Int_Repayments!E$4:E$1003,Int_Repayments!C$4:C$1003,A44,Int_Repayments!D$4:D$1003,6),0))</f>
        <v>0</v>
      </c>
      <c r="X44" s="26" t="str">
        <f t="shared" si="38"/>
        <v/>
      </c>
      <c r="Y44" s="24" t="str">
        <f t="shared" si="39"/>
        <v/>
      </c>
      <c r="Z44" s="25">
        <f>IF(A44="","",IFERROR(SUMIFS(Int_Repayments!E$4:E$1003,Int_Repayments!C$4:C$1003,A44,Int_Repayments!D$4:D$1003,7),0))</f>
        <v>0</v>
      </c>
      <c r="AA44" s="26" t="str">
        <f t="shared" si="40"/>
        <v/>
      </c>
      <c r="AB44" s="24" t="str">
        <f t="shared" si="41"/>
        <v/>
      </c>
      <c r="AC44" s="25">
        <f>IF(A44="","",IFERROR(SUMIFS(Int_Repayments!E$4:E$1003,Int_Repayments!C$4:C$1003,A44,Int_Repayments!D$4:D$1003,8),0))</f>
        <v>0</v>
      </c>
      <c r="AD44" s="26" t="str">
        <f t="shared" si="42"/>
        <v/>
      </c>
      <c r="AE44" s="24" t="str">
        <f t="shared" si="43"/>
        <v/>
      </c>
      <c r="AF44" s="25">
        <f>IF(A44="","",IFERROR(SUMIFS(Int_Repayments!E$4:E$1003,Int_Repayments!C$4:C$1003,A44,Int_Repayments!D$4:D$1003,9),0))</f>
        <v>0</v>
      </c>
      <c r="AG44" s="26" t="str">
        <f t="shared" si="44"/>
        <v/>
      </c>
      <c r="AH44" s="24" t="str">
        <f t="shared" si="45"/>
        <v/>
      </c>
      <c r="AI44" s="25">
        <f>IF(A44="","",IFERROR(SUMIFS(Int_Repayments!E$4:E$1003,Int_Repayments!C$4:C$1003,A44,Int_Repayments!D$4:D$1003,10),0))</f>
        <v>0</v>
      </c>
      <c r="AJ44" s="26" t="str">
        <f t="shared" si="46"/>
        <v/>
      </c>
      <c r="AK44" s="24" t="str">
        <f t="shared" si="47"/>
        <v/>
      </c>
      <c r="AL44" s="25">
        <f>IF(A44="","",IFERROR(SUMIFS(Int_Repayments!E$4:E$1003,Int_Repayments!C$4:C$1003,A44,Int_Repayments!D$4:D$1003,11),0))</f>
        <v>0</v>
      </c>
      <c r="AM44" s="26" t="str">
        <f t="shared" si="48"/>
        <v/>
      </c>
      <c r="AN44" s="24" t="str">
        <f t="shared" si="49"/>
        <v/>
      </c>
      <c r="AO44" s="25">
        <f>IF(A44="","",IFERROR(SUMIFS(Int_Repayments!E$4:E$1003,Int_Repayments!C$4:C$1003,A44,Int_Repayments!D$4:D$1003,12),0))</f>
        <v>0</v>
      </c>
      <c r="AP44" s="26" t="str">
        <f t="shared" si="50"/>
        <v/>
      </c>
      <c r="AQ44" s="24" t="str">
        <f t="shared" si="51"/>
        <v/>
      </c>
      <c r="AR44" s="24" t="str">
        <f t="shared" si="52"/>
        <v/>
      </c>
      <c r="AS44" s="24" t="str">
        <f t="shared" si="53"/>
        <v/>
      </c>
    </row>
    <row r="45" spans="1:45" ht="15.75" customHeight="1" x14ac:dyDescent="0.25">
      <c r="A45" s="6">
        <f>IFERROR(Loans!C45,"")</f>
        <v>0</v>
      </c>
      <c r="B45" s="4">
        <f>IFERROR(Loans!B45,"")</f>
        <v>0</v>
      </c>
      <c r="C45" s="6">
        <f>IFERROR(Loans!A45,"")</f>
        <v>0</v>
      </c>
      <c r="D45" s="21">
        <f>IFERROR(Loans!E45,0)</f>
        <v>0</v>
      </c>
      <c r="E45" s="22">
        <f>IFERROR(Loans!H45,0)</f>
        <v>0</v>
      </c>
      <c r="F45" s="23">
        <f>IFERROR(Loans!I45,0)</f>
        <v>0</v>
      </c>
      <c r="G45" s="24" t="str">
        <f t="shared" si="27"/>
        <v/>
      </c>
      <c r="H45" s="25">
        <f>IF(A45="","",IFERROR(SUMIFS(Int_Repayments!E$4:E$1003,Int_Repayments!C$4:C$1003,A45,Int_Repayments!D$4:D$1003,1),0))</f>
        <v>0</v>
      </c>
      <c r="I45" s="26" t="str">
        <f t="shared" si="28"/>
        <v/>
      </c>
      <c r="J45" s="24" t="str">
        <f t="shared" si="29"/>
        <v/>
      </c>
      <c r="K45" s="25">
        <f>IF(A45="","",IFERROR(SUMIFS(Int_Repayments!E$4:E$1003,Int_Repayments!C$4:C$1003,A45,Int_Repayments!D$4:D$1003,2),0))</f>
        <v>0</v>
      </c>
      <c r="L45" s="26" t="str">
        <f t="shared" si="30"/>
        <v/>
      </c>
      <c r="M45" s="24" t="str">
        <f t="shared" si="31"/>
        <v/>
      </c>
      <c r="N45" s="25">
        <f>IF(A45="","",IFERROR(SUMIFS(Int_Repayments!E$4:E$1003,Int_Repayments!C$4:C$1003,A45,Int_Repayments!D$4:D$1003,3),0))</f>
        <v>0</v>
      </c>
      <c r="O45" s="26" t="str">
        <f t="shared" si="32"/>
        <v/>
      </c>
      <c r="P45" s="24" t="str">
        <f t="shared" si="33"/>
        <v/>
      </c>
      <c r="Q45" s="25">
        <f>IF(A45="","",IFERROR(SUMIFS(Int_Repayments!E$4:E$1003,Int_Repayments!C$4:C$1003,A45,Int_Repayments!D$4:D$1003,4),0))</f>
        <v>0</v>
      </c>
      <c r="R45" s="26" t="str">
        <f t="shared" si="34"/>
        <v/>
      </c>
      <c r="S45" s="24" t="str">
        <f t="shared" si="35"/>
        <v/>
      </c>
      <c r="T45" s="25">
        <f>IF(A45="","",IFERROR(SUMIFS(Int_Repayments!E$4:E$1003,Int_Repayments!C$4:C$1003,A45,Int_Repayments!D$4:D$1003,5),0))</f>
        <v>0</v>
      </c>
      <c r="U45" s="26" t="str">
        <f t="shared" si="36"/>
        <v/>
      </c>
      <c r="V45" s="24" t="str">
        <f t="shared" si="37"/>
        <v/>
      </c>
      <c r="W45" s="25">
        <f>IF(A45="","",IFERROR(SUMIFS(Int_Repayments!E$4:E$1003,Int_Repayments!C$4:C$1003,A45,Int_Repayments!D$4:D$1003,6),0))</f>
        <v>0</v>
      </c>
      <c r="X45" s="26" t="str">
        <f t="shared" si="38"/>
        <v/>
      </c>
      <c r="Y45" s="24" t="str">
        <f t="shared" si="39"/>
        <v/>
      </c>
      <c r="Z45" s="25">
        <f>IF(A45="","",IFERROR(SUMIFS(Int_Repayments!E$4:E$1003,Int_Repayments!C$4:C$1003,A45,Int_Repayments!D$4:D$1003,7),0))</f>
        <v>0</v>
      </c>
      <c r="AA45" s="26" t="str">
        <f t="shared" si="40"/>
        <v/>
      </c>
      <c r="AB45" s="24" t="str">
        <f t="shared" si="41"/>
        <v/>
      </c>
      <c r="AC45" s="25">
        <f>IF(A45="","",IFERROR(SUMIFS(Int_Repayments!E$4:E$1003,Int_Repayments!C$4:C$1003,A45,Int_Repayments!D$4:D$1003,8),0))</f>
        <v>0</v>
      </c>
      <c r="AD45" s="26" t="str">
        <f t="shared" si="42"/>
        <v/>
      </c>
      <c r="AE45" s="24" t="str">
        <f t="shared" si="43"/>
        <v/>
      </c>
      <c r="AF45" s="25">
        <f>IF(A45="","",IFERROR(SUMIFS(Int_Repayments!E$4:E$1003,Int_Repayments!C$4:C$1003,A45,Int_Repayments!D$4:D$1003,9),0))</f>
        <v>0</v>
      </c>
      <c r="AG45" s="26" t="str">
        <f t="shared" si="44"/>
        <v/>
      </c>
      <c r="AH45" s="24" t="str">
        <f t="shared" si="45"/>
        <v/>
      </c>
      <c r="AI45" s="25">
        <f>IF(A45="","",IFERROR(SUMIFS(Int_Repayments!E$4:E$1003,Int_Repayments!C$4:C$1003,A45,Int_Repayments!D$4:D$1003,10),0))</f>
        <v>0</v>
      </c>
      <c r="AJ45" s="26" t="str">
        <f t="shared" si="46"/>
        <v/>
      </c>
      <c r="AK45" s="24" t="str">
        <f t="shared" si="47"/>
        <v/>
      </c>
      <c r="AL45" s="25">
        <f>IF(A45="","",IFERROR(SUMIFS(Int_Repayments!E$4:E$1003,Int_Repayments!C$4:C$1003,A45,Int_Repayments!D$4:D$1003,11),0))</f>
        <v>0</v>
      </c>
      <c r="AM45" s="26" t="str">
        <f t="shared" si="48"/>
        <v/>
      </c>
      <c r="AN45" s="24" t="str">
        <f t="shared" si="49"/>
        <v/>
      </c>
      <c r="AO45" s="25">
        <f>IF(A45="","",IFERROR(SUMIFS(Int_Repayments!E$4:E$1003,Int_Repayments!C$4:C$1003,A45,Int_Repayments!D$4:D$1003,12),0))</f>
        <v>0</v>
      </c>
      <c r="AP45" s="26" t="str">
        <f t="shared" si="50"/>
        <v/>
      </c>
      <c r="AQ45" s="24" t="str">
        <f t="shared" si="51"/>
        <v/>
      </c>
      <c r="AR45" s="24" t="str">
        <f t="shared" si="52"/>
        <v/>
      </c>
      <c r="AS45" s="24" t="str">
        <f t="shared" si="53"/>
        <v/>
      </c>
    </row>
    <row r="46" spans="1:45" ht="15.75" customHeight="1" x14ac:dyDescent="0.25">
      <c r="A46" s="6">
        <f>IFERROR(Loans!C46,"")</f>
        <v>0</v>
      </c>
      <c r="B46" s="4">
        <f>IFERROR(Loans!B46,"")</f>
        <v>0</v>
      </c>
      <c r="C46" s="6">
        <f>IFERROR(Loans!A46,"")</f>
        <v>0</v>
      </c>
      <c r="D46" s="21">
        <f>IFERROR(Loans!E46,0)</f>
        <v>0</v>
      </c>
      <c r="E46" s="22">
        <f>IFERROR(Loans!H46,0)</f>
        <v>0</v>
      </c>
      <c r="F46" s="23">
        <f>IFERROR(Loans!I46,0)</f>
        <v>0</v>
      </c>
      <c r="G46" s="24" t="str">
        <f t="shared" si="27"/>
        <v/>
      </c>
      <c r="H46" s="25">
        <f>IF(A46="","",IFERROR(SUMIFS(Int_Repayments!E$4:E$1003,Int_Repayments!C$4:C$1003,A46,Int_Repayments!D$4:D$1003,1),0))</f>
        <v>0</v>
      </c>
      <c r="I46" s="26" t="str">
        <f t="shared" si="28"/>
        <v/>
      </c>
      <c r="J46" s="24" t="str">
        <f t="shared" si="29"/>
        <v/>
      </c>
      <c r="K46" s="25">
        <f>IF(A46="","",IFERROR(SUMIFS(Int_Repayments!E$4:E$1003,Int_Repayments!C$4:C$1003,A46,Int_Repayments!D$4:D$1003,2),0))</f>
        <v>0</v>
      </c>
      <c r="L46" s="26" t="str">
        <f t="shared" si="30"/>
        <v/>
      </c>
      <c r="M46" s="24" t="str">
        <f t="shared" si="31"/>
        <v/>
      </c>
      <c r="N46" s="25">
        <f>IF(A46="","",IFERROR(SUMIFS(Int_Repayments!E$4:E$1003,Int_Repayments!C$4:C$1003,A46,Int_Repayments!D$4:D$1003,3),0))</f>
        <v>0</v>
      </c>
      <c r="O46" s="26" t="str">
        <f t="shared" si="32"/>
        <v/>
      </c>
      <c r="P46" s="24" t="str">
        <f t="shared" si="33"/>
        <v/>
      </c>
      <c r="Q46" s="25">
        <f>IF(A46="","",IFERROR(SUMIFS(Int_Repayments!E$4:E$1003,Int_Repayments!C$4:C$1003,A46,Int_Repayments!D$4:D$1003,4),0))</f>
        <v>0</v>
      </c>
      <c r="R46" s="26" t="str">
        <f t="shared" si="34"/>
        <v/>
      </c>
      <c r="S46" s="24" t="str">
        <f t="shared" si="35"/>
        <v/>
      </c>
      <c r="T46" s="25">
        <f>IF(A46="","",IFERROR(SUMIFS(Int_Repayments!E$4:E$1003,Int_Repayments!C$4:C$1003,A46,Int_Repayments!D$4:D$1003,5),0))</f>
        <v>0</v>
      </c>
      <c r="U46" s="26" t="str">
        <f t="shared" si="36"/>
        <v/>
      </c>
      <c r="V46" s="24" t="str">
        <f t="shared" si="37"/>
        <v/>
      </c>
      <c r="W46" s="25">
        <f>IF(A46="","",IFERROR(SUMIFS(Int_Repayments!E$4:E$1003,Int_Repayments!C$4:C$1003,A46,Int_Repayments!D$4:D$1003,6),0))</f>
        <v>0</v>
      </c>
      <c r="X46" s="26" t="str">
        <f t="shared" si="38"/>
        <v/>
      </c>
      <c r="Y46" s="24" t="str">
        <f t="shared" si="39"/>
        <v/>
      </c>
      <c r="Z46" s="25">
        <f>IF(A46="","",IFERROR(SUMIFS(Int_Repayments!E$4:E$1003,Int_Repayments!C$4:C$1003,A46,Int_Repayments!D$4:D$1003,7),0))</f>
        <v>0</v>
      </c>
      <c r="AA46" s="26" t="str">
        <f t="shared" si="40"/>
        <v/>
      </c>
      <c r="AB46" s="24" t="str">
        <f t="shared" si="41"/>
        <v/>
      </c>
      <c r="AC46" s="25">
        <f>IF(A46="","",IFERROR(SUMIFS(Int_Repayments!E$4:E$1003,Int_Repayments!C$4:C$1003,A46,Int_Repayments!D$4:D$1003,8),0))</f>
        <v>0</v>
      </c>
      <c r="AD46" s="26" t="str">
        <f t="shared" si="42"/>
        <v/>
      </c>
      <c r="AE46" s="24" t="str">
        <f t="shared" si="43"/>
        <v/>
      </c>
      <c r="AF46" s="25">
        <f>IF(A46="","",IFERROR(SUMIFS(Int_Repayments!E$4:E$1003,Int_Repayments!C$4:C$1003,A46,Int_Repayments!D$4:D$1003,9),0))</f>
        <v>0</v>
      </c>
      <c r="AG46" s="26" t="str">
        <f t="shared" si="44"/>
        <v/>
      </c>
      <c r="AH46" s="24" t="str">
        <f t="shared" si="45"/>
        <v/>
      </c>
      <c r="AI46" s="25">
        <f>IF(A46="","",IFERROR(SUMIFS(Int_Repayments!E$4:E$1003,Int_Repayments!C$4:C$1003,A46,Int_Repayments!D$4:D$1003,10),0))</f>
        <v>0</v>
      </c>
      <c r="AJ46" s="26" t="str">
        <f t="shared" si="46"/>
        <v/>
      </c>
      <c r="AK46" s="24" t="str">
        <f t="shared" si="47"/>
        <v/>
      </c>
      <c r="AL46" s="25">
        <f>IF(A46="","",IFERROR(SUMIFS(Int_Repayments!E$4:E$1003,Int_Repayments!C$4:C$1003,A46,Int_Repayments!D$4:D$1003,11),0))</f>
        <v>0</v>
      </c>
      <c r="AM46" s="26" t="str">
        <f t="shared" si="48"/>
        <v/>
      </c>
      <c r="AN46" s="24" t="str">
        <f t="shared" si="49"/>
        <v/>
      </c>
      <c r="AO46" s="25">
        <f>IF(A46="","",IFERROR(SUMIFS(Int_Repayments!E$4:E$1003,Int_Repayments!C$4:C$1003,A46,Int_Repayments!D$4:D$1003,12),0))</f>
        <v>0</v>
      </c>
      <c r="AP46" s="26" t="str">
        <f t="shared" si="50"/>
        <v/>
      </c>
      <c r="AQ46" s="24" t="str">
        <f t="shared" si="51"/>
        <v/>
      </c>
      <c r="AR46" s="24" t="str">
        <f t="shared" si="52"/>
        <v/>
      </c>
      <c r="AS46" s="24" t="str">
        <f t="shared" si="53"/>
        <v/>
      </c>
    </row>
    <row r="47" spans="1:45" ht="15.75" customHeight="1" x14ac:dyDescent="0.25">
      <c r="A47" s="6">
        <f>IFERROR(Loans!C47,"")</f>
        <v>0</v>
      </c>
      <c r="B47" s="4">
        <f>IFERROR(Loans!B47,"")</f>
        <v>0</v>
      </c>
      <c r="C47" s="6">
        <f>IFERROR(Loans!A47,"")</f>
        <v>0</v>
      </c>
      <c r="D47" s="21">
        <f>IFERROR(Loans!E47,0)</f>
        <v>0</v>
      </c>
      <c r="E47" s="22">
        <f>IFERROR(Loans!H47,0)</f>
        <v>0</v>
      </c>
      <c r="F47" s="23">
        <f>IFERROR(Loans!I47,0)</f>
        <v>0</v>
      </c>
      <c r="G47" s="24" t="str">
        <f t="shared" si="27"/>
        <v/>
      </c>
      <c r="H47" s="25">
        <f>IF(A47="","",IFERROR(SUMIFS(Int_Repayments!E$4:E$1003,Int_Repayments!C$4:C$1003,A47,Int_Repayments!D$4:D$1003,1),0))</f>
        <v>0</v>
      </c>
      <c r="I47" s="26" t="str">
        <f t="shared" si="28"/>
        <v/>
      </c>
      <c r="J47" s="24" t="str">
        <f t="shared" si="29"/>
        <v/>
      </c>
      <c r="K47" s="25">
        <f>IF(A47="","",IFERROR(SUMIFS(Int_Repayments!E$4:E$1003,Int_Repayments!C$4:C$1003,A47,Int_Repayments!D$4:D$1003,2),0))</f>
        <v>0</v>
      </c>
      <c r="L47" s="26" t="str">
        <f t="shared" si="30"/>
        <v/>
      </c>
      <c r="M47" s="24" t="str">
        <f t="shared" si="31"/>
        <v/>
      </c>
      <c r="N47" s="25">
        <f>IF(A47="","",IFERROR(SUMIFS(Int_Repayments!E$4:E$1003,Int_Repayments!C$4:C$1003,A47,Int_Repayments!D$4:D$1003,3),0))</f>
        <v>0</v>
      </c>
      <c r="O47" s="26" t="str">
        <f t="shared" si="32"/>
        <v/>
      </c>
      <c r="P47" s="24" t="str">
        <f t="shared" si="33"/>
        <v/>
      </c>
      <c r="Q47" s="25">
        <f>IF(A47="","",IFERROR(SUMIFS(Int_Repayments!E$4:E$1003,Int_Repayments!C$4:C$1003,A47,Int_Repayments!D$4:D$1003,4),0))</f>
        <v>0</v>
      </c>
      <c r="R47" s="26" t="str">
        <f t="shared" si="34"/>
        <v/>
      </c>
      <c r="S47" s="24" t="str">
        <f t="shared" si="35"/>
        <v/>
      </c>
      <c r="T47" s="25">
        <f>IF(A47="","",IFERROR(SUMIFS(Int_Repayments!E$4:E$1003,Int_Repayments!C$4:C$1003,A47,Int_Repayments!D$4:D$1003,5),0))</f>
        <v>0</v>
      </c>
      <c r="U47" s="26" t="str">
        <f t="shared" si="36"/>
        <v/>
      </c>
      <c r="V47" s="24" t="str">
        <f t="shared" si="37"/>
        <v/>
      </c>
      <c r="W47" s="25">
        <f>IF(A47="","",IFERROR(SUMIFS(Int_Repayments!E$4:E$1003,Int_Repayments!C$4:C$1003,A47,Int_Repayments!D$4:D$1003,6),0))</f>
        <v>0</v>
      </c>
      <c r="X47" s="26" t="str">
        <f t="shared" si="38"/>
        <v/>
      </c>
      <c r="Y47" s="24" t="str">
        <f t="shared" si="39"/>
        <v/>
      </c>
      <c r="Z47" s="25">
        <f>IF(A47="","",IFERROR(SUMIFS(Int_Repayments!E$4:E$1003,Int_Repayments!C$4:C$1003,A47,Int_Repayments!D$4:D$1003,7),0))</f>
        <v>0</v>
      </c>
      <c r="AA47" s="26" t="str">
        <f t="shared" si="40"/>
        <v/>
      </c>
      <c r="AB47" s="24" t="str">
        <f t="shared" si="41"/>
        <v/>
      </c>
      <c r="AC47" s="25">
        <f>IF(A47="","",IFERROR(SUMIFS(Int_Repayments!E$4:E$1003,Int_Repayments!C$4:C$1003,A47,Int_Repayments!D$4:D$1003,8),0))</f>
        <v>0</v>
      </c>
      <c r="AD47" s="26" t="str">
        <f t="shared" si="42"/>
        <v/>
      </c>
      <c r="AE47" s="24" t="str">
        <f t="shared" si="43"/>
        <v/>
      </c>
      <c r="AF47" s="25">
        <f>IF(A47="","",IFERROR(SUMIFS(Int_Repayments!E$4:E$1003,Int_Repayments!C$4:C$1003,A47,Int_Repayments!D$4:D$1003,9),0))</f>
        <v>0</v>
      </c>
      <c r="AG47" s="26" t="str">
        <f t="shared" si="44"/>
        <v/>
      </c>
      <c r="AH47" s="24" t="str">
        <f t="shared" si="45"/>
        <v/>
      </c>
      <c r="AI47" s="25">
        <f>IF(A47="","",IFERROR(SUMIFS(Int_Repayments!E$4:E$1003,Int_Repayments!C$4:C$1003,A47,Int_Repayments!D$4:D$1003,10),0))</f>
        <v>0</v>
      </c>
      <c r="AJ47" s="26" t="str">
        <f t="shared" si="46"/>
        <v/>
      </c>
      <c r="AK47" s="24" t="str">
        <f t="shared" si="47"/>
        <v/>
      </c>
      <c r="AL47" s="25">
        <f>IF(A47="","",IFERROR(SUMIFS(Int_Repayments!E$4:E$1003,Int_Repayments!C$4:C$1003,A47,Int_Repayments!D$4:D$1003,11),0))</f>
        <v>0</v>
      </c>
      <c r="AM47" s="26" t="str">
        <f t="shared" si="48"/>
        <v/>
      </c>
      <c r="AN47" s="24" t="str">
        <f t="shared" si="49"/>
        <v/>
      </c>
      <c r="AO47" s="25">
        <f>IF(A47="","",IFERROR(SUMIFS(Int_Repayments!E$4:E$1003,Int_Repayments!C$4:C$1003,A47,Int_Repayments!D$4:D$1003,12),0))</f>
        <v>0</v>
      </c>
      <c r="AP47" s="26" t="str">
        <f t="shared" si="50"/>
        <v/>
      </c>
      <c r="AQ47" s="24" t="str">
        <f t="shared" si="51"/>
        <v/>
      </c>
      <c r="AR47" s="24" t="str">
        <f t="shared" si="52"/>
        <v/>
      </c>
      <c r="AS47" s="24" t="str">
        <f t="shared" si="53"/>
        <v/>
      </c>
    </row>
    <row r="48" spans="1:45" ht="15.75" customHeight="1" x14ac:dyDescent="0.25">
      <c r="A48" s="6">
        <f>IFERROR(Loans!C48,"")</f>
        <v>0</v>
      </c>
      <c r="B48" s="4">
        <f>IFERROR(Loans!B48,"")</f>
        <v>0</v>
      </c>
      <c r="C48" s="6">
        <f>IFERROR(Loans!A48,"")</f>
        <v>0</v>
      </c>
      <c r="D48" s="21">
        <f>IFERROR(Loans!E48,0)</f>
        <v>0</v>
      </c>
      <c r="E48" s="22">
        <f>IFERROR(Loans!H48,0)</f>
        <v>0</v>
      </c>
      <c r="F48" s="23">
        <f>IFERROR(Loans!I48,0)</f>
        <v>0</v>
      </c>
      <c r="G48" s="24" t="str">
        <f t="shared" si="27"/>
        <v/>
      </c>
      <c r="H48" s="25">
        <f>IF(A48="","",IFERROR(SUMIFS(Int_Repayments!E$4:E$1003,Int_Repayments!C$4:C$1003,A48,Int_Repayments!D$4:D$1003,1),0))</f>
        <v>0</v>
      </c>
      <c r="I48" s="26" t="str">
        <f t="shared" si="28"/>
        <v/>
      </c>
      <c r="J48" s="24" t="str">
        <f t="shared" si="29"/>
        <v/>
      </c>
      <c r="K48" s="25">
        <f>IF(A48="","",IFERROR(SUMIFS(Int_Repayments!E$4:E$1003,Int_Repayments!C$4:C$1003,A48,Int_Repayments!D$4:D$1003,2),0))</f>
        <v>0</v>
      </c>
      <c r="L48" s="26" t="str">
        <f t="shared" si="30"/>
        <v/>
      </c>
      <c r="M48" s="24" t="str">
        <f t="shared" si="31"/>
        <v/>
      </c>
      <c r="N48" s="25">
        <f>IF(A48="","",IFERROR(SUMIFS(Int_Repayments!E$4:E$1003,Int_Repayments!C$4:C$1003,A48,Int_Repayments!D$4:D$1003,3),0))</f>
        <v>0</v>
      </c>
      <c r="O48" s="26" t="str">
        <f t="shared" si="32"/>
        <v/>
      </c>
      <c r="P48" s="24" t="str">
        <f t="shared" si="33"/>
        <v/>
      </c>
      <c r="Q48" s="25">
        <f>IF(A48="","",IFERROR(SUMIFS(Int_Repayments!E$4:E$1003,Int_Repayments!C$4:C$1003,A48,Int_Repayments!D$4:D$1003,4),0))</f>
        <v>0</v>
      </c>
      <c r="R48" s="26" t="str">
        <f t="shared" si="34"/>
        <v/>
      </c>
      <c r="S48" s="24" t="str">
        <f t="shared" si="35"/>
        <v/>
      </c>
      <c r="T48" s="25">
        <f>IF(A48="","",IFERROR(SUMIFS(Int_Repayments!E$4:E$1003,Int_Repayments!C$4:C$1003,A48,Int_Repayments!D$4:D$1003,5),0))</f>
        <v>0</v>
      </c>
      <c r="U48" s="26" t="str">
        <f t="shared" si="36"/>
        <v/>
      </c>
      <c r="V48" s="24" t="str">
        <f t="shared" si="37"/>
        <v/>
      </c>
      <c r="W48" s="25">
        <f>IF(A48="","",IFERROR(SUMIFS(Int_Repayments!E$4:E$1003,Int_Repayments!C$4:C$1003,A48,Int_Repayments!D$4:D$1003,6),0))</f>
        <v>0</v>
      </c>
      <c r="X48" s="26" t="str">
        <f t="shared" si="38"/>
        <v/>
      </c>
      <c r="Y48" s="24" t="str">
        <f t="shared" si="39"/>
        <v/>
      </c>
      <c r="Z48" s="25">
        <f>IF(A48="","",IFERROR(SUMIFS(Int_Repayments!E$4:E$1003,Int_Repayments!C$4:C$1003,A48,Int_Repayments!D$4:D$1003,7),0))</f>
        <v>0</v>
      </c>
      <c r="AA48" s="26" t="str">
        <f t="shared" si="40"/>
        <v/>
      </c>
      <c r="AB48" s="24" t="str">
        <f t="shared" si="41"/>
        <v/>
      </c>
      <c r="AC48" s="25">
        <f>IF(A48="","",IFERROR(SUMIFS(Int_Repayments!E$4:E$1003,Int_Repayments!C$4:C$1003,A48,Int_Repayments!D$4:D$1003,8),0))</f>
        <v>0</v>
      </c>
      <c r="AD48" s="26" t="str">
        <f t="shared" si="42"/>
        <v/>
      </c>
      <c r="AE48" s="24" t="str">
        <f t="shared" si="43"/>
        <v/>
      </c>
      <c r="AF48" s="25">
        <f>IF(A48="","",IFERROR(SUMIFS(Int_Repayments!E$4:E$1003,Int_Repayments!C$4:C$1003,A48,Int_Repayments!D$4:D$1003,9),0))</f>
        <v>0</v>
      </c>
      <c r="AG48" s="26" t="str">
        <f t="shared" si="44"/>
        <v/>
      </c>
      <c r="AH48" s="24" t="str">
        <f t="shared" si="45"/>
        <v/>
      </c>
      <c r="AI48" s="25">
        <f>IF(A48="","",IFERROR(SUMIFS(Int_Repayments!E$4:E$1003,Int_Repayments!C$4:C$1003,A48,Int_Repayments!D$4:D$1003,10),0))</f>
        <v>0</v>
      </c>
      <c r="AJ48" s="26" t="str">
        <f t="shared" si="46"/>
        <v/>
      </c>
      <c r="AK48" s="24" t="str">
        <f t="shared" si="47"/>
        <v/>
      </c>
      <c r="AL48" s="25">
        <f>IF(A48="","",IFERROR(SUMIFS(Int_Repayments!E$4:E$1003,Int_Repayments!C$4:C$1003,A48,Int_Repayments!D$4:D$1003,11),0))</f>
        <v>0</v>
      </c>
      <c r="AM48" s="26" t="str">
        <f t="shared" si="48"/>
        <v/>
      </c>
      <c r="AN48" s="24" t="str">
        <f t="shared" si="49"/>
        <v/>
      </c>
      <c r="AO48" s="25">
        <f>IF(A48="","",IFERROR(SUMIFS(Int_Repayments!E$4:E$1003,Int_Repayments!C$4:C$1003,A48,Int_Repayments!D$4:D$1003,12),0))</f>
        <v>0</v>
      </c>
      <c r="AP48" s="26" t="str">
        <f t="shared" si="50"/>
        <v/>
      </c>
      <c r="AQ48" s="24" t="str">
        <f t="shared" si="51"/>
        <v/>
      </c>
      <c r="AR48" s="24" t="str">
        <f t="shared" si="52"/>
        <v/>
      </c>
      <c r="AS48" s="24" t="str">
        <f t="shared" si="53"/>
        <v/>
      </c>
    </row>
    <row r="49" spans="1:45" ht="15.75" customHeight="1" x14ac:dyDescent="0.25">
      <c r="A49" s="6">
        <f>IFERROR(Loans!C49,"")</f>
        <v>0</v>
      </c>
      <c r="B49" s="4">
        <f>IFERROR(Loans!B49,"")</f>
        <v>0</v>
      </c>
      <c r="C49" s="6">
        <f>IFERROR(Loans!A49,"")</f>
        <v>0</v>
      </c>
      <c r="D49" s="21">
        <f>IFERROR(Loans!E49,0)</f>
        <v>0</v>
      </c>
      <c r="E49" s="22">
        <f>IFERROR(Loans!H49,0)</f>
        <v>0</v>
      </c>
      <c r="F49" s="23">
        <f>IFERROR(Loans!I49,0)</f>
        <v>0</v>
      </c>
      <c r="G49" s="24" t="str">
        <f t="shared" si="27"/>
        <v/>
      </c>
      <c r="H49" s="25">
        <f>IF(A49="","",IFERROR(SUMIFS(Int_Repayments!E$4:E$1003,Int_Repayments!C$4:C$1003,A49,Int_Repayments!D$4:D$1003,1),0))</f>
        <v>0</v>
      </c>
      <c r="I49" s="26" t="str">
        <f t="shared" si="28"/>
        <v/>
      </c>
      <c r="J49" s="24" t="str">
        <f t="shared" si="29"/>
        <v/>
      </c>
      <c r="K49" s="25">
        <f>IF(A49="","",IFERROR(SUMIFS(Int_Repayments!E$4:E$1003,Int_Repayments!C$4:C$1003,A49,Int_Repayments!D$4:D$1003,2),0))</f>
        <v>0</v>
      </c>
      <c r="L49" s="26" t="str">
        <f t="shared" si="30"/>
        <v/>
      </c>
      <c r="M49" s="24" t="str">
        <f t="shared" si="31"/>
        <v/>
      </c>
      <c r="N49" s="25">
        <f>IF(A49="","",IFERROR(SUMIFS(Int_Repayments!E$4:E$1003,Int_Repayments!C$4:C$1003,A49,Int_Repayments!D$4:D$1003,3),0))</f>
        <v>0</v>
      </c>
      <c r="O49" s="26" t="str">
        <f t="shared" si="32"/>
        <v/>
      </c>
      <c r="P49" s="24" t="str">
        <f t="shared" si="33"/>
        <v/>
      </c>
      <c r="Q49" s="25">
        <f>IF(A49="","",IFERROR(SUMIFS(Int_Repayments!E$4:E$1003,Int_Repayments!C$4:C$1003,A49,Int_Repayments!D$4:D$1003,4),0))</f>
        <v>0</v>
      </c>
      <c r="R49" s="26" t="str">
        <f t="shared" si="34"/>
        <v/>
      </c>
      <c r="S49" s="24" t="str">
        <f t="shared" si="35"/>
        <v/>
      </c>
      <c r="T49" s="25">
        <f>IF(A49="","",IFERROR(SUMIFS(Int_Repayments!E$4:E$1003,Int_Repayments!C$4:C$1003,A49,Int_Repayments!D$4:D$1003,5),0))</f>
        <v>0</v>
      </c>
      <c r="U49" s="26" t="str">
        <f t="shared" si="36"/>
        <v/>
      </c>
      <c r="V49" s="24" t="str">
        <f t="shared" si="37"/>
        <v/>
      </c>
      <c r="W49" s="25">
        <f>IF(A49="","",IFERROR(SUMIFS(Int_Repayments!E$4:E$1003,Int_Repayments!C$4:C$1003,A49,Int_Repayments!D$4:D$1003,6),0))</f>
        <v>0</v>
      </c>
      <c r="X49" s="26" t="str">
        <f t="shared" si="38"/>
        <v/>
      </c>
      <c r="Y49" s="24" t="str">
        <f t="shared" si="39"/>
        <v/>
      </c>
      <c r="Z49" s="25">
        <f>IF(A49="","",IFERROR(SUMIFS(Int_Repayments!E$4:E$1003,Int_Repayments!C$4:C$1003,A49,Int_Repayments!D$4:D$1003,7),0))</f>
        <v>0</v>
      </c>
      <c r="AA49" s="26" t="str">
        <f t="shared" si="40"/>
        <v/>
      </c>
      <c r="AB49" s="24" t="str">
        <f t="shared" si="41"/>
        <v/>
      </c>
      <c r="AC49" s="25">
        <f>IF(A49="","",IFERROR(SUMIFS(Int_Repayments!E$4:E$1003,Int_Repayments!C$4:C$1003,A49,Int_Repayments!D$4:D$1003,8),0))</f>
        <v>0</v>
      </c>
      <c r="AD49" s="26" t="str">
        <f t="shared" si="42"/>
        <v/>
      </c>
      <c r="AE49" s="24" t="str">
        <f t="shared" si="43"/>
        <v/>
      </c>
      <c r="AF49" s="25">
        <f>IF(A49="","",IFERROR(SUMIFS(Int_Repayments!E$4:E$1003,Int_Repayments!C$4:C$1003,A49,Int_Repayments!D$4:D$1003,9),0))</f>
        <v>0</v>
      </c>
      <c r="AG49" s="26" t="str">
        <f t="shared" si="44"/>
        <v/>
      </c>
      <c r="AH49" s="24" t="str">
        <f t="shared" si="45"/>
        <v/>
      </c>
      <c r="AI49" s="25">
        <f>IF(A49="","",IFERROR(SUMIFS(Int_Repayments!E$4:E$1003,Int_Repayments!C$4:C$1003,A49,Int_Repayments!D$4:D$1003,10),0))</f>
        <v>0</v>
      </c>
      <c r="AJ49" s="26" t="str">
        <f t="shared" si="46"/>
        <v/>
      </c>
      <c r="AK49" s="24" t="str">
        <f t="shared" si="47"/>
        <v/>
      </c>
      <c r="AL49" s="25">
        <f>IF(A49="","",IFERROR(SUMIFS(Int_Repayments!E$4:E$1003,Int_Repayments!C$4:C$1003,A49,Int_Repayments!D$4:D$1003,11),0))</f>
        <v>0</v>
      </c>
      <c r="AM49" s="26" t="str">
        <f t="shared" si="48"/>
        <v/>
      </c>
      <c r="AN49" s="24" t="str">
        <f t="shared" si="49"/>
        <v/>
      </c>
      <c r="AO49" s="25">
        <f>IF(A49="","",IFERROR(SUMIFS(Int_Repayments!E$4:E$1003,Int_Repayments!C$4:C$1003,A49,Int_Repayments!D$4:D$1003,12),0))</f>
        <v>0</v>
      </c>
      <c r="AP49" s="26" t="str">
        <f t="shared" si="50"/>
        <v/>
      </c>
      <c r="AQ49" s="24" t="str">
        <f t="shared" si="51"/>
        <v/>
      </c>
      <c r="AR49" s="24" t="str">
        <f t="shared" si="52"/>
        <v/>
      </c>
      <c r="AS49" s="24" t="str">
        <f t="shared" si="53"/>
        <v/>
      </c>
    </row>
    <row r="50" spans="1:45" ht="15.75" customHeight="1" x14ac:dyDescent="0.25">
      <c r="A50" s="6">
        <f>IFERROR(Loans!C50,"")</f>
        <v>0</v>
      </c>
      <c r="B50" s="4">
        <f>IFERROR(Loans!B50,"")</f>
        <v>0</v>
      </c>
      <c r="C50" s="6">
        <f>IFERROR(Loans!A50,"")</f>
        <v>0</v>
      </c>
      <c r="D50" s="21">
        <f>IFERROR(Loans!E50,0)</f>
        <v>0</v>
      </c>
      <c r="E50" s="22">
        <f>IFERROR(Loans!H50,0)</f>
        <v>0</v>
      </c>
      <c r="F50" s="23">
        <f>IFERROR(Loans!I50,0)</f>
        <v>0</v>
      </c>
      <c r="G50" s="24" t="str">
        <f t="shared" si="27"/>
        <v/>
      </c>
      <c r="H50" s="25">
        <f>IF(A50="","",IFERROR(SUMIFS(Int_Repayments!E$4:E$1003,Int_Repayments!C$4:C$1003,A50,Int_Repayments!D$4:D$1003,1),0))</f>
        <v>0</v>
      </c>
      <c r="I50" s="26" t="str">
        <f t="shared" si="28"/>
        <v/>
      </c>
      <c r="J50" s="24" t="str">
        <f t="shared" si="29"/>
        <v/>
      </c>
      <c r="K50" s="25">
        <f>IF(A50="","",IFERROR(SUMIFS(Int_Repayments!E$4:E$1003,Int_Repayments!C$4:C$1003,A50,Int_Repayments!D$4:D$1003,2),0))</f>
        <v>0</v>
      </c>
      <c r="L50" s="26" t="str">
        <f t="shared" si="30"/>
        <v/>
      </c>
      <c r="M50" s="24" t="str">
        <f t="shared" si="31"/>
        <v/>
      </c>
      <c r="N50" s="25">
        <f>IF(A50="","",IFERROR(SUMIFS(Int_Repayments!E$4:E$1003,Int_Repayments!C$4:C$1003,A50,Int_Repayments!D$4:D$1003,3),0))</f>
        <v>0</v>
      </c>
      <c r="O50" s="26" t="str">
        <f t="shared" si="32"/>
        <v/>
      </c>
      <c r="P50" s="24" t="str">
        <f t="shared" si="33"/>
        <v/>
      </c>
      <c r="Q50" s="25">
        <f>IF(A50="","",IFERROR(SUMIFS(Int_Repayments!E$4:E$1003,Int_Repayments!C$4:C$1003,A50,Int_Repayments!D$4:D$1003,4),0))</f>
        <v>0</v>
      </c>
      <c r="R50" s="26" t="str">
        <f t="shared" si="34"/>
        <v/>
      </c>
      <c r="S50" s="24" t="str">
        <f t="shared" si="35"/>
        <v/>
      </c>
      <c r="T50" s="25">
        <f>IF(A50="","",IFERROR(SUMIFS(Int_Repayments!E$4:E$1003,Int_Repayments!C$4:C$1003,A50,Int_Repayments!D$4:D$1003,5),0))</f>
        <v>0</v>
      </c>
      <c r="U50" s="26" t="str">
        <f t="shared" si="36"/>
        <v/>
      </c>
      <c r="V50" s="24" t="str">
        <f t="shared" si="37"/>
        <v/>
      </c>
      <c r="W50" s="25">
        <f>IF(A50="","",IFERROR(SUMIFS(Int_Repayments!E$4:E$1003,Int_Repayments!C$4:C$1003,A50,Int_Repayments!D$4:D$1003,6),0))</f>
        <v>0</v>
      </c>
      <c r="X50" s="26" t="str">
        <f t="shared" si="38"/>
        <v/>
      </c>
      <c r="Y50" s="24" t="str">
        <f t="shared" si="39"/>
        <v/>
      </c>
      <c r="Z50" s="25">
        <f>IF(A50="","",IFERROR(SUMIFS(Int_Repayments!E$4:E$1003,Int_Repayments!C$4:C$1003,A50,Int_Repayments!D$4:D$1003,7),0))</f>
        <v>0</v>
      </c>
      <c r="AA50" s="26" t="str">
        <f t="shared" si="40"/>
        <v/>
      </c>
      <c r="AB50" s="24" t="str">
        <f t="shared" si="41"/>
        <v/>
      </c>
      <c r="AC50" s="25">
        <f>IF(A50="","",IFERROR(SUMIFS(Int_Repayments!E$4:E$1003,Int_Repayments!C$4:C$1003,A50,Int_Repayments!D$4:D$1003,8),0))</f>
        <v>0</v>
      </c>
      <c r="AD50" s="26" t="str">
        <f t="shared" si="42"/>
        <v/>
      </c>
      <c r="AE50" s="24" t="str">
        <f t="shared" si="43"/>
        <v/>
      </c>
      <c r="AF50" s="25">
        <f>IF(A50="","",IFERROR(SUMIFS(Int_Repayments!E$4:E$1003,Int_Repayments!C$4:C$1003,A50,Int_Repayments!D$4:D$1003,9),0))</f>
        <v>0</v>
      </c>
      <c r="AG50" s="26" t="str">
        <f t="shared" si="44"/>
        <v/>
      </c>
      <c r="AH50" s="24" t="str">
        <f t="shared" si="45"/>
        <v/>
      </c>
      <c r="AI50" s="25">
        <f>IF(A50="","",IFERROR(SUMIFS(Int_Repayments!E$4:E$1003,Int_Repayments!C$4:C$1003,A50,Int_Repayments!D$4:D$1003,10),0))</f>
        <v>0</v>
      </c>
      <c r="AJ50" s="26" t="str">
        <f t="shared" si="46"/>
        <v/>
      </c>
      <c r="AK50" s="24" t="str">
        <f t="shared" si="47"/>
        <v/>
      </c>
      <c r="AL50" s="25">
        <f>IF(A50="","",IFERROR(SUMIFS(Int_Repayments!E$4:E$1003,Int_Repayments!C$4:C$1003,A50,Int_Repayments!D$4:D$1003,11),0))</f>
        <v>0</v>
      </c>
      <c r="AM50" s="26" t="str">
        <f t="shared" si="48"/>
        <v/>
      </c>
      <c r="AN50" s="24" t="str">
        <f t="shared" si="49"/>
        <v/>
      </c>
      <c r="AO50" s="25">
        <f>IF(A50="","",IFERROR(SUMIFS(Int_Repayments!E$4:E$1003,Int_Repayments!C$4:C$1003,A50,Int_Repayments!D$4:D$1003,12),0))</f>
        <v>0</v>
      </c>
      <c r="AP50" s="26" t="str">
        <f t="shared" si="50"/>
        <v/>
      </c>
      <c r="AQ50" s="24" t="str">
        <f t="shared" si="51"/>
        <v/>
      </c>
      <c r="AR50" s="24" t="str">
        <f t="shared" si="52"/>
        <v/>
      </c>
      <c r="AS50" s="24" t="str">
        <f t="shared" si="53"/>
        <v/>
      </c>
    </row>
    <row r="51" spans="1:45" ht="15.75" customHeight="1" x14ac:dyDescent="0.25">
      <c r="A51" s="6">
        <f>IFERROR(Loans!C51,"")</f>
        <v>0</v>
      </c>
      <c r="B51" s="4">
        <f>IFERROR(Loans!B51,"")</f>
        <v>0</v>
      </c>
      <c r="C51" s="6">
        <f>IFERROR(Loans!A51,"")</f>
        <v>0</v>
      </c>
      <c r="D51" s="21">
        <f>IFERROR(Loans!E51,0)</f>
        <v>0</v>
      </c>
      <c r="E51" s="22">
        <f>IFERROR(Loans!H51,0)</f>
        <v>0</v>
      </c>
      <c r="F51" s="23">
        <f>IFERROR(Loans!I51,0)</f>
        <v>0</v>
      </c>
      <c r="G51" s="24" t="str">
        <f t="shared" si="27"/>
        <v/>
      </c>
      <c r="H51" s="25">
        <f>IF(A51="","",IFERROR(SUMIFS(Int_Repayments!E$4:E$1003,Int_Repayments!C$4:C$1003,A51,Int_Repayments!D$4:D$1003,1),0))</f>
        <v>0</v>
      </c>
      <c r="I51" s="26" t="str">
        <f t="shared" si="28"/>
        <v/>
      </c>
      <c r="J51" s="24" t="str">
        <f t="shared" si="29"/>
        <v/>
      </c>
      <c r="K51" s="25">
        <f>IF(A51="","",IFERROR(SUMIFS(Int_Repayments!E$4:E$1003,Int_Repayments!C$4:C$1003,A51,Int_Repayments!D$4:D$1003,2),0))</f>
        <v>0</v>
      </c>
      <c r="L51" s="26" t="str">
        <f t="shared" si="30"/>
        <v/>
      </c>
      <c r="M51" s="24" t="str">
        <f t="shared" si="31"/>
        <v/>
      </c>
      <c r="N51" s="25">
        <f>IF(A51="","",IFERROR(SUMIFS(Int_Repayments!E$4:E$1003,Int_Repayments!C$4:C$1003,A51,Int_Repayments!D$4:D$1003,3),0))</f>
        <v>0</v>
      </c>
      <c r="O51" s="26" t="str">
        <f t="shared" si="32"/>
        <v/>
      </c>
      <c r="P51" s="24" t="str">
        <f t="shared" si="33"/>
        <v/>
      </c>
      <c r="Q51" s="25">
        <f>IF(A51="","",IFERROR(SUMIFS(Int_Repayments!E$4:E$1003,Int_Repayments!C$4:C$1003,A51,Int_Repayments!D$4:D$1003,4),0))</f>
        <v>0</v>
      </c>
      <c r="R51" s="26" t="str">
        <f t="shared" si="34"/>
        <v/>
      </c>
      <c r="S51" s="24" t="str">
        <f t="shared" si="35"/>
        <v/>
      </c>
      <c r="T51" s="25">
        <f>IF(A51="","",IFERROR(SUMIFS(Int_Repayments!E$4:E$1003,Int_Repayments!C$4:C$1003,A51,Int_Repayments!D$4:D$1003,5),0))</f>
        <v>0</v>
      </c>
      <c r="U51" s="26" t="str">
        <f t="shared" si="36"/>
        <v/>
      </c>
      <c r="V51" s="24" t="str">
        <f t="shared" si="37"/>
        <v/>
      </c>
      <c r="W51" s="25">
        <f>IF(A51="","",IFERROR(SUMIFS(Int_Repayments!E$4:E$1003,Int_Repayments!C$4:C$1003,A51,Int_Repayments!D$4:D$1003,6),0))</f>
        <v>0</v>
      </c>
      <c r="X51" s="26" t="str">
        <f t="shared" si="38"/>
        <v/>
      </c>
      <c r="Y51" s="24" t="str">
        <f t="shared" si="39"/>
        <v/>
      </c>
      <c r="Z51" s="25">
        <f>IF(A51="","",IFERROR(SUMIFS(Int_Repayments!E$4:E$1003,Int_Repayments!C$4:C$1003,A51,Int_Repayments!D$4:D$1003,7),0))</f>
        <v>0</v>
      </c>
      <c r="AA51" s="26" t="str">
        <f t="shared" si="40"/>
        <v/>
      </c>
      <c r="AB51" s="24" t="str">
        <f t="shared" si="41"/>
        <v/>
      </c>
      <c r="AC51" s="25">
        <f>IF(A51="","",IFERROR(SUMIFS(Int_Repayments!E$4:E$1003,Int_Repayments!C$4:C$1003,A51,Int_Repayments!D$4:D$1003,8),0))</f>
        <v>0</v>
      </c>
      <c r="AD51" s="26" t="str">
        <f t="shared" si="42"/>
        <v/>
      </c>
      <c r="AE51" s="24" t="str">
        <f t="shared" si="43"/>
        <v/>
      </c>
      <c r="AF51" s="25">
        <f>IF(A51="","",IFERROR(SUMIFS(Int_Repayments!E$4:E$1003,Int_Repayments!C$4:C$1003,A51,Int_Repayments!D$4:D$1003,9),0))</f>
        <v>0</v>
      </c>
      <c r="AG51" s="26" t="str">
        <f t="shared" si="44"/>
        <v/>
      </c>
      <c r="AH51" s="24" t="str">
        <f t="shared" si="45"/>
        <v/>
      </c>
      <c r="AI51" s="25">
        <f>IF(A51="","",IFERROR(SUMIFS(Int_Repayments!E$4:E$1003,Int_Repayments!C$4:C$1003,A51,Int_Repayments!D$4:D$1003,10),0))</f>
        <v>0</v>
      </c>
      <c r="AJ51" s="26" t="str">
        <f t="shared" si="46"/>
        <v/>
      </c>
      <c r="AK51" s="24" t="str">
        <f t="shared" si="47"/>
        <v/>
      </c>
      <c r="AL51" s="25">
        <f>IF(A51="","",IFERROR(SUMIFS(Int_Repayments!E$4:E$1003,Int_Repayments!C$4:C$1003,A51,Int_Repayments!D$4:D$1003,11),0))</f>
        <v>0</v>
      </c>
      <c r="AM51" s="26" t="str">
        <f t="shared" si="48"/>
        <v/>
      </c>
      <c r="AN51" s="24" t="str">
        <f t="shared" si="49"/>
        <v/>
      </c>
      <c r="AO51" s="25">
        <f>IF(A51="","",IFERROR(SUMIFS(Int_Repayments!E$4:E$1003,Int_Repayments!C$4:C$1003,A51,Int_Repayments!D$4:D$1003,12),0))</f>
        <v>0</v>
      </c>
      <c r="AP51" s="26" t="str">
        <f t="shared" si="50"/>
        <v/>
      </c>
      <c r="AQ51" s="24" t="str">
        <f t="shared" si="51"/>
        <v/>
      </c>
      <c r="AR51" s="24" t="str">
        <f t="shared" si="52"/>
        <v/>
      </c>
      <c r="AS51" s="24" t="str">
        <f t="shared" si="53"/>
        <v/>
      </c>
    </row>
    <row r="52" spans="1:45" ht="15.75" customHeight="1" x14ac:dyDescent="0.25">
      <c r="A52" s="6">
        <f>IFERROR(Loans!C52,"")</f>
        <v>0</v>
      </c>
      <c r="B52" s="4">
        <f>IFERROR(Loans!B52,"")</f>
        <v>0</v>
      </c>
      <c r="C52" s="6">
        <f>IFERROR(Loans!A52,"")</f>
        <v>0</v>
      </c>
      <c r="D52" s="21">
        <f>IFERROR(Loans!E52,0)</f>
        <v>0</v>
      </c>
      <c r="E52" s="22">
        <f>IFERROR(Loans!H52,0)</f>
        <v>0</v>
      </c>
      <c r="F52" s="23">
        <f>IFERROR(Loans!I52,0)</f>
        <v>0</v>
      </c>
      <c r="G52" s="24" t="str">
        <f t="shared" si="27"/>
        <v/>
      </c>
      <c r="H52" s="25">
        <f>IF(A52="","",IFERROR(SUMIFS(Int_Repayments!E$4:E$1003,Int_Repayments!C$4:C$1003,A52,Int_Repayments!D$4:D$1003,1),0))</f>
        <v>0</v>
      </c>
      <c r="I52" s="26" t="str">
        <f t="shared" si="28"/>
        <v/>
      </c>
      <c r="J52" s="24" t="str">
        <f t="shared" si="29"/>
        <v/>
      </c>
      <c r="K52" s="25">
        <f>IF(A52="","",IFERROR(SUMIFS(Int_Repayments!E$4:E$1003,Int_Repayments!C$4:C$1003,A52,Int_Repayments!D$4:D$1003,2),0))</f>
        <v>0</v>
      </c>
      <c r="L52" s="26" t="str">
        <f t="shared" si="30"/>
        <v/>
      </c>
      <c r="M52" s="24" t="str">
        <f t="shared" si="31"/>
        <v/>
      </c>
      <c r="N52" s="25">
        <f>IF(A52="","",IFERROR(SUMIFS(Int_Repayments!E$4:E$1003,Int_Repayments!C$4:C$1003,A52,Int_Repayments!D$4:D$1003,3),0))</f>
        <v>0</v>
      </c>
      <c r="O52" s="26" t="str">
        <f t="shared" si="32"/>
        <v/>
      </c>
      <c r="P52" s="24" t="str">
        <f t="shared" si="33"/>
        <v/>
      </c>
      <c r="Q52" s="25">
        <f>IF(A52="","",IFERROR(SUMIFS(Int_Repayments!E$4:E$1003,Int_Repayments!C$4:C$1003,A52,Int_Repayments!D$4:D$1003,4),0))</f>
        <v>0</v>
      </c>
      <c r="R52" s="26" t="str">
        <f t="shared" si="34"/>
        <v/>
      </c>
      <c r="S52" s="24" t="str">
        <f t="shared" si="35"/>
        <v/>
      </c>
      <c r="T52" s="25">
        <f>IF(A52="","",IFERROR(SUMIFS(Int_Repayments!E$4:E$1003,Int_Repayments!C$4:C$1003,A52,Int_Repayments!D$4:D$1003,5),0))</f>
        <v>0</v>
      </c>
      <c r="U52" s="26" t="str">
        <f t="shared" si="36"/>
        <v/>
      </c>
      <c r="V52" s="24" t="str">
        <f t="shared" si="37"/>
        <v/>
      </c>
      <c r="W52" s="25">
        <f>IF(A52="","",IFERROR(SUMIFS(Int_Repayments!E$4:E$1003,Int_Repayments!C$4:C$1003,A52,Int_Repayments!D$4:D$1003,6),0))</f>
        <v>0</v>
      </c>
      <c r="X52" s="26" t="str">
        <f t="shared" si="38"/>
        <v/>
      </c>
      <c r="Y52" s="24" t="str">
        <f t="shared" si="39"/>
        <v/>
      </c>
      <c r="Z52" s="25">
        <f>IF(A52="","",IFERROR(SUMIFS(Int_Repayments!E$4:E$1003,Int_Repayments!C$4:C$1003,A52,Int_Repayments!D$4:D$1003,7),0))</f>
        <v>0</v>
      </c>
      <c r="AA52" s="26" t="str">
        <f t="shared" si="40"/>
        <v/>
      </c>
      <c r="AB52" s="24" t="str">
        <f t="shared" si="41"/>
        <v/>
      </c>
      <c r="AC52" s="25">
        <f>IF(A52="","",IFERROR(SUMIFS(Int_Repayments!E$4:E$1003,Int_Repayments!C$4:C$1003,A52,Int_Repayments!D$4:D$1003,8),0))</f>
        <v>0</v>
      </c>
      <c r="AD52" s="26" t="str">
        <f t="shared" si="42"/>
        <v/>
      </c>
      <c r="AE52" s="24" t="str">
        <f t="shared" si="43"/>
        <v/>
      </c>
      <c r="AF52" s="25">
        <f>IF(A52="","",IFERROR(SUMIFS(Int_Repayments!E$4:E$1003,Int_Repayments!C$4:C$1003,A52,Int_Repayments!D$4:D$1003,9),0))</f>
        <v>0</v>
      </c>
      <c r="AG52" s="26" t="str">
        <f t="shared" si="44"/>
        <v/>
      </c>
      <c r="AH52" s="24" t="str">
        <f t="shared" si="45"/>
        <v/>
      </c>
      <c r="AI52" s="25">
        <f>IF(A52="","",IFERROR(SUMIFS(Int_Repayments!E$4:E$1003,Int_Repayments!C$4:C$1003,A52,Int_Repayments!D$4:D$1003,10),0))</f>
        <v>0</v>
      </c>
      <c r="AJ52" s="26" t="str">
        <f t="shared" si="46"/>
        <v/>
      </c>
      <c r="AK52" s="24" t="str">
        <f t="shared" si="47"/>
        <v/>
      </c>
      <c r="AL52" s="25">
        <f>IF(A52="","",IFERROR(SUMIFS(Int_Repayments!E$4:E$1003,Int_Repayments!C$4:C$1003,A52,Int_Repayments!D$4:D$1003,11),0))</f>
        <v>0</v>
      </c>
      <c r="AM52" s="26" t="str">
        <f t="shared" si="48"/>
        <v/>
      </c>
      <c r="AN52" s="24" t="str">
        <f t="shared" si="49"/>
        <v/>
      </c>
      <c r="AO52" s="25">
        <f>IF(A52="","",IFERROR(SUMIFS(Int_Repayments!E$4:E$1003,Int_Repayments!C$4:C$1003,A52,Int_Repayments!D$4:D$1003,12),0))</f>
        <v>0</v>
      </c>
      <c r="AP52" s="26" t="str">
        <f t="shared" si="50"/>
        <v/>
      </c>
      <c r="AQ52" s="24" t="str">
        <f t="shared" si="51"/>
        <v/>
      </c>
      <c r="AR52" s="24" t="str">
        <f t="shared" si="52"/>
        <v/>
      </c>
      <c r="AS52" s="24" t="str">
        <f t="shared" si="53"/>
        <v/>
      </c>
    </row>
    <row r="53" spans="1:45" ht="15.75" customHeight="1" x14ac:dyDescent="0.25">
      <c r="A53" s="6">
        <f>IFERROR(Loans!C53,"")</f>
        <v>0</v>
      </c>
      <c r="B53" s="4">
        <f>IFERROR(Loans!B53,"")</f>
        <v>0</v>
      </c>
      <c r="C53" s="6">
        <f>IFERROR(Loans!A53,"")</f>
        <v>0</v>
      </c>
      <c r="D53" s="21">
        <f>IFERROR(Loans!E53,0)</f>
        <v>0</v>
      </c>
      <c r="E53" s="22">
        <f>IFERROR(Loans!H53,0)</f>
        <v>0</v>
      </c>
      <c r="F53" s="23">
        <f>IFERROR(Loans!I53,0)</f>
        <v>0</v>
      </c>
      <c r="G53" s="24" t="str">
        <f t="shared" si="27"/>
        <v/>
      </c>
      <c r="H53" s="25">
        <f>IF(A53="","",IFERROR(SUMIFS(Int_Repayments!E$4:E$1003,Int_Repayments!C$4:C$1003,A53,Int_Repayments!D$4:D$1003,1),0))</f>
        <v>0</v>
      </c>
      <c r="I53" s="26" t="str">
        <f t="shared" si="28"/>
        <v/>
      </c>
      <c r="J53" s="24" t="str">
        <f t="shared" si="29"/>
        <v/>
      </c>
      <c r="K53" s="25">
        <f>IF(A53="","",IFERROR(SUMIFS(Int_Repayments!E$4:E$1003,Int_Repayments!C$4:C$1003,A53,Int_Repayments!D$4:D$1003,2),0))</f>
        <v>0</v>
      </c>
      <c r="L53" s="26" t="str">
        <f t="shared" si="30"/>
        <v/>
      </c>
      <c r="M53" s="24" t="str">
        <f t="shared" si="31"/>
        <v/>
      </c>
      <c r="N53" s="25">
        <f>IF(A53="","",IFERROR(SUMIFS(Int_Repayments!E$4:E$1003,Int_Repayments!C$4:C$1003,A53,Int_Repayments!D$4:D$1003,3),0))</f>
        <v>0</v>
      </c>
      <c r="O53" s="26" t="str">
        <f t="shared" si="32"/>
        <v/>
      </c>
      <c r="P53" s="24" t="str">
        <f t="shared" si="33"/>
        <v/>
      </c>
      <c r="Q53" s="25">
        <f>IF(A53="","",IFERROR(SUMIFS(Int_Repayments!E$4:E$1003,Int_Repayments!C$4:C$1003,A53,Int_Repayments!D$4:D$1003,4),0))</f>
        <v>0</v>
      </c>
      <c r="R53" s="26" t="str">
        <f t="shared" si="34"/>
        <v/>
      </c>
      <c r="S53" s="24" t="str">
        <f t="shared" si="35"/>
        <v/>
      </c>
      <c r="T53" s="25">
        <f>IF(A53="","",IFERROR(SUMIFS(Int_Repayments!E$4:E$1003,Int_Repayments!C$4:C$1003,A53,Int_Repayments!D$4:D$1003,5),0))</f>
        <v>0</v>
      </c>
      <c r="U53" s="26" t="str">
        <f t="shared" si="36"/>
        <v/>
      </c>
      <c r="V53" s="24" t="str">
        <f t="shared" si="37"/>
        <v/>
      </c>
      <c r="W53" s="25">
        <f>IF(A53="","",IFERROR(SUMIFS(Int_Repayments!E$4:E$1003,Int_Repayments!C$4:C$1003,A53,Int_Repayments!D$4:D$1003,6),0))</f>
        <v>0</v>
      </c>
      <c r="X53" s="26" t="str">
        <f t="shared" si="38"/>
        <v/>
      </c>
      <c r="Y53" s="24" t="str">
        <f t="shared" si="39"/>
        <v/>
      </c>
      <c r="Z53" s="25">
        <f>IF(A53="","",IFERROR(SUMIFS(Int_Repayments!E$4:E$1003,Int_Repayments!C$4:C$1003,A53,Int_Repayments!D$4:D$1003,7),0))</f>
        <v>0</v>
      </c>
      <c r="AA53" s="26" t="str">
        <f t="shared" si="40"/>
        <v/>
      </c>
      <c r="AB53" s="24" t="str">
        <f t="shared" si="41"/>
        <v/>
      </c>
      <c r="AC53" s="25">
        <f>IF(A53="","",IFERROR(SUMIFS(Int_Repayments!E$4:E$1003,Int_Repayments!C$4:C$1003,A53,Int_Repayments!D$4:D$1003,8),0))</f>
        <v>0</v>
      </c>
      <c r="AD53" s="26" t="str">
        <f t="shared" si="42"/>
        <v/>
      </c>
      <c r="AE53" s="24" t="str">
        <f t="shared" si="43"/>
        <v/>
      </c>
      <c r="AF53" s="25">
        <f>IF(A53="","",IFERROR(SUMIFS(Int_Repayments!E$4:E$1003,Int_Repayments!C$4:C$1003,A53,Int_Repayments!D$4:D$1003,9),0))</f>
        <v>0</v>
      </c>
      <c r="AG53" s="26" t="str">
        <f t="shared" si="44"/>
        <v/>
      </c>
      <c r="AH53" s="24" t="str">
        <f t="shared" si="45"/>
        <v/>
      </c>
      <c r="AI53" s="25">
        <f>IF(A53="","",IFERROR(SUMIFS(Int_Repayments!E$4:E$1003,Int_Repayments!C$4:C$1003,A53,Int_Repayments!D$4:D$1003,10),0))</f>
        <v>0</v>
      </c>
      <c r="AJ53" s="26" t="str">
        <f t="shared" si="46"/>
        <v/>
      </c>
      <c r="AK53" s="24" t="str">
        <f t="shared" si="47"/>
        <v/>
      </c>
      <c r="AL53" s="25">
        <f>IF(A53="","",IFERROR(SUMIFS(Int_Repayments!E$4:E$1003,Int_Repayments!C$4:C$1003,A53,Int_Repayments!D$4:D$1003,11),0))</f>
        <v>0</v>
      </c>
      <c r="AM53" s="26" t="str">
        <f t="shared" si="48"/>
        <v/>
      </c>
      <c r="AN53" s="24" t="str">
        <f t="shared" si="49"/>
        <v/>
      </c>
      <c r="AO53" s="25">
        <f>IF(A53="","",IFERROR(SUMIFS(Int_Repayments!E$4:E$1003,Int_Repayments!C$4:C$1003,A53,Int_Repayments!D$4:D$1003,12),0))</f>
        <v>0</v>
      </c>
      <c r="AP53" s="26" t="str">
        <f t="shared" si="50"/>
        <v/>
      </c>
      <c r="AQ53" s="24" t="str">
        <f t="shared" si="51"/>
        <v/>
      </c>
      <c r="AR53" s="24" t="str">
        <f t="shared" si="52"/>
        <v/>
      </c>
      <c r="AS53" s="24" t="str">
        <f t="shared" si="53"/>
        <v/>
      </c>
    </row>
    <row r="54" spans="1:45" ht="15.75" customHeight="1" x14ac:dyDescent="0.25">
      <c r="A54" s="6">
        <f>IFERROR(Loans!C54,"")</f>
        <v>0</v>
      </c>
      <c r="B54" s="4">
        <f>IFERROR(Loans!B54,"")</f>
        <v>0</v>
      </c>
      <c r="C54" s="6">
        <f>IFERROR(Loans!A54,"")</f>
        <v>0</v>
      </c>
      <c r="D54" s="21">
        <f>IFERROR(Loans!E54,0)</f>
        <v>0</v>
      </c>
      <c r="E54" s="22">
        <f>IFERROR(Loans!H54,0)</f>
        <v>0</v>
      </c>
      <c r="F54" s="23">
        <f>IFERROR(Loans!I54,0)</f>
        <v>0</v>
      </c>
      <c r="G54" s="24" t="str">
        <f t="shared" si="27"/>
        <v/>
      </c>
      <c r="H54" s="25">
        <f>IF(A54="","",IFERROR(SUMIFS(Int_Repayments!E$4:E$1003,Int_Repayments!C$4:C$1003,A54,Int_Repayments!D$4:D$1003,1),0))</f>
        <v>0</v>
      </c>
      <c r="I54" s="26" t="str">
        <f t="shared" si="28"/>
        <v/>
      </c>
      <c r="J54" s="24" t="str">
        <f t="shared" si="29"/>
        <v/>
      </c>
      <c r="K54" s="25">
        <f>IF(A54="","",IFERROR(SUMIFS(Int_Repayments!E$4:E$1003,Int_Repayments!C$4:C$1003,A54,Int_Repayments!D$4:D$1003,2),0))</f>
        <v>0</v>
      </c>
      <c r="L54" s="26" t="str">
        <f t="shared" si="30"/>
        <v/>
      </c>
      <c r="M54" s="24" t="str">
        <f t="shared" si="31"/>
        <v/>
      </c>
      <c r="N54" s="25">
        <f>IF(A54="","",IFERROR(SUMIFS(Int_Repayments!E$4:E$1003,Int_Repayments!C$4:C$1003,A54,Int_Repayments!D$4:D$1003,3),0))</f>
        <v>0</v>
      </c>
      <c r="O54" s="26" t="str">
        <f t="shared" si="32"/>
        <v/>
      </c>
      <c r="P54" s="24" t="str">
        <f t="shared" si="33"/>
        <v/>
      </c>
      <c r="Q54" s="25">
        <f>IF(A54="","",IFERROR(SUMIFS(Int_Repayments!E$4:E$1003,Int_Repayments!C$4:C$1003,A54,Int_Repayments!D$4:D$1003,4),0))</f>
        <v>0</v>
      </c>
      <c r="R54" s="26" t="str">
        <f t="shared" si="34"/>
        <v/>
      </c>
      <c r="S54" s="24" t="str">
        <f t="shared" si="35"/>
        <v/>
      </c>
      <c r="T54" s="25">
        <f>IF(A54="","",IFERROR(SUMIFS(Int_Repayments!E$4:E$1003,Int_Repayments!C$4:C$1003,A54,Int_Repayments!D$4:D$1003,5),0))</f>
        <v>0</v>
      </c>
      <c r="U54" s="26" t="str">
        <f t="shared" si="36"/>
        <v/>
      </c>
      <c r="V54" s="24" t="str">
        <f t="shared" si="37"/>
        <v/>
      </c>
      <c r="W54" s="25">
        <f>IF(A54="","",IFERROR(SUMIFS(Int_Repayments!E$4:E$1003,Int_Repayments!C$4:C$1003,A54,Int_Repayments!D$4:D$1003,6),0))</f>
        <v>0</v>
      </c>
      <c r="X54" s="26" t="str">
        <f t="shared" si="38"/>
        <v/>
      </c>
      <c r="Y54" s="24" t="str">
        <f t="shared" si="39"/>
        <v/>
      </c>
      <c r="Z54" s="25">
        <f>IF(A54="","",IFERROR(SUMIFS(Int_Repayments!E$4:E$1003,Int_Repayments!C$4:C$1003,A54,Int_Repayments!D$4:D$1003,7),0))</f>
        <v>0</v>
      </c>
      <c r="AA54" s="26" t="str">
        <f t="shared" si="40"/>
        <v/>
      </c>
      <c r="AB54" s="24" t="str">
        <f t="shared" si="41"/>
        <v/>
      </c>
      <c r="AC54" s="25">
        <f>IF(A54="","",IFERROR(SUMIFS(Int_Repayments!E$4:E$1003,Int_Repayments!C$4:C$1003,A54,Int_Repayments!D$4:D$1003,8),0))</f>
        <v>0</v>
      </c>
      <c r="AD54" s="26" t="str">
        <f t="shared" si="42"/>
        <v/>
      </c>
      <c r="AE54" s="24" t="str">
        <f t="shared" si="43"/>
        <v/>
      </c>
      <c r="AF54" s="25">
        <f>IF(A54="","",IFERROR(SUMIFS(Int_Repayments!E$4:E$1003,Int_Repayments!C$4:C$1003,A54,Int_Repayments!D$4:D$1003,9),0))</f>
        <v>0</v>
      </c>
      <c r="AG54" s="26" t="str">
        <f t="shared" si="44"/>
        <v/>
      </c>
      <c r="AH54" s="24" t="str">
        <f t="shared" si="45"/>
        <v/>
      </c>
      <c r="AI54" s="25">
        <f>IF(A54="","",IFERROR(SUMIFS(Int_Repayments!E$4:E$1003,Int_Repayments!C$4:C$1003,A54,Int_Repayments!D$4:D$1003,10),0))</f>
        <v>0</v>
      </c>
      <c r="AJ54" s="26" t="str">
        <f t="shared" si="46"/>
        <v/>
      </c>
      <c r="AK54" s="24" t="str">
        <f t="shared" si="47"/>
        <v/>
      </c>
      <c r="AL54" s="25">
        <f>IF(A54="","",IFERROR(SUMIFS(Int_Repayments!E$4:E$1003,Int_Repayments!C$4:C$1003,A54,Int_Repayments!D$4:D$1003,11),0))</f>
        <v>0</v>
      </c>
      <c r="AM54" s="26" t="str">
        <f t="shared" si="48"/>
        <v/>
      </c>
      <c r="AN54" s="24" t="str">
        <f t="shared" si="49"/>
        <v/>
      </c>
      <c r="AO54" s="25">
        <f>IF(A54="","",IFERROR(SUMIFS(Int_Repayments!E$4:E$1003,Int_Repayments!C$4:C$1003,A54,Int_Repayments!D$4:D$1003,12),0))</f>
        <v>0</v>
      </c>
      <c r="AP54" s="26" t="str">
        <f t="shared" si="50"/>
        <v/>
      </c>
      <c r="AQ54" s="24" t="str">
        <f t="shared" si="51"/>
        <v/>
      </c>
      <c r="AR54" s="24" t="str">
        <f t="shared" si="52"/>
        <v/>
      </c>
      <c r="AS54" s="24" t="str">
        <f t="shared" si="53"/>
        <v/>
      </c>
    </row>
    <row r="55" spans="1:45" ht="15.75" customHeight="1" x14ac:dyDescent="0.25">
      <c r="A55" s="6">
        <f>IFERROR(Loans!C55,"")</f>
        <v>0</v>
      </c>
      <c r="B55" s="4">
        <f>IFERROR(Loans!B55,"")</f>
        <v>0</v>
      </c>
      <c r="C55" s="6">
        <f>IFERROR(Loans!A55,"")</f>
        <v>0</v>
      </c>
      <c r="D55" s="21">
        <f>IFERROR(Loans!E55,0)</f>
        <v>0</v>
      </c>
      <c r="E55" s="22">
        <f>IFERROR(Loans!H55,0)</f>
        <v>0</v>
      </c>
      <c r="F55" s="23">
        <f>IFERROR(Loans!I55,0)</f>
        <v>0</v>
      </c>
      <c r="G55" s="24" t="str">
        <f t="shared" si="27"/>
        <v/>
      </c>
      <c r="H55" s="25">
        <f>IF(A55="","",IFERROR(SUMIFS(Int_Repayments!E$4:E$1003,Int_Repayments!C$4:C$1003,A55,Int_Repayments!D$4:D$1003,1),0))</f>
        <v>0</v>
      </c>
      <c r="I55" s="26" t="str">
        <f t="shared" si="28"/>
        <v/>
      </c>
      <c r="J55" s="24" t="str">
        <f t="shared" si="29"/>
        <v/>
      </c>
      <c r="K55" s="25">
        <f>IF(A55="","",IFERROR(SUMIFS(Int_Repayments!E$4:E$1003,Int_Repayments!C$4:C$1003,A55,Int_Repayments!D$4:D$1003,2),0))</f>
        <v>0</v>
      </c>
      <c r="L55" s="26" t="str">
        <f t="shared" si="30"/>
        <v/>
      </c>
      <c r="M55" s="24" t="str">
        <f t="shared" si="31"/>
        <v/>
      </c>
      <c r="N55" s="25">
        <f>IF(A55="","",IFERROR(SUMIFS(Int_Repayments!E$4:E$1003,Int_Repayments!C$4:C$1003,A55,Int_Repayments!D$4:D$1003,3),0))</f>
        <v>0</v>
      </c>
      <c r="O55" s="26" t="str">
        <f t="shared" si="32"/>
        <v/>
      </c>
      <c r="P55" s="24" t="str">
        <f t="shared" si="33"/>
        <v/>
      </c>
      <c r="Q55" s="25">
        <f>IF(A55="","",IFERROR(SUMIFS(Int_Repayments!E$4:E$1003,Int_Repayments!C$4:C$1003,A55,Int_Repayments!D$4:D$1003,4),0))</f>
        <v>0</v>
      </c>
      <c r="R55" s="26" t="str">
        <f t="shared" si="34"/>
        <v/>
      </c>
      <c r="S55" s="24" t="str">
        <f t="shared" si="35"/>
        <v/>
      </c>
      <c r="T55" s="25">
        <f>IF(A55="","",IFERROR(SUMIFS(Int_Repayments!E$4:E$1003,Int_Repayments!C$4:C$1003,A55,Int_Repayments!D$4:D$1003,5),0))</f>
        <v>0</v>
      </c>
      <c r="U55" s="26" t="str">
        <f t="shared" si="36"/>
        <v/>
      </c>
      <c r="V55" s="24" t="str">
        <f t="shared" si="37"/>
        <v/>
      </c>
      <c r="W55" s="25">
        <f>IF(A55="","",IFERROR(SUMIFS(Int_Repayments!E$4:E$1003,Int_Repayments!C$4:C$1003,A55,Int_Repayments!D$4:D$1003,6),0))</f>
        <v>0</v>
      </c>
      <c r="X55" s="26" t="str">
        <f t="shared" si="38"/>
        <v/>
      </c>
      <c r="Y55" s="24" t="str">
        <f t="shared" si="39"/>
        <v/>
      </c>
      <c r="Z55" s="25">
        <f>IF(A55="","",IFERROR(SUMIFS(Int_Repayments!E$4:E$1003,Int_Repayments!C$4:C$1003,A55,Int_Repayments!D$4:D$1003,7),0))</f>
        <v>0</v>
      </c>
      <c r="AA55" s="26" t="str">
        <f t="shared" si="40"/>
        <v/>
      </c>
      <c r="AB55" s="24" t="str">
        <f t="shared" si="41"/>
        <v/>
      </c>
      <c r="AC55" s="25">
        <f>IF(A55="","",IFERROR(SUMIFS(Int_Repayments!E$4:E$1003,Int_Repayments!C$4:C$1003,A55,Int_Repayments!D$4:D$1003,8),0))</f>
        <v>0</v>
      </c>
      <c r="AD55" s="26" t="str">
        <f t="shared" si="42"/>
        <v/>
      </c>
      <c r="AE55" s="24" t="str">
        <f t="shared" si="43"/>
        <v/>
      </c>
      <c r="AF55" s="25">
        <f>IF(A55="","",IFERROR(SUMIFS(Int_Repayments!E$4:E$1003,Int_Repayments!C$4:C$1003,A55,Int_Repayments!D$4:D$1003,9),0))</f>
        <v>0</v>
      </c>
      <c r="AG55" s="26" t="str">
        <f t="shared" si="44"/>
        <v/>
      </c>
      <c r="AH55" s="24" t="str">
        <f t="shared" si="45"/>
        <v/>
      </c>
      <c r="AI55" s="25">
        <f>IF(A55="","",IFERROR(SUMIFS(Int_Repayments!E$4:E$1003,Int_Repayments!C$4:C$1003,A55,Int_Repayments!D$4:D$1003,10),0))</f>
        <v>0</v>
      </c>
      <c r="AJ55" s="26" t="str">
        <f t="shared" si="46"/>
        <v/>
      </c>
      <c r="AK55" s="24" t="str">
        <f t="shared" si="47"/>
        <v/>
      </c>
      <c r="AL55" s="25">
        <f>IF(A55="","",IFERROR(SUMIFS(Int_Repayments!E$4:E$1003,Int_Repayments!C$4:C$1003,A55,Int_Repayments!D$4:D$1003,11),0))</f>
        <v>0</v>
      </c>
      <c r="AM55" s="26" t="str">
        <f t="shared" si="48"/>
        <v/>
      </c>
      <c r="AN55" s="24" t="str">
        <f t="shared" si="49"/>
        <v/>
      </c>
      <c r="AO55" s="25">
        <f>IF(A55="","",IFERROR(SUMIFS(Int_Repayments!E$4:E$1003,Int_Repayments!C$4:C$1003,A55,Int_Repayments!D$4:D$1003,12),0))</f>
        <v>0</v>
      </c>
      <c r="AP55" s="26" t="str">
        <f t="shared" si="50"/>
        <v/>
      </c>
      <c r="AQ55" s="24" t="str">
        <f t="shared" si="51"/>
        <v/>
      </c>
      <c r="AR55" s="24" t="str">
        <f t="shared" si="52"/>
        <v/>
      </c>
      <c r="AS55" s="24" t="str">
        <f t="shared" si="53"/>
        <v/>
      </c>
    </row>
    <row r="56" spans="1:45" ht="15.75" customHeight="1" x14ac:dyDescent="0.25">
      <c r="A56" s="6">
        <f>IFERROR(Loans!C56,"")</f>
        <v>0</v>
      </c>
      <c r="B56" s="4">
        <f>IFERROR(Loans!B56,"")</f>
        <v>0</v>
      </c>
      <c r="C56" s="6">
        <f>IFERROR(Loans!A56,"")</f>
        <v>0</v>
      </c>
      <c r="D56" s="21">
        <f>IFERROR(Loans!E56,0)</f>
        <v>0</v>
      </c>
      <c r="E56" s="22">
        <f>IFERROR(Loans!H56,0)</f>
        <v>0</v>
      </c>
      <c r="F56" s="23">
        <f>IFERROR(Loans!I56,0)</f>
        <v>0</v>
      </c>
      <c r="G56" s="24" t="str">
        <f t="shared" si="27"/>
        <v/>
      </c>
      <c r="H56" s="25">
        <f>IF(A56="","",IFERROR(SUMIFS(Int_Repayments!E$4:E$1003,Int_Repayments!C$4:C$1003,A56,Int_Repayments!D$4:D$1003,1),0))</f>
        <v>0</v>
      </c>
      <c r="I56" s="26" t="str">
        <f t="shared" si="28"/>
        <v/>
      </c>
      <c r="J56" s="24" t="str">
        <f t="shared" si="29"/>
        <v/>
      </c>
      <c r="K56" s="25">
        <f>IF(A56="","",IFERROR(SUMIFS(Int_Repayments!E$4:E$1003,Int_Repayments!C$4:C$1003,A56,Int_Repayments!D$4:D$1003,2),0))</f>
        <v>0</v>
      </c>
      <c r="L56" s="26" t="str">
        <f t="shared" si="30"/>
        <v/>
      </c>
      <c r="M56" s="24" t="str">
        <f t="shared" si="31"/>
        <v/>
      </c>
      <c r="N56" s="25">
        <f>IF(A56="","",IFERROR(SUMIFS(Int_Repayments!E$4:E$1003,Int_Repayments!C$4:C$1003,A56,Int_Repayments!D$4:D$1003,3),0))</f>
        <v>0</v>
      </c>
      <c r="O56" s="26" t="str">
        <f t="shared" si="32"/>
        <v/>
      </c>
      <c r="P56" s="24" t="str">
        <f t="shared" si="33"/>
        <v/>
      </c>
      <c r="Q56" s="25">
        <f>IF(A56="","",IFERROR(SUMIFS(Int_Repayments!E$4:E$1003,Int_Repayments!C$4:C$1003,A56,Int_Repayments!D$4:D$1003,4),0))</f>
        <v>0</v>
      </c>
      <c r="R56" s="26" t="str">
        <f t="shared" si="34"/>
        <v/>
      </c>
      <c r="S56" s="24" t="str">
        <f t="shared" si="35"/>
        <v/>
      </c>
      <c r="T56" s="25">
        <f>IF(A56="","",IFERROR(SUMIFS(Int_Repayments!E$4:E$1003,Int_Repayments!C$4:C$1003,A56,Int_Repayments!D$4:D$1003,5),0))</f>
        <v>0</v>
      </c>
      <c r="U56" s="26" t="str">
        <f t="shared" si="36"/>
        <v/>
      </c>
      <c r="V56" s="24" t="str">
        <f t="shared" si="37"/>
        <v/>
      </c>
      <c r="W56" s="25">
        <f>IF(A56="","",IFERROR(SUMIFS(Int_Repayments!E$4:E$1003,Int_Repayments!C$4:C$1003,A56,Int_Repayments!D$4:D$1003,6),0))</f>
        <v>0</v>
      </c>
      <c r="X56" s="26" t="str">
        <f t="shared" si="38"/>
        <v/>
      </c>
      <c r="Y56" s="24" t="str">
        <f t="shared" si="39"/>
        <v/>
      </c>
      <c r="Z56" s="25">
        <f>IF(A56="","",IFERROR(SUMIFS(Int_Repayments!E$4:E$1003,Int_Repayments!C$4:C$1003,A56,Int_Repayments!D$4:D$1003,7),0))</f>
        <v>0</v>
      </c>
      <c r="AA56" s="26" t="str">
        <f t="shared" si="40"/>
        <v/>
      </c>
      <c r="AB56" s="24" t="str">
        <f t="shared" si="41"/>
        <v/>
      </c>
      <c r="AC56" s="25">
        <f>IF(A56="","",IFERROR(SUMIFS(Int_Repayments!E$4:E$1003,Int_Repayments!C$4:C$1003,A56,Int_Repayments!D$4:D$1003,8),0))</f>
        <v>0</v>
      </c>
      <c r="AD56" s="26" t="str">
        <f t="shared" si="42"/>
        <v/>
      </c>
      <c r="AE56" s="24" t="str">
        <f t="shared" si="43"/>
        <v/>
      </c>
      <c r="AF56" s="25">
        <f>IF(A56="","",IFERROR(SUMIFS(Int_Repayments!E$4:E$1003,Int_Repayments!C$4:C$1003,A56,Int_Repayments!D$4:D$1003,9),0))</f>
        <v>0</v>
      </c>
      <c r="AG56" s="26" t="str">
        <f t="shared" si="44"/>
        <v/>
      </c>
      <c r="AH56" s="24" t="str">
        <f t="shared" si="45"/>
        <v/>
      </c>
      <c r="AI56" s="25">
        <f>IF(A56="","",IFERROR(SUMIFS(Int_Repayments!E$4:E$1003,Int_Repayments!C$4:C$1003,A56,Int_Repayments!D$4:D$1003,10),0))</f>
        <v>0</v>
      </c>
      <c r="AJ56" s="26" t="str">
        <f t="shared" si="46"/>
        <v/>
      </c>
      <c r="AK56" s="24" t="str">
        <f t="shared" si="47"/>
        <v/>
      </c>
      <c r="AL56" s="25">
        <f>IF(A56="","",IFERROR(SUMIFS(Int_Repayments!E$4:E$1003,Int_Repayments!C$4:C$1003,A56,Int_Repayments!D$4:D$1003,11),0))</f>
        <v>0</v>
      </c>
      <c r="AM56" s="26" t="str">
        <f t="shared" si="48"/>
        <v/>
      </c>
      <c r="AN56" s="24" t="str">
        <f t="shared" si="49"/>
        <v/>
      </c>
      <c r="AO56" s="25">
        <f>IF(A56="","",IFERROR(SUMIFS(Int_Repayments!E$4:E$1003,Int_Repayments!C$4:C$1003,A56,Int_Repayments!D$4:D$1003,12),0))</f>
        <v>0</v>
      </c>
      <c r="AP56" s="26" t="str">
        <f t="shared" si="50"/>
        <v/>
      </c>
      <c r="AQ56" s="24" t="str">
        <f t="shared" si="51"/>
        <v/>
      </c>
      <c r="AR56" s="24" t="str">
        <f t="shared" si="52"/>
        <v/>
      </c>
      <c r="AS56" s="24" t="str">
        <f t="shared" si="53"/>
        <v/>
      </c>
    </row>
    <row r="57" spans="1:45" ht="15.75" customHeight="1" x14ac:dyDescent="0.25">
      <c r="A57" s="6">
        <f>IFERROR(Loans!C57,"")</f>
        <v>0</v>
      </c>
      <c r="B57" s="4">
        <f>IFERROR(Loans!B57,"")</f>
        <v>0</v>
      </c>
      <c r="C57" s="6">
        <f>IFERROR(Loans!A57,"")</f>
        <v>0</v>
      </c>
      <c r="D57" s="21">
        <f>IFERROR(Loans!E57,0)</f>
        <v>0</v>
      </c>
      <c r="E57" s="22">
        <f>IFERROR(Loans!H57,0)</f>
        <v>0</v>
      </c>
      <c r="F57" s="23">
        <f>IFERROR(Loans!I57,0)</f>
        <v>0</v>
      </c>
      <c r="G57" s="24" t="str">
        <f t="shared" si="27"/>
        <v/>
      </c>
      <c r="H57" s="25">
        <f>IF(A57="","",IFERROR(SUMIFS(Int_Repayments!E$4:E$1003,Int_Repayments!C$4:C$1003,A57,Int_Repayments!D$4:D$1003,1),0))</f>
        <v>0</v>
      </c>
      <c r="I57" s="26" t="str">
        <f t="shared" si="28"/>
        <v/>
      </c>
      <c r="J57" s="24" t="str">
        <f t="shared" si="29"/>
        <v/>
      </c>
      <c r="K57" s="25">
        <f>IF(A57="","",IFERROR(SUMIFS(Int_Repayments!E$4:E$1003,Int_Repayments!C$4:C$1003,A57,Int_Repayments!D$4:D$1003,2),0))</f>
        <v>0</v>
      </c>
      <c r="L57" s="26" t="str">
        <f t="shared" si="30"/>
        <v/>
      </c>
      <c r="M57" s="24" t="str">
        <f t="shared" si="31"/>
        <v/>
      </c>
      <c r="N57" s="25">
        <f>IF(A57="","",IFERROR(SUMIFS(Int_Repayments!E$4:E$1003,Int_Repayments!C$4:C$1003,A57,Int_Repayments!D$4:D$1003,3),0))</f>
        <v>0</v>
      </c>
      <c r="O57" s="26" t="str">
        <f t="shared" si="32"/>
        <v/>
      </c>
      <c r="P57" s="24" t="str">
        <f t="shared" si="33"/>
        <v/>
      </c>
      <c r="Q57" s="25">
        <f>IF(A57="","",IFERROR(SUMIFS(Int_Repayments!E$4:E$1003,Int_Repayments!C$4:C$1003,A57,Int_Repayments!D$4:D$1003,4),0))</f>
        <v>0</v>
      </c>
      <c r="R57" s="26" t="str">
        <f t="shared" si="34"/>
        <v/>
      </c>
      <c r="S57" s="24" t="str">
        <f t="shared" si="35"/>
        <v/>
      </c>
      <c r="T57" s="25">
        <f>IF(A57="","",IFERROR(SUMIFS(Int_Repayments!E$4:E$1003,Int_Repayments!C$4:C$1003,A57,Int_Repayments!D$4:D$1003,5),0))</f>
        <v>0</v>
      </c>
      <c r="U57" s="26" t="str">
        <f t="shared" si="36"/>
        <v/>
      </c>
      <c r="V57" s="24" t="str">
        <f t="shared" si="37"/>
        <v/>
      </c>
      <c r="W57" s="25">
        <f>IF(A57="","",IFERROR(SUMIFS(Int_Repayments!E$4:E$1003,Int_Repayments!C$4:C$1003,A57,Int_Repayments!D$4:D$1003,6),0))</f>
        <v>0</v>
      </c>
      <c r="X57" s="26" t="str">
        <f t="shared" si="38"/>
        <v/>
      </c>
      <c r="Y57" s="24" t="str">
        <f t="shared" si="39"/>
        <v/>
      </c>
      <c r="Z57" s="25">
        <f>IF(A57="","",IFERROR(SUMIFS(Int_Repayments!E$4:E$1003,Int_Repayments!C$4:C$1003,A57,Int_Repayments!D$4:D$1003,7),0))</f>
        <v>0</v>
      </c>
      <c r="AA57" s="26" t="str">
        <f t="shared" si="40"/>
        <v/>
      </c>
      <c r="AB57" s="24" t="str">
        <f t="shared" si="41"/>
        <v/>
      </c>
      <c r="AC57" s="25">
        <f>IF(A57="","",IFERROR(SUMIFS(Int_Repayments!E$4:E$1003,Int_Repayments!C$4:C$1003,A57,Int_Repayments!D$4:D$1003,8),0))</f>
        <v>0</v>
      </c>
      <c r="AD57" s="26" t="str">
        <f t="shared" si="42"/>
        <v/>
      </c>
      <c r="AE57" s="24" t="str">
        <f t="shared" si="43"/>
        <v/>
      </c>
      <c r="AF57" s="25">
        <f>IF(A57="","",IFERROR(SUMIFS(Int_Repayments!E$4:E$1003,Int_Repayments!C$4:C$1003,A57,Int_Repayments!D$4:D$1003,9),0))</f>
        <v>0</v>
      </c>
      <c r="AG57" s="26" t="str">
        <f t="shared" si="44"/>
        <v/>
      </c>
      <c r="AH57" s="24" t="str">
        <f t="shared" si="45"/>
        <v/>
      </c>
      <c r="AI57" s="25">
        <f>IF(A57="","",IFERROR(SUMIFS(Int_Repayments!E$4:E$1003,Int_Repayments!C$4:C$1003,A57,Int_Repayments!D$4:D$1003,10),0))</f>
        <v>0</v>
      </c>
      <c r="AJ57" s="26" t="str">
        <f t="shared" si="46"/>
        <v/>
      </c>
      <c r="AK57" s="24" t="str">
        <f t="shared" si="47"/>
        <v/>
      </c>
      <c r="AL57" s="25">
        <f>IF(A57="","",IFERROR(SUMIFS(Int_Repayments!E$4:E$1003,Int_Repayments!C$4:C$1003,A57,Int_Repayments!D$4:D$1003,11),0))</f>
        <v>0</v>
      </c>
      <c r="AM57" s="26" t="str">
        <f t="shared" si="48"/>
        <v/>
      </c>
      <c r="AN57" s="24" t="str">
        <f t="shared" si="49"/>
        <v/>
      </c>
      <c r="AO57" s="25">
        <f>IF(A57="","",IFERROR(SUMIFS(Int_Repayments!E$4:E$1003,Int_Repayments!C$4:C$1003,A57,Int_Repayments!D$4:D$1003,12),0))</f>
        <v>0</v>
      </c>
      <c r="AP57" s="26" t="str">
        <f t="shared" si="50"/>
        <v/>
      </c>
      <c r="AQ57" s="24" t="str">
        <f t="shared" si="51"/>
        <v/>
      </c>
      <c r="AR57" s="24" t="str">
        <f t="shared" si="52"/>
        <v/>
      </c>
      <c r="AS57" s="24" t="str">
        <f t="shared" si="53"/>
        <v/>
      </c>
    </row>
    <row r="58" spans="1:45" ht="15.75" customHeight="1" x14ac:dyDescent="0.25">
      <c r="A58" s="6">
        <f>IFERROR(Loans!C58,"")</f>
        <v>0</v>
      </c>
      <c r="B58" s="4">
        <f>IFERROR(Loans!B58,"")</f>
        <v>0</v>
      </c>
      <c r="C58" s="6">
        <f>IFERROR(Loans!A58,"")</f>
        <v>0</v>
      </c>
      <c r="D58" s="21">
        <f>IFERROR(Loans!E58,0)</f>
        <v>0</v>
      </c>
      <c r="E58" s="22">
        <f>IFERROR(Loans!H58,0)</f>
        <v>0</v>
      </c>
      <c r="F58" s="23">
        <f>IFERROR(Loans!I58,0)</f>
        <v>0</v>
      </c>
      <c r="G58" s="24" t="str">
        <f t="shared" si="27"/>
        <v/>
      </c>
      <c r="H58" s="25">
        <f>IF(A58="","",IFERROR(SUMIFS(Int_Repayments!E$4:E$1003,Int_Repayments!C$4:C$1003,A58,Int_Repayments!D$4:D$1003,1),0))</f>
        <v>0</v>
      </c>
      <c r="I58" s="26" t="str">
        <f t="shared" si="28"/>
        <v/>
      </c>
      <c r="J58" s="24" t="str">
        <f t="shared" si="29"/>
        <v/>
      </c>
      <c r="K58" s="25">
        <f>IF(A58="","",IFERROR(SUMIFS(Int_Repayments!E$4:E$1003,Int_Repayments!C$4:C$1003,A58,Int_Repayments!D$4:D$1003,2),0))</f>
        <v>0</v>
      </c>
      <c r="L58" s="26" t="str">
        <f t="shared" si="30"/>
        <v/>
      </c>
      <c r="M58" s="24" t="str">
        <f t="shared" si="31"/>
        <v/>
      </c>
      <c r="N58" s="25">
        <f>IF(A58="","",IFERROR(SUMIFS(Int_Repayments!E$4:E$1003,Int_Repayments!C$4:C$1003,A58,Int_Repayments!D$4:D$1003,3),0))</f>
        <v>0</v>
      </c>
      <c r="O58" s="26" t="str">
        <f t="shared" si="32"/>
        <v/>
      </c>
      <c r="P58" s="24" t="str">
        <f t="shared" si="33"/>
        <v/>
      </c>
      <c r="Q58" s="25">
        <f>IF(A58="","",IFERROR(SUMIFS(Int_Repayments!E$4:E$1003,Int_Repayments!C$4:C$1003,A58,Int_Repayments!D$4:D$1003,4),0))</f>
        <v>0</v>
      </c>
      <c r="R58" s="26" t="str">
        <f t="shared" si="34"/>
        <v/>
      </c>
      <c r="S58" s="24" t="str">
        <f t="shared" si="35"/>
        <v/>
      </c>
      <c r="T58" s="25">
        <f>IF(A58="","",IFERROR(SUMIFS(Int_Repayments!E$4:E$1003,Int_Repayments!C$4:C$1003,A58,Int_Repayments!D$4:D$1003,5),0))</f>
        <v>0</v>
      </c>
      <c r="U58" s="26" t="str">
        <f t="shared" si="36"/>
        <v/>
      </c>
      <c r="V58" s="24" t="str">
        <f t="shared" si="37"/>
        <v/>
      </c>
      <c r="W58" s="25">
        <f>IF(A58="","",IFERROR(SUMIFS(Int_Repayments!E$4:E$1003,Int_Repayments!C$4:C$1003,A58,Int_Repayments!D$4:D$1003,6),0))</f>
        <v>0</v>
      </c>
      <c r="X58" s="26" t="str">
        <f t="shared" si="38"/>
        <v/>
      </c>
      <c r="Y58" s="24" t="str">
        <f t="shared" si="39"/>
        <v/>
      </c>
      <c r="Z58" s="25">
        <f>IF(A58="","",IFERROR(SUMIFS(Int_Repayments!E$4:E$1003,Int_Repayments!C$4:C$1003,A58,Int_Repayments!D$4:D$1003,7),0))</f>
        <v>0</v>
      </c>
      <c r="AA58" s="26" t="str">
        <f t="shared" si="40"/>
        <v/>
      </c>
      <c r="AB58" s="24" t="str">
        <f t="shared" si="41"/>
        <v/>
      </c>
      <c r="AC58" s="25">
        <f>IF(A58="","",IFERROR(SUMIFS(Int_Repayments!E$4:E$1003,Int_Repayments!C$4:C$1003,A58,Int_Repayments!D$4:D$1003,8),0))</f>
        <v>0</v>
      </c>
      <c r="AD58" s="26" t="str">
        <f t="shared" si="42"/>
        <v/>
      </c>
      <c r="AE58" s="24" t="str">
        <f t="shared" si="43"/>
        <v/>
      </c>
      <c r="AF58" s="25">
        <f>IF(A58="","",IFERROR(SUMIFS(Int_Repayments!E$4:E$1003,Int_Repayments!C$4:C$1003,A58,Int_Repayments!D$4:D$1003,9),0))</f>
        <v>0</v>
      </c>
      <c r="AG58" s="26" t="str">
        <f t="shared" si="44"/>
        <v/>
      </c>
      <c r="AH58" s="24" t="str">
        <f t="shared" si="45"/>
        <v/>
      </c>
      <c r="AI58" s="25">
        <f>IF(A58="","",IFERROR(SUMIFS(Int_Repayments!E$4:E$1003,Int_Repayments!C$4:C$1003,A58,Int_Repayments!D$4:D$1003,10),0))</f>
        <v>0</v>
      </c>
      <c r="AJ58" s="26" t="str">
        <f t="shared" si="46"/>
        <v/>
      </c>
      <c r="AK58" s="24" t="str">
        <f t="shared" si="47"/>
        <v/>
      </c>
      <c r="AL58" s="25">
        <f>IF(A58="","",IFERROR(SUMIFS(Int_Repayments!E$4:E$1003,Int_Repayments!C$4:C$1003,A58,Int_Repayments!D$4:D$1003,11),0))</f>
        <v>0</v>
      </c>
      <c r="AM58" s="26" t="str">
        <f t="shared" si="48"/>
        <v/>
      </c>
      <c r="AN58" s="24" t="str">
        <f t="shared" si="49"/>
        <v/>
      </c>
      <c r="AO58" s="25">
        <f>IF(A58="","",IFERROR(SUMIFS(Int_Repayments!E$4:E$1003,Int_Repayments!C$4:C$1003,A58,Int_Repayments!D$4:D$1003,12),0))</f>
        <v>0</v>
      </c>
      <c r="AP58" s="26" t="str">
        <f t="shared" si="50"/>
        <v/>
      </c>
      <c r="AQ58" s="24" t="str">
        <f t="shared" si="51"/>
        <v/>
      </c>
      <c r="AR58" s="24" t="str">
        <f t="shared" si="52"/>
        <v/>
      </c>
      <c r="AS58" s="24" t="str">
        <f t="shared" si="53"/>
        <v/>
      </c>
    </row>
    <row r="59" spans="1:45" ht="15.75" customHeight="1" x14ac:dyDescent="0.25">
      <c r="A59" s="6">
        <f>IFERROR(Loans!C59,"")</f>
        <v>0</v>
      </c>
      <c r="B59" s="4">
        <f>IFERROR(Loans!B59,"")</f>
        <v>0</v>
      </c>
      <c r="C59" s="6">
        <f>IFERROR(Loans!A59,"")</f>
        <v>0</v>
      </c>
      <c r="D59" s="21">
        <f>IFERROR(Loans!E59,0)</f>
        <v>0</v>
      </c>
      <c r="E59" s="22">
        <f>IFERROR(Loans!H59,0)</f>
        <v>0</v>
      </c>
      <c r="F59" s="23">
        <f>IFERROR(Loans!I59,0)</f>
        <v>0</v>
      </c>
      <c r="G59" s="24" t="str">
        <f t="shared" si="27"/>
        <v/>
      </c>
      <c r="H59" s="25">
        <f>IF(A59="","",IFERROR(SUMIFS(Int_Repayments!E$4:E$1003,Int_Repayments!C$4:C$1003,A59,Int_Repayments!D$4:D$1003,1),0))</f>
        <v>0</v>
      </c>
      <c r="I59" s="26" t="str">
        <f t="shared" si="28"/>
        <v/>
      </c>
      <c r="J59" s="24" t="str">
        <f t="shared" si="29"/>
        <v/>
      </c>
      <c r="K59" s="25">
        <f>IF(A59="","",IFERROR(SUMIFS(Int_Repayments!E$4:E$1003,Int_Repayments!C$4:C$1003,A59,Int_Repayments!D$4:D$1003,2),0))</f>
        <v>0</v>
      </c>
      <c r="L59" s="26" t="str">
        <f t="shared" si="30"/>
        <v/>
      </c>
      <c r="M59" s="24" t="str">
        <f t="shared" si="31"/>
        <v/>
      </c>
      <c r="N59" s="25">
        <f>IF(A59="","",IFERROR(SUMIFS(Int_Repayments!E$4:E$1003,Int_Repayments!C$4:C$1003,A59,Int_Repayments!D$4:D$1003,3),0))</f>
        <v>0</v>
      </c>
      <c r="O59" s="26" t="str">
        <f t="shared" si="32"/>
        <v/>
      </c>
      <c r="P59" s="24" t="str">
        <f t="shared" si="33"/>
        <v/>
      </c>
      <c r="Q59" s="25">
        <f>IF(A59="","",IFERROR(SUMIFS(Int_Repayments!E$4:E$1003,Int_Repayments!C$4:C$1003,A59,Int_Repayments!D$4:D$1003,4),0))</f>
        <v>0</v>
      </c>
      <c r="R59" s="26" t="str">
        <f t="shared" si="34"/>
        <v/>
      </c>
      <c r="S59" s="24" t="str">
        <f t="shared" si="35"/>
        <v/>
      </c>
      <c r="T59" s="25">
        <f>IF(A59="","",IFERROR(SUMIFS(Int_Repayments!E$4:E$1003,Int_Repayments!C$4:C$1003,A59,Int_Repayments!D$4:D$1003,5),0))</f>
        <v>0</v>
      </c>
      <c r="U59" s="26" t="str">
        <f t="shared" si="36"/>
        <v/>
      </c>
      <c r="V59" s="24" t="str">
        <f t="shared" si="37"/>
        <v/>
      </c>
      <c r="W59" s="25">
        <f>IF(A59="","",IFERROR(SUMIFS(Int_Repayments!E$4:E$1003,Int_Repayments!C$4:C$1003,A59,Int_Repayments!D$4:D$1003,6),0))</f>
        <v>0</v>
      </c>
      <c r="X59" s="26" t="str">
        <f t="shared" si="38"/>
        <v/>
      </c>
      <c r="Y59" s="24" t="str">
        <f t="shared" si="39"/>
        <v/>
      </c>
      <c r="Z59" s="25">
        <f>IF(A59="","",IFERROR(SUMIFS(Int_Repayments!E$4:E$1003,Int_Repayments!C$4:C$1003,A59,Int_Repayments!D$4:D$1003,7),0))</f>
        <v>0</v>
      </c>
      <c r="AA59" s="26" t="str">
        <f t="shared" si="40"/>
        <v/>
      </c>
      <c r="AB59" s="24" t="str">
        <f t="shared" si="41"/>
        <v/>
      </c>
      <c r="AC59" s="25">
        <f>IF(A59="","",IFERROR(SUMIFS(Int_Repayments!E$4:E$1003,Int_Repayments!C$4:C$1003,A59,Int_Repayments!D$4:D$1003,8),0))</f>
        <v>0</v>
      </c>
      <c r="AD59" s="26" t="str">
        <f t="shared" si="42"/>
        <v/>
      </c>
      <c r="AE59" s="24" t="str">
        <f t="shared" si="43"/>
        <v/>
      </c>
      <c r="AF59" s="25">
        <f>IF(A59="","",IFERROR(SUMIFS(Int_Repayments!E$4:E$1003,Int_Repayments!C$4:C$1003,A59,Int_Repayments!D$4:D$1003,9),0))</f>
        <v>0</v>
      </c>
      <c r="AG59" s="26" t="str">
        <f t="shared" si="44"/>
        <v/>
      </c>
      <c r="AH59" s="24" t="str">
        <f t="shared" si="45"/>
        <v/>
      </c>
      <c r="AI59" s="25">
        <f>IF(A59="","",IFERROR(SUMIFS(Int_Repayments!E$4:E$1003,Int_Repayments!C$4:C$1003,A59,Int_Repayments!D$4:D$1003,10),0))</f>
        <v>0</v>
      </c>
      <c r="AJ59" s="26" t="str">
        <f t="shared" si="46"/>
        <v/>
      </c>
      <c r="AK59" s="24" t="str">
        <f t="shared" si="47"/>
        <v/>
      </c>
      <c r="AL59" s="25">
        <f>IF(A59="","",IFERROR(SUMIFS(Int_Repayments!E$4:E$1003,Int_Repayments!C$4:C$1003,A59,Int_Repayments!D$4:D$1003,11),0))</f>
        <v>0</v>
      </c>
      <c r="AM59" s="26" t="str">
        <f t="shared" si="48"/>
        <v/>
      </c>
      <c r="AN59" s="24" t="str">
        <f t="shared" si="49"/>
        <v/>
      </c>
      <c r="AO59" s="25">
        <f>IF(A59="","",IFERROR(SUMIFS(Int_Repayments!E$4:E$1003,Int_Repayments!C$4:C$1003,A59,Int_Repayments!D$4:D$1003,12),0))</f>
        <v>0</v>
      </c>
      <c r="AP59" s="26" t="str">
        <f t="shared" si="50"/>
        <v/>
      </c>
      <c r="AQ59" s="24" t="str">
        <f t="shared" si="51"/>
        <v/>
      </c>
      <c r="AR59" s="24" t="str">
        <f t="shared" si="52"/>
        <v/>
      </c>
      <c r="AS59" s="24" t="str">
        <f t="shared" si="53"/>
        <v/>
      </c>
    </row>
    <row r="60" spans="1:45" ht="15.75" customHeight="1" x14ac:dyDescent="0.25">
      <c r="A60" s="6">
        <f>IFERROR(Loans!C60,"")</f>
        <v>0</v>
      </c>
      <c r="B60" s="4">
        <f>IFERROR(Loans!B60,"")</f>
        <v>0</v>
      </c>
      <c r="C60" s="6">
        <f>IFERROR(Loans!A60,"")</f>
        <v>0</v>
      </c>
      <c r="D60" s="21">
        <f>IFERROR(Loans!E60,0)</f>
        <v>0</v>
      </c>
      <c r="E60" s="22">
        <f>IFERROR(Loans!H60,0)</f>
        <v>0</v>
      </c>
      <c r="F60" s="23">
        <f>IFERROR(Loans!I60,0)</f>
        <v>0</v>
      </c>
      <c r="G60" s="24" t="str">
        <f t="shared" si="27"/>
        <v/>
      </c>
      <c r="H60" s="25">
        <f>IF(A60="","",IFERROR(SUMIFS(Int_Repayments!E$4:E$1003,Int_Repayments!C$4:C$1003,A60,Int_Repayments!D$4:D$1003,1),0))</f>
        <v>0</v>
      </c>
      <c r="I60" s="26" t="str">
        <f t="shared" si="28"/>
        <v/>
      </c>
      <c r="J60" s="24" t="str">
        <f t="shared" si="29"/>
        <v/>
      </c>
      <c r="K60" s="25">
        <f>IF(A60="","",IFERROR(SUMIFS(Int_Repayments!E$4:E$1003,Int_Repayments!C$4:C$1003,A60,Int_Repayments!D$4:D$1003,2),0))</f>
        <v>0</v>
      </c>
      <c r="L60" s="26" t="str">
        <f t="shared" si="30"/>
        <v/>
      </c>
      <c r="M60" s="24" t="str">
        <f t="shared" si="31"/>
        <v/>
      </c>
      <c r="N60" s="25">
        <f>IF(A60="","",IFERROR(SUMIFS(Int_Repayments!E$4:E$1003,Int_Repayments!C$4:C$1003,A60,Int_Repayments!D$4:D$1003,3),0))</f>
        <v>0</v>
      </c>
      <c r="O60" s="26" t="str">
        <f t="shared" si="32"/>
        <v/>
      </c>
      <c r="P60" s="24" t="str">
        <f t="shared" si="33"/>
        <v/>
      </c>
      <c r="Q60" s="25">
        <f>IF(A60="","",IFERROR(SUMIFS(Int_Repayments!E$4:E$1003,Int_Repayments!C$4:C$1003,A60,Int_Repayments!D$4:D$1003,4),0))</f>
        <v>0</v>
      </c>
      <c r="R60" s="26" t="str">
        <f t="shared" si="34"/>
        <v/>
      </c>
      <c r="S60" s="24" t="str">
        <f t="shared" si="35"/>
        <v/>
      </c>
      <c r="T60" s="25">
        <f>IF(A60="","",IFERROR(SUMIFS(Int_Repayments!E$4:E$1003,Int_Repayments!C$4:C$1003,A60,Int_Repayments!D$4:D$1003,5),0))</f>
        <v>0</v>
      </c>
      <c r="U60" s="26" t="str">
        <f t="shared" si="36"/>
        <v/>
      </c>
      <c r="V60" s="24" t="str">
        <f t="shared" si="37"/>
        <v/>
      </c>
      <c r="W60" s="25">
        <f>IF(A60="","",IFERROR(SUMIFS(Int_Repayments!E$4:E$1003,Int_Repayments!C$4:C$1003,A60,Int_Repayments!D$4:D$1003,6),0))</f>
        <v>0</v>
      </c>
      <c r="X60" s="26" t="str">
        <f t="shared" si="38"/>
        <v/>
      </c>
      <c r="Y60" s="24" t="str">
        <f t="shared" si="39"/>
        <v/>
      </c>
      <c r="Z60" s="25">
        <f>IF(A60="","",IFERROR(SUMIFS(Int_Repayments!E$4:E$1003,Int_Repayments!C$4:C$1003,A60,Int_Repayments!D$4:D$1003,7),0))</f>
        <v>0</v>
      </c>
      <c r="AA60" s="26" t="str">
        <f t="shared" si="40"/>
        <v/>
      </c>
      <c r="AB60" s="24" t="str">
        <f t="shared" si="41"/>
        <v/>
      </c>
      <c r="AC60" s="25">
        <f>IF(A60="","",IFERROR(SUMIFS(Int_Repayments!E$4:E$1003,Int_Repayments!C$4:C$1003,A60,Int_Repayments!D$4:D$1003,8),0))</f>
        <v>0</v>
      </c>
      <c r="AD60" s="26" t="str">
        <f t="shared" si="42"/>
        <v/>
      </c>
      <c r="AE60" s="24" t="str">
        <f t="shared" si="43"/>
        <v/>
      </c>
      <c r="AF60" s="25">
        <f>IF(A60="","",IFERROR(SUMIFS(Int_Repayments!E$4:E$1003,Int_Repayments!C$4:C$1003,A60,Int_Repayments!D$4:D$1003,9),0))</f>
        <v>0</v>
      </c>
      <c r="AG60" s="26" t="str">
        <f t="shared" si="44"/>
        <v/>
      </c>
      <c r="AH60" s="24" t="str">
        <f t="shared" si="45"/>
        <v/>
      </c>
      <c r="AI60" s="25">
        <f>IF(A60="","",IFERROR(SUMIFS(Int_Repayments!E$4:E$1003,Int_Repayments!C$4:C$1003,A60,Int_Repayments!D$4:D$1003,10),0))</f>
        <v>0</v>
      </c>
      <c r="AJ60" s="26" t="str">
        <f t="shared" si="46"/>
        <v/>
      </c>
      <c r="AK60" s="24" t="str">
        <f t="shared" si="47"/>
        <v/>
      </c>
      <c r="AL60" s="25">
        <f>IF(A60="","",IFERROR(SUMIFS(Int_Repayments!E$4:E$1003,Int_Repayments!C$4:C$1003,A60,Int_Repayments!D$4:D$1003,11),0))</f>
        <v>0</v>
      </c>
      <c r="AM60" s="26" t="str">
        <f t="shared" si="48"/>
        <v/>
      </c>
      <c r="AN60" s="24" t="str">
        <f t="shared" si="49"/>
        <v/>
      </c>
      <c r="AO60" s="25">
        <f>IF(A60="","",IFERROR(SUMIFS(Int_Repayments!E$4:E$1003,Int_Repayments!C$4:C$1003,A60,Int_Repayments!D$4:D$1003,12),0))</f>
        <v>0</v>
      </c>
      <c r="AP60" s="26" t="str">
        <f t="shared" si="50"/>
        <v/>
      </c>
      <c r="AQ60" s="24" t="str">
        <f t="shared" si="51"/>
        <v/>
      </c>
      <c r="AR60" s="24" t="str">
        <f t="shared" si="52"/>
        <v/>
      </c>
      <c r="AS60" s="24" t="str">
        <f t="shared" si="53"/>
        <v/>
      </c>
    </row>
    <row r="61" spans="1:45" ht="15.75" customHeight="1" x14ac:dyDescent="0.25">
      <c r="A61" s="6">
        <f>IFERROR(Loans!C61,"")</f>
        <v>0</v>
      </c>
      <c r="B61" s="4">
        <f>IFERROR(Loans!B61,"")</f>
        <v>0</v>
      </c>
      <c r="C61" s="6">
        <f>IFERROR(Loans!A61,"")</f>
        <v>0</v>
      </c>
      <c r="D61" s="21">
        <f>IFERROR(Loans!E61,0)</f>
        <v>0</v>
      </c>
      <c r="E61" s="22">
        <f>IFERROR(Loans!H61,0)</f>
        <v>0</v>
      </c>
      <c r="F61" s="23">
        <f>IFERROR(Loans!I61,0)</f>
        <v>0</v>
      </c>
      <c r="G61" s="24" t="str">
        <f t="shared" si="27"/>
        <v/>
      </c>
      <c r="H61" s="25">
        <f>IF(A61="","",IFERROR(SUMIFS(Int_Repayments!E$4:E$1003,Int_Repayments!C$4:C$1003,A61,Int_Repayments!D$4:D$1003,1),0))</f>
        <v>0</v>
      </c>
      <c r="I61" s="26" t="str">
        <f t="shared" si="28"/>
        <v/>
      </c>
      <c r="J61" s="24" t="str">
        <f t="shared" si="29"/>
        <v/>
      </c>
      <c r="K61" s="25">
        <f>IF(A61="","",IFERROR(SUMIFS(Int_Repayments!E$4:E$1003,Int_Repayments!C$4:C$1003,A61,Int_Repayments!D$4:D$1003,2),0))</f>
        <v>0</v>
      </c>
      <c r="L61" s="26" t="str">
        <f t="shared" si="30"/>
        <v/>
      </c>
      <c r="M61" s="24" t="str">
        <f t="shared" si="31"/>
        <v/>
      </c>
      <c r="N61" s="25">
        <f>IF(A61="","",IFERROR(SUMIFS(Int_Repayments!E$4:E$1003,Int_Repayments!C$4:C$1003,A61,Int_Repayments!D$4:D$1003,3),0))</f>
        <v>0</v>
      </c>
      <c r="O61" s="26" t="str">
        <f t="shared" si="32"/>
        <v/>
      </c>
      <c r="P61" s="24" t="str">
        <f t="shared" si="33"/>
        <v/>
      </c>
      <c r="Q61" s="25">
        <f>IF(A61="","",IFERROR(SUMIFS(Int_Repayments!E$4:E$1003,Int_Repayments!C$4:C$1003,A61,Int_Repayments!D$4:D$1003,4),0))</f>
        <v>0</v>
      </c>
      <c r="R61" s="26" t="str">
        <f t="shared" si="34"/>
        <v/>
      </c>
      <c r="S61" s="24" t="str">
        <f t="shared" si="35"/>
        <v/>
      </c>
      <c r="T61" s="25">
        <f>IF(A61="","",IFERROR(SUMIFS(Int_Repayments!E$4:E$1003,Int_Repayments!C$4:C$1003,A61,Int_Repayments!D$4:D$1003,5),0))</f>
        <v>0</v>
      </c>
      <c r="U61" s="26" t="str">
        <f t="shared" si="36"/>
        <v/>
      </c>
      <c r="V61" s="24" t="str">
        <f t="shared" si="37"/>
        <v/>
      </c>
      <c r="W61" s="25">
        <f>IF(A61="","",IFERROR(SUMIFS(Int_Repayments!E$4:E$1003,Int_Repayments!C$4:C$1003,A61,Int_Repayments!D$4:D$1003,6),0))</f>
        <v>0</v>
      </c>
      <c r="X61" s="26" t="str">
        <f t="shared" si="38"/>
        <v/>
      </c>
      <c r="Y61" s="24" t="str">
        <f t="shared" si="39"/>
        <v/>
      </c>
      <c r="Z61" s="25">
        <f>IF(A61="","",IFERROR(SUMIFS(Int_Repayments!E$4:E$1003,Int_Repayments!C$4:C$1003,A61,Int_Repayments!D$4:D$1003,7),0))</f>
        <v>0</v>
      </c>
      <c r="AA61" s="26" t="str">
        <f t="shared" si="40"/>
        <v/>
      </c>
      <c r="AB61" s="24" t="str">
        <f t="shared" si="41"/>
        <v/>
      </c>
      <c r="AC61" s="25">
        <f>IF(A61="","",IFERROR(SUMIFS(Int_Repayments!E$4:E$1003,Int_Repayments!C$4:C$1003,A61,Int_Repayments!D$4:D$1003,8),0))</f>
        <v>0</v>
      </c>
      <c r="AD61" s="26" t="str">
        <f t="shared" si="42"/>
        <v/>
      </c>
      <c r="AE61" s="24" t="str">
        <f t="shared" si="43"/>
        <v/>
      </c>
      <c r="AF61" s="25">
        <f>IF(A61="","",IFERROR(SUMIFS(Int_Repayments!E$4:E$1003,Int_Repayments!C$4:C$1003,A61,Int_Repayments!D$4:D$1003,9),0))</f>
        <v>0</v>
      </c>
      <c r="AG61" s="26" t="str">
        <f t="shared" si="44"/>
        <v/>
      </c>
      <c r="AH61" s="24" t="str">
        <f t="shared" si="45"/>
        <v/>
      </c>
      <c r="AI61" s="25">
        <f>IF(A61="","",IFERROR(SUMIFS(Int_Repayments!E$4:E$1003,Int_Repayments!C$4:C$1003,A61,Int_Repayments!D$4:D$1003,10),0))</f>
        <v>0</v>
      </c>
      <c r="AJ61" s="26" t="str">
        <f t="shared" si="46"/>
        <v/>
      </c>
      <c r="AK61" s="24" t="str">
        <f t="shared" si="47"/>
        <v/>
      </c>
      <c r="AL61" s="25">
        <f>IF(A61="","",IFERROR(SUMIFS(Int_Repayments!E$4:E$1003,Int_Repayments!C$4:C$1003,A61,Int_Repayments!D$4:D$1003,11),0))</f>
        <v>0</v>
      </c>
      <c r="AM61" s="26" t="str">
        <f t="shared" si="48"/>
        <v/>
      </c>
      <c r="AN61" s="24" t="str">
        <f t="shared" si="49"/>
        <v/>
      </c>
      <c r="AO61" s="25">
        <f>IF(A61="","",IFERROR(SUMIFS(Int_Repayments!E$4:E$1003,Int_Repayments!C$4:C$1003,A61,Int_Repayments!D$4:D$1003,12),0))</f>
        <v>0</v>
      </c>
      <c r="AP61" s="26" t="str">
        <f t="shared" si="50"/>
        <v/>
      </c>
      <c r="AQ61" s="24" t="str">
        <f t="shared" si="51"/>
        <v/>
      </c>
      <c r="AR61" s="24" t="str">
        <f t="shared" si="52"/>
        <v/>
      </c>
      <c r="AS61" s="24" t="str">
        <f t="shared" si="53"/>
        <v/>
      </c>
    </row>
    <row r="62" spans="1:45" ht="15.75" customHeight="1" x14ac:dyDescent="0.25">
      <c r="A62" s="6">
        <f>IFERROR(Loans!C62,"")</f>
        <v>0</v>
      </c>
      <c r="B62" s="4">
        <f>IFERROR(Loans!B62,"")</f>
        <v>0</v>
      </c>
      <c r="C62" s="6">
        <f>IFERROR(Loans!A62,"")</f>
        <v>0</v>
      </c>
      <c r="D62" s="21">
        <f>IFERROR(Loans!E62,0)</f>
        <v>0</v>
      </c>
      <c r="E62" s="22">
        <f>IFERROR(Loans!H62,0)</f>
        <v>0</v>
      </c>
      <c r="F62" s="23">
        <f>IFERROR(Loans!I62,0)</f>
        <v>0</v>
      </c>
      <c r="G62" s="24" t="str">
        <f t="shared" si="27"/>
        <v/>
      </c>
      <c r="H62" s="25">
        <f>IF(A62="","",IFERROR(SUMIFS(Int_Repayments!E$4:E$1003,Int_Repayments!C$4:C$1003,A62,Int_Repayments!D$4:D$1003,1),0))</f>
        <v>0</v>
      </c>
      <c r="I62" s="26" t="str">
        <f t="shared" si="28"/>
        <v/>
      </c>
      <c r="J62" s="24" t="str">
        <f t="shared" si="29"/>
        <v/>
      </c>
      <c r="K62" s="25">
        <f>IF(A62="","",IFERROR(SUMIFS(Int_Repayments!E$4:E$1003,Int_Repayments!C$4:C$1003,A62,Int_Repayments!D$4:D$1003,2),0))</f>
        <v>0</v>
      </c>
      <c r="L62" s="26" t="str">
        <f t="shared" si="30"/>
        <v/>
      </c>
      <c r="M62" s="24" t="str">
        <f t="shared" si="31"/>
        <v/>
      </c>
      <c r="N62" s="25">
        <f>IF(A62="","",IFERROR(SUMIFS(Int_Repayments!E$4:E$1003,Int_Repayments!C$4:C$1003,A62,Int_Repayments!D$4:D$1003,3),0))</f>
        <v>0</v>
      </c>
      <c r="O62" s="26" t="str">
        <f t="shared" si="32"/>
        <v/>
      </c>
      <c r="P62" s="24" t="str">
        <f t="shared" si="33"/>
        <v/>
      </c>
      <c r="Q62" s="25">
        <f>IF(A62="","",IFERROR(SUMIFS(Int_Repayments!E$4:E$1003,Int_Repayments!C$4:C$1003,A62,Int_Repayments!D$4:D$1003,4),0))</f>
        <v>0</v>
      </c>
      <c r="R62" s="26" t="str">
        <f t="shared" si="34"/>
        <v/>
      </c>
      <c r="S62" s="24" t="str">
        <f t="shared" si="35"/>
        <v/>
      </c>
      <c r="T62" s="25">
        <f>IF(A62="","",IFERROR(SUMIFS(Int_Repayments!E$4:E$1003,Int_Repayments!C$4:C$1003,A62,Int_Repayments!D$4:D$1003,5),0))</f>
        <v>0</v>
      </c>
      <c r="U62" s="26" t="str">
        <f t="shared" si="36"/>
        <v/>
      </c>
      <c r="V62" s="24" t="str">
        <f t="shared" si="37"/>
        <v/>
      </c>
      <c r="W62" s="25">
        <f>IF(A62="","",IFERROR(SUMIFS(Int_Repayments!E$4:E$1003,Int_Repayments!C$4:C$1003,A62,Int_Repayments!D$4:D$1003,6),0))</f>
        <v>0</v>
      </c>
      <c r="X62" s="26" t="str">
        <f t="shared" si="38"/>
        <v/>
      </c>
      <c r="Y62" s="24" t="str">
        <f t="shared" si="39"/>
        <v/>
      </c>
      <c r="Z62" s="25">
        <f>IF(A62="","",IFERROR(SUMIFS(Int_Repayments!E$4:E$1003,Int_Repayments!C$4:C$1003,A62,Int_Repayments!D$4:D$1003,7),0))</f>
        <v>0</v>
      </c>
      <c r="AA62" s="26" t="str">
        <f t="shared" si="40"/>
        <v/>
      </c>
      <c r="AB62" s="24" t="str">
        <f t="shared" si="41"/>
        <v/>
      </c>
      <c r="AC62" s="25">
        <f>IF(A62="","",IFERROR(SUMIFS(Int_Repayments!E$4:E$1003,Int_Repayments!C$4:C$1003,A62,Int_Repayments!D$4:D$1003,8),0))</f>
        <v>0</v>
      </c>
      <c r="AD62" s="26" t="str">
        <f t="shared" si="42"/>
        <v/>
      </c>
      <c r="AE62" s="24" t="str">
        <f t="shared" si="43"/>
        <v/>
      </c>
      <c r="AF62" s="25">
        <f>IF(A62="","",IFERROR(SUMIFS(Int_Repayments!E$4:E$1003,Int_Repayments!C$4:C$1003,A62,Int_Repayments!D$4:D$1003,9),0))</f>
        <v>0</v>
      </c>
      <c r="AG62" s="26" t="str">
        <f t="shared" si="44"/>
        <v/>
      </c>
      <c r="AH62" s="24" t="str">
        <f t="shared" si="45"/>
        <v/>
      </c>
      <c r="AI62" s="25">
        <f>IF(A62="","",IFERROR(SUMIFS(Int_Repayments!E$4:E$1003,Int_Repayments!C$4:C$1003,A62,Int_Repayments!D$4:D$1003,10),0))</f>
        <v>0</v>
      </c>
      <c r="AJ62" s="26" t="str">
        <f t="shared" si="46"/>
        <v/>
      </c>
      <c r="AK62" s="24" t="str">
        <f t="shared" si="47"/>
        <v/>
      </c>
      <c r="AL62" s="25">
        <f>IF(A62="","",IFERROR(SUMIFS(Int_Repayments!E$4:E$1003,Int_Repayments!C$4:C$1003,A62,Int_Repayments!D$4:D$1003,11),0))</f>
        <v>0</v>
      </c>
      <c r="AM62" s="26" t="str">
        <f t="shared" si="48"/>
        <v/>
      </c>
      <c r="AN62" s="24" t="str">
        <f t="shared" si="49"/>
        <v/>
      </c>
      <c r="AO62" s="25">
        <f>IF(A62="","",IFERROR(SUMIFS(Int_Repayments!E$4:E$1003,Int_Repayments!C$4:C$1003,A62,Int_Repayments!D$4:D$1003,12),0))</f>
        <v>0</v>
      </c>
      <c r="AP62" s="26" t="str">
        <f t="shared" si="50"/>
        <v/>
      </c>
      <c r="AQ62" s="24" t="str">
        <f t="shared" si="51"/>
        <v/>
      </c>
      <c r="AR62" s="24" t="str">
        <f t="shared" si="52"/>
        <v/>
      </c>
      <c r="AS62" s="24" t="str">
        <f t="shared" si="53"/>
        <v/>
      </c>
    </row>
    <row r="63" spans="1:45" ht="15.75" customHeight="1" x14ac:dyDescent="0.25">
      <c r="A63" s="6">
        <f>IFERROR(Loans!C63,"")</f>
        <v>0</v>
      </c>
      <c r="B63" s="4">
        <f>IFERROR(Loans!B63,"")</f>
        <v>0</v>
      </c>
      <c r="C63" s="6">
        <f>IFERROR(Loans!A63,"")</f>
        <v>0</v>
      </c>
      <c r="D63" s="21">
        <f>IFERROR(Loans!E63,0)</f>
        <v>0</v>
      </c>
      <c r="E63" s="22">
        <f>IFERROR(Loans!H63,0)</f>
        <v>0</v>
      </c>
      <c r="F63" s="23">
        <f>IFERROR(Loans!I63,0)</f>
        <v>0</v>
      </c>
      <c r="G63" s="24" t="str">
        <f t="shared" si="27"/>
        <v/>
      </c>
      <c r="H63" s="25">
        <f>IF(A63="","",IFERROR(SUMIFS(Int_Repayments!E$4:E$1003,Int_Repayments!C$4:C$1003,A63,Int_Repayments!D$4:D$1003,1),0))</f>
        <v>0</v>
      </c>
      <c r="I63" s="26" t="str">
        <f t="shared" si="28"/>
        <v/>
      </c>
      <c r="J63" s="24" t="str">
        <f t="shared" si="29"/>
        <v/>
      </c>
      <c r="K63" s="25">
        <f>IF(A63="","",IFERROR(SUMIFS(Int_Repayments!E$4:E$1003,Int_Repayments!C$4:C$1003,A63,Int_Repayments!D$4:D$1003,2),0))</f>
        <v>0</v>
      </c>
      <c r="L63" s="26" t="str">
        <f t="shared" si="30"/>
        <v/>
      </c>
      <c r="M63" s="24" t="str">
        <f t="shared" si="31"/>
        <v/>
      </c>
      <c r="N63" s="25">
        <f>IF(A63="","",IFERROR(SUMIFS(Int_Repayments!E$4:E$1003,Int_Repayments!C$4:C$1003,A63,Int_Repayments!D$4:D$1003,3),0))</f>
        <v>0</v>
      </c>
      <c r="O63" s="26" t="str">
        <f t="shared" si="32"/>
        <v/>
      </c>
      <c r="P63" s="24" t="str">
        <f t="shared" si="33"/>
        <v/>
      </c>
      <c r="Q63" s="25">
        <f>IF(A63="","",IFERROR(SUMIFS(Int_Repayments!E$4:E$1003,Int_Repayments!C$4:C$1003,A63,Int_Repayments!D$4:D$1003,4),0))</f>
        <v>0</v>
      </c>
      <c r="R63" s="26" t="str">
        <f t="shared" si="34"/>
        <v/>
      </c>
      <c r="S63" s="24" t="str">
        <f t="shared" si="35"/>
        <v/>
      </c>
      <c r="T63" s="25">
        <f>IF(A63="","",IFERROR(SUMIFS(Int_Repayments!E$4:E$1003,Int_Repayments!C$4:C$1003,A63,Int_Repayments!D$4:D$1003,5),0))</f>
        <v>0</v>
      </c>
      <c r="U63" s="26" t="str">
        <f t="shared" si="36"/>
        <v/>
      </c>
      <c r="V63" s="24" t="str">
        <f t="shared" si="37"/>
        <v/>
      </c>
      <c r="W63" s="25">
        <f>IF(A63="","",IFERROR(SUMIFS(Int_Repayments!E$4:E$1003,Int_Repayments!C$4:C$1003,A63,Int_Repayments!D$4:D$1003,6),0))</f>
        <v>0</v>
      </c>
      <c r="X63" s="26" t="str">
        <f t="shared" si="38"/>
        <v/>
      </c>
      <c r="Y63" s="24" t="str">
        <f t="shared" si="39"/>
        <v/>
      </c>
      <c r="Z63" s="25">
        <f>IF(A63="","",IFERROR(SUMIFS(Int_Repayments!E$4:E$1003,Int_Repayments!C$4:C$1003,A63,Int_Repayments!D$4:D$1003,7),0))</f>
        <v>0</v>
      </c>
      <c r="AA63" s="26" t="str">
        <f t="shared" si="40"/>
        <v/>
      </c>
      <c r="AB63" s="24" t="str">
        <f t="shared" si="41"/>
        <v/>
      </c>
      <c r="AC63" s="25">
        <f>IF(A63="","",IFERROR(SUMIFS(Int_Repayments!E$4:E$1003,Int_Repayments!C$4:C$1003,A63,Int_Repayments!D$4:D$1003,8),0))</f>
        <v>0</v>
      </c>
      <c r="AD63" s="26" t="str">
        <f t="shared" si="42"/>
        <v/>
      </c>
      <c r="AE63" s="24" t="str">
        <f t="shared" si="43"/>
        <v/>
      </c>
      <c r="AF63" s="25">
        <f>IF(A63="","",IFERROR(SUMIFS(Int_Repayments!E$4:E$1003,Int_Repayments!C$4:C$1003,A63,Int_Repayments!D$4:D$1003,9),0))</f>
        <v>0</v>
      </c>
      <c r="AG63" s="26" t="str">
        <f t="shared" si="44"/>
        <v/>
      </c>
      <c r="AH63" s="24" t="str">
        <f t="shared" si="45"/>
        <v/>
      </c>
      <c r="AI63" s="25">
        <f>IF(A63="","",IFERROR(SUMIFS(Int_Repayments!E$4:E$1003,Int_Repayments!C$4:C$1003,A63,Int_Repayments!D$4:D$1003,10),0))</f>
        <v>0</v>
      </c>
      <c r="AJ63" s="26" t="str">
        <f t="shared" si="46"/>
        <v/>
      </c>
      <c r="AK63" s="24" t="str">
        <f t="shared" si="47"/>
        <v/>
      </c>
      <c r="AL63" s="25">
        <f>IF(A63="","",IFERROR(SUMIFS(Int_Repayments!E$4:E$1003,Int_Repayments!C$4:C$1003,A63,Int_Repayments!D$4:D$1003,11),0))</f>
        <v>0</v>
      </c>
      <c r="AM63" s="26" t="str">
        <f t="shared" si="48"/>
        <v/>
      </c>
      <c r="AN63" s="24" t="str">
        <f t="shared" si="49"/>
        <v/>
      </c>
      <c r="AO63" s="25">
        <f>IF(A63="","",IFERROR(SUMIFS(Int_Repayments!E$4:E$1003,Int_Repayments!C$4:C$1003,A63,Int_Repayments!D$4:D$1003,12),0))</f>
        <v>0</v>
      </c>
      <c r="AP63" s="26" t="str">
        <f t="shared" si="50"/>
        <v/>
      </c>
      <c r="AQ63" s="24" t="str">
        <f t="shared" si="51"/>
        <v/>
      </c>
      <c r="AR63" s="24" t="str">
        <f t="shared" si="52"/>
        <v/>
      </c>
      <c r="AS63" s="24" t="str">
        <f t="shared" si="53"/>
        <v/>
      </c>
    </row>
    <row r="64" spans="1:45" ht="15.75" customHeight="1" x14ac:dyDescent="0.25">
      <c r="A64" s="6">
        <f>IFERROR(Loans!C64,"")</f>
        <v>0</v>
      </c>
      <c r="B64" s="4">
        <f>IFERROR(Loans!B64,"")</f>
        <v>0</v>
      </c>
      <c r="C64" s="6">
        <f>IFERROR(Loans!A64,"")</f>
        <v>0</v>
      </c>
      <c r="D64" s="21">
        <f>IFERROR(Loans!E64,0)</f>
        <v>0</v>
      </c>
      <c r="E64" s="22">
        <f>IFERROR(Loans!H64,0)</f>
        <v>0</v>
      </c>
      <c r="F64" s="23">
        <f>IFERROR(Loans!I64,0)</f>
        <v>0</v>
      </c>
      <c r="G64" s="24" t="str">
        <f t="shared" si="27"/>
        <v/>
      </c>
      <c r="H64" s="25">
        <f>IF(A64="","",IFERROR(SUMIFS(Int_Repayments!E$4:E$1003,Int_Repayments!C$4:C$1003,A64,Int_Repayments!D$4:D$1003,1),0))</f>
        <v>0</v>
      </c>
      <c r="I64" s="26" t="str">
        <f t="shared" si="28"/>
        <v/>
      </c>
      <c r="J64" s="24" t="str">
        <f t="shared" si="29"/>
        <v/>
      </c>
      <c r="K64" s="25">
        <f>IF(A64="","",IFERROR(SUMIFS(Int_Repayments!E$4:E$1003,Int_Repayments!C$4:C$1003,A64,Int_Repayments!D$4:D$1003,2),0))</f>
        <v>0</v>
      </c>
      <c r="L64" s="26" t="str">
        <f t="shared" si="30"/>
        <v/>
      </c>
      <c r="M64" s="24" t="str">
        <f t="shared" si="31"/>
        <v/>
      </c>
      <c r="N64" s="25">
        <f>IF(A64="","",IFERROR(SUMIFS(Int_Repayments!E$4:E$1003,Int_Repayments!C$4:C$1003,A64,Int_Repayments!D$4:D$1003,3),0))</f>
        <v>0</v>
      </c>
      <c r="O64" s="26" t="str">
        <f t="shared" si="32"/>
        <v/>
      </c>
      <c r="P64" s="24" t="str">
        <f t="shared" si="33"/>
        <v/>
      </c>
      <c r="Q64" s="25">
        <f>IF(A64="","",IFERROR(SUMIFS(Int_Repayments!E$4:E$1003,Int_Repayments!C$4:C$1003,A64,Int_Repayments!D$4:D$1003,4),0))</f>
        <v>0</v>
      </c>
      <c r="R64" s="26" t="str">
        <f t="shared" si="34"/>
        <v/>
      </c>
      <c r="S64" s="24" t="str">
        <f t="shared" si="35"/>
        <v/>
      </c>
      <c r="T64" s="25">
        <f>IF(A64="","",IFERROR(SUMIFS(Int_Repayments!E$4:E$1003,Int_Repayments!C$4:C$1003,A64,Int_Repayments!D$4:D$1003,5),0))</f>
        <v>0</v>
      </c>
      <c r="U64" s="26" t="str">
        <f t="shared" si="36"/>
        <v/>
      </c>
      <c r="V64" s="24" t="str">
        <f t="shared" si="37"/>
        <v/>
      </c>
      <c r="W64" s="25">
        <f>IF(A64="","",IFERROR(SUMIFS(Int_Repayments!E$4:E$1003,Int_Repayments!C$4:C$1003,A64,Int_Repayments!D$4:D$1003,6),0))</f>
        <v>0</v>
      </c>
      <c r="X64" s="26" t="str">
        <f t="shared" si="38"/>
        <v/>
      </c>
      <c r="Y64" s="24" t="str">
        <f t="shared" si="39"/>
        <v/>
      </c>
      <c r="Z64" s="25">
        <f>IF(A64="","",IFERROR(SUMIFS(Int_Repayments!E$4:E$1003,Int_Repayments!C$4:C$1003,A64,Int_Repayments!D$4:D$1003,7),0))</f>
        <v>0</v>
      </c>
      <c r="AA64" s="26" t="str">
        <f t="shared" si="40"/>
        <v/>
      </c>
      <c r="AB64" s="24" t="str">
        <f t="shared" si="41"/>
        <v/>
      </c>
      <c r="AC64" s="25">
        <f>IF(A64="","",IFERROR(SUMIFS(Int_Repayments!E$4:E$1003,Int_Repayments!C$4:C$1003,A64,Int_Repayments!D$4:D$1003,8),0))</f>
        <v>0</v>
      </c>
      <c r="AD64" s="26" t="str">
        <f t="shared" si="42"/>
        <v/>
      </c>
      <c r="AE64" s="24" t="str">
        <f t="shared" si="43"/>
        <v/>
      </c>
      <c r="AF64" s="25">
        <f>IF(A64="","",IFERROR(SUMIFS(Int_Repayments!E$4:E$1003,Int_Repayments!C$4:C$1003,A64,Int_Repayments!D$4:D$1003,9),0))</f>
        <v>0</v>
      </c>
      <c r="AG64" s="26" t="str">
        <f t="shared" si="44"/>
        <v/>
      </c>
      <c r="AH64" s="24" t="str">
        <f t="shared" si="45"/>
        <v/>
      </c>
      <c r="AI64" s="25">
        <f>IF(A64="","",IFERROR(SUMIFS(Int_Repayments!E$4:E$1003,Int_Repayments!C$4:C$1003,A64,Int_Repayments!D$4:D$1003,10),0))</f>
        <v>0</v>
      </c>
      <c r="AJ64" s="26" t="str">
        <f t="shared" si="46"/>
        <v/>
      </c>
      <c r="AK64" s="24" t="str">
        <f t="shared" si="47"/>
        <v/>
      </c>
      <c r="AL64" s="25">
        <f>IF(A64="","",IFERROR(SUMIFS(Int_Repayments!E$4:E$1003,Int_Repayments!C$4:C$1003,A64,Int_Repayments!D$4:D$1003,11),0))</f>
        <v>0</v>
      </c>
      <c r="AM64" s="26" t="str">
        <f t="shared" si="48"/>
        <v/>
      </c>
      <c r="AN64" s="24" t="str">
        <f t="shared" si="49"/>
        <v/>
      </c>
      <c r="AO64" s="25">
        <f>IF(A64="","",IFERROR(SUMIFS(Int_Repayments!E$4:E$1003,Int_Repayments!C$4:C$1003,A64,Int_Repayments!D$4:D$1003,12),0))</f>
        <v>0</v>
      </c>
      <c r="AP64" s="26" t="str">
        <f t="shared" si="50"/>
        <v/>
      </c>
      <c r="AQ64" s="24" t="str">
        <f t="shared" si="51"/>
        <v/>
      </c>
      <c r="AR64" s="24" t="str">
        <f t="shared" si="52"/>
        <v/>
      </c>
      <c r="AS64" s="24" t="str">
        <f t="shared" si="53"/>
        <v/>
      </c>
    </row>
    <row r="65" spans="1:45" ht="15.75" customHeight="1" x14ac:dyDescent="0.25">
      <c r="A65" s="6">
        <f>IFERROR(Loans!C65,"")</f>
        <v>0</v>
      </c>
      <c r="B65" s="4">
        <f>IFERROR(Loans!B65,"")</f>
        <v>0</v>
      </c>
      <c r="C65" s="6">
        <f>IFERROR(Loans!A65,"")</f>
        <v>0</v>
      </c>
      <c r="D65" s="21">
        <f>IFERROR(Loans!E65,0)</f>
        <v>0</v>
      </c>
      <c r="E65" s="22">
        <f>IFERROR(Loans!H65,0)</f>
        <v>0</v>
      </c>
      <c r="F65" s="23">
        <f>IFERROR(Loans!I65,0)</f>
        <v>0</v>
      </c>
      <c r="G65" s="24" t="str">
        <f t="shared" si="27"/>
        <v/>
      </c>
      <c r="H65" s="25">
        <f>IF(A65="","",IFERROR(SUMIFS(Int_Repayments!E$4:E$1003,Int_Repayments!C$4:C$1003,A65,Int_Repayments!D$4:D$1003,1),0))</f>
        <v>0</v>
      </c>
      <c r="I65" s="26" t="str">
        <f t="shared" si="28"/>
        <v/>
      </c>
      <c r="J65" s="24" t="str">
        <f t="shared" si="29"/>
        <v/>
      </c>
      <c r="K65" s="25">
        <f>IF(A65="","",IFERROR(SUMIFS(Int_Repayments!E$4:E$1003,Int_Repayments!C$4:C$1003,A65,Int_Repayments!D$4:D$1003,2),0))</f>
        <v>0</v>
      </c>
      <c r="L65" s="26" t="str">
        <f t="shared" si="30"/>
        <v/>
      </c>
      <c r="M65" s="24" t="str">
        <f t="shared" si="31"/>
        <v/>
      </c>
      <c r="N65" s="25">
        <f>IF(A65="","",IFERROR(SUMIFS(Int_Repayments!E$4:E$1003,Int_Repayments!C$4:C$1003,A65,Int_Repayments!D$4:D$1003,3),0))</f>
        <v>0</v>
      </c>
      <c r="O65" s="26" t="str">
        <f t="shared" si="32"/>
        <v/>
      </c>
      <c r="P65" s="24" t="str">
        <f t="shared" si="33"/>
        <v/>
      </c>
      <c r="Q65" s="25">
        <f>IF(A65="","",IFERROR(SUMIFS(Int_Repayments!E$4:E$1003,Int_Repayments!C$4:C$1003,A65,Int_Repayments!D$4:D$1003,4),0))</f>
        <v>0</v>
      </c>
      <c r="R65" s="26" t="str">
        <f t="shared" si="34"/>
        <v/>
      </c>
      <c r="S65" s="24" t="str">
        <f t="shared" si="35"/>
        <v/>
      </c>
      <c r="T65" s="25">
        <f>IF(A65="","",IFERROR(SUMIFS(Int_Repayments!E$4:E$1003,Int_Repayments!C$4:C$1003,A65,Int_Repayments!D$4:D$1003,5),0))</f>
        <v>0</v>
      </c>
      <c r="U65" s="26" t="str">
        <f t="shared" si="36"/>
        <v/>
      </c>
      <c r="V65" s="24" t="str">
        <f t="shared" si="37"/>
        <v/>
      </c>
      <c r="W65" s="25">
        <f>IF(A65="","",IFERROR(SUMIFS(Int_Repayments!E$4:E$1003,Int_Repayments!C$4:C$1003,A65,Int_Repayments!D$4:D$1003,6),0))</f>
        <v>0</v>
      </c>
      <c r="X65" s="26" t="str">
        <f t="shared" si="38"/>
        <v/>
      </c>
      <c r="Y65" s="24" t="str">
        <f t="shared" si="39"/>
        <v/>
      </c>
      <c r="Z65" s="25">
        <f>IF(A65="","",IFERROR(SUMIFS(Int_Repayments!E$4:E$1003,Int_Repayments!C$4:C$1003,A65,Int_Repayments!D$4:D$1003,7),0))</f>
        <v>0</v>
      </c>
      <c r="AA65" s="26" t="str">
        <f t="shared" si="40"/>
        <v/>
      </c>
      <c r="AB65" s="24" t="str">
        <f t="shared" si="41"/>
        <v/>
      </c>
      <c r="AC65" s="25">
        <f>IF(A65="","",IFERROR(SUMIFS(Int_Repayments!E$4:E$1003,Int_Repayments!C$4:C$1003,A65,Int_Repayments!D$4:D$1003,8),0))</f>
        <v>0</v>
      </c>
      <c r="AD65" s="26" t="str">
        <f t="shared" si="42"/>
        <v/>
      </c>
      <c r="AE65" s="24" t="str">
        <f t="shared" si="43"/>
        <v/>
      </c>
      <c r="AF65" s="25">
        <f>IF(A65="","",IFERROR(SUMIFS(Int_Repayments!E$4:E$1003,Int_Repayments!C$4:C$1003,A65,Int_Repayments!D$4:D$1003,9),0))</f>
        <v>0</v>
      </c>
      <c r="AG65" s="26" t="str">
        <f t="shared" si="44"/>
        <v/>
      </c>
      <c r="AH65" s="24" t="str">
        <f t="shared" si="45"/>
        <v/>
      </c>
      <c r="AI65" s="25">
        <f>IF(A65="","",IFERROR(SUMIFS(Int_Repayments!E$4:E$1003,Int_Repayments!C$4:C$1003,A65,Int_Repayments!D$4:D$1003,10),0))</f>
        <v>0</v>
      </c>
      <c r="AJ65" s="26" t="str">
        <f t="shared" si="46"/>
        <v/>
      </c>
      <c r="AK65" s="24" t="str">
        <f t="shared" si="47"/>
        <v/>
      </c>
      <c r="AL65" s="25">
        <f>IF(A65="","",IFERROR(SUMIFS(Int_Repayments!E$4:E$1003,Int_Repayments!C$4:C$1003,A65,Int_Repayments!D$4:D$1003,11),0))</f>
        <v>0</v>
      </c>
      <c r="AM65" s="26" t="str">
        <f t="shared" si="48"/>
        <v/>
      </c>
      <c r="AN65" s="24" t="str">
        <f t="shared" si="49"/>
        <v/>
      </c>
      <c r="AO65" s="25">
        <f>IF(A65="","",IFERROR(SUMIFS(Int_Repayments!E$4:E$1003,Int_Repayments!C$4:C$1003,A65,Int_Repayments!D$4:D$1003,12),0))</f>
        <v>0</v>
      </c>
      <c r="AP65" s="26" t="str">
        <f t="shared" si="50"/>
        <v/>
      </c>
      <c r="AQ65" s="24" t="str">
        <f t="shared" si="51"/>
        <v/>
      </c>
      <c r="AR65" s="24" t="str">
        <f t="shared" si="52"/>
        <v/>
      </c>
      <c r="AS65" s="24" t="str">
        <f t="shared" si="53"/>
        <v/>
      </c>
    </row>
    <row r="66" spans="1:45" ht="15.75" customHeight="1" x14ac:dyDescent="0.25">
      <c r="A66" s="6">
        <f>IFERROR(Loans!C66,"")</f>
        <v>0</v>
      </c>
      <c r="B66" s="4">
        <f>IFERROR(Loans!B66,"")</f>
        <v>0</v>
      </c>
      <c r="C66" s="6">
        <f>IFERROR(Loans!A66,"")</f>
        <v>0</v>
      </c>
      <c r="D66" s="21">
        <f>IFERROR(Loans!E66,0)</f>
        <v>0</v>
      </c>
      <c r="E66" s="22">
        <f>IFERROR(Loans!H66,0)</f>
        <v>0</v>
      </c>
      <c r="F66" s="23">
        <f>IFERROR(Loans!I66,0)</f>
        <v>0</v>
      </c>
      <c r="G66" s="24" t="str">
        <f t="shared" si="27"/>
        <v/>
      </c>
      <c r="H66" s="25">
        <f>IF(A66="","",IFERROR(SUMIFS(Int_Repayments!E$4:E$1003,Int_Repayments!C$4:C$1003,A66,Int_Repayments!D$4:D$1003,1),0))</f>
        <v>0</v>
      </c>
      <c r="I66" s="26" t="str">
        <f t="shared" si="28"/>
        <v/>
      </c>
      <c r="J66" s="24" t="str">
        <f t="shared" si="29"/>
        <v/>
      </c>
      <c r="K66" s="25">
        <f>IF(A66="","",IFERROR(SUMIFS(Int_Repayments!E$4:E$1003,Int_Repayments!C$4:C$1003,A66,Int_Repayments!D$4:D$1003,2),0))</f>
        <v>0</v>
      </c>
      <c r="L66" s="26" t="str">
        <f t="shared" si="30"/>
        <v/>
      </c>
      <c r="M66" s="24" t="str">
        <f t="shared" si="31"/>
        <v/>
      </c>
      <c r="N66" s="25">
        <f>IF(A66="","",IFERROR(SUMIFS(Int_Repayments!E$4:E$1003,Int_Repayments!C$4:C$1003,A66,Int_Repayments!D$4:D$1003,3),0))</f>
        <v>0</v>
      </c>
      <c r="O66" s="26" t="str">
        <f t="shared" si="32"/>
        <v/>
      </c>
      <c r="P66" s="24" t="str">
        <f t="shared" si="33"/>
        <v/>
      </c>
      <c r="Q66" s="25">
        <f>IF(A66="","",IFERROR(SUMIFS(Int_Repayments!E$4:E$1003,Int_Repayments!C$4:C$1003,A66,Int_Repayments!D$4:D$1003,4),0))</f>
        <v>0</v>
      </c>
      <c r="R66" s="26" t="str">
        <f t="shared" si="34"/>
        <v/>
      </c>
      <c r="S66" s="24" t="str">
        <f t="shared" si="35"/>
        <v/>
      </c>
      <c r="T66" s="25">
        <f>IF(A66="","",IFERROR(SUMIFS(Int_Repayments!E$4:E$1003,Int_Repayments!C$4:C$1003,A66,Int_Repayments!D$4:D$1003,5),0))</f>
        <v>0</v>
      </c>
      <c r="U66" s="26" t="str">
        <f t="shared" si="36"/>
        <v/>
      </c>
      <c r="V66" s="24" t="str">
        <f t="shared" si="37"/>
        <v/>
      </c>
      <c r="W66" s="25">
        <f>IF(A66="","",IFERROR(SUMIFS(Int_Repayments!E$4:E$1003,Int_Repayments!C$4:C$1003,A66,Int_Repayments!D$4:D$1003,6),0))</f>
        <v>0</v>
      </c>
      <c r="X66" s="26" t="str">
        <f t="shared" si="38"/>
        <v/>
      </c>
      <c r="Y66" s="24" t="str">
        <f t="shared" si="39"/>
        <v/>
      </c>
      <c r="Z66" s="25">
        <f>IF(A66="","",IFERROR(SUMIFS(Int_Repayments!E$4:E$1003,Int_Repayments!C$4:C$1003,A66,Int_Repayments!D$4:D$1003,7),0))</f>
        <v>0</v>
      </c>
      <c r="AA66" s="26" t="str">
        <f t="shared" si="40"/>
        <v/>
      </c>
      <c r="AB66" s="24" t="str">
        <f t="shared" si="41"/>
        <v/>
      </c>
      <c r="AC66" s="25">
        <f>IF(A66="","",IFERROR(SUMIFS(Int_Repayments!E$4:E$1003,Int_Repayments!C$4:C$1003,A66,Int_Repayments!D$4:D$1003,8),0))</f>
        <v>0</v>
      </c>
      <c r="AD66" s="26" t="str">
        <f t="shared" si="42"/>
        <v/>
      </c>
      <c r="AE66" s="24" t="str">
        <f t="shared" si="43"/>
        <v/>
      </c>
      <c r="AF66" s="25">
        <f>IF(A66="","",IFERROR(SUMIFS(Int_Repayments!E$4:E$1003,Int_Repayments!C$4:C$1003,A66,Int_Repayments!D$4:D$1003,9),0))</f>
        <v>0</v>
      </c>
      <c r="AG66" s="26" t="str">
        <f t="shared" si="44"/>
        <v/>
      </c>
      <c r="AH66" s="24" t="str">
        <f t="shared" si="45"/>
        <v/>
      </c>
      <c r="AI66" s="25">
        <f>IF(A66="","",IFERROR(SUMIFS(Int_Repayments!E$4:E$1003,Int_Repayments!C$4:C$1003,A66,Int_Repayments!D$4:D$1003,10),0))</f>
        <v>0</v>
      </c>
      <c r="AJ66" s="26" t="str">
        <f t="shared" si="46"/>
        <v/>
      </c>
      <c r="AK66" s="24" t="str">
        <f t="shared" si="47"/>
        <v/>
      </c>
      <c r="AL66" s="25">
        <f>IF(A66="","",IFERROR(SUMIFS(Int_Repayments!E$4:E$1003,Int_Repayments!C$4:C$1003,A66,Int_Repayments!D$4:D$1003,11),0))</f>
        <v>0</v>
      </c>
      <c r="AM66" s="26" t="str">
        <f t="shared" si="48"/>
        <v/>
      </c>
      <c r="AN66" s="24" t="str">
        <f t="shared" si="49"/>
        <v/>
      </c>
      <c r="AO66" s="25">
        <f>IF(A66="","",IFERROR(SUMIFS(Int_Repayments!E$4:E$1003,Int_Repayments!C$4:C$1003,A66,Int_Repayments!D$4:D$1003,12),0))</f>
        <v>0</v>
      </c>
      <c r="AP66" s="26" t="str">
        <f t="shared" si="50"/>
        <v/>
      </c>
      <c r="AQ66" s="24" t="str">
        <f t="shared" si="51"/>
        <v/>
      </c>
      <c r="AR66" s="24" t="str">
        <f t="shared" si="52"/>
        <v/>
      </c>
      <c r="AS66" s="24" t="str">
        <f t="shared" si="53"/>
        <v/>
      </c>
    </row>
    <row r="67" spans="1:45" ht="15.75" customHeight="1" x14ac:dyDescent="0.25">
      <c r="A67" s="6">
        <f>IFERROR(Loans!C67,"")</f>
        <v>0</v>
      </c>
      <c r="B67" s="4">
        <f>IFERROR(Loans!B67,"")</f>
        <v>0</v>
      </c>
      <c r="C67" s="6">
        <f>IFERROR(Loans!A67,"")</f>
        <v>0</v>
      </c>
      <c r="D67" s="21">
        <f>IFERROR(Loans!E67,0)</f>
        <v>0</v>
      </c>
      <c r="E67" s="22">
        <f>IFERROR(Loans!H67,0)</f>
        <v>0</v>
      </c>
      <c r="F67" s="23">
        <f>IFERROR(Loans!I67,0)</f>
        <v>0</v>
      </c>
      <c r="G67" s="24" t="str">
        <f t="shared" si="27"/>
        <v/>
      </c>
      <c r="H67" s="25">
        <f>IF(A67="","",IFERROR(SUMIFS(Int_Repayments!E$4:E$1003,Int_Repayments!C$4:C$1003,A67,Int_Repayments!D$4:D$1003,1),0))</f>
        <v>0</v>
      </c>
      <c r="I67" s="26" t="str">
        <f t="shared" si="28"/>
        <v/>
      </c>
      <c r="J67" s="24" t="str">
        <f t="shared" si="29"/>
        <v/>
      </c>
      <c r="K67" s="25">
        <f>IF(A67="","",IFERROR(SUMIFS(Int_Repayments!E$4:E$1003,Int_Repayments!C$4:C$1003,A67,Int_Repayments!D$4:D$1003,2),0))</f>
        <v>0</v>
      </c>
      <c r="L67" s="26" t="str">
        <f t="shared" si="30"/>
        <v/>
      </c>
      <c r="M67" s="24" t="str">
        <f t="shared" si="31"/>
        <v/>
      </c>
      <c r="N67" s="25">
        <f>IF(A67="","",IFERROR(SUMIFS(Int_Repayments!E$4:E$1003,Int_Repayments!C$4:C$1003,A67,Int_Repayments!D$4:D$1003,3),0))</f>
        <v>0</v>
      </c>
      <c r="O67" s="26" t="str">
        <f t="shared" si="32"/>
        <v/>
      </c>
      <c r="P67" s="24" t="str">
        <f t="shared" si="33"/>
        <v/>
      </c>
      <c r="Q67" s="25">
        <f>IF(A67="","",IFERROR(SUMIFS(Int_Repayments!E$4:E$1003,Int_Repayments!C$4:C$1003,A67,Int_Repayments!D$4:D$1003,4),0))</f>
        <v>0</v>
      </c>
      <c r="R67" s="26" t="str">
        <f t="shared" si="34"/>
        <v/>
      </c>
      <c r="S67" s="24" t="str">
        <f t="shared" si="35"/>
        <v/>
      </c>
      <c r="T67" s="25">
        <f>IF(A67="","",IFERROR(SUMIFS(Int_Repayments!E$4:E$1003,Int_Repayments!C$4:C$1003,A67,Int_Repayments!D$4:D$1003,5),0))</f>
        <v>0</v>
      </c>
      <c r="U67" s="26" t="str">
        <f t="shared" si="36"/>
        <v/>
      </c>
      <c r="V67" s="24" t="str">
        <f t="shared" si="37"/>
        <v/>
      </c>
      <c r="W67" s="25">
        <f>IF(A67="","",IFERROR(SUMIFS(Int_Repayments!E$4:E$1003,Int_Repayments!C$4:C$1003,A67,Int_Repayments!D$4:D$1003,6),0))</f>
        <v>0</v>
      </c>
      <c r="X67" s="26" t="str">
        <f t="shared" si="38"/>
        <v/>
      </c>
      <c r="Y67" s="24" t="str">
        <f t="shared" si="39"/>
        <v/>
      </c>
      <c r="Z67" s="25">
        <f>IF(A67="","",IFERROR(SUMIFS(Int_Repayments!E$4:E$1003,Int_Repayments!C$4:C$1003,A67,Int_Repayments!D$4:D$1003,7),0))</f>
        <v>0</v>
      </c>
      <c r="AA67" s="26" t="str">
        <f t="shared" si="40"/>
        <v/>
      </c>
      <c r="AB67" s="24" t="str">
        <f t="shared" si="41"/>
        <v/>
      </c>
      <c r="AC67" s="25">
        <f>IF(A67="","",IFERROR(SUMIFS(Int_Repayments!E$4:E$1003,Int_Repayments!C$4:C$1003,A67,Int_Repayments!D$4:D$1003,8),0))</f>
        <v>0</v>
      </c>
      <c r="AD67" s="26" t="str">
        <f t="shared" si="42"/>
        <v/>
      </c>
      <c r="AE67" s="24" t="str">
        <f t="shared" si="43"/>
        <v/>
      </c>
      <c r="AF67" s="25">
        <f>IF(A67="","",IFERROR(SUMIFS(Int_Repayments!E$4:E$1003,Int_Repayments!C$4:C$1003,A67,Int_Repayments!D$4:D$1003,9),0))</f>
        <v>0</v>
      </c>
      <c r="AG67" s="26" t="str">
        <f t="shared" si="44"/>
        <v/>
      </c>
      <c r="AH67" s="24" t="str">
        <f t="shared" si="45"/>
        <v/>
      </c>
      <c r="AI67" s="25">
        <f>IF(A67="","",IFERROR(SUMIFS(Int_Repayments!E$4:E$1003,Int_Repayments!C$4:C$1003,A67,Int_Repayments!D$4:D$1003,10),0))</f>
        <v>0</v>
      </c>
      <c r="AJ67" s="26" t="str">
        <f t="shared" si="46"/>
        <v/>
      </c>
      <c r="AK67" s="24" t="str">
        <f t="shared" si="47"/>
        <v/>
      </c>
      <c r="AL67" s="25">
        <f>IF(A67="","",IFERROR(SUMIFS(Int_Repayments!E$4:E$1003,Int_Repayments!C$4:C$1003,A67,Int_Repayments!D$4:D$1003,11),0))</f>
        <v>0</v>
      </c>
      <c r="AM67" s="26" t="str">
        <f t="shared" si="48"/>
        <v/>
      </c>
      <c r="AN67" s="24" t="str">
        <f t="shared" si="49"/>
        <v/>
      </c>
      <c r="AO67" s="25">
        <f>IF(A67="","",IFERROR(SUMIFS(Int_Repayments!E$4:E$1003,Int_Repayments!C$4:C$1003,A67,Int_Repayments!D$4:D$1003,12),0))</f>
        <v>0</v>
      </c>
      <c r="AP67" s="26" t="str">
        <f t="shared" si="50"/>
        <v/>
      </c>
      <c r="AQ67" s="24" t="str">
        <f t="shared" si="51"/>
        <v/>
      </c>
      <c r="AR67" s="24" t="str">
        <f t="shared" si="52"/>
        <v/>
      </c>
      <c r="AS67" s="24" t="str">
        <f t="shared" si="53"/>
        <v/>
      </c>
    </row>
    <row r="68" spans="1:45" ht="15.75" customHeight="1" x14ac:dyDescent="0.25">
      <c r="A68" s="6">
        <f>IFERROR(Loans!C68,"")</f>
        <v>0</v>
      </c>
      <c r="B68" s="4">
        <f>IFERROR(Loans!B68,"")</f>
        <v>0</v>
      </c>
      <c r="C68" s="6">
        <f>IFERROR(Loans!A68,"")</f>
        <v>0</v>
      </c>
      <c r="D68" s="21">
        <f>IFERROR(Loans!E68,0)</f>
        <v>0</v>
      </c>
      <c r="E68" s="22">
        <f>IFERROR(Loans!H68,0)</f>
        <v>0</v>
      </c>
      <c r="F68" s="23">
        <f>IFERROR(Loans!I68,0)</f>
        <v>0</v>
      </c>
      <c r="G68" s="24" t="str">
        <f t="shared" ref="G68:G103" si="54">IF(D68=0,"",IFERROR(D68*(E68/12),0))</f>
        <v/>
      </c>
      <c r="H68" s="25">
        <f>IF(A68="","",IFERROR(SUMIFS(Int_Repayments!E$4:E$1003,Int_Repayments!C$4:C$1003,A68,Int_Repayments!D$4:D$1003,1),0))</f>
        <v>0</v>
      </c>
      <c r="I68" s="26" t="str">
        <f t="shared" ref="I68:I99" si="55">IF(D68=0,"",MAX(0,G68-H68))</f>
        <v/>
      </c>
      <c r="J68" s="24" t="str">
        <f t="shared" ref="J68:J103" si="56">IF(D68=0,"",IFERROR(D68*(E68/12),0))</f>
        <v/>
      </c>
      <c r="K68" s="25">
        <f>IF(A68="","",IFERROR(SUMIFS(Int_Repayments!E$4:E$1003,Int_Repayments!C$4:C$1003,A68,Int_Repayments!D$4:D$1003,2),0))</f>
        <v>0</v>
      </c>
      <c r="L68" s="26" t="str">
        <f t="shared" ref="L68:L99" si="57">IF(D68=0,"",MAX(0,J68-K68))</f>
        <v/>
      </c>
      <c r="M68" s="24" t="str">
        <f t="shared" ref="M68:M103" si="58">IF(D68=0,"",IFERROR(D68*(E68/12),0))</f>
        <v/>
      </c>
      <c r="N68" s="25">
        <f>IF(A68="","",IFERROR(SUMIFS(Int_Repayments!E$4:E$1003,Int_Repayments!C$4:C$1003,A68,Int_Repayments!D$4:D$1003,3),0))</f>
        <v>0</v>
      </c>
      <c r="O68" s="26" t="str">
        <f t="shared" ref="O68:O99" si="59">IF(D68=0,"",MAX(0,M68-N68))</f>
        <v/>
      </c>
      <c r="P68" s="24" t="str">
        <f t="shared" ref="P68:P103" si="60">IF(D68=0,"",IFERROR(D68*(E68/12),0))</f>
        <v/>
      </c>
      <c r="Q68" s="25">
        <f>IF(A68="","",IFERROR(SUMIFS(Int_Repayments!E$4:E$1003,Int_Repayments!C$4:C$1003,A68,Int_Repayments!D$4:D$1003,4),0))</f>
        <v>0</v>
      </c>
      <c r="R68" s="26" t="str">
        <f t="shared" ref="R68:R99" si="61">IF(D68=0,"",MAX(0,P68-Q68))</f>
        <v/>
      </c>
      <c r="S68" s="24" t="str">
        <f t="shared" ref="S68:S103" si="62">IF(D68=0,"",IFERROR(D68*(E68/12),0))</f>
        <v/>
      </c>
      <c r="T68" s="25">
        <f>IF(A68="","",IFERROR(SUMIFS(Int_Repayments!E$4:E$1003,Int_Repayments!C$4:C$1003,A68,Int_Repayments!D$4:D$1003,5),0))</f>
        <v>0</v>
      </c>
      <c r="U68" s="26" t="str">
        <f t="shared" ref="U68:U99" si="63">IF(D68=0,"",MAX(0,S68-T68))</f>
        <v/>
      </c>
      <c r="V68" s="24" t="str">
        <f t="shared" ref="V68:V103" si="64">IF(D68=0,"",IFERROR(D68*(E68/12),0))</f>
        <v/>
      </c>
      <c r="W68" s="25">
        <f>IF(A68="","",IFERROR(SUMIFS(Int_Repayments!E$4:E$1003,Int_Repayments!C$4:C$1003,A68,Int_Repayments!D$4:D$1003,6),0))</f>
        <v>0</v>
      </c>
      <c r="X68" s="26" t="str">
        <f t="shared" ref="X68:X99" si="65">IF(D68=0,"",MAX(0,V68-W68))</f>
        <v/>
      </c>
      <c r="Y68" s="24" t="str">
        <f t="shared" ref="Y68:Y103" si="66">IF(D68=0,"",IFERROR(D68*(E68/12),0))</f>
        <v/>
      </c>
      <c r="Z68" s="25">
        <f>IF(A68="","",IFERROR(SUMIFS(Int_Repayments!E$4:E$1003,Int_Repayments!C$4:C$1003,A68,Int_Repayments!D$4:D$1003,7),0))</f>
        <v>0</v>
      </c>
      <c r="AA68" s="26" t="str">
        <f t="shared" ref="AA68:AA99" si="67">IF(D68=0,"",MAX(0,Y68-Z68))</f>
        <v/>
      </c>
      <c r="AB68" s="24" t="str">
        <f t="shared" ref="AB68:AB103" si="68">IF(D68=0,"",IFERROR(D68*(E68/12),0))</f>
        <v/>
      </c>
      <c r="AC68" s="25">
        <f>IF(A68="","",IFERROR(SUMIFS(Int_Repayments!E$4:E$1003,Int_Repayments!C$4:C$1003,A68,Int_Repayments!D$4:D$1003,8),0))</f>
        <v>0</v>
      </c>
      <c r="AD68" s="26" t="str">
        <f t="shared" ref="AD68:AD99" si="69">IF(D68=0,"",MAX(0,AB68-AC68))</f>
        <v/>
      </c>
      <c r="AE68" s="24" t="str">
        <f t="shared" ref="AE68:AE103" si="70">IF(D68=0,"",IFERROR(D68*(E68/12),0))</f>
        <v/>
      </c>
      <c r="AF68" s="25">
        <f>IF(A68="","",IFERROR(SUMIFS(Int_Repayments!E$4:E$1003,Int_Repayments!C$4:C$1003,A68,Int_Repayments!D$4:D$1003,9),0))</f>
        <v>0</v>
      </c>
      <c r="AG68" s="26" t="str">
        <f t="shared" ref="AG68:AG99" si="71">IF(D68=0,"",MAX(0,AE68-AF68))</f>
        <v/>
      </c>
      <c r="AH68" s="24" t="str">
        <f t="shared" ref="AH68:AH103" si="72">IF(D68=0,"",IFERROR(D68*(E68/12),0))</f>
        <v/>
      </c>
      <c r="AI68" s="25">
        <f>IF(A68="","",IFERROR(SUMIFS(Int_Repayments!E$4:E$1003,Int_Repayments!C$4:C$1003,A68,Int_Repayments!D$4:D$1003,10),0))</f>
        <v>0</v>
      </c>
      <c r="AJ68" s="26" t="str">
        <f t="shared" ref="AJ68:AJ99" si="73">IF(D68=0,"",MAX(0,AH68-AI68))</f>
        <v/>
      </c>
      <c r="AK68" s="24" t="str">
        <f t="shared" ref="AK68:AK103" si="74">IF(D68=0,"",IFERROR(D68*(E68/12),0))</f>
        <v/>
      </c>
      <c r="AL68" s="25">
        <f>IF(A68="","",IFERROR(SUMIFS(Int_Repayments!E$4:E$1003,Int_Repayments!C$4:C$1003,A68,Int_Repayments!D$4:D$1003,11),0))</f>
        <v>0</v>
      </c>
      <c r="AM68" s="26" t="str">
        <f t="shared" ref="AM68:AM99" si="75">IF(D68=0,"",MAX(0,AK68-AL68))</f>
        <v/>
      </c>
      <c r="AN68" s="24" t="str">
        <f t="shared" ref="AN68:AN103" si="76">IF(D68=0,"",IFERROR(D68*(E68/12),0))</f>
        <v/>
      </c>
      <c r="AO68" s="25">
        <f>IF(A68="","",IFERROR(SUMIFS(Int_Repayments!E$4:E$1003,Int_Repayments!C$4:C$1003,A68,Int_Repayments!D$4:D$1003,12),0))</f>
        <v>0</v>
      </c>
      <c r="AP68" s="26" t="str">
        <f t="shared" ref="AP68:AP99" si="77">IF(D68=0,"",MAX(0,AN68-AO68))</f>
        <v/>
      </c>
      <c r="AQ68" s="24" t="str">
        <f t="shared" ref="AQ68:AQ103" si="78">IF(D68=0,"",G68+J68+M68+P68+S68+V68+Y68+AB68+AE68+AH68+AK68+AN68)</f>
        <v/>
      </c>
      <c r="AR68" s="24" t="str">
        <f t="shared" ref="AR68:AR103" si="79">IF(D68=0,"",H68+K68+N68+Q68+T68+W68+Z68+AC68+AF68+AI68+AL68+AO68)</f>
        <v/>
      </c>
      <c r="AS68" s="24" t="str">
        <f t="shared" ref="AS68:AS99" si="80">IF(D68=0,"",MAX(0,AQ68-AR68))</f>
        <v/>
      </c>
    </row>
    <row r="69" spans="1:45" ht="15.75" customHeight="1" x14ac:dyDescent="0.25">
      <c r="A69" s="6">
        <f>IFERROR(Loans!C69,"")</f>
        <v>0</v>
      </c>
      <c r="B69" s="4">
        <f>IFERROR(Loans!B69,"")</f>
        <v>0</v>
      </c>
      <c r="C69" s="6">
        <f>IFERROR(Loans!A69,"")</f>
        <v>0</v>
      </c>
      <c r="D69" s="21">
        <f>IFERROR(Loans!E69,0)</f>
        <v>0</v>
      </c>
      <c r="E69" s="22">
        <f>IFERROR(Loans!H69,0)</f>
        <v>0</v>
      </c>
      <c r="F69" s="23">
        <f>IFERROR(Loans!I69,0)</f>
        <v>0</v>
      </c>
      <c r="G69" s="24" t="str">
        <f t="shared" si="54"/>
        <v/>
      </c>
      <c r="H69" s="25">
        <f>IF(A69="","",IFERROR(SUMIFS(Int_Repayments!E$4:E$1003,Int_Repayments!C$4:C$1003,A69,Int_Repayments!D$4:D$1003,1),0))</f>
        <v>0</v>
      </c>
      <c r="I69" s="26" t="str">
        <f t="shared" si="55"/>
        <v/>
      </c>
      <c r="J69" s="24" t="str">
        <f t="shared" si="56"/>
        <v/>
      </c>
      <c r="K69" s="25">
        <f>IF(A69="","",IFERROR(SUMIFS(Int_Repayments!E$4:E$1003,Int_Repayments!C$4:C$1003,A69,Int_Repayments!D$4:D$1003,2),0))</f>
        <v>0</v>
      </c>
      <c r="L69" s="26" t="str">
        <f t="shared" si="57"/>
        <v/>
      </c>
      <c r="M69" s="24" t="str">
        <f t="shared" si="58"/>
        <v/>
      </c>
      <c r="N69" s="25">
        <f>IF(A69="","",IFERROR(SUMIFS(Int_Repayments!E$4:E$1003,Int_Repayments!C$4:C$1003,A69,Int_Repayments!D$4:D$1003,3),0))</f>
        <v>0</v>
      </c>
      <c r="O69" s="26" t="str">
        <f t="shared" si="59"/>
        <v/>
      </c>
      <c r="P69" s="24" t="str">
        <f t="shared" si="60"/>
        <v/>
      </c>
      <c r="Q69" s="25">
        <f>IF(A69="","",IFERROR(SUMIFS(Int_Repayments!E$4:E$1003,Int_Repayments!C$4:C$1003,A69,Int_Repayments!D$4:D$1003,4),0))</f>
        <v>0</v>
      </c>
      <c r="R69" s="26" t="str">
        <f t="shared" si="61"/>
        <v/>
      </c>
      <c r="S69" s="24" t="str">
        <f t="shared" si="62"/>
        <v/>
      </c>
      <c r="T69" s="25">
        <f>IF(A69="","",IFERROR(SUMIFS(Int_Repayments!E$4:E$1003,Int_Repayments!C$4:C$1003,A69,Int_Repayments!D$4:D$1003,5),0))</f>
        <v>0</v>
      </c>
      <c r="U69" s="26" t="str">
        <f t="shared" si="63"/>
        <v/>
      </c>
      <c r="V69" s="24" t="str">
        <f t="shared" si="64"/>
        <v/>
      </c>
      <c r="W69" s="25">
        <f>IF(A69="","",IFERROR(SUMIFS(Int_Repayments!E$4:E$1003,Int_Repayments!C$4:C$1003,A69,Int_Repayments!D$4:D$1003,6),0))</f>
        <v>0</v>
      </c>
      <c r="X69" s="26" t="str">
        <f t="shared" si="65"/>
        <v/>
      </c>
      <c r="Y69" s="24" t="str">
        <f t="shared" si="66"/>
        <v/>
      </c>
      <c r="Z69" s="25">
        <f>IF(A69="","",IFERROR(SUMIFS(Int_Repayments!E$4:E$1003,Int_Repayments!C$4:C$1003,A69,Int_Repayments!D$4:D$1003,7),0))</f>
        <v>0</v>
      </c>
      <c r="AA69" s="26" t="str">
        <f t="shared" si="67"/>
        <v/>
      </c>
      <c r="AB69" s="24" t="str">
        <f t="shared" si="68"/>
        <v/>
      </c>
      <c r="AC69" s="25">
        <f>IF(A69="","",IFERROR(SUMIFS(Int_Repayments!E$4:E$1003,Int_Repayments!C$4:C$1003,A69,Int_Repayments!D$4:D$1003,8),0))</f>
        <v>0</v>
      </c>
      <c r="AD69" s="26" t="str">
        <f t="shared" si="69"/>
        <v/>
      </c>
      <c r="AE69" s="24" t="str">
        <f t="shared" si="70"/>
        <v/>
      </c>
      <c r="AF69" s="25">
        <f>IF(A69="","",IFERROR(SUMIFS(Int_Repayments!E$4:E$1003,Int_Repayments!C$4:C$1003,A69,Int_Repayments!D$4:D$1003,9),0))</f>
        <v>0</v>
      </c>
      <c r="AG69" s="26" t="str">
        <f t="shared" si="71"/>
        <v/>
      </c>
      <c r="AH69" s="24" t="str">
        <f t="shared" si="72"/>
        <v/>
      </c>
      <c r="AI69" s="25">
        <f>IF(A69="","",IFERROR(SUMIFS(Int_Repayments!E$4:E$1003,Int_Repayments!C$4:C$1003,A69,Int_Repayments!D$4:D$1003,10),0))</f>
        <v>0</v>
      </c>
      <c r="AJ69" s="26" t="str">
        <f t="shared" si="73"/>
        <v/>
      </c>
      <c r="AK69" s="24" t="str">
        <f t="shared" si="74"/>
        <v/>
      </c>
      <c r="AL69" s="25">
        <f>IF(A69="","",IFERROR(SUMIFS(Int_Repayments!E$4:E$1003,Int_Repayments!C$4:C$1003,A69,Int_Repayments!D$4:D$1003,11),0))</f>
        <v>0</v>
      </c>
      <c r="AM69" s="26" t="str">
        <f t="shared" si="75"/>
        <v/>
      </c>
      <c r="AN69" s="24" t="str">
        <f t="shared" si="76"/>
        <v/>
      </c>
      <c r="AO69" s="25">
        <f>IF(A69="","",IFERROR(SUMIFS(Int_Repayments!E$4:E$1003,Int_Repayments!C$4:C$1003,A69,Int_Repayments!D$4:D$1003,12),0))</f>
        <v>0</v>
      </c>
      <c r="AP69" s="26" t="str">
        <f t="shared" si="77"/>
        <v/>
      </c>
      <c r="AQ69" s="24" t="str">
        <f t="shared" si="78"/>
        <v/>
      </c>
      <c r="AR69" s="24" t="str">
        <f t="shared" si="79"/>
        <v/>
      </c>
      <c r="AS69" s="24" t="str">
        <f t="shared" si="80"/>
        <v/>
      </c>
    </row>
    <row r="70" spans="1:45" ht="15.75" customHeight="1" x14ac:dyDescent="0.25">
      <c r="A70" s="6">
        <f>IFERROR(Loans!C70,"")</f>
        <v>0</v>
      </c>
      <c r="B70" s="4">
        <f>IFERROR(Loans!B70,"")</f>
        <v>0</v>
      </c>
      <c r="C70" s="6">
        <f>IFERROR(Loans!A70,"")</f>
        <v>0</v>
      </c>
      <c r="D70" s="21">
        <f>IFERROR(Loans!E70,0)</f>
        <v>0</v>
      </c>
      <c r="E70" s="22">
        <f>IFERROR(Loans!H70,0)</f>
        <v>0</v>
      </c>
      <c r="F70" s="23">
        <f>IFERROR(Loans!I70,0)</f>
        <v>0</v>
      </c>
      <c r="G70" s="24" t="str">
        <f t="shared" si="54"/>
        <v/>
      </c>
      <c r="H70" s="25">
        <f>IF(A70="","",IFERROR(SUMIFS(Int_Repayments!E$4:E$1003,Int_Repayments!C$4:C$1003,A70,Int_Repayments!D$4:D$1003,1),0))</f>
        <v>0</v>
      </c>
      <c r="I70" s="26" t="str">
        <f t="shared" si="55"/>
        <v/>
      </c>
      <c r="J70" s="24" t="str">
        <f t="shared" si="56"/>
        <v/>
      </c>
      <c r="K70" s="25">
        <f>IF(A70="","",IFERROR(SUMIFS(Int_Repayments!E$4:E$1003,Int_Repayments!C$4:C$1003,A70,Int_Repayments!D$4:D$1003,2),0))</f>
        <v>0</v>
      </c>
      <c r="L70" s="26" t="str">
        <f t="shared" si="57"/>
        <v/>
      </c>
      <c r="M70" s="24" t="str">
        <f t="shared" si="58"/>
        <v/>
      </c>
      <c r="N70" s="25">
        <f>IF(A70="","",IFERROR(SUMIFS(Int_Repayments!E$4:E$1003,Int_Repayments!C$4:C$1003,A70,Int_Repayments!D$4:D$1003,3),0))</f>
        <v>0</v>
      </c>
      <c r="O70" s="26" t="str">
        <f t="shared" si="59"/>
        <v/>
      </c>
      <c r="P70" s="24" t="str">
        <f t="shared" si="60"/>
        <v/>
      </c>
      <c r="Q70" s="25">
        <f>IF(A70="","",IFERROR(SUMIFS(Int_Repayments!E$4:E$1003,Int_Repayments!C$4:C$1003,A70,Int_Repayments!D$4:D$1003,4),0))</f>
        <v>0</v>
      </c>
      <c r="R70" s="26" t="str">
        <f t="shared" si="61"/>
        <v/>
      </c>
      <c r="S70" s="24" t="str">
        <f t="shared" si="62"/>
        <v/>
      </c>
      <c r="T70" s="25">
        <f>IF(A70="","",IFERROR(SUMIFS(Int_Repayments!E$4:E$1003,Int_Repayments!C$4:C$1003,A70,Int_Repayments!D$4:D$1003,5),0))</f>
        <v>0</v>
      </c>
      <c r="U70" s="26" t="str">
        <f t="shared" si="63"/>
        <v/>
      </c>
      <c r="V70" s="24" t="str">
        <f t="shared" si="64"/>
        <v/>
      </c>
      <c r="W70" s="25">
        <f>IF(A70="","",IFERROR(SUMIFS(Int_Repayments!E$4:E$1003,Int_Repayments!C$4:C$1003,A70,Int_Repayments!D$4:D$1003,6),0))</f>
        <v>0</v>
      </c>
      <c r="X70" s="26" t="str">
        <f t="shared" si="65"/>
        <v/>
      </c>
      <c r="Y70" s="24" t="str">
        <f t="shared" si="66"/>
        <v/>
      </c>
      <c r="Z70" s="25">
        <f>IF(A70="","",IFERROR(SUMIFS(Int_Repayments!E$4:E$1003,Int_Repayments!C$4:C$1003,A70,Int_Repayments!D$4:D$1003,7),0))</f>
        <v>0</v>
      </c>
      <c r="AA70" s="26" t="str">
        <f t="shared" si="67"/>
        <v/>
      </c>
      <c r="AB70" s="24" t="str">
        <f t="shared" si="68"/>
        <v/>
      </c>
      <c r="AC70" s="25">
        <f>IF(A70="","",IFERROR(SUMIFS(Int_Repayments!E$4:E$1003,Int_Repayments!C$4:C$1003,A70,Int_Repayments!D$4:D$1003,8),0))</f>
        <v>0</v>
      </c>
      <c r="AD70" s="26" t="str">
        <f t="shared" si="69"/>
        <v/>
      </c>
      <c r="AE70" s="24" t="str">
        <f t="shared" si="70"/>
        <v/>
      </c>
      <c r="AF70" s="25">
        <f>IF(A70="","",IFERROR(SUMIFS(Int_Repayments!E$4:E$1003,Int_Repayments!C$4:C$1003,A70,Int_Repayments!D$4:D$1003,9),0))</f>
        <v>0</v>
      </c>
      <c r="AG70" s="26" t="str">
        <f t="shared" si="71"/>
        <v/>
      </c>
      <c r="AH70" s="24" t="str">
        <f t="shared" si="72"/>
        <v/>
      </c>
      <c r="AI70" s="25">
        <f>IF(A70="","",IFERROR(SUMIFS(Int_Repayments!E$4:E$1003,Int_Repayments!C$4:C$1003,A70,Int_Repayments!D$4:D$1003,10),0))</f>
        <v>0</v>
      </c>
      <c r="AJ70" s="26" t="str">
        <f t="shared" si="73"/>
        <v/>
      </c>
      <c r="AK70" s="24" t="str">
        <f t="shared" si="74"/>
        <v/>
      </c>
      <c r="AL70" s="25">
        <f>IF(A70="","",IFERROR(SUMIFS(Int_Repayments!E$4:E$1003,Int_Repayments!C$4:C$1003,A70,Int_Repayments!D$4:D$1003,11),0))</f>
        <v>0</v>
      </c>
      <c r="AM70" s="26" t="str">
        <f t="shared" si="75"/>
        <v/>
      </c>
      <c r="AN70" s="24" t="str">
        <f t="shared" si="76"/>
        <v/>
      </c>
      <c r="AO70" s="25">
        <f>IF(A70="","",IFERROR(SUMIFS(Int_Repayments!E$4:E$1003,Int_Repayments!C$4:C$1003,A70,Int_Repayments!D$4:D$1003,12),0))</f>
        <v>0</v>
      </c>
      <c r="AP70" s="26" t="str">
        <f t="shared" si="77"/>
        <v/>
      </c>
      <c r="AQ70" s="24" t="str">
        <f t="shared" si="78"/>
        <v/>
      </c>
      <c r="AR70" s="24" t="str">
        <f t="shared" si="79"/>
        <v/>
      </c>
      <c r="AS70" s="24" t="str">
        <f t="shared" si="80"/>
        <v/>
      </c>
    </row>
    <row r="71" spans="1:45" ht="15.75" customHeight="1" x14ac:dyDescent="0.25">
      <c r="A71" s="6">
        <f>IFERROR(Loans!C71,"")</f>
        <v>0</v>
      </c>
      <c r="B71" s="4">
        <f>IFERROR(Loans!B71,"")</f>
        <v>0</v>
      </c>
      <c r="C71" s="6">
        <f>IFERROR(Loans!A71,"")</f>
        <v>0</v>
      </c>
      <c r="D71" s="21">
        <f>IFERROR(Loans!E71,0)</f>
        <v>0</v>
      </c>
      <c r="E71" s="22">
        <f>IFERROR(Loans!H71,0)</f>
        <v>0</v>
      </c>
      <c r="F71" s="23">
        <f>IFERROR(Loans!I71,0)</f>
        <v>0</v>
      </c>
      <c r="G71" s="24" t="str">
        <f t="shared" si="54"/>
        <v/>
      </c>
      <c r="H71" s="25">
        <f>IF(A71="","",IFERROR(SUMIFS(Int_Repayments!E$4:E$1003,Int_Repayments!C$4:C$1003,A71,Int_Repayments!D$4:D$1003,1),0))</f>
        <v>0</v>
      </c>
      <c r="I71" s="26" t="str">
        <f t="shared" si="55"/>
        <v/>
      </c>
      <c r="J71" s="24" t="str">
        <f t="shared" si="56"/>
        <v/>
      </c>
      <c r="K71" s="25">
        <f>IF(A71="","",IFERROR(SUMIFS(Int_Repayments!E$4:E$1003,Int_Repayments!C$4:C$1003,A71,Int_Repayments!D$4:D$1003,2),0))</f>
        <v>0</v>
      </c>
      <c r="L71" s="26" t="str">
        <f t="shared" si="57"/>
        <v/>
      </c>
      <c r="M71" s="24" t="str">
        <f t="shared" si="58"/>
        <v/>
      </c>
      <c r="N71" s="25">
        <f>IF(A71="","",IFERROR(SUMIFS(Int_Repayments!E$4:E$1003,Int_Repayments!C$4:C$1003,A71,Int_Repayments!D$4:D$1003,3),0))</f>
        <v>0</v>
      </c>
      <c r="O71" s="26" t="str">
        <f t="shared" si="59"/>
        <v/>
      </c>
      <c r="P71" s="24" t="str">
        <f t="shared" si="60"/>
        <v/>
      </c>
      <c r="Q71" s="25">
        <f>IF(A71="","",IFERROR(SUMIFS(Int_Repayments!E$4:E$1003,Int_Repayments!C$4:C$1003,A71,Int_Repayments!D$4:D$1003,4),0))</f>
        <v>0</v>
      </c>
      <c r="R71" s="26" t="str">
        <f t="shared" si="61"/>
        <v/>
      </c>
      <c r="S71" s="24" t="str">
        <f t="shared" si="62"/>
        <v/>
      </c>
      <c r="T71" s="25">
        <f>IF(A71="","",IFERROR(SUMIFS(Int_Repayments!E$4:E$1003,Int_Repayments!C$4:C$1003,A71,Int_Repayments!D$4:D$1003,5),0))</f>
        <v>0</v>
      </c>
      <c r="U71" s="26" t="str">
        <f t="shared" si="63"/>
        <v/>
      </c>
      <c r="V71" s="24" t="str">
        <f t="shared" si="64"/>
        <v/>
      </c>
      <c r="W71" s="25">
        <f>IF(A71="","",IFERROR(SUMIFS(Int_Repayments!E$4:E$1003,Int_Repayments!C$4:C$1003,A71,Int_Repayments!D$4:D$1003,6),0))</f>
        <v>0</v>
      </c>
      <c r="X71" s="26" t="str">
        <f t="shared" si="65"/>
        <v/>
      </c>
      <c r="Y71" s="24" t="str">
        <f t="shared" si="66"/>
        <v/>
      </c>
      <c r="Z71" s="25">
        <f>IF(A71="","",IFERROR(SUMIFS(Int_Repayments!E$4:E$1003,Int_Repayments!C$4:C$1003,A71,Int_Repayments!D$4:D$1003,7),0))</f>
        <v>0</v>
      </c>
      <c r="AA71" s="26" t="str">
        <f t="shared" si="67"/>
        <v/>
      </c>
      <c r="AB71" s="24" t="str">
        <f t="shared" si="68"/>
        <v/>
      </c>
      <c r="AC71" s="25">
        <f>IF(A71="","",IFERROR(SUMIFS(Int_Repayments!E$4:E$1003,Int_Repayments!C$4:C$1003,A71,Int_Repayments!D$4:D$1003,8),0))</f>
        <v>0</v>
      </c>
      <c r="AD71" s="26" t="str">
        <f t="shared" si="69"/>
        <v/>
      </c>
      <c r="AE71" s="24" t="str">
        <f t="shared" si="70"/>
        <v/>
      </c>
      <c r="AF71" s="25">
        <f>IF(A71="","",IFERROR(SUMIFS(Int_Repayments!E$4:E$1003,Int_Repayments!C$4:C$1003,A71,Int_Repayments!D$4:D$1003,9),0))</f>
        <v>0</v>
      </c>
      <c r="AG71" s="26" t="str">
        <f t="shared" si="71"/>
        <v/>
      </c>
      <c r="AH71" s="24" t="str">
        <f t="shared" si="72"/>
        <v/>
      </c>
      <c r="AI71" s="25">
        <f>IF(A71="","",IFERROR(SUMIFS(Int_Repayments!E$4:E$1003,Int_Repayments!C$4:C$1003,A71,Int_Repayments!D$4:D$1003,10),0))</f>
        <v>0</v>
      </c>
      <c r="AJ71" s="26" t="str">
        <f t="shared" si="73"/>
        <v/>
      </c>
      <c r="AK71" s="24" t="str">
        <f t="shared" si="74"/>
        <v/>
      </c>
      <c r="AL71" s="25">
        <f>IF(A71="","",IFERROR(SUMIFS(Int_Repayments!E$4:E$1003,Int_Repayments!C$4:C$1003,A71,Int_Repayments!D$4:D$1003,11),0))</f>
        <v>0</v>
      </c>
      <c r="AM71" s="26" t="str">
        <f t="shared" si="75"/>
        <v/>
      </c>
      <c r="AN71" s="24" t="str">
        <f t="shared" si="76"/>
        <v/>
      </c>
      <c r="AO71" s="25">
        <f>IF(A71="","",IFERROR(SUMIFS(Int_Repayments!E$4:E$1003,Int_Repayments!C$4:C$1003,A71,Int_Repayments!D$4:D$1003,12),0))</f>
        <v>0</v>
      </c>
      <c r="AP71" s="26" t="str">
        <f t="shared" si="77"/>
        <v/>
      </c>
      <c r="AQ71" s="24" t="str">
        <f t="shared" si="78"/>
        <v/>
      </c>
      <c r="AR71" s="24" t="str">
        <f t="shared" si="79"/>
        <v/>
      </c>
      <c r="AS71" s="24" t="str">
        <f t="shared" si="80"/>
        <v/>
      </c>
    </row>
    <row r="72" spans="1:45" ht="15.75" customHeight="1" x14ac:dyDescent="0.25">
      <c r="A72" s="6">
        <f>IFERROR(Loans!C72,"")</f>
        <v>0</v>
      </c>
      <c r="B72" s="4">
        <f>IFERROR(Loans!B72,"")</f>
        <v>0</v>
      </c>
      <c r="C72" s="6">
        <f>IFERROR(Loans!A72,"")</f>
        <v>0</v>
      </c>
      <c r="D72" s="21">
        <f>IFERROR(Loans!E72,0)</f>
        <v>0</v>
      </c>
      <c r="E72" s="22">
        <f>IFERROR(Loans!H72,0)</f>
        <v>0</v>
      </c>
      <c r="F72" s="23">
        <f>IFERROR(Loans!I72,0)</f>
        <v>0</v>
      </c>
      <c r="G72" s="24" t="str">
        <f t="shared" si="54"/>
        <v/>
      </c>
      <c r="H72" s="25">
        <f>IF(A72="","",IFERROR(SUMIFS(Int_Repayments!E$4:E$1003,Int_Repayments!C$4:C$1003,A72,Int_Repayments!D$4:D$1003,1),0))</f>
        <v>0</v>
      </c>
      <c r="I72" s="26" t="str">
        <f t="shared" si="55"/>
        <v/>
      </c>
      <c r="J72" s="24" t="str">
        <f t="shared" si="56"/>
        <v/>
      </c>
      <c r="K72" s="25">
        <f>IF(A72="","",IFERROR(SUMIFS(Int_Repayments!E$4:E$1003,Int_Repayments!C$4:C$1003,A72,Int_Repayments!D$4:D$1003,2),0))</f>
        <v>0</v>
      </c>
      <c r="L72" s="26" t="str">
        <f t="shared" si="57"/>
        <v/>
      </c>
      <c r="M72" s="24" t="str">
        <f t="shared" si="58"/>
        <v/>
      </c>
      <c r="N72" s="25">
        <f>IF(A72="","",IFERROR(SUMIFS(Int_Repayments!E$4:E$1003,Int_Repayments!C$4:C$1003,A72,Int_Repayments!D$4:D$1003,3),0))</f>
        <v>0</v>
      </c>
      <c r="O72" s="26" t="str">
        <f t="shared" si="59"/>
        <v/>
      </c>
      <c r="P72" s="24" t="str">
        <f t="shared" si="60"/>
        <v/>
      </c>
      <c r="Q72" s="25">
        <f>IF(A72="","",IFERROR(SUMIFS(Int_Repayments!E$4:E$1003,Int_Repayments!C$4:C$1003,A72,Int_Repayments!D$4:D$1003,4),0))</f>
        <v>0</v>
      </c>
      <c r="R72" s="26" t="str">
        <f t="shared" si="61"/>
        <v/>
      </c>
      <c r="S72" s="24" t="str">
        <f t="shared" si="62"/>
        <v/>
      </c>
      <c r="T72" s="25">
        <f>IF(A72="","",IFERROR(SUMIFS(Int_Repayments!E$4:E$1003,Int_Repayments!C$4:C$1003,A72,Int_Repayments!D$4:D$1003,5),0))</f>
        <v>0</v>
      </c>
      <c r="U72" s="26" t="str">
        <f t="shared" si="63"/>
        <v/>
      </c>
      <c r="V72" s="24" t="str">
        <f t="shared" si="64"/>
        <v/>
      </c>
      <c r="W72" s="25">
        <f>IF(A72="","",IFERROR(SUMIFS(Int_Repayments!E$4:E$1003,Int_Repayments!C$4:C$1003,A72,Int_Repayments!D$4:D$1003,6),0))</f>
        <v>0</v>
      </c>
      <c r="X72" s="26" t="str">
        <f t="shared" si="65"/>
        <v/>
      </c>
      <c r="Y72" s="24" t="str">
        <f t="shared" si="66"/>
        <v/>
      </c>
      <c r="Z72" s="25">
        <f>IF(A72="","",IFERROR(SUMIFS(Int_Repayments!E$4:E$1003,Int_Repayments!C$4:C$1003,A72,Int_Repayments!D$4:D$1003,7),0))</f>
        <v>0</v>
      </c>
      <c r="AA72" s="26" t="str">
        <f t="shared" si="67"/>
        <v/>
      </c>
      <c r="AB72" s="24" t="str">
        <f t="shared" si="68"/>
        <v/>
      </c>
      <c r="AC72" s="25">
        <f>IF(A72="","",IFERROR(SUMIFS(Int_Repayments!E$4:E$1003,Int_Repayments!C$4:C$1003,A72,Int_Repayments!D$4:D$1003,8),0))</f>
        <v>0</v>
      </c>
      <c r="AD72" s="26" t="str">
        <f t="shared" si="69"/>
        <v/>
      </c>
      <c r="AE72" s="24" t="str">
        <f t="shared" si="70"/>
        <v/>
      </c>
      <c r="AF72" s="25">
        <f>IF(A72="","",IFERROR(SUMIFS(Int_Repayments!E$4:E$1003,Int_Repayments!C$4:C$1003,A72,Int_Repayments!D$4:D$1003,9),0))</f>
        <v>0</v>
      </c>
      <c r="AG72" s="26" t="str">
        <f t="shared" si="71"/>
        <v/>
      </c>
      <c r="AH72" s="24" t="str">
        <f t="shared" si="72"/>
        <v/>
      </c>
      <c r="AI72" s="25">
        <f>IF(A72="","",IFERROR(SUMIFS(Int_Repayments!E$4:E$1003,Int_Repayments!C$4:C$1003,A72,Int_Repayments!D$4:D$1003,10),0))</f>
        <v>0</v>
      </c>
      <c r="AJ72" s="26" t="str">
        <f t="shared" si="73"/>
        <v/>
      </c>
      <c r="AK72" s="24" t="str">
        <f t="shared" si="74"/>
        <v/>
      </c>
      <c r="AL72" s="25">
        <f>IF(A72="","",IFERROR(SUMIFS(Int_Repayments!E$4:E$1003,Int_Repayments!C$4:C$1003,A72,Int_Repayments!D$4:D$1003,11),0))</f>
        <v>0</v>
      </c>
      <c r="AM72" s="26" t="str">
        <f t="shared" si="75"/>
        <v/>
      </c>
      <c r="AN72" s="24" t="str">
        <f t="shared" si="76"/>
        <v/>
      </c>
      <c r="AO72" s="25">
        <f>IF(A72="","",IFERROR(SUMIFS(Int_Repayments!E$4:E$1003,Int_Repayments!C$4:C$1003,A72,Int_Repayments!D$4:D$1003,12),0))</f>
        <v>0</v>
      </c>
      <c r="AP72" s="26" t="str">
        <f t="shared" si="77"/>
        <v/>
      </c>
      <c r="AQ72" s="24" t="str">
        <f t="shared" si="78"/>
        <v/>
      </c>
      <c r="AR72" s="24" t="str">
        <f t="shared" si="79"/>
        <v/>
      </c>
      <c r="AS72" s="24" t="str">
        <f t="shared" si="80"/>
        <v/>
      </c>
    </row>
    <row r="73" spans="1:45" ht="15.75" customHeight="1" x14ac:dyDescent="0.25">
      <c r="A73" s="6">
        <f>IFERROR(Loans!C73,"")</f>
        <v>0</v>
      </c>
      <c r="B73" s="4">
        <f>IFERROR(Loans!B73,"")</f>
        <v>0</v>
      </c>
      <c r="C73" s="6">
        <f>IFERROR(Loans!A73,"")</f>
        <v>0</v>
      </c>
      <c r="D73" s="21">
        <f>IFERROR(Loans!E73,0)</f>
        <v>0</v>
      </c>
      <c r="E73" s="22">
        <f>IFERROR(Loans!H73,0)</f>
        <v>0</v>
      </c>
      <c r="F73" s="23">
        <f>IFERROR(Loans!I73,0)</f>
        <v>0</v>
      </c>
      <c r="G73" s="24" t="str">
        <f t="shared" si="54"/>
        <v/>
      </c>
      <c r="H73" s="25">
        <f>IF(A73="","",IFERROR(SUMIFS(Int_Repayments!E$4:E$1003,Int_Repayments!C$4:C$1003,A73,Int_Repayments!D$4:D$1003,1),0))</f>
        <v>0</v>
      </c>
      <c r="I73" s="26" t="str">
        <f t="shared" si="55"/>
        <v/>
      </c>
      <c r="J73" s="24" t="str">
        <f t="shared" si="56"/>
        <v/>
      </c>
      <c r="K73" s="25">
        <f>IF(A73="","",IFERROR(SUMIFS(Int_Repayments!E$4:E$1003,Int_Repayments!C$4:C$1003,A73,Int_Repayments!D$4:D$1003,2),0))</f>
        <v>0</v>
      </c>
      <c r="L73" s="26" t="str">
        <f t="shared" si="57"/>
        <v/>
      </c>
      <c r="M73" s="24" t="str">
        <f t="shared" si="58"/>
        <v/>
      </c>
      <c r="N73" s="25">
        <f>IF(A73="","",IFERROR(SUMIFS(Int_Repayments!E$4:E$1003,Int_Repayments!C$4:C$1003,A73,Int_Repayments!D$4:D$1003,3),0))</f>
        <v>0</v>
      </c>
      <c r="O73" s="26" t="str">
        <f t="shared" si="59"/>
        <v/>
      </c>
      <c r="P73" s="24" t="str">
        <f t="shared" si="60"/>
        <v/>
      </c>
      <c r="Q73" s="25">
        <f>IF(A73="","",IFERROR(SUMIFS(Int_Repayments!E$4:E$1003,Int_Repayments!C$4:C$1003,A73,Int_Repayments!D$4:D$1003,4),0))</f>
        <v>0</v>
      </c>
      <c r="R73" s="26" t="str">
        <f t="shared" si="61"/>
        <v/>
      </c>
      <c r="S73" s="24" t="str">
        <f t="shared" si="62"/>
        <v/>
      </c>
      <c r="T73" s="25">
        <f>IF(A73="","",IFERROR(SUMIFS(Int_Repayments!E$4:E$1003,Int_Repayments!C$4:C$1003,A73,Int_Repayments!D$4:D$1003,5),0))</f>
        <v>0</v>
      </c>
      <c r="U73" s="26" t="str">
        <f t="shared" si="63"/>
        <v/>
      </c>
      <c r="V73" s="24" t="str">
        <f t="shared" si="64"/>
        <v/>
      </c>
      <c r="W73" s="25">
        <f>IF(A73="","",IFERROR(SUMIFS(Int_Repayments!E$4:E$1003,Int_Repayments!C$4:C$1003,A73,Int_Repayments!D$4:D$1003,6),0))</f>
        <v>0</v>
      </c>
      <c r="X73" s="26" t="str">
        <f t="shared" si="65"/>
        <v/>
      </c>
      <c r="Y73" s="24" t="str">
        <f t="shared" si="66"/>
        <v/>
      </c>
      <c r="Z73" s="25">
        <f>IF(A73="","",IFERROR(SUMIFS(Int_Repayments!E$4:E$1003,Int_Repayments!C$4:C$1003,A73,Int_Repayments!D$4:D$1003,7),0))</f>
        <v>0</v>
      </c>
      <c r="AA73" s="26" t="str">
        <f t="shared" si="67"/>
        <v/>
      </c>
      <c r="AB73" s="24" t="str">
        <f t="shared" si="68"/>
        <v/>
      </c>
      <c r="AC73" s="25">
        <f>IF(A73="","",IFERROR(SUMIFS(Int_Repayments!E$4:E$1003,Int_Repayments!C$4:C$1003,A73,Int_Repayments!D$4:D$1003,8),0))</f>
        <v>0</v>
      </c>
      <c r="AD73" s="26" t="str">
        <f t="shared" si="69"/>
        <v/>
      </c>
      <c r="AE73" s="24" t="str">
        <f t="shared" si="70"/>
        <v/>
      </c>
      <c r="AF73" s="25">
        <f>IF(A73="","",IFERROR(SUMIFS(Int_Repayments!E$4:E$1003,Int_Repayments!C$4:C$1003,A73,Int_Repayments!D$4:D$1003,9),0))</f>
        <v>0</v>
      </c>
      <c r="AG73" s="26" t="str">
        <f t="shared" si="71"/>
        <v/>
      </c>
      <c r="AH73" s="24" t="str">
        <f t="shared" si="72"/>
        <v/>
      </c>
      <c r="AI73" s="25">
        <f>IF(A73="","",IFERROR(SUMIFS(Int_Repayments!E$4:E$1003,Int_Repayments!C$4:C$1003,A73,Int_Repayments!D$4:D$1003,10),0))</f>
        <v>0</v>
      </c>
      <c r="AJ73" s="26" t="str">
        <f t="shared" si="73"/>
        <v/>
      </c>
      <c r="AK73" s="24" t="str">
        <f t="shared" si="74"/>
        <v/>
      </c>
      <c r="AL73" s="25">
        <f>IF(A73="","",IFERROR(SUMIFS(Int_Repayments!E$4:E$1003,Int_Repayments!C$4:C$1003,A73,Int_Repayments!D$4:D$1003,11),0))</f>
        <v>0</v>
      </c>
      <c r="AM73" s="26" t="str">
        <f t="shared" si="75"/>
        <v/>
      </c>
      <c r="AN73" s="24" t="str">
        <f t="shared" si="76"/>
        <v/>
      </c>
      <c r="AO73" s="25">
        <f>IF(A73="","",IFERROR(SUMIFS(Int_Repayments!E$4:E$1003,Int_Repayments!C$4:C$1003,A73,Int_Repayments!D$4:D$1003,12),0))</f>
        <v>0</v>
      </c>
      <c r="AP73" s="26" t="str">
        <f t="shared" si="77"/>
        <v/>
      </c>
      <c r="AQ73" s="24" t="str">
        <f t="shared" si="78"/>
        <v/>
      </c>
      <c r="AR73" s="24" t="str">
        <f t="shared" si="79"/>
        <v/>
      </c>
      <c r="AS73" s="24" t="str">
        <f t="shared" si="80"/>
        <v/>
      </c>
    </row>
    <row r="74" spans="1:45" ht="15.75" customHeight="1" x14ac:dyDescent="0.25">
      <c r="A74" s="6">
        <f>IFERROR(Loans!C74,"")</f>
        <v>0</v>
      </c>
      <c r="B74" s="4">
        <f>IFERROR(Loans!B74,"")</f>
        <v>0</v>
      </c>
      <c r="C74" s="6">
        <f>IFERROR(Loans!A74,"")</f>
        <v>0</v>
      </c>
      <c r="D74" s="21">
        <f>IFERROR(Loans!E74,0)</f>
        <v>0</v>
      </c>
      <c r="E74" s="22">
        <f>IFERROR(Loans!H74,0)</f>
        <v>0</v>
      </c>
      <c r="F74" s="23">
        <f>IFERROR(Loans!I74,0)</f>
        <v>0</v>
      </c>
      <c r="G74" s="24" t="str">
        <f t="shared" si="54"/>
        <v/>
      </c>
      <c r="H74" s="25">
        <f>IF(A74="","",IFERROR(SUMIFS(Int_Repayments!E$4:E$1003,Int_Repayments!C$4:C$1003,A74,Int_Repayments!D$4:D$1003,1),0))</f>
        <v>0</v>
      </c>
      <c r="I74" s="26" t="str">
        <f t="shared" si="55"/>
        <v/>
      </c>
      <c r="J74" s="24" t="str">
        <f t="shared" si="56"/>
        <v/>
      </c>
      <c r="K74" s="25">
        <f>IF(A74="","",IFERROR(SUMIFS(Int_Repayments!E$4:E$1003,Int_Repayments!C$4:C$1003,A74,Int_Repayments!D$4:D$1003,2),0))</f>
        <v>0</v>
      </c>
      <c r="L74" s="26" t="str">
        <f t="shared" si="57"/>
        <v/>
      </c>
      <c r="M74" s="24" t="str">
        <f t="shared" si="58"/>
        <v/>
      </c>
      <c r="N74" s="25">
        <f>IF(A74="","",IFERROR(SUMIFS(Int_Repayments!E$4:E$1003,Int_Repayments!C$4:C$1003,A74,Int_Repayments!D$4:D$1003,3),0))</f>
        <v>0</v>
      </c>
      <c r="O74" s="26" t="str">
        <f t="shared" si="59"/>
        <v/>
      </c>
      <c r="P74" s="24" t="str">
        <f t="shared" si="60"/>
        <v/>
      </c>
      <c r="Q74" s="25">
        <f>IF(A74="","",IFERROR(SUMIFS(Int_Repayments!E$4:E$1003,Int_Repayments!C$4:C$1003,A74,Int_Repayments!D$4:D$1003,4),0))</f>
        <v>0</v>
      </c>
      <c r="R74" s="26" t="str">
        <f t="shared" si="61"/>
        <v/>
      </c>
      <c r="S74" s="24" t="str">
        <f t="shared" si="62"/>
        <v/>
      </c>
      <c r="T74" s="25">
        <f>IF(A74="","",IFERROR(SUMIFS(Int_Repayments!E$4:E$1003,Int_Repayments!C$4:C$1003,A74,Int_Repayments!D$4:D$1003,5),0))</f>
        <v>0</v>
      </c>
      <c r="U74" s="26" t="str">
        <f t="shared" si="63"/>
        <v/>
      </c>
      <c r="V74" s="24" t="str">
        <f t="shared" si="64"/>
        <v/>
      </c>
      <c r="W74" s="25">
        <f>IF(A74="","",IFERROR(SUMIFS(Int_Repayments!E$4:E$1003,Int_Repayments!C$4:C$1003,A74,Int_Repayments!D$4:D$1003,6),0))</f>
        <v>0</v>
      </c>
      <c r="X74" s="26" t="str">
        <f t="shared" si="65"/>
        <v/>
      </c>
      <c r="Y74" s="24" t="str">
        <f t="shared" si="66"/>
        <v/>
      </c>
      <c r="Z74" s="25">
        <f>IF(A74="","",IFERROR(SUMIFS(Int_Repayments!E$4:E$1003,Int_Repayments!C$4:C$1003,A74,Int_Repayments!D$4:D$1003,7),0))</f>
        <v>0</v>
      </c>
      <c r="AA74" s="26" t="str">
        <f t="shared" si="67"/>
        <v/>
      </c>
      <c r="AB74" s="24" t="str">
        <f t="shared" si="68"/>
        <v/>
      </c>
      <c r="AC74" s="25">
        <f>IF(A74="","",IFERROR(SUMIFS(Int_Repayments!E$4:E$1003,Int_Repayments!C$4:C$1003,A74,Int_Repayments!D$4:D$1003,8),0))</f>
        <v>0</v>
      </c>
      <c r="AD74" s="26" t="str">
        <f t="shared" si="69"/>
        <v/>
      </c>
      <c r="AE74" s="24" t="str">
        <f t="shared" si="70"/>
        <v/>
      </c>
      <c r="AF74" s="25">
        <f>IF(A74="","",IFERROR(SUMIFS(Int_Repayments!E$4:E$1003,Int_Repayments!C$4:C$1003,A74,Int_Repayments!D$4:D$1003,9),0))</f>
        <v>0</v>
      </c>
      <c r="AG74" s="26" t="str">
        <f t="shared" si="71"/>
        <v/>
      </c>
      <c r="AH74" s="24" t="str">
        <f t="shared" si="72"/>
        <v/>
      </c>
      <c r="AI74" s="25">
        <f>IF(A74="","",IFERROR(SUMIFS(Int_Repayments!E$4:E$1003,Int_Repayments!C$4:C$1003,A74,Int_Repayments!D$4:D$1003,10),0))</f>
        <v>0</v>
      </c>
      <c r="AJ74" s="26" t="str">
        <f t="shared" si="73"/>
        <v/>
      </c>
      <c r="AK74" s="24" t="str">
        <f t="shared" si="74"/>
        <v/>
      </c>
      <c r="AL74" s="25">
        <f>IF(A74="","",IFERROR(SUMIFS(Int_Repayments!E$4:E$1003,Int_Repayments!C$4:C$1003,A74,Int_Repayments!D$4:D$1003,11),0))</f>
        <v>0</v>
      </c>
      <c r="AM74" s="26" t="str">
        <f t="shared" si="75"/>
        <v/>
      </c>
      <c r="AN74" s="24" t="str">
        <f t="shared" si="76"/>
        <v/>
      </c>
      <c r="AO74" s="25">
        <f>IF(A74="","",IFERROR(SUMIFS(Int_Repayments!E$4:E$1003,Int_Repayments!C$4:C$1003,A74,Int_Repayments!D$4:D$1003,12),0))</f>
        <v>0</v>
      </c>
      <c r="AP74" s="26" t="str">
        <f t="shared" si="77"/>
        <v/>
      </c>
      <c r="AQ74" s="24" t="str">
        <f t="shared" si="78"/>
        <v/>
      </c>
      <c r="AR74" s="24" t="str">
        <f t="shared" si="79"/>
        <v/>
      </c>
      <c r="AS74" s="24" t="str">
        <f t="shared" si="80"/>
        <v/>
      </c>
    </row>
    <row r="75" spans="1:45" ht="15.75" customHeight="1" x14ac:dyDescent="0.25">
      <c r="A75" s="6">
        <f>IFERROR(Loans!C75,"")</f>
        <v>0</v>
      </c>
      <c r="B75" s="4">
        <f>IFERROR(Loans!B75,"")</f>
        <v>0</v>
      </c>
      <c r="C75" s="6">
        <f>IFERROR(Loans!A75,"")</f>
        <v>0</v>
      </c>
      <c r="D75" s="21">
        <f>IFERROR(Loans!E75,0)</f>
        <v>0</v>
      </c>
      <c r="E75" s="22">
        <f>IFERROR(Loans!H75,0)</f>
        <v>0</v>
      </c>
      <c r="F75" s="23">
        <f>IFERROR(Loans!I75,0)</f>
        <v>0</v>
      </c>
      <c r="G75" s="24" t="str">
        <f t="shared" si="54"/>
        <v/>
      </c>
      <c r="H75" s="25">
        <f>IF(A75="","",IFERROR(SUMIFS(Int_Repayments!E$4:E$1003,Int_Repayments!C$4:C$1003,A75,Int_Repayments!D$4:D$1003,1),0))</f>
        <v>0</v>
      </c>
      <c r="I75" s="26" t="str">
        <f t="shared" si="55"/>
        <v/>
      </c>
      <c r="J75" s="24" t="str">
        <f t="shared" si="56"/>
        <v/>
      </c>
      <c r="K75" s="25">
        <f>IF(A75="","",IFERROR(SUMIFS(Int_Repayments!E$4:E$1003,Int_Repayments!C$4:C$1003,A75,Int_Repayments!D$4:D$1003,2),0))</f>
        <v>0</v>
      </c>
      <c r="L75" s="26" t="str">
        <f t="shared" si="57"/>
        <v/>
      </c>
      <c r="M75" s="24" t="str">
        <f t="shared" si="58"/>
        <v/>
      </c>
      <c r="N75" s="25">
        <f>IF(A75="","",IFERROR(SUMIFS(Int_Repayments!E$4:E$1003,Int_Repayments!C$4:C$1003,A75,Int_Repayments!D$4:D$1003,3),0))</f>
        <v>0</v>
      </c>
      <c r="O75" s="26" t="str">
        <f t="shared" si="59"/>
        <v/>
      </c>
      <c r="P75" s="24" t="str">
        <f t="shared" si="60"/>
        <v/>
      </c>
      <c r="Q75" s="25">
        <f>IF(A75="","",IFERROR(SUMIFS(Int_Repayments!E$4:E$1003,Int_Repayments!C$4:C$1003,A75,Int_Repayments!D$4:D$1003,4),0))</f>
        <v>0</v>
      </c>
      <c r="R75" s="26" t="str">
        <f t="shared" si="61"/>
        <v/>
      </c>
      <c r="S75" s="24" t="str">
        <f t="shared" si="62"/>
        <v/>
      </c>
      <c r="T75" s="25">
        <f>IF(A75="","",IFERROR(SUMIFS(Int_Repayments!E$4:E$1003,Int_Repayments!C$4:C$1003,A75,Int_Repayments!D$4:D$1003,5),0))</f>
        <v>0</v>
      </c>
      <c r="U75" s="26" t="str">
        <f t="shared" si="63"/>
        <v/>
      </c>
      <c r="V75" s="24" t="str">
        <f t="shared" si="64"/>
        <v/>
      </c>
      <c r="W75" s="25">
        <f>IF(A75="","",IFERROR(SUMIFS(Int_Repayments!E$4:E$1003,Int_Repayments!C$4:C$1003,A75,Int_Repayments!D$4:D$1003,6),0))</f>
        <v>0</v>
      </c>
      <c r="X75" s="26" t="str">
        <f t="shared" si="65"/>
        <v/>
      </c>
      <c r="Y75" s="24" t="str">
        <f t="shared" si="66"/>
        <v/>
      </c>
      <c r="Z75" s="25">
        <f>IF(A75="","",IFERROR(SUMIFS(Int_Repayments!E$4:E$1003,Int_Repayments!C$4:C$1003,A75,Int_Repayments!D$4:D$1003,7),0))</f>
        <v>0</v>
      </c>
      <c r="AA75" s="26" t="str">
        <f t="shared" si="67"/>
        <v/>
      </c>
      <c r="AB75" s="24" t="str">
        <f t="shared" si="68"/>
        <v/>
      </c>
      <c r="AC75" s="25">
        <f>IF(A75="","",IFERROR(SUMIFS(Int_Repayments!E$4:E$1003,Int_Repayments!C$4:C$1003,A75,Int_Repayments!D$4:D$1003,8),0))</f>
        <v>0</v>
      </c>
      <c r="AD75" s="26" t="str">
        <f t="shared" si="69"/>
        <v/>
      </c>
      <c r="AE75" s="24" t="str">
        <f t="shared" si="70"/>
        <v/>
      </c>
      <c r="AF75" s="25">
        <f>IF(A75="","",IFERROR(SUMIFS(Int_Repayments!E$4:E$1003,Int_Repayments!C$4:C$1003,A75,Int_Repayments!D$4:D$1003,9),0))</f>
        <v>0</v>
      </c>
      <c r="AG75" s="26" t="str">
        <f t="shared" si="71"/>
        <v/>
      </c>
      <c r="AH75" s="24" t="str">
        <f t="shared" si="72"/>
        <v/>
      </c>
      <c r="AI75" s="25">
        <f>IF(A75="","",IFERROR(SUMIFS(Int_Repayments!E$4:E$1003,Int_Repayments!C$4:C$1003,A75,Int_Repayments!D$4:D$1003,10),0))</f>
        <v>0</v>
      </c>
      <c r="AJ75" s="26" t="str">
        <f t="shared" si="73"/>
        <v/>
      </c>
      <c r="AK75" s="24" t="str">
        <f t="shared" si="74"/>
        <v/>
      </c>
      <c r="AL75" s="25">
        <f>IF(A75="","",IFERROR(SUMIFS(Int_Repayments!E$4:E$1003,Int_Repayments!C$4:C$1003,A75,Int_Repayments!D$4:D$1003,11),0))</f>
        <v>0</v>
      </c>
      <c r="AM75" s="26" t="str">
        <f t="shared" si="75"/>
        <v/>
      </c>
      <c r="AN75" s="24" t="str">
        <f t="shared" si="76"/>
        <v/>
      </c>
      <c r="AO75" s="25">
        <f>IF(A75="","",IFERROR(SUMIFS(Int_Repayments!E$4:E$1003,Int_Repayments!C$4:C$1003,A75,Int_Repayments!D$4:D$1003,12),0))</f>
        <v>0</v>
      </c>
      <c r="AP75" s="26" t="str">
        <f t="shared" si="77"/>
        <v/>
      </c>
      <c r="AQ75" s="24" t="str">
        <f t="shared" si="78"/>
        <v/>
      </c>
      <c r="AR75" s="24" t="str">
        <f t="shared" si="79"/>
        <v/>
      </c>
      <c r="AS75" s="24" t="str">
        <f t="shared" si="80"/>
        <v/>
      </c>
    </row>
    <row r="76" spans="1:45" ht="15.75" customHeight="1" x14ac:dyDescent="0.25">
      <c r="A76" s="6">
        <f>IFERROR(Loans!C76,"")</f>
        <v>0</v>
      </c>
      <c r="B76" s="4">
        <f>IFERROR(Loans!B76,"")</f>
        <v>0</v>
      </c>
      <c r="C76" s="6">
        <f>IFERROR(Loans!A76,"")</f>
        <v>0</v>
      </c>
      <c r="D76" s="21">
        <f>IFERROR(Loans!E76,0)</f>
        <v>0</v>
      </c>
      <c r="E76" s="22">
        <f>IFERROR(Loans!H76,0)</f>
        <v>0</v>
      </c>
      <c r="F76" s="23">
        <f>IFERROR(Loans!I76,0)</f>
        <v>0</v>
      </c>
      <c r="G76" s="24" t="str">
        <f t="shared" si="54"/>
        <v/>
      </c>
      <c r="H76" s="25">
        <f>IF(A76="","",IFERROR(SUMIFS(Int_Repayments!E$4:E$1003,Int_Repayments!C$4:C$1003,A76,Int_Repayments!D$4:D$1003,1),0))</f>
        <v>0</v>
      </c>
      <c r="I76" s="26" t="str">
        <f t="shared" si="55"/>
        <v/>
      </c>
      <c r="J76" s="24" t="str">
        <f t="shared" si="56"/>
        <v/>
      </c>
      <c r="K76" s="25">
        <f>IF(A76="","",IFERROR(SUMIFS(Int_Repayments!E$4:E$1003,Int_Repayments!C$4:C$1003,A76,Int_Repayments!D$4:D$1003,2),0))</f>
        <v>0</v>
      </c>
      <c r="L76" s="26" t="str">
        <f t="shared" si="57"/>
        <v/>
      </c>
      <c r="M76" s="24" t="str">
        <f t="shared" si="58"/>
        <v/>
      </c>
      <c r="N76" s="25">
        <f>IF(A76="","",IFERROR(SUMIFS(Int_Repayments!E$4:E$1003,Int_Repayments!C$4:C$1003,A76,Int_Repayments!D$4:D$1003,3),0))</f>
        <v>0</v>
      </c>
      <c r="O76" s="26" t="str">
        <f t="shared" si="59"/>
        <v/>
      </c>
      <c r="P76" s="24" t="str">
        <f t="shared" si="60"/>
        <v/>
      </c>
      <c r="Q76" s="25">
        <f>IF(A76="","",IFERROR(SUMIFS(Int_Repayments!E$4:E$1003,Int_Repayments!C$4:C$1003,A76,Int_Repayments!D$4:D$1003,4),0))</f>
        <v>0</v>
      </c>
      <c r="R76" s="26" t="str">
        <f t="shared" si="61"/>
        <v/>
      </c>
      <c r="S76" s="24" t="str">
        <f t="shared" si="62"/>
        <v/>
      </c>
      <c r="T76" s="25">
        <f>IF(A76="","",IFERROR(SUMIFS(Int_Repayments!E$4:E$1003,Int_Repayments!C$4:C$1003,A76,Int_Repayments!D$4:D$1003,5),0))</f>
        <v>0</v>
      </c>
      <c r="U76" s="26" t="str">
        <f t="shared" si="63"/>
        <v/>
      </c>
      <c r="V76" s="24" t="str">
        <f t="shared" si="64"/>
        <v/>
      </c>
      <c r="W76" s="25">
        <f>IF(A76="","",IFERROR(SUMIFS(Int_Repayments!E$4:E$1003,Int_Repayments!C$4:C$1003,A76,Int_Repayments!D$4:D$1003,6),0))</f>
        <v>0</v>
      </c>
      <c r="X76" s="26" t="str">
        <f t="shared" si="65"/>
        <v/>
      </c>
      <c r="Y76" s="24" t="str">
        <f t="shared" si="66"/>
        <v/>
      </c>
      <c r="Z76" s="25">
        <f>IF(A76="","",IFERROR(SUMIFS(Int_Repayments!E$4:E$1003,Int_Repayments!C$4:C$1003,A76,Int_Repayments!D$4:D$1003,7),0))</f>
        <v>0</v>
      </c>
      <c r="AA76" s="26" t="str">
        <f t="shared" si="67"/>
        <v/>
      </c>
      <c r="AB76" s="24" t="str">
        <f t="shared" si="68"/>
        <v/>
      </c>
      <c r="AC76" s="25">
        <f>IF(A76="","",IFERROR(SUMIFS(Int_Repayments!E$4:E$1003,Int_Repayments!C$4:C$1003,A76,Int_Repayments!D$4:D$1003,8),0))</f>
        <v>0</v>
      </c>
      <c r="AD76" s="26" t="str">
        <f t="shared" si="69"/>
        <v/>
      </c>
      <c r="AE76" s="24" t="str">
        <f t="shared" si="70"/>
        <v/>
      </c>
      <c r="AF76" s="25">
        <f>IF(A76="","",IFERROR(SUMIFS(Int_Repayments!E$4:E$1003,Int_Repayments!C$4:C$1003,A76,Int_Repayments!D$4:D$1003,9),0))</f>
        <v>0</v>
      </c>
      <c r="AG76" s="26" t="str">
        <f t="shared" si="71"/>
        <v/>
      </c>
      <c r="AH76" s="24" t="str">
        <f t="shared" si="72"/>
        <v/>
      </c>
      <c r="AI76" s="25">
        <f>IF(A76="","",IFERROR(SUMIFS(Int_Repayments!E$4:E$1003,Int_Repayments!C$4:C$1003,A76,Int_Repayments!D$4:D$1003,10),0))</f>
        <v>0</v>
      </c>
      <c r="AJ76" s="26" t="str">
        <f t="shared" si="73"/>
        <v/>
      </c>
      <c r="AK76" s="24" t="str">
        <f t="shared" si="74"/>
        <v/>
      </c>
      <c r="AL76" s="25">
        <f>IF(A76="","",IFERROR(SUMIFS(Int_Repayments!E$4:E$1003,Int_Repayments!C$4:C$1003,A76,Int_Repayments!D$4:D$1003,11),0))</f>
        <v>0</v>
      </c>
      <c r="AM76" s="26" t="str">
        <f t="shared" si="75"/>
        <v/>
      </c>
      <c r="AN76" s="24" t="str">
        <f t="shared" si="76"/>
        <v/>
      </c>
      <c r="AO76" s="25">
        <f>IF(A76="","",IFERROR(SUMIFS(Int_Repayments!E$4:E$1003,Int_Repayments!C$4:C$1003,A76,Int_Repayments!D$4:D$1003,12),0))</f>
        <v>0</v>
      </c>
      <c r="AP76" s="26" t="str">
        <f t="shared" si="77"/>
        <v/>
      </c>
      <c r="AQ76" s="24" t="str">
        <f t="shared" si="78"/>
        <v/>
      </c>
      <c r="AR76" s="24" t="str">
        <f t="shared" si="79"/>
        <v/>
      </c>
      <c r="AS76" s="24" t="str">
        <f t="shared" si="80"/>
        <v/>
      </c>
    </row>
    <row r="77" spans="1:45" ht="15.75" customHeight="1" x14ac:dyDescent="0.25">
      <c r="A77" s="6">
        <f>IFERROR(Loans!C77,"")</f>
        <v>0</v>
      </c>
      <c r="B77" s="4">
        <f>IFERROR(Loans!B77,"")</f>
        <v>0</v>
      </c>
      <c r="C77" s="6">
        <f>IFERROR(Loans!A77,"")</f>
        <v>0</v>
      </c>
      <c r="D77" s="21">
        <f>IFERROR(Loans!E77,0)</f>
        <v>0</v>
      </c>
      <c r="E77" s="22">
        <f>IFERROR(Loans!H77,0)</f>
        <v>0</v>
      </c>
      <c r="F77" s="23">
        <f>IFERROR(Loans!I77,0)</f>
        <v>0</v>
      </c>
      <c r="G77" s="24" t="str">
        <f t="shared" si="54"/>
        <v/>
      </c>
      <c r="H77" s="25">
        <f>IF(A77="","",IFERROR(SUMIFS(Int_Repayments!E$4:E$1003,Int_Repayments!C$4:C$1003,A77,Int_Repayments!D$4:D$1003,1),0))</f>
        <v>0</v>
      </c>
      <c r="I77" s="26" t="str">
        <f t="shared" si="55"/>
        <v/>
      </c>
      <c r="J77" s="24" t="str">
        <f t="shared" si="56"/>
        <v/>
      </c>
      <c r="K77" s="25">
        <f>IF(A77="","",IFERROR(SUMIFS(Int_Repayments!E$4:E$1003,Int_Repayments!C$4:C$1003,A77,Int_Repayments!D$4:D$1003,2),0))</f>
        <v>0</v>
      </c>
      <c r="L77" s="26" t="str">
        <f t="shared" si="57"/>
        <v/>
      </c>
      <c r="M77" s="24" t="str">
        <f t="shared" si="58"/>
        <v/>
      </c>
      <c r="N77" s="25">
        <f>IF(A77="","",IFERROR(SUMIFS(Int_Repayments!E$4:E$1003,Int_Repayments!C$4:C$1003,A77,Int_Repayments!D$4:D$1003,3),0))</f>
        <v>0</v>
      </c>
      <c r="O77" s="26" t="str">
        <f t="shared" si="59"/>
        <v/>
      </c>
      <c r="P77" s="24" t="str">
        <f t="shared" si="60"/>
        <v/>
      </c>
      <c r="Q77" s="25">
        <f>IF(A77="","",IFERROR(SUMIFS(Int_Repayments!E$4:E$1003,Int_Repayments!C$4:C$1003,A77,Int_Repayments!D$4:D$1003,4),0))</f>
        <v>0</v>
      </c>
      <c r="R77" s="26" t="str">
        <f t="shared" si="61"/>
        <v/>
      </c>
      <c r="S77" s="24" t="str">
        <f t="shared" si="62"/>
        <v/>
      </c>
      <c r="T77" s="25">
        <f>IF(A77="","",IFERROR(SUMIFS(Int_Repayments!E$4:E$1003,Int_Repayments!C$4:C$1003,A77,Int_Repayments!D$4:D$1003,5),0))</f>
        <v>0</v>
      </c>
      <c r="U77" s="26" t="str">
        <f t="shared" si="63"/>
        <v/>
      </c>
      <c r="V77" s="24" t="str">
        <f t="shared" si="64"/>
        <v/>
      </c>
      <c r="W77" s="25">
        <f>IF(A77="","",IFERROR(SUMIFS(Int_Repayments!E$4:E$1003,Int_Repayments!C$4:C$1003,A77,Int_Repayments!D$4:D$1003,6),0))</f>
        <v>0</v>
      </c>
      <c r="X77" s="26" t="str">
        <f t="shared" si="65"/>
        <v/>
      </c>
      <c r="Y77" s="24" t="str">
        <f t="shared" si="66"/>
        <v/>
      </c>
      <c r="Z77" s="25">
        <f>IF(A77="","",IFERROR(SUMIFS(Int_Repayments!E$4:E$1003,Int_Repayments!C$4:C$1003,A77,Int_Repayments!D$4:D$1003,7),0))</f>
        <v>0</v>
      </c>
      <c r="AA77" s="26" t="str">
        <f t="shared" si="67"/>
        <v/>
      </c>
      <c r="AB77" s="24" t="str">
        <f t="shared" si="68"/>
        <v/>
      </c>
      <c r="AC77" s="25">
        <f>IF(A77="","",IFERROR(SUMIFS(Int_Repayments!E$4:E$1003,Int_Repayments!C$4:C$1003,A77,Int_Repayments!D$4:D$1003,8),0))</f>
        <v>0</v>
      </c>
      <c r="AD77" s="26" t="str">
        <f t="shared" si="69"/>
        <v/>
      </c>
      <c r="AE77" s="24" t="str">
        <f t="shared" si="70"/>
        <v/>
      </c>
      <c r="AF77" s="25">
        <f>IF(A77="","",IFERROR(SUMIFS(Int_Repayments!E$4:E$1003,Int_Repayments!C$4:C$1003,A77,Int_Repayments!D$4:D$1003,9),0))</f>
        <v>0</v>
      </c>
      <c r="AG77" s="26" t="str">
        <f t="shared" si="71"/>
        <v/>
      </c>
      <c r="AH77" s="24" t="str">
        <f t="shared" si="72"/>
        <v/>
      </c>
      <c r="AI77" s="25">
        <f>IF(A77="","",IFERROR(SUMIFS(Int_Repayments!E$4:E$1003,Int_Repayments!C$4:C$1003,A77,Int_Repayments!D$4:D$1003,10),0))</f>
        <v>0</v>
      </c>
      <c r="AJ77" s="26" t="str">
        <f t="shared" si="73"/>
        <v/>
      </c>
      <c r="AK77" s="24" t="str">
        <f t="shared" si="74"/>
        <v/>
      </c>
      <c r="AL77" s="25">
        <f>IF(A77="","",IFERROR(SUMIFS(Int_Repayments!E$4:E$1003,Int_Repayments!C$4:C$1003,A77,Int_Repayments!D$4:D$1003,11),0))</f>
        <v>0</v>
      </c>
      <c r="AM77" s="26" t="str">
        <f t="shared" si="75"/>
        <v/>
      </c>
      <c r="AN77" s="24" t="str">
        <f t="shared" si="76"/>
        <v/>
      </c>
      <c r="AO77" s="25">
        <f>IF(A77="","",IFERROR(SUMIFS(Int_Repayments!E$4:E$1003,Int_Repayments!C$4:C$1003,A77,Int_Repayments!D$4:D$1003,12),0))</f>
        <v>0</v>
      </c>
      <c r="AP77" s="26" t="str">
        <f t="shared" si="77"/>
        <v/>
      </c>
      <c r="AQ77" s="24" t="str">
        <f t="shared" si="78"/>
        <v/>
      </c>
      <c r="AR77" s="24" t="str">
        <f t="shared" si="79"/>
        <v/>
      </c>
      <c r="AS77" s="24" t="str">
        <f t="shared" si="80"/>
        <v/>
      </c>
    </row>
    <row r="78" spans="1:45" ht="15.75" customHeight="1" x14ac:dyDescent="0.25">
      <c r="A78" s="6">
        <f>IFERROR(Loans!C78,"")</f>
        <v>0</v>
      </c>
      <c r="B78" s="4">
        <f>IFERROR(Loans!B78,"")</f>
        <v>0</v>
      </c>
      <c r="C78" s="6">
        <f>IFERROR(Loans!A78,"")</f>
        <v>0</v>
      </c>
      <c r="D78" s="21">
        <f>IFERROR(Loans!E78,0)</f>
        <v>0</v>
      </c>
      <c r="E78" s="22">
        <f>IFERROR(Loans!H78,0)</f>
        <v>0</v>
      </c>
      <c r="F78" s="23">
        <f>IFERROR(Loans!I78,0)</f>
        <v>0</v>
      </c>
      <c r="G78" s="24" t="str">
        <f t="shared" si="54"/>
        <v/>
      </c>
      <c r="H78" s="25">
        <f>IF(A78="","",IFERROR(SUMIFS(Int_Repayments!E$4:E$1003,Int_Repayments!C$4:C$1003,A78,Int_Repayments!D$4:D$1003,1),0))</f>
        <v>0</v>
      </c>
      <c r="I78" s="26" t="str">
        <f t="shared" si="55"/>
        <v/>
      </c>
      <c r="J78" s="24" t="str">
        <f t="shared" si="56"/>
        <v/>
      </c>
      <c r="K78" s="25">
        <f>IF(A78="","",IFERROR(SUMIFS(Int_Repayments!E$4:E$1003,Int_Repayments!C$4:C$1003,A78,Int_Repayments!D$4:D$1003,2),0))</f>
        <v>0</v>
      </c>
      <c r="L78" s="26" t="str">
        <f t="shared" si="57"/>
        <v/>
      </c>
      <c r="M78" s="24" t="str">
        <f t="shared" si="58"/>
        <v/>
      </c>
      <c r="N78" s="25">
        <f>IF(A78="","",IFERROR(SUMIFS(Int_Repayments!E$4:E$1003,Int_Repayments!C$4:C$1003,A78,Int_Repayments!D$4:D$1003,3),0))</f>
        <v>0</v>
      </c>
      <c r="O78" s="26" t="str">
        <f t="shared" si="59"/>
        <v/>
      </c>
      <c r="P78" s="24" t="str">
        <f t="shared" si="60"/>
        <v/>
      </c>
      <c r="Q78" s="25">
        <f>IF(A78="","",IFERROR(SUMIFS(Int_Repayments!E$4:E$1003,Int_Repayments!C$4:C$1003,A78,Int_Repayments!D$4:D$1003,4),0))</f>
        <v>0</v>
      </c>
      <c r="R78" s="26" t="str">
        <f t="shared" si="61"/>
        <v/>
      </c>
      <c r="S78" s="24" t="str">
        <f t="shared" si="62"/>
        <v/>
      </c>
      <c r="T78" s="25">
        <f>IF(A78="","",IFERROR(SUMIFS(Int_Repayments!E$4:E$1003,Int_Repayments!C$4:C$1003,A78,Int_Repayments!D$4:D$1003,5),0))</f>
        <v>0</v>
      </c>
      <c r="U78" s="26" t="str">
        <f t="shared" si="63"/>
        <v/>
      </c>
      <c r="V78" s="24" t="str">
        <f t="shared" si="64"/>
        <v/>
      </c>
      <c r="W78" s="25">
        <f>IF(A78="","",IFERROR(SUMIFS(Int_Repayments!E$4:E$1003,Int_Repayments!C$4:C$1003,A78,Int_Repayments!D$4:D$1003,6),0))</f>
        <v>0</v>
      </c>
      <c r="X78" s="26" t="str">
        <f t="shared" si="65"/>
        <v/>
      </c>
      <c r="Y78" s="24" t="str">
        <f t="shared" si="66"/>
        <v/>
      </c>
      <c r="Z78" s="25">
        <f>IF(A78="","",IFERROR(SUMIFS(Int_Repayments!E$4:E$1003,Int_Repayments!C$4:C$1003,A78,Int_Repayments!D$4:D$1003,7),0))</f>
        <v>0</v>
      </c>
      <c r="AA78" s="26" t="str">
        <f t="shared" si="67"/>
        <v/>
      </c>
      <c r="AB78" s="24" t="str">
        <f t="shared" si="68"/>
        <v/>
      </c>
      <c r="AC78" s="25">
        <f>IF(A78="","",IFERROR(SUMIFS(Int_Repayments!E$4:E$1003,Int_Repayments!C$4:C$1003,A78,Int_Repayments!D$4:D$1003,8),0))</f>
        <v>0</v>
      </c>
      <c r="AD78" s="26" t="str">
        <f t="shared" si="69"/>
        <v/>
      </c>
      <c r="AE78" s="24" t="str">
        <f t="shared" si="70"/>
        <v/>
      </c>
      <c r="AF78" s="25">
        <f>IF(A78="","",IFERROR(SUMIFS(Int_Repayments!E$4:E$1003,Int_Repayments!C$4:C$1003,A78,Int_Repayments!D$4:D$1003,9),0))</f>
        <v>0</v>
      </c>
      <c r="AG78" s="26" t="str">
        <f t="shared" si="71"/>
        <v/>
      </c>
      <c r="AH78" s="24" t="str">
        <f t="shared" si="72"/>
        <v/>
      </c>
      <c r="AI78" s="25">
        <f>IF(A78="","",IFERROR(SUMIFS(Int_Repayments!E$4:E$1003,Int_Repayments!C$4:C$1003,A78,Int_Repayments!D$4:D$1003,10),0))</f>
        <v>0</v>
      </c>
      <c r="AJ78" s="26" t="str">
        <f t="shared" si="73"/>
        <v/>
      </c>
      <c r="AK78" s="24" t="str">
        <f t="shared" si="74"/>
        <v/>
      </c>
      <c r="AL78" s="25">
        <f>IF(A78="","",IFERROR(SUMIFS(Int_Repayments!E$4:E$1003,Int_Repayments!C$4:C$1003,A78,Int_Repayments!D$4:D$1003,11),0))</f>
        <v>0</v>
      </c>
      <c r="AM78" s="26" t="str">
        <f t="shared" si="75"/>
        <v/>
      </c>
      <c r="AN78" s="24" t="str">
        <f t="shared" si="76"/>
        <v/>
      </c>
      <c r="AO78" s="25">
        <f>IF(A78="","",IFERROR(SUMIFS(Int_Repayments!E$4:E$1003,Int_Repayments!C$4:C$1003,A78,Int_Repayments!D$4:D$1003,12),0))</f>
        <v>0</v>
      </c>
      <c r="AP78" s="26" t="str">
        <f t="shared" si="77"/>
        <v/>
      </c>
      <c r="AQ78" s="24" t="str">
        <f t="shared" si="78"/>
        <v/>
      </c>
      <c r="AR78" s="24" t="str">
        <f t="shared" si="79"/>
        <v/>
      </c>
      <c r="AS78" s="24" t="str">
        <f t="shared" si="80"/>
        <v/>
      </c>
    </row>
    <row r="79" spans="1:45" ht="15.75" customHeight="1" x14ac:dyDescent="0.25">
      <c r="A79" s="6">
        <f>IFERROR(Loans!C79,"")</f>
        <v>0</v>
      </c>
      <c r="B79" s="4">
        <f>IFERROR(Loans!B79,"")</f>
        <v>0</v>
      </c>
      <c r="C79" s="6">
        <f>IFERROR(Loans!A79,"")</f>
        <v>0</v>
      </c>
      <c r="D79" s="21">
        <f>IFERROR(Loans!E79,0)</f>
        <v>0</v>
      </c>
      <c r="E79" s="22">
        <f>IFERROR(Loans!H79,0)</f>
        <v>0</v>
      </c>
      <c r="F79" s="23">
        <f>IFERROR(Loans!I79,0)</f>
        <v>0</v>
      </c>
      <c r="G79" s="24" t="str">
        <f t="shared" si="54"/>
        <v/>
      </c>
      <c r="H79" s="25">
        <f>IF(A79="","",IFERROR(SUMIFS(Int_Repayments!E$4:E$1003,Int_Repayments!C$4:C$1003,A79,Int_Repayments!D$4:D$1003,1),0))</f>
        <v>0</v>
      </c>
      <c r="I79" s="26" t="str">
        <f t="shared" si="55"/>
        <v/>
      </c>
      <c r="J79" s="24" t="str">
        <f t="shared" si="56"/>
        <v/>
      </c>
      <c r="K79" s="25">
        <f>IF(A79="","",IFERROR(SUMIFS(Int_Repayments!E$4:E$1003,Int_Repayments!C$4:C$1003,A79,Int_Repayments!D$4:D$1003,2),0))</f>
        <v>0</v>
      </c>
      <c r="L79" s="26" t="str">
        <f t="shared" si="57"/>
        <v/>
      </c>
      <c r="M79" s="24" t="str">
        <f t="shared" si="58"/>
        <v/>
      </c>
      <c r="N79" s="25">
        <f>IF(A79="","",IFERROR(SUMIFS(Int_Repayments!E$4:E$1003,Int_Repayments!C$4:C$1003,A79,Int_Repayments!D$4:D$1003,3),0))</f>
        <v>0</v>
      </c>
      <c r="O79" s="26" t="str">
        <f t="shared" si="59"/>
        <v/>
      </c>
      <c r="P79" s="24" t="str">
        <f t="shared" si="60"/>
        <v/>
      </c>
      <c r="Q79" s="25">
        <f>IF(A79="","",IFERROR(SUMIFS(Int_Repayments!E$4:E$1003,Int_Repayments!C$4:C$1003,A79,Int_Repayments!D$4:D$1003,4),0))</f>
        <v>0</v>
      </c>
      <c r="R79" s="26" t="str">
        <f t="shared" si="61"/>
        <v/>
      </c>
      <c r="S79" s="24" t="str">
        <f t="shared" si="62"/>
        <v/>
      </c>
      <c r="T79" s="25">
        <f>IF(A79="","",IFERROR(SUMIFS(Int_Repayments!E$4:E$1003,Int_Repayments!C$4:C$1003,A79,Int_Repayments!D$4:D$1003,5),0))</f>
        <v>0</v>
      </c>
      <c r="U79" s="26" t="str">
        <f t="shared" si="63"/>
        <v/>
      </c>
      <c r="V79" s="24" t="str">
        <f t="shared" si="64"/>
        <v/>
      </c>
      <c r="W79" s="25">
        <f>IF(A79="","",IFERROR(SUMIFS(Int_Repayments!E$4:E$1003,Int_Repayments!C$4:C$1003,A79,Int_Repayments!D$4:D$1003,6),0))</f>
        <v>0</v>
      </c>
      <c r="X79" s="26" t="str">
        <f t="shared" si="65"/>
        <v/>
      </c>
      <c r="Y79" s="24" t="str">
        <f t="shared" si="66"/>
        <v/>
      </c>
      <c r="Z79" s="25">
        <f>IF(A79="","",IFERROR(SUMIFS(Int_Repayments!E$4:E$1003,Int_Repayments!C$4:C$1003,A79,Int_Repayments!D$4:D$1003,7),0))</f>
        <v>0</v>
      </c>
      <c r="AA79" s="26" t="str">
        <f t="shared" si="67"/>
        <v/>
      </c>
      <c r="AB79" s="24" t="str">
        <f t="shared" si="68"/>
        <v/>
      </c>
      <c r="AC79" s="25">
        <f>IF(A79="","",IFERROR(SUMIFS(Int_Repayments!E$4:E$1003,Int_Repayments!C$4:C$1003,A79,Int_Repayments!D$4:D$1003,8),0))</f>
        <v>0</v>
      </c>
      <c r="AD79" s="26" t="str">
        <f t="shared" si="69"/>
        <v/>
      </c>
      <c r="AE79" s="24" t="str">
        <f t="shared" si="70"/>
        <v/>
      </c>
      <c r="AF79" s="25">
        <f>IF(A79="","",IFERROR(SUMIFS(Int_Repayments!E$4:E$1003,Int_Repayments!C$4:C$1003,A79,Int_Repayments!D$4:D$1003,9),0))</f>
        <v>0</v>
      </c>
      <c r="AG79" s="26" t="str">
        <f t="shared" si="71"/>
        <v/>
      </c>
      <c r="AH79" s="24" t="str">
        <f t="shared" si="72"/>
        <v/>
      </c>
      <c r="AI79" s="25">
        <f>IF(A79="","",IFERROR(SUMIFS(Int_Repayments!E$4:E$1003,Int_Repayments!C$4:C$1003,A79,Int_Repayments!D$4:D$1003,10),0))</f>
        <v>0</v>
      </c>
      <c r="AJ79" s="26" t="str">
        <f t="shared" si="73"/>
        <v/>
      </c>
      <c r="AK79" s="24" t="str">
        <f t="shared" si="74"/>
        <v/>
      </c>
      <c r="AL79" s="25">
        <f>IF(A79="","",IFERROR(SUMIFS(Int_Repayments!E$4:E$1003,Int_Repayments!C$4:C$1003,A79,Int_Repayments!D$4:D$1003,11),0))</f>
        <v>0</v>
      </c>
      <c r="AM79" s="26" t="str">
        <f t="shared" si="75"/>
        <v/>
      </c>
      <c r="AN79" s="24" t="str">
        <f t="shared" si="76"/>
        <v/>
      </c>
      <c r="AO79" s="25">
        <f>IF(A79="","",IFERROR(SUMIFS(Int_Repayments!E$4:E$1003,Int_Repayments!C$4:C$1003,A79,Int_Repayments!D$4:D$1003,12),0))</f>
        <v>0</v>
      </c>
      <c r="AP79" s="26" t="str">
        <f t="shared" si="77"/>
        <v/>
      </c>
      <c r="AQ79" s="24" t="str">
        <f t="shared" si="78"/>
        <v/>
      </c>
      <c r="AR79" s="24" t="str">
        <f t="shared" si="79"/>
        <v/>
      </c>
      <c r="AS79" s="24" t="str">
        <f t="shared" si="80"/>
        <v/>
      </c>
    </row>
    <row r="80" spans="1:45" ht="15.75" customHeight="1" x14ac:dyDescent="0.25">
      <c r="A80" s="6">
        <f>IFERROR(Loans!C80,"")</f>
        <v>0</v>
      </c>
      <c r="B80" s="4">
        <f>IFERROR(Loans!B80,"")</f>
        <v>0</v>
      </c>
      <c r="C80" s="6">
        <f>IFERROR(Loans!A80,"")</f>
        <v>0</v>
      </c>
      <c r="D80" s="21">
        <f>IFERROR(Loans!E80,0)</f>
        <v>0</v>
      </c>
      <c r="E80" s="22">
        <f>IFERROR(Loans!H80,0)</f>
        <v>0</v>
      </c>
      <c r="F80" s="23">
        <f>IFERROR(Loans!I80,0)</f>
        <v>0</v>
      </c>
      <c r="G80" s="24" t="str">
        <f t="shared" si="54"/>
        <v/>
      </c>
      <c r="H80" s="25">
        <f>IF(A80="","",IFERROR(SUMIFS(Int_Repayments!E$4:E$1003,Int_Repayments!C$4:C$1003,A80,Int_Repayments!D$4:D$1003,1),0))</f>
        <v>0</v>
      </c>
      <c r="I80" s="26" t="str">
        <f t="shared" si="55"/>
        <v/>
      </c>
      <c r="J80" s="24" t="str">
        <f t="shared" si="56"/>
        <v/>
      </c>
      <c r="K80" s="25">
        <f>IF(A80="","",IFERROR(SUMIFS(Int_Repayments!E$4:E$1003,Int_Repayments!C$4:C$1003,A80,Int_Repayments!D$4:D$1003,2),0))</f>
        <v>0</v>
      </c>
      <c r="L80" s="26" t="str">
        <f t="shared" si="57"/>
        <v/>
      </c>
      <c r="M80" s="24" t="str">
        <f t="shared" si="58"/>
        <v/>
      </c>
      <c r="N80" s="25">
        <f>IF(A80="","",IFERROR(SUMIFS(Int_Repayments!E$4:E$1003,Int_Repayments!C$4:C$1003,A80,Int_Repayments!D$4:D$1003,3),0))</f>
        <v>0</v>
      </c>
      <c r="O80" s="26" t="str">
        <f t="shared" si="59"/>
        <v/>
      </c>
      <c r="P80" s="24" t="str">
        <f t="shared" si="60"/>
        <v/>
      </c>
      <c r="Q80" s="25">
        <f>IF(A80="","",IFERROR(SUMIFS(Int_Repayments!E$4:E$1003,Int_Repayments!C$4:C$1003,A80,Int_Repayments!D$4:D$1003,4),0))</f>
        <v>0</v>
      </c>
      <c r="R80" s="26" t="str">
        <f t="shared" si="61"/>
        <v/>
      </c>
      <c r="S80" s="24" t="str">
        <f t="shared" si="62"/>
        <v/>
      </c>
      <c r="T80" s="25">
        <f>IF(A80="","",IFERROR(SUMIFS(Int_Repayments!E$4:E$1003,Int_Repayments!C$4:C$1003,A80,Int_Repayments!D$4:D$1003,5),0))</f>
        <v>0</v>
      </c>
      <c r="U80" s="26" t="str">
        <f t="shared" si="63"/>
        <v/>
      </c>
      <c r="V80" s="24" t="str">
        <f t="shared" si="64"/>
        <v/>
      </c>
      <c r="W80" s="25">
        <f>IF(A80="","",IFERROR(SUMIFS(Int_Repayments!E$4:E$1003,Int_Repayments!C$4:C$1003,A80,Int_Repayments!D$4:D$1003,6),0))</f>
        <v>0</v>
      </c>
      <c r="X80" s="26" t="str">
        <f t="shared" si="65"/>
        <v/>
      </c>
      <c r="Y80" s="24" t="str">
        <f t="shared" si="66"/>
        <v/>
      </c>
      <c r="Z80" s="25">
        <f>IF(A80="","",IFERROR(SUMIFS(Int_Repayments!E$4:E$1003,Int_Repayments!C$4:C$1003,A80,Int_Repayments!D$4:D$1003,7),0))</f>
        <v>0</v>
      </c>
      <c r="AA80" s="26" t="str">
        <f t="shared" si="67"/>
        <v/>
      </c>
      <c r="AB80" s="24" t="str">
        <f t="shared" si="68"/>
        <v/>
      </c>
      <c r="AC80" s="25">
        <f>IF(A80="","",IFERROR(SUMIFS(Int_Repayments!E$4:E$1003,Int_Repayments!C$4:C$1003,A80,Int_Repayments!D$4:D$1003,8),0))</f>
        <v>0</v>
      </c>
      <c r="AD80" s="26" t="str">
        <f t="shared" si="69"/>
        <v/>
      </c>
      <c r="AE80" s="24" t="str">
        <f t="shared" si="70"/>
        <v/>
      </c>
      <c r="AF80" s="25">
        <f>IF(A80="","",IFERROR(SUMIFS(Int_Repayments!E$4:E$1003,Int_Repayments!C$4:C$1003,A80,Int_Repayments!D$4:D$1003,9),0))</f>
        <v>0</v>
      </c>
      <c r="AG80" s="26" t="str">
        <f t="shared" si="71"/>
        <v/>
      </c>
      <c r="AH80" s="24" t="str">
        <f t="shared" si="72"/>
        <v/>
      </c>
      <c r="AI80" s="25">
        <f>IF(A80="","",IFERROR(SUMIFS(Int_Repayments!E$4:E$1003,Int_Repayments!C$4:C$1003,A80,Int_Repayments!D$4:D$1003,10),0))</f>
        <v>0</v>
      </c>
      <c r="AJ80" s="26" t="str">
        <f t="shared" si="73"/>
        <v/>
      </c>
      <c r="AK80" s="24" t="str">
        <f t="shared" si="74"/>
        <v/>
      </c>
      <c r="AL80" s="25">
        <f>IF(A80="","",IFERROR(SUMIFS(Int_Repayments!E$4:E$1003,Int_Repayments!C$4:C$1003,A80,Int_Repayments!D$4:D$1003,11),0))</f>
        <v>0</v>
      </c>
      <c r="AM80" s="26" t="str">
        <f t="shared" si="75"/>
        <v/>
      </c>
      <c r="AN80" s="24" t="str">
        <f t="shared" si="76"/>
        <v/>
      </c>
      <c r="AO80" s="25">
        <f>IF(A80="","",IFERROR(SUMIFS(Int_Repayments!E$4:E$1003,Int_Repayments!C$4:C$1003,A80,Int_Repayments!D$4:D$1003,12),0))</f>
        <v>0</v>
      </c>
      <c r="AP80" s="26" t="str">
        <f t="shared" si="77"/>
        <v/>
      </c>
      <c r="AQ80" s="24" t="str">
        <f t="shared" si="78"/>
        <v/>
      </c>
      <c r="AR80" s="24" t="str">
        <f t="shared" si="79"/>
        <v/>
      </c>
      <c r="AS80" s="24" t="str">
        <f t="shared" si="80"/>
        <v/>
      </c>
    </row>
    <row r="81" spans="1:45" ht="15.75" customHeight="1" x14ac:dyDescent="0.25">
      <c r="A81" s="6">
        <f>IFERROR(Loans!C81,"")</f>
        <v>0</v>
      </c>
      <c r="B81" s="4">
        <f>IFERROR(Loans!B81,"")</f>
        <v>0</v>
      </c>
      <c r="C81" s="6">
        <f>IFERROR(Loans!A81,"")</f>
        <v>0</v>
      </c>
      <c r="D81" s="21">
        <f>IFERROR(Loans!E81,0)</f>
        <v>0</v>
      </c>
      <c r="E81" s="22">
        <f>IFERROR(Loans!H81,0)</f>
        <v>0</v>
      </c>
      <c r="F81" s="23">
        <f>IFERROR(Loans!I81,0)</f>
        <v>0</v>
      </c>
      <c r="G81" s="24" t="str">
        <f t="shared" si="54"/>
        <v/>
      </c>
      <c r="H81" s="25">
        <f>IF(A81="","",IFERROR(SUMIFS(Int_Repayments!E$4:E$1003,Int_Repayments!C$4:C$1003,A81,Int_Repayments!D$4:D$1003,1),0))</f>
        <v>0</v>
      </c>
      <c r="I81" s="26" t="str">
        <f t="shared" si="55"/>
        <v/>
      </c>
      <c r="J81" s="24" t="str">
        <f t="shared" si="56"/>
        <v/>
      </c>
      <c r="K81" s="25">
        <f>IF(A81="","",IFERROR(SUMIFS(Int_Repayments!E$4:E$1003,Int_Repayments!C$4:C$1003,A81,Int_Repayments!D$4:D$1003,2),0))</f>
        <v>0</v>
      </c>
      <c r="L81" s="26" t="str">
        <f t="shared" si="57"/>
        <v/>
      </c>
      <c r="M81" s="24" t="str">
        <f t="shared" si="58"/>
        <v/>
      </c>
      <c r="N81" s="25">
        <f>IF(A81="","",IFERROR(SUMIFS(Int_Repayments!E$4:E$1003,Int_Repayments!C$4:C$1003,A81,Int_Repayments!D$4:D$1003,3),0))</f>
        <v>0</v>
      </c>
      <c r="O81" s="26" t="str">
        <f t="shared" si="59"/>
        <v/>
      </c>
      <c r="P81" s="24" t="str">
        <f t="shared" si="60"/>
        <v/>
      </c>
      <c r="Q81" s="25">
        <f>IF(A81="","",IFERROR(SUMIFS(Int_Repayments!E$4:E$1003,Int_Repayments!C$4:C$1003,A81,Int_Repayments!D$4:D$1003,4),0))</f>
        <v>0</v>
      </c>
      <c r="R81" s="26" t="str">
        <f t="shared" si="61"/>
        <v/>
      </c>
      <c r="S81" s="24" t="str">
        <f t="shared" si="62"/>
        <v/>
      </c>
      <c r="T81" s="25">
        <f>IF(A81="","",IFERROR(SUMIFS(Int_Repayments!E$4:E$1003,Int_Repayments!C$4:C$1003,A81,Int_Repayments!D$4:D$1003,5),0))</f>
        <v>0</v>
      </c>
      <c r="U81" s="26" t="str">
        <f t="shared" si="63"/>
        <v/>
      </c>
      <c r="V81" s="24" t="str">
        <f t="shared" si="64"/>
        <v/>
      </c>
      <c r="W81" s="25">
        <f>IF(A81="","",IFERROR(SUMIFS(Int_Repayments!E$4:E$1003,Int_Repayments!C$4:C$1003,A81,Int_Repayments!D$4:D$1003,6),0))</f>
        <v>0</v>
      </c>
      <c r="X81" s="26" t="str">
        <f t="shared" si="65"/>
        <v/>
      </c>
      <c r="Y81" s="24" t="str">
        <f t="shared" si="66"/>
        <v/>
      </c>
      <c r="Z81" s="25">
        <f>IF(A81="","",IFERROR(SUMIFS(Int_Repayments!E$4:E$1003,Int_Repayments!C$4:C$1003,A81,Int_Repayments!D$4:D$1003,7),0))</f>
        <v>0</v>
      </c>
      <c r="AA81" s="26" t="str">
        <f t="shared" si="67"/>
        <v/>
      </c>
      <c r="AB81" s="24" t="str">
        <f t="shared" si="68"/>
        <v/>
      </c>
      <c r="AC81" s="25">
        <f>IF(A81="","",IFERROR(SUMIFS(Int_Repayments!E$4:E$1003,Int_Repayments!C$4:C$1003,A81,Int_Repayments!D$4:D$1003,8),0))</f>
        <v>0</v>
      </c>
      <c r="AD81" s="26" t="str">
        <f t="shared" si="69"/>
        <v/>
      </c>
      <c r="AE81" s="24" t="str">
        <f t="shared" si="70"/>
        <v/>
      </c>
      <c r="AF81" s="25">
        <f>IF(A81="","",IFERROR(SUMIFS(Int_Repayments!E$4:E$1003,Int_Repayments!C$4:C$1003,A81,Int_Repayments!D$4:D$1003,9),0))</f>
        <v>0</v>
      </c>
      <c r="AG81" s="26" t="str">
        <f t="shared" si="71"/>
        <v/>
      </c>
      <c r="AH81" s="24" t="str">
        <f t="shared" si="72"/>
        <v/>
      </c>
      <c r="AI81" s="25">
        <f>IF(A81="","",IFERROR(SUMIFS(Int_Repayments!E$4:E$1003,Int_Repayments!C$4:C$1003,A81,Int_Repayments!D$4:D$1003,10),0))</f>
        <v>0</v>
      </c>
      <c r="AJ81" s="26" t="str">
        <f t="shared" si="73"/>
        <v/>
      </c>
      <c r="AK81" s="24" t="str">
        <f t="shared" si="74"/>
        <v/>
      </c>
      <c r="AL81" s="25">
        <f>IF(A81="","",IFERROR(SUMIFS(Int_Repayments!E$4:E$1003,Int_Repayments!C$4:C$1003,A81,Int_Repayments!D$4:D$1003,11),0))</f>
        <v>0</v>
      </c>
      <c r="AM81" s="26" t="str">
        <f t="shared" si="75"/>
        <v/>
      </c>
      <c r="AN81" s="24" t="str">
        <f t="shared" si="76"/>
        <v/>
      </c>
      <c r="AO81" s="25">
        <f>IF(A81="","",IFERROR(SUMIFS(Int_Repayments!E$4:E$1003,Int_Repayments!C$4:C$1003,A81,Int_Repayments!D$4:D$1003,12),0))</f>
        <v>0</v>
      </c>
      <c r="AP81" s="26" t="str">
        <f t="shared" si="77"/>
        <v/>
      </c>
      <c r="AQ81" s="24" t="str">
        <f t="shared" si="78"/>
        <v/>
      </c>
      <c r="AR81" s="24" t="str">
        <f t="shared" si="79"/>
        <v/>
      </c>
      <c r="AS81" s="24" t="str">
        <f t="shared" si="80"/>
        <v/>
      </c>
    </row>
    <row r="82" spans="1:45" ht="15.75" customHeight="1" x14ac:dyDescent="0.25">
      <c r="A82" s="6">
        <f>IFERROR(Loans!C82,"")</f>
        <v>0</v>
      </c>
      <c r="B82" s="4">
        <f>IFERROR(Loans!B82,"")</f>
        <v>0</v>
      </c>
      <c r="C82" s="6">
        <f>IFERROR(Loans!A82,"")</f>
        <v>0</v>
      </c>
      <c r="D82" s="21">
        <f>IFERROR(Loans!E82,0)</f>
        <v>0</v>
      </c>
      <c r="E82" s="22">
        <f>IFERROR(Loans!H82,0)</f>
        <v>0</v>
      </c>
      <c r="F82" s="23">
        <f>IFERROR(Loans!I82,0)</f>
        <v>0</v>
      </c>
      <c r="G82" s="24" t="str">
        <f t="shared" si="54"/>
        <v/>
      </c>
      <c r="H82" s="25">
        <f>IF(A82="","",IFERROR(SUMIFS(Int_Repayments!E$4:E$1003,Int_Repayments!C$4:C$1003,A82,Int_Repayments!D$4:D$1003,1),0))</f>
        <v>0</v>
      </c>
      <c r="I82" s="26" t="str">
        <f t="shared" si="55"/>
        <v/>
      </c>
      <c r="J82" s="24" t="str">
        <f t="shared" si="56"/>
        <v/>
      </c>
      <c r="K82" s="25">
        <f>IF(A82="","",IFERROR(SUMIFS(Int_Repayments!E$4:E$1003,Int_Repayments!C$4:C$1003,A82,Int_Repayments!D$4:D$1003,2),0))</f>
        <v>0</v>
      </c>
      <c r="L82" s="26" t="str">
        <f t="shared" si="57"/>
        <v/>
      </c>
      <c r="M82" s="24" t="str">
        <f t="shared" si="58"/>
        <v/>
      </c>
      <c r="N82" s="25">
        <f>IF(A82="","",IFERROR(SUMIFS(Int_Repayments!E$4:E$1003,Int_Repayments!C$4:C$1003,A82,Int_Repayments!D$4:D$1003,3),0))</f>
        <v>0</v>
      </c>
      <c r="O82" s="26" t="str">
        <f t="shared" si="59"/>
        <v/>
      </c>
      <c r="P82" s="24" t="str">
        <f t="shared" si="60"/>
        <v/>
      </c>
      <c r="Q82" s="25">
        <f>IF(A82="","",IFERROR(SUMIFS(Int_Repayments!E$4:E$1003,Int_Repayments!C$4:C$1003,A82,Int_Repayments!D$4:D$1003,4),0))</f>
        <v>0</v>
      </c>
      <c r="R82" s="26" t="str">
        <f t="shared" si="61"/>
        <v/>
      </c>
      <c r="S82" s="24" t="str">
        <f t="shared" si="62"/>
        <v/>
      </c>
      <c r="T82" s="25">
        <f>IF(A82="","",IFERROR(SUMIFS(Int_Repayments!E$4:E$1003,Int_Repayments!C$4:C$1003,A82,Int_Repayments!D$4:D$1003,5),0))</f>
        <v>0</v>
      </c>
      <c r="U82" s="26" t="str">
        <f t="shared" si="63"/>
        <v/>
      </c>
      <c r="V82" s="24" t="str">
        <f t="shared" si="64"/>
        <v/>
      </c>
      <c r="W82" s="25">
        <f>IF(A82="","",IFERROR(SUMIFS(Int_Repayments!E$4:E$1003,Int_Repayments!C$4:C$1003,A82,Int_Repayments!D$4:D$1003,6),0))</f>
        <v>0</v>
      </c>
      <c r="X82" s="26" t="str">
        <f t="shared" si="65"/>
        <v/>
      </c>
      <c r="Y82" s="24" t="str">
        <f t="shared" si="66"/>
        <v/>
      </c>
      <c r="Z82" s="25">
        <f>IF(A82="","",IFERROR(SUMIFS(Int_Repayments!E$4:E$1003,Int_Repayments!C$4:C$1003,A82,Int_Repayments!D$4:D$1003,7),0))</f>
        <v>0</v>
      </c>
      <c r="AA82" s="26" t="str">
        <f t="shared" si="67"/>
        <v/>
      </c>
      <c r="AB82" s="24" t="str">
        <f t="shared" si="68"/>
        <v/>
      </c>
      <c r="AC82" s="25">
        <f>IF(A82="","",IFERROR(SUMIFS(Int_Repayments!E$4:E$1003,Int_Repayments!C$4:C$1003,A82,Int_Repayments!D$4:D$1003,8),0))</f>
        <v>0</v>
      </c>
      <c r="AD82" s="26" t="str">
        <f t="shared" si="69"/>
        <v/>
      </c>
      <c r="AE82" s="24" t="str">
        <f t="shared" si="70"/>
        <v/>
      </c>
      <c r="AF82" s="25">
        <f>IF(A82="","",IFERROR(SUMIFS(Int_Repayments!E$4:E$1003,Int_Repayments!C$4:C$1003,A82,Int_Repayments!D$4:D$1003,9),0))</f>
        <v>0</v>
      </c>
      <c r="AG82" s="26" t="str">
        <f t="shared" si="71"/>
        <v/>
      </c>
      <c r="AH82" s="24" t="str">
        <f t="shared" si="72"/>
        <v/>
      </c>
      <c r="AI82" s="25">
        <f>IF(A82="","",IFERROR(SUMIFS(Int_Repayments!E$4:E$1003,Int_Repayments!C$4:C$1003,A82,Int_Repayments!D$4:D$1003,10),0))</f>
        <v>0</v>
      </c>
      <c r="AJ82" s="26" t="str">
        <f t="shared" si="73"/>
        <v/>
      </c>
      <c r="AK82" s="24" t="str">
        <f t="shared" si="74"/>
        <v/>
      </c>
      <c r="AL82" s="25">
        <f>IF(A82="","",IFERROR(SUMIFS(Int_Repayments!E$4:E$1003,Int_Repayments!C$4:C$1003,A82,Int_Repayments!D$4:D$1003,11),0))</f>
        <v>0</v>
      </c>
      <c r="AM82" s="26" t="str">
        <f t="shared" si="75"/>
        <v/>
      </c>
      <c r="AN82" s="24" t="str">
        <f t="shared" si="76"/>
        <v/>
      </c>
      <c r="AO82" s="25">
        <f>IF(A82="","",IFERROR(SUMIFS(Int_Repayments!E$4:E$1003,Int_Repayments!C$4:C$1003,A82,Int_Repayments!D$4:D$1003,12),0))</f>
        <v>0</v>
      </c>
      <c r="AP82" s="26" t="str">
        <f t="shared" si="77"/>
        <v/>
      </c>
      <c r="AQ82" s="24" t="str">
        <f t="shared" si="78"/>
        <v/>
      </c>
      <c r="AR82" s="24" t="str">
        <f t="shared" si="79"/>
        <v/>
      </c>
      <c r="AS82" s="24" t="str">
        <f t="shared" si="80"/>
        <v/>
      </c>
    </row>
    <row r="83" spans="1:45" ht="15.75" customHeight="1" x14ac:dyDescent="0.25">
      <c r="A83" s="6">
        <f>IFERROR(Loans!C83,"")</f>
        <v>0</v>
      </c>
      <c r="B83" s="4">
        <f>IFERROR(Loans!B83,"")</f>
        <v>0</v>
      </c>
      <c r="C83" s="6">
        <f>IFERROR(Loans!A83,"")</f>
        <v>0</v>
      </c>
      <c r="D83" s="21">
        <f>IFERROR(Loans!E83,0)</f>
        <v>0</v>
      </c>
      <c r="E83" s="22">
        <f>IFERROR(Loans!H83,0)</f>
        <v>0</v>
      </c>
      <c r="F83" s="23">
        <f>IFERROR(Loans!I83,0)</f>
        <v>0</v>
      </c>
      <c r="G83" s="24" t="str">
        <f t="shared" si="54"/>
        <v/>
      </c>
      <c r="H83" s="25">
        <f>IF(A83="","",IFERROR(SUMIFS(Int_Repayments!E$4:E$1003,Int_Repayments!C$4:C$1003,A83,Int_Repayments!D$4:D$1003,1),0))</f>
        <v>0</v>
      </c>
      <c r="I83" s="26" t="str">
        <f t="shared" si="55"/>
        <v/>
      </c>
      <c r="J83" s="24" t="str">
        <f t="shared" si="56"/>
        <v/>
      </c>
      <c r="K83" s="25">
        <f>IF(A83="","",IFERROR(SUMIFS(Int_Repayments!E$4:E$1003,Int_Repayments!C$4:C$1003,A83,Int_Repayments!D$4:D$1003,2),0))</f>
        <v>0</v>
      </c>
      <c r="L83" s="26" t="str">
        <f t="shared" si="57"/>
        <v/>
      </c>
      <c r="M83" s="24" t="str">
        <f t="shared" si="58"/>
        <v/>
      </c>
      <c r="N83" s="25">
        <f>IF(A83="","",IFERROR(SUMIFS(Int_Repayments!E$4:E$1003,Int_Repayments!C$4:C$1003,A83,Int_Repayments!D$4:D$1003,3),0))</f>
        <v>0</v>
      </c>
      <c r="O83" s="26" t="str">
        <f t="shared" si="59"/>
        <v/>
      </c>
      <c r="P83" s="24" t="str">
        <f t="shared" si="60"/>
        <v/>
      </c>
      <c r="Q83" s="25">
        <f>IF(A83="","",IFERROR(SUMIFS(Int_Repayments!E$4:E$1003,Int_Repayments!C$4:C$1003,A83,Int_Repayments!D$4:D$1003,4),0))</f>
        <v>0</v>
      </c>
      <c r="R83" s="26" t="str">
        <f t="shared" si="61"/>
        <v/>
      </c>
      <c r="S83" s="24" t="str">
        <f t="shared" si="62"/>
        <v/>
      </c>
      <c r="T83" s="25">
        <f>IF(A83="","",IFERROR(SUMIFS(Int_Repayments!E$4:E$1003,Int_Repayments!C$4:C$1003,A83,Int_Repayments!D$4:D$1003,5),0))</f>
        <v>0</v>
      </c>
      <c r="U83" s="26" t="str">
        <f t="shared" si="63"/>
        <v/>
      </c>
      <c r="V83" s="24" t="str">
        <f t="shared" si="64"/>
        <v/>
      </c>
      <c r="W83" s="25">
        <f>IF(A83="","",IFERROR(SUMIFS(Int_Repayments!E$4:E$1003,Int_Repayments!C$4:C$1003,A83,Int_Repayments!D$4:D$1003,6),0))</f>
        <v>0</v>
      </c>
      <c r="X83" s="26" t="str">
        <f t="shared" si="65"/>
        <v/>
      </c>
      <c r="Y83" s="24" t="str">
        <f t="shared" si="66"/>
        <v/>
      </c>
      <c r="Z83" s="25">
        <f>IF(A83="","",IFERROR(SUMIFS(Int_Repayments!E$4:E$1003,Int_Repayments!C$4:C$1003,A83,Int_Repayments!D$4:D$1003,7),0))</f>
        <v>0</v>
      </c>
      <c r="AA83" s="26" t="str">
        <f t="shared" si="67"/>
        <v/>
      </c>
      <c r="AB83" s="24" t="str">
        <f t="shared" si="68"/>
        <v/>
      </c>
      <c r="AC83" s="25">
        <f>IF(A83="","",IFERROR(SUMIFS(Int_Repayments!E$4:E$1003,Int_Repayments!C$4:C$1003,A83,Int_Repayments!D$4:D$1003,8),0))</f>
        <v>0</v>
      </c>
      <c r="AD83" s="26" t="str">
        <f t="shared" si="69"/>
        <v/>
      </c>
      <c r="AE83" s="24" t="str">
        <f t="shared" si="70"/>
        <v/>
      </c>
      <c r="AF83" s="25">
        <f>IF(A83="","",IFERROR(SUMIFS(Int_Repayments!E$4:E$1003,Int_Repayments!C$4:C$1003,A83,Int_Repayments!D$4:D$1003,9),0))</f>
        <v>0</v>
      </c>
      <c r="AG83" s="26" t="str">
        <f t="shared" si="71"/>
        <v/>
      </c>
      <c r="AH83" s="24" t="str">
        <f t="shared" si="72"/>
        <v/>
      </c>
      <c r="AI83" s="25">
        <f>IF(A83="","",IFERROR(SUMIFS(Int_Repayments!E$4:E$1003,Int_Repayments!C$4:C$1003,A83,Int_Repayments!D$4:D$1003,10),0))</f>
        <v>0</v>
      </c>
      <c r="AJ83" s="26" t="str">
        <f t="shared" si="73"/>
        <v/>
      </c>
      <c r="AK83" s="24" t="str">
        <f t="shared" si="74"/>
        <v/>
      </c>
      <c r="AL83" s="25">
        <f>IF(A83="","",IFERROR(SUMIFS(Int_Repayments!E$4:E$1003,Int_Repayments!C$4:C$1003,A83,Int_Repayments!D$4:D$1003,11),0))</f>
        <v>0</v>
      </c>
      <c r="AM83" s="26" t="str">
        <f t="shared" si="75"/>
        <v/>
      </c>
      <c r="AN83" s="24" t="str">
        <f t="shared" si="76"/>
        <v/>
      </c>
      <c r="AO83" s="25">
        <f>IF(A83="","",IFERROR(SUMIFS(Int_Repayments!E$4:E$1003,Int_Repayments!C$4:C$1003,A83,Int_Repayments!D$4:D$1003,12),0))</f>
        <v>0</v>
      </c>
      <c r="AP83" s="26" t="str">
        <f t="shared" si="77"/>
        <v/>
      </c>
      <c r="AQ83" s="24" t="str">
        <f t="shared" si="78"/>
        <v/>
      </c>
      <c r="AR83" s="24" t="str">
        <f t="shared" si="79"/>
        <v/>
      </c>
      <c r="AS83" s="24" t="str">
        <f t="shared" si="80"/>
        <v/>
      </c>
    </row>
    <row r="84" spans="1:45" ht="15.75" customHeight="1" x14ac:dyDescent="0.25">
      <c r="A84" s="6">
        <f>IFERROR(Loans!C84,"")</f>
        <v>0</v>
      </c>
      <c r="B84" s="4">
        <f>IFERROR(Loans!B84,"")</f>
        <v>0</v>
      </c>
      <c r="C84" s="6">
        <f>IFERROR(Loans!A84,"")</f>
        <v>0</v>
      </c>
      <c r="D84" s="21">
        <f>IFERROR(Loans!E84,0)</f>
        <v>0</v>
      </c>
      <c r="E84" s="22">
        <f>IFERROR(Loans!H84,0)</f>
        <v>0</v>
      </c>
      <c r="F84" s="23">
        <f>IFERROR(Loans!I84,0)</f>
        <v>0</v>
      </c>
      <c r="G84" s="24" t="str">
        <f t="shared" si="54"/>
        <v/>
      </c>
      <c r="H84" s="25">
        <f>IF(A84="","",IFERROR(SUMIFS(Int_Repayments!E$4:E$1003,Int_Repayments!C$4:C$1003,A84,Int_Repayments!D$4:D$1003,1),0))</f>
        <v>0</v>
      </c>
      <c r="I84" s="26" t="str">
        <f t="shared" si="55"/>
        <v/>
      </c>
      <c r="J84" s="24" t="str">
        <f t="shared" si="56"/>
        <v/>
      </c>
      <c r="K84" s="25">
        <f>IF(A84="","",IFERROR(SUMIFS(Int_Repayments!E$4:E$1003,Int_Repayments!C$4:C$1003,A84,Int_Repayments!D$4:D$1003,2),0))</f>
        <v>0</v>
      </c>
      <c r="L84" s="26" t="str">
        <f t="shared" si="57"/>
        <v/>
      </c>
      <c r="M84" s="24" t="str">
        <f t="shared" si="58"/>
        <v/>
      </c>
      <c r="N84" s="25">
        <f>IF(A84="","",IFERROR(SUMIFS(Int_Repayments!E$4:E$1003,Int_Repayments!C$4:C$1003,A84,Int_Repayments!D$4:D$1003,3),0))</f>
        <v>0</v>
      </c>
      <c r="O84" s="26" t="str">
        <f t="shared" si="59"/>
        <v/>
      </c>
      <c r="P84" s="24" t="str">
        <f t="shared" si="60"/>
        <v/>
      </c>
      <c r="Q84" s="25">
        <f>IF(A84="","",IFERROR(SUMIFS(Int_Repayments!E$4:E$1003,Int_Repayments!C$4:C$1003,A84,Int_Repayments!D$4:D$1003,4),0))</f>
        <v>0</v>
      </c>
      <c r="R84" s="26" t="str">
        <f t="shared" si="61"/>
        <v/>
      </c>
      <c r="S84" s="24" t="str">
        <f t="shared" si="62"/>
        <v/>
      </c>
      <c r="T84" s="25">
        <f>IF(A84="","",IFERROR(SUMIFS(Int_Repayments!E$4:E$1003,Int_Repayments!C$4:C$1003,A84,Int_Repayments!D$4:D$1003,5),0))</f>
        <v>0</v>
      </c>
      <c r="U84" s="26" t="str">
        <f t="shared" si="63"/>
        <v/>
      </c>
      <c r="V84" s="24" t="str">
        <f t="shared" si="64"/>
        <v/>
      </c>
      <c r="W84" s="25">
        <f>IF(A84="","",IFERROR(SUMIFS(Int_Repayments!E$4:E$1003,Int_Repayments!C$4:C$1003,A84,Int_Repayments!D$4:D$1003,6),0))</f>
        <v>0</v>
      </c>
      <c r="X84" s="26" t="str">
        <f t="shared" si="65"/>
        <v/>
      </c>
      <c r="Y84" s="24" t="str">
        <f t="shared" si="66"/>
        <v/>
      </c>
      <c r="Z84" s="25">
        <f>IF(A84="","",IFERROR(SUMIFS(Int_Repayments!E$4:E$1003,Int_Repayments!C$4:C$1003,A84,Int_Repayments!D$4:D$1003,7),0))</f>
        <v>0</v>
      </c>
      <c r="AA84" s="26" t="str">
        <f t="shared" si="67"/>
        <v/>
      </c>
      <c r="AB84" s="24" t="str">
        <f t="shared" si="68"/>
        <v/>
      </c>
      <c r="AC84" s="25">
        <f>IF(A84="","",IFERROR(SUMIFS(Int_Repayments!E$4:E$1003,Int_Repayments!C$4:C$1003,A84,Int_Repayments!D$4:D$1003,8),0))</f>
        <v>0</v>
      </c>
      <c r="AD84" s="26" t="str">
        <f t="shared" si="69"/>
        <v/>
      </c>
      <c r="AE84" s="24" t="str">
        <f t="shared" si="70"/>
        <v/>
      </c>
      <c r="AF84" s="25">
        <f>IF(A84="","",IFERROR(SUMIFS(Int_Repayments!E$4:E$1003,Int_Repayments!C$4:C$1003,A84,Int_Repayments!D$4:D$1003,9),0))</f>
        <v>0</v>
      </c>
      <c r="AG84" s="26" t="str">
        <f t="shared" si="71"/>
        <v/>
      </c>
      <c r="AH84" s="24" t="str">
        <f t="shared" si="72"/>
        <v/>
      </c>
      <c r="AI84" s="25">
        <f>IF(A84="","",IFERROR(SUMIFS(Int_Repayments!E$4:E$1003,Int_Repayments!C$4:C$1003,A84,Int_Repayments!D$4:D$1003,10),0))</f>
        <v>0</v>
      </c>
      <c r="AJ84" s="26" t="str">
        <f t="shared" si="73"/>
        <v/>
      </c>
      <c r="AK84" s="24" t="str">
        <f t="shared" si="74"/>
        <v/>
      </c>
      <c r="AL84" s="25">
        <f>IF(A84="","",IFERROR(SUMIFS(Int_Repayments!E$4:E$1003,Int_Repayments!C$4:C$1003,A84,Int_Repayments!D$4:D$1003,11),0))</f>
        <v>0</v>
      </c>
      <c r="AM84" s="26" t="str">
        <f t="shared" si="75"/>
        <v/>
      </c>
      <c r="AN84" s="24" t="str">
        <f t="shared" si="76"/>
        <v/>
      </c>
      <c r="AO84" s="25">
        <f>IF(A84="","",IFERROR(SUMIFS(Int_Repayments!E$4:E$1003,Int_Repayments!C$4:C$1003,A84,Int_Repayments!D$4:D$1003,12),0))</f>
        <v>0</v>
      </c>
      <c r="AP84" s="26" t="str">
        <f t="shared" si="77"/>
        <v/>
      </c>
      <c r="AQ84" s="24" t="str">
        <f t="shared" si="78"/>
        <v/>
      </c>
      <c r="AR84" s="24" t="str">
        <f t="shared" si="79"/>
        <v/>
      </c>
      <c r="AS84" s="24" t="str">
        <f t="shared" si="80"/>
        <v/>
      </c>
    </row>
    <row r="85" spans="1:45" ht="15.75" customHeight="1" x14ac:dyDescent="0.25">
      <c r="A85" s="6">
        <f>IFERROR(Loans!C85,"")</f>
        <v>0</v>
      </c>
      <c r="B85" s="4">
        <f>IFERROR(Loans!B85,"")</f>
        <v>0</v>
      </c>
      <c r="C85" s="6">
        <f>IFERROR(Loans!A85,"")</f>
        <v>0</v>
      </c>
      <c r="D85" s="21">
        <f>IFERROR(Loans!E85,0)</f>
        <v>0</v>
      </c>
      <c r="E85" s="22">
        <f>IFERROR(Loans!H85,0)</f>
        <v>0</v>
      </c>
      <c r="F85" s="23">
        <f>IFERROR(Loans!I85,0)</f>
        <v>0</v>
      </c>
      <c r="G85" s="24" t="str">
        <f t="shared" si="54"/>
        <v/>
      </c>
      <c r="H85" s="25">
        <f>IF(A85="","",IFERROR(SUMIFS(Int_Repayments!E$4:E$1003,Int_Repayments!C$4:C$1003,A85,Int_Repayments!D$4:D$1003,1),0))</f>
        <v>0</v>
      </c>
      <c r="I85" s="26" t="str">
        <f t="shared" si="55"/>
        <v/>
      </c>
      <c r="J85" s="24" t="str">
        <f t="shared" si="56"/>
        <v/>
      </c>
      <c r="K85" s="25">
        <f>IF(A85="","",IFERROR(SUMIFS(Int_Repayments!E$4:E$1003,Int_Repayments!C$4:C$1003,A85,Int_Repayments!D$4:D$1003,2),0))</f>
        <v>0</v>
      </c>
      <c r="L85" s="26" t="str">
        <f t="shared" si="57"/>
        <v/>
      </c>
      <c r="M85" s="24" t="str">
        <f t="shared" si="58"/>
        <v/>
      </c>
      <c r="N85" s="25">
        <f>IF(A85="","",IFERROR(SUMIFS(Int_Repayments!E$4:E$1003,Int_Repayments!C$4:C$1003,A85,Int_Repayments!D$4:D$1003,3),0))</f>
        <v>0</v>
      </c>
      <c r="O85" s="26" t="str">
        <f t="shared" si="59"/>
        <v/>
      </c>
      <c r="P85" s="24" t="str">
        <f t="shared" si="60"/>
        <v/>
      </c>
      <c r="Q85" s="25">
        <f>IF(A85="","",IFERROR(SUMIFS(Int_Repayments!E$4:E$1003,Int_Repayments!C$4:C$1003,A85,Int_Repayments!D$4:D$1003,4),0))</f>
        <v>0</v>
      </c>
      <c r="R85" s="26" t="str">
        <f t="shared" si="61"/>
        <v/>
      </c>
      <c r="S85" s="24" t="str">
        <f t="shared" si="62"/>
        <v/>
      </c>
      <c r="T85" s="25">
        <f>IF(A85="","",IFERROR(SUMIFS(Int_Repayments!E$4:E$1003,Int_Repayments!C$4:C$1003,A85,Int_Repayments!D$4:D$1003,5),0))</f>
        <v>0</v>
      </c>
      <c r="U85" s="26" t="str">
        <f t="shared" si="63"/>
        <v/>
      </c>
      <c r="V85" s="24" t="str">
        <f t="shared" si="64"/>
        <v/>
      </c>
      <c r="W85" s="25">
        <f>IF(A85="","",IFERROR(SUMIFS(Int_Repayments!E$4:E$1003,Int_Repayments!C$4:C$1003,A85,Int_Repayments!D$4:D$1003,6),0))</f>
        <v>0</v>
      </c>
      <c r="X85" s="26" t="str">
        <f t="shared" si="65"/>
        <v/>
      </c>
      <c r="Y85" s="24" t="str">
        <f t="shared" si="66"/>
        <v/>
      </c>
      <c r="Z85" s="25">
        <f>IF(A85="","",IFERROR(SUMIFS(Int_Repayments!E$4:E$1003,Int_Repayments!C$4:C$1003,A85,Int_Repayments!D$4:D$1003,7),0))</f>
        <v>0</v>
      </c>
      <c r="AA85" s="26" t="str">
        <f t="shared" si="67"/>
        <v/>
      </c>
      <c r="AB85" s="24" t="str">
        <f t="shared" si="68"/>
        <v/>
      </c>
      <c r="AC85" s="25">
        <f>IF(A85="","",IFERROR(SUMIFS(Int_Repayments!E$4:E$1003,Int_Repayments!C$4:C$1003,A85,Int_Repayments!D$4:D$1003,8),0))</f>
        <v>0</v>
      </c>
      <c r="AD85" s="26" t="str">
        <f t="shared" si="69"/>
        <v/>
      </c>
      <c r="AE85" s="24" t="str">
        <f t="shared" si="70"/>
        <v/>
      </c>
      <c r="AF85" s="25">
        <f>IF(A85="","",IFERROR(SUMIFS(Int_Repayments!E$4:E$1003,Int_Repayments!C$4:C$1003,A85,Int_Repayments!D$4:D$1003,9),0))</f>
        <v>0</v>
      </c>
      <c r="AG85" s="26" t="str">
        <f t="shared" si="71"/>
        <v/>
      </c>
      <c r="AH85" s="24" t="str">
        <f t="shared" si="72"/>
        <v/>
      </c>
      <c r="AI85" s="25">
        <f>IF(A85="","",IFERROR(SUMIFS(Int_Repayments!E$4:E$1003,Int_Repayments!C$4:C$1003,A85,Int_Repayments!D$4:D$1003,10),0))</f>
        <v>0</v>
      </c>
      <c r="AJ85" s="26" t="str">
        <f t="shared" si="73"/>
        <v/>
      </c>
      <c r="AK85" s="24" t="str">
        <f t="shared" si="74"/>
        <v/>
      </c>
      <c r="AL85" s="25">
        <f>IF(A85="","",IFERROR(SUMIFS(Int_Repayments!E$4:E$1003,Int_Repayments!C$4:C$1003,A85,Int_Repayments!D$4:D$1003,11),0))</f>
        <v>0</v>
      </c>
      <c r="AM85" s="26" t="str">
        <f t="shared" si="75"/>
        <v/>
      </c>
      <c r="AN85" s="24" t="str">
        <f t="shared" si="76"/>
        <v/>
      </c>
      <c r="AO85" s="25">
        <f>IF(A85="","",IFERROR(SUMIFS(Int_Repayments!E$4:E$1003,Int_Repayments!C$4:C$1003,A85,Int_Repayments!D$4:D$1003,12),0))</f>
        <v>0</v>
      </c>
      <c r="AP85" s="26" t="str">
        <f t="shared" si="77"/>
        <v/>
      </c>
      <c r="AQ85" s="24" t="str">
        <f t="shared" si="78"/>
        <v/>
      </c>
      <c r="AR85" s="24" t="str">
        <f t="shared" si="79"/>
        <v/>
      </c>
      <c r="AS85" s="24" t="str">
        <f t="shared" si="80"/>
        <v/>
      </c>
    </row>
    <row r="86" spans="1:45" ht="15.75" customHeight="1" x14ac:dyDescent="0.25">
      <c r="A86" s="6">
        <f>IFERROR(Loans!C86,"")</f>
        <v>0</v>
      </c>
      <c r="B86" s="4">
        <f>IFERROR(Loans!B86,"")</f>
        <v>0</v>
      </c>
      <c r="C86" s="6">
        <f>IFERROR(Loans!A86,"")</f>
        <v>0</v>
      </c>
      <c r="D86" s="21">
        <f>IFERROR(Loans!E86,0)</f>
        <v>0</v>
      </c>
      <c r="E86" s="22">
        <f>IFERROR(Loans!H86,0)</f>
        <v>0</v>
      </c>
      <c r="F86" s="23">
        <f>IFERROR(Loans!I86,0)</f>
        <v>0</v>
      </c>
      <c r="G86" s="24" t="str">
        <f t="shared" si="54"/>
        <v/>
      </c>
      <c r="H86" s="25">
        <f>IF(A86="","",IFERROR(SUMIFS(Int_Repayments!E$4:E$1003,Int_Repayments!C$4:C$1003,A86,Int_Repayments!D$4:D$1003,1),0))</f>
        <v>0</v>
      </c>
      <c r="I86" s="26" t="str">
        <f t="shared" si="55"/>
        <v/>
      </c>
      <c r="J86" s="24" t="str">
        <f t="shared" si="56"/>
        <v/>
      </c>
      <c r="K86" s="25">
        <f>IF(A86="","",IFERROR(SUMIFS(Int_Repayments!E$4:E$1003,Int_Repayments!C$4:C$1003,A86,Int_Repayments!D$4:D$1003,2),0))</f>
        <v>0</v>
      </c>
      <c r="L86" s="26" t="str">
        <f t="shared" si="57"/>
        <v/>
      </c>
      <c r="M86" s="24" t="str">
        <f t="shared" si="58"/>
        <v/>
      </c>
      <c r="N86" s="25">
        <f>IF(A86="","",IFERROR(SUMIFS(Int_Repayments!E$4:E$1003,Int_Repayments!C$4:C$1003,A86,Int_Repayments!D$4:D$1003,3),0))</f>
        <v>0</v>
      </c>
      <c r="O86" s="26" t="str">
        <f t="shared" si="59"/>
        <v/>
      </c>
      <c r="P86" s="24" t="str">
        <f t="shared" si="60"/>
        <v/>
      </c>
      <c r="Q86" s="25">
        <f>IF(A86="","",IFERROR(SUMIFS(Int_Repayments!E$4:E$1003,Int_Repayments!C$4:C$1003,A86,Int_Repayments!D$4:D$1003,4),0))</f>
        <v>0</v>
      </c>
      <c r="R86" s="26" t="str">
        <f t="shared" si="61"/>
        <v/>
      </c>
      <c r="S86" s="24" t="str">
        <f t="shared" si="62"/>
        <v/>
      </c>
      <c r="T86" s="25">
        <f>IF(A86="","",IFERROR(SUMIFS(Int_Repayments!E$4:E$1003,Int_Repayments!C$4:C$1003,A86,Int_Repayments!D$4:D$1003,5),0))</f>
        <v>0</v>
      </c>
      <c r="U86" s="26" t="str">
        <f t="shared" si="63"/>
        <v/>
      </c>
      <c r="V86" s="24" t="str">
        <f t="shared" si="64"/>
        <v/>
      </c>
      <c r="W86" s="25">
        <f>IF(A86="","",IFERROR(SUMIFS(Int_Repayments!E$4:E$1003,Int_Repayments!C$4:C$1003,A86,Int_Repayments!D$4:D$1003,6),0))</f>
        <v>0</v>
      </c>
      <c r="X86" s="26" t="str">
        <f t="shared" si="65"/>
        <v/>
      </c>
      <c r="Y86" s="24" t="str">
        <f t="shared" si="66"/>
        <v/>
      </c>
      <c r="Z86" s="25">
        <f>IF(A86="","",IFERROR(SUMIFS(Int_Repayments!E$4:E$1003,Int_Repayments!C$4:C$1003,A86,Int_Repayments!D$4:D$1003,7),0))</f>
        <v>0</v>
      </c>
      <c r="AA86" s="26" t="str">
        <f t="shared" si="67"/>
        <v/>
      </c>
      <c r="AB86" s="24" t="str">
        <f t="shared" si="68"/>
        <v/>
      </c>
      <c r="AC86" s="25">
        <f>IF(A86="","",IFERROR(SUMIFS(Int_Repayments!E$4:E$1003,Int_Repayments!C$4:C$1003,A86,Int_Repayments!D$4:D$1003,8),0))</f>
        <v>0</v>
      </c>
      <c r="AD86" s="26" t="str">
        <f t="shared" si="69"/>
        <v/>
      </c>
      <c r="AE86" s="24" t="str">
        <f t="shared" si="70"/>
        <v/>
      </c>
      <c r="AF86" s="25">
        <f>IF(A86="","",IFERROR(SUMIFS(Int_Repayments!E$4:E$1003,Int_Repayments!C$4:C$1003,A86,Int_Repayments!D$4:D$1003,9),0))</f>
        <v>0</v>
      </c>
      <c r="AG86" s="26" t="str">
        <f t="shared" si="71"/>
        <v/>
      </c>
      <c r="AH86" s="24" t="str">
        <f t="shared" si="72"/>
        <v/>
      </c>
      <c r="AI86" s="25">
        <f>IF(A86="","",IFERROR(SUMIFS(Int_Repayments!E$4:E$1003,Int_Repayments!C$4:C$1003,A86,Int_Repayments!D$4:D$1003,10),0))</f>
        <v>0</v>
      </c>
      <c r="AJ86" s="26" t="str">
        <f t="shared" si="73"/>
        <v/>
      </c>
      <c r="AK86" s="24" t="str">
        <f t="shared" si="74"/>
        <v/>
      </c>
      <c r="AL86" s="25">
        <f>IF(A86="","",IFERROR(SUMIFS(Int_Repayments!E$4:E$1003,Int_Repayments!C$4:C$1003,A86,Int_Repayments!D$4:D$1003,11),0))</f>
        <v>0</v>
      </c>
      <c r="AM86" s="26" t="str">
        <f t="shared" si="75"/>
        <v/>
      </c>
      <c r="AN86" s="24" t="str">
        <f t="shared" si="76"/>
        <v/>
      </c>
      <c r="AO86" s="25">
        <f>IF(A86="","",IFERROR(SUMIFS(Int_Repayments!E$4:E$1003,Int_Repayments!C$4:C$1003,A86,Int_Repayments!D$4:D$1003,12),0))</f>
        <v>0</v>
      </c>
      <c r="AP86" s="26" t="str">
        <f t="shared" si="77"/>
        <v/>
      </c>
      <c r="AQ86" s="24" t="str">
        <f t="shared" si="78"/>
        <v/>
      </c>
      <c r="AR86" s="24" t="str">
        <f t="shared" si="79"/>
        <v/>
      </c>
      <c r="AS86" s="24" t="str">
        <f t="shared" si="80"/>
        <v/>
      </c>
    </row>
    <row r="87" spans="1:45" ht="15.75" customHeight="1" x14ac:dyDescent="0.25">
      <c r="A87" s="6">
        <f>IFERROR(Loans!C87,"")</f>
        <v>0</v>
      </c>
      <c r="B87" s="4">
        <f>IFERROR(Loans!B87,"")</f>
        <v>0</v>
      </c>
      <c r="C87" s="6">
        <f>IFERROR(Loans!A87,"")</f>
        <v>0</v>
      </c>
      <c r="D87" s="21">
        <f>IFERROR(Loans!E87,0)</f>
        <v>0</v>
      </c>
      <c r="E87" s="22">
        <f>IFERROR(Loans!H87,0)</f>
        <v>0</v>
      </c>
      <c r="F87" s="23">
        <f>IFERROR(Loans!I87,0)</f>
        <v>0</v>
      </c>
      <c r="G87" s="24" t="str">
        <f t="shared" si="54"/>
        <v/>
      </c>
      <c r="H87" s="25">
        <f>IF(A87="","",IFERROR(SUMIFS(Int_Repayments!E$4:E$1003,Int_Repayments!C$4:C$1003,A87,Int_Repayments!D$4:D$1003,1),0))</f>
        <v>0</v>
      </c>
      <c r="I87" s="26" t="str">
        <f t="shared" si="55"/>
        <v/>
      </c>
      <c r="J87" s="24" t="str">
        <f t="shared" si="56"/>
        <v/>
      </c>
      <c r="K87" s="25">
        <f>IF(A87="","",IFERROR(SUMIFS(Int_Repayments!E$4:E$1003,Int_Repayments!C$4:C$1003,A87,Int_Repayments!D$4:D$1003,2),0))</f>
        <v>0</v>
      </c>
      <c r="L87" s="26" t="str">
        <f t="shared" si="57"/>
        <v/>
      </c>
      <c r="M87" s="24" t="str">
        <f t="shared" si="58"/>
        <v/>
      </c>
      <c r="N87" s="25">
        <f>IF(A87="","",IFERROR(SUMIFS(Int_Repayments!E$4:E$1003,Int_Repayments!C$4:C$1003,A87,Int_Repayments!D$4:D$1003,3),0))</f>
        <v>0</v>
      </c>
      <c r="O87" s="26" t="str">
        <f t="shared" si="59"/>
        <v/>
      </c>
      <c r="P87" s="24" t="str">
        <f t="shared" si="60"/>
        <v/>
      </c>
      <c r="Q87" s="25">
        <f>IF(A87="","",IFERROR(SUMIFS(Int_Repayments!E$4:E$1003,Int_Repayments!C$4:C$1003,A87,Int_Repayments!D$4:D$1003,4),0))</f>
        <v>0</v>
      </c>
      <c r="R87" s="26" t="str">
        <f t="shared" si="61"/>
        <v/>
      </c>
      <c r="S87" s="24" t="str">
        <f t="shared" si="62"/>
        <v/>
      </c>
      <c r="T87" s="25">
        <f>IF(A87="","",IFERROR(SUMIFS(Int_Repayments!E$4:E$1003,Int_Repayments!C$4:C$1003,A87,Int_Repayments!D$4:D$1003,5),0))</f>
        <v>0</v>
      </c>
      <c r="U87" s="26" t="str">
        <f t="shared" si="63"/>
        <v/>
      </c>
      <c r="V87" s="24" t="str">
        <f t="shared" si="64"/>
        <v/>
      </c>
      <c r="W87" s="25">
        <f>IF(A87="","",IFERROR(SUMIFS(Int_Repayments!E$4:E$1003,Int_Repayments!C$4:C$1003,A87,Int_Repayments!D$4:D$1003,6),0))</f>
        <v>0</v>
      </c>
      <c r="X87" s="26" t="str">
        <f t="shared" si="65"/>
        <v/>
      </c>
      <c r="Y87" s="24" t="str">
        <f t="shared" si="66"/>
        <v/>
      </c>
      <c r="Z87" s="25">
        <f>IF(A87="","",IFERROR(SUMIFS(Int_Repayments!E$4:E$1003,Int_Repayments!C$4:C$1003,A87,Int_Repayments!D$4:D$1003,7),0))</f>
        <v>0</v>
      </c>
      <c r="AA87" s="26" t="str">
        <f t="shared" si="67"/>
        <v/>
      </c>
      <c r="AB87" s="24" t="str">
        <f t="shared" si="68"/>
        <v/>
      </c>
      <c r="AC87" s="25">
        <f>IF(A87="","",IFERROR(SUMIFS(Int_Repayments!E$4:E$1003,Int_Repayments!C$4:C$1003,A87,Int_Repayments!D$4:D$1003,8),0))</f>
        <v>0</v>
      </c>
      <c r="AD87" s="26" t="str">
        <f t="shared" si="69"/>
        <v/>
      </c>
      <c r="AE87" s="24" t="str">
        <f t="shared" si="70"/>
        <v/>
      </c>
      <c r="AF87" s="25">
        <f>IF(A87="","",IFERROR(SUMIFS(Int_Repayments!E$4:E$1003,Int_Repayments!C$4:C$1003,A87,Int_Repayments!D$4:D$1003,9),0))</f>
        <v>0</v>
      </c>
      <c r="AG87" s="26" t="str">
        <f t="shared" si="71"/>
        <v/>
      </c>
      <c r="AH87" s="24" t="str">
        <f t="shared" si="72"/>
        <v/>
      </c>
      <c r="AI87" s="25">
        <f>IF(A87="","",IFERROR(SUMIFS(Int_Repayments!E$4:E$1003,Int_Repayments!C$4:C$1003,A87,Int_Repayments!D$4:D$1003,10),0))</f>
        <v>0</v>
      </c>
      <c r="AJ87" s="26" t="str">
        <f t="shared" si="73"/>
        <v/>
      </c>
      <c r="AK87" s="24" t="str">
        <f t="shared" si="74"/>
        <v/>
      </c>
      <c r="AL87" s="25">
        <f>IF(A87="","",IFERROR(SUMIFS(Int_Repayments!E$4:E$1003,Int_Repayments!C$4:C$1003,A87,Int_Repayments!D$4:D$1003,11),0))</f>
        <v>0</v>
      </c>
      <c r="AM87" s="26" t="str">
        <f t="shared" si="75"/>
        <v/>
      </c>
      <c r="AN87" s="24" t="str">
        <f t="shared" si="76"/>
        <v/>
      </c>
      <c r="AO87" s="25">
        <f>IF(A87="","",IFERROR(SUMIFS(Int_Repayments!E$4:E$1003,Int_Repayments!C$4:C$1003,A87,Int_Repayments!D$4:D$1003,12),0))</f>
        <v>0</v>
      </c>
      <c r="AP87" s="26" t="str">
        <f t="shared" si="77"/>
        <v/>
      </c>
      <c r="AQ87" s="24" t="str">
        <f t="shared" si="78"/>
        <v/>
      </c>
      <c r="AR87" s="24" t="str">
        <f t="shared" si="79"/>
        <v/>
      </c>
      <c r="AS87" s="24" t="str">
        <f t="shared" si="80"/>
        <v/>
      </c>
    </row>
    <row r="88" spans="1:45" ht="15.75" customHeight="1" x14ac:dyDescent="0.25">
      <c r="A88" s="6">
        <f>IFERROR(Loans!C88,"")</f>
        <v>0</v>
      </c>
      <c r="B88" s="4">
        <f>IFERROR(Loans!B88,"")</f>
        <v>0</v>
      </c>
      <c r="C88" s="6">
        <f>IFERROR(Loans!A88,"")</f>
        <v>0</v>
      </c>
      <c r="D88" s="21">
        <f>IFERROR(Loans!E88,0)</f>
        <v>0</v>
      </c>
      <c r="E88" s="22">
        <f>IFERROR(Loans!H88,0)</f>
        <v>0</v>
      </c>
      <c r="F88" s="23">
        <f>IFERROR(Loans!I88,0)</f>
        <v>0</v>
      </c>
      <c r="G88" s="24" t="str">
        <f t="shared" si="54"/>
        <v/>
      </c>
      <c r="H88" s="25">
        <f>IF(A88="","",IFERROR(SUMIFS(Int_Repayments!E$4:E$1003,Int_Repayments!C$4:C$1003,A88,Int_Repayments!D$4:D$1003,1),0))</f>
        <v>0</v>
      </c>
      <c r="I88" s="26" t="str">
        <f t="shared" si="55"/>
        <v/>
      </c>
      <c r="J88" s="24" t="str">
        <f t="shared" si="56"/>
        <v/>
      </c>
      <c r="K88" s="25">
        <f>IF(A88="","",IFERROR(SUMIFS(Int_Repayments!E$4:E$1003,Int_Repayments!C$4:C$1003,A88,Int_Repayments!D$4:D$1003,2),0))</f>
        <v>0</v>
      </c>
      <c r="L88" s="26" t="str">
        <f t="shared" si="57"/>
        <v/>
      </c>
      <c r="M88" s="24" t="str">
        <f t="shared" si="58"/>
        <v/>
      </c>
      <c r="N88" s="25">
        <f>IF(A88="","",IFERROR(SUMIFS(Int_Repayments!E$4:E$1003,Int_Repayments!C$4:C$1003,A88,Int_Repayments!D$4:D$1003,3),0))</f>
        <v>0</v>
      </c>
      <c r="O88" s="26" t="str">
        <f t="shared" si="59"/>
        <v/>
      </c>
      <c r="P88" s="24" t="str">
        <f t="shared" si="60"/>
        <v/>
      </c>
      <c r="Q88" s="25">
        <f>IF(A88="","",IFERROR(SUMIFS(Int_Repayments!E$4:E$1003,Int_Repayments!C$4:C$1003,A88,Int_Repayments!D$4:D$1003,4),0))</f>
        <v>0</v>
      </c>
      <c r="R88" s="26" t="str">
        <f t="shared" si="61"/>
        <v/>
      </c>
      <c r="S88" s="24" t="str">
        <f t="shared" si="62"/>
        <v/>
      </c>
      <c r="T88" s="25">
        <f>IF(A88="","",IFERROR(SUMIFS(Int_Repayments!E$4:E$1003,Int_Repayments!C$4:C$1003,A88,Int_Repayments!D$4:D$1003,5),0))</f>
        <v>0</v>
      </c>
      <c r="U88" s="26" t="str">
        <f t="shared" si="63"/>
        <v/>
      </c>
      <c r="V88" s="24" t="str">
        <f t="shared" si="64"/>
        <v/>
      </c>
      <c r="W88" s="25">
        <f>IF(A88="","",IFERROR(SUMIFS(Int_Repayments!E$4:E$1003,Int_Repayments!C$4:C$1003,A88,Int_Repayments!D$4:D$1003,6),0))</f>
        <v>0</v>
      </c>
      <c r="X88" s="26" t="str">
        <f t="shared" si="65"/>
        <v/>
      </c>
      <c r="Y88" s="24" t="str">
        <f t="shared" si="66"/>
        <v/>
      </c>
      <c r="Z88" s="25">
        <f>IF(A88="","",IFERROR(SUMIFS(Int_Repayments!E$4:E$1003,Int_Repayments!C$4:C$1003,A88,Int_Repayments!D$4:D$1003,7),0))</f>
        <v>0</v>
      </c>
      <c r="AA88" s="26" t="str">
        <f t="shared" si="67"/>
        <v/>
      </c>
      <c r="AB88" s="24" t="str">
        <f t="shared" si="68"/>
        <v/>
      </c>
      <c r="AC88" s="25">
        <f>IF(A88="","",IFERROR(SUMIFS(Int_Repayments!E$4:E$1003,Int_Repayments!C$4:C$1003,A88,Int_Repayments!D$4:D$1003,8),0))</f>
        <v>0</v>
      </c>
      <c r="AD88" s="26" t="str">
        <f t="shared" si="69"/>
        <v/>
      </c>
      <c r="AE88" s="24" t="str">
        <f t="shared" si="70"/>
        <v/>
      </c>
      <c r="AF88" s="25">
        <f>IF(A88="","",IFERROR(SUMIFS(Int_Repayments!E$4:E$1003,Int_Repayments!C$4:C$1003,A88,Int_Repayments!D$4:D$1003,9),0))</f>
        <v>0</v>
      </c>
      <c r="AG88" s="26" t="str">
        <f t="shared" si="71"/>
        <v/>
      </c>
      <c r="AH88" s="24" t="str">
        <f t="shared" si="72"/>
        <v/>
      </c>
      <c r="AI88" s="25">
        <f>IF(A88="","",IFERROR(SUMIFS(Int_Repayments!E$4:E$1003,Int_Repayments!C$4:C$1003,A88,Int_Repayments!D$4:D$1003,10),0))</f>
        <v>0</v>
      </c>
      <c r="AJ88" s="26" t="str">
        <f t="shared" si="73"/>
        <v/>
      </c>
      <c r="AK88" s="24" t="str">
        <f t="shared" si="74"/>
        <v/>
      </c>
      <c r="AL88" s="25">
        <f>IF(A88="","",IFERROR(SUMIFS(Int_Repayments!E$4:E$1003,Int_Repayments!C$4:C$1003,A88,Int_Repayments!D$4:D$1003,11),0))</f>
        <v>0</v>
      </c>
      <c r="AM88" s="26" t="str">
        <f t="shared" si="75"/>
        <v/>
      </c>
      <c r="AN88" s="24" t="str">
        <f t="shared" si="76"/>
        <v/>
      </c>
      <c r="AO88" s="25">
        <f>IF(A88="","",IFERROR(SUMIFS(Int_Repayments!E$4:E$1003,Int_Repayments!C$4:C$1003,A88,Int_Repayments!D$4:D$1003,12),0))</f>
        <v>0</v>
      </c>
      <c r="AP88" s="26" t="str">
        <f t="shared" si="77"/>
        <v/>
      </c>
      <c r="AQ88" s="24" t="str">
        <f t="shared" si="78"/>
        <v/>
      </c>
      <c r="AR88" s="24" t="str">
        <f t="shared" si="79"/>
        <v/>
      </c>
      <c r="AS88" s="24" t="str">
        <f t="shared" si="80"/>
        <v/>
      </c>
    </row>
    <row r="89" spans="1:45" ht="15.75" customHeight="1" x14ac:dyDescent="0.25">
      <c r="A89" s="6">
        <f>IFERROR(Loans!C89,"")</f>
        <v>0</v>
      </c>
      <c r="B89" s="4">
        <f>IFERROR(Loans!B89,"")</f>
        <v>0</v>
      </c>
      <c r="C89" s="6">
        <f>IFERROR(Loans!A89,"")</f>
        <v>0</v>
      </c>
      <c r="D89" s="21">
        <f>IFERROR(Loans!E89,0)</f>
        <v>0</v>
      </c>
      <c r="E89" s="22">
        <f>IFERROR(Loans!H89,0)</f>
        <v>0</v>
      </c>
      <c r="F89" s="23">
        <f>IFERROR(Loans!I89,0)</f>
        <v>0</v>
      </c>
      <c r="G89" s="24" t="str">
        <f t="shared" si="54"/>
        <v/>
      </c>
      <c r="H89" s="25">
        <f>IF(A89="","",IFERROR(SUMIFS(Int_Repayments!E$4:E$1003,Int_Repayments!C$4:C$1003,A89,Int_Repayments!D$4:D$1003,1),0))</f>
        <v>0</v>
      </c>
      <c r="I89" s="26" t="str">
        <f t="shared" si="55"/>
        <v/>
      </c>
      <c r="J89" s="24" t="str">
        <f t="shared" si="56"/>
        <v/>
      </c>
      <c r="K89" s="25">
        <f>IF(A89="","",IFERROR(SUMIFS(Int_Repayments!E$4:E$1003,Int_Repayments!C$4:C$1003,A89,Int_Repayments!D$4:D$1003,2),0))</f>
        <v>0</v>
      </c>
      <c r="L89" s="26" t="str">
        <f t="shared" si="57"/>
        <v/>
      </c>
      <c r="M89" s="24" t="str">
        <f t="shared" si="58"/>
        <v/>
      </c>
      <c r="N89" s="25">
        <f>IF(A89="","",IFERROR(SUMIFS(Int_Repayments!E$4:E$1003,Int_Repayments!C$4:C$1003,A89,Int_Repayments!D$4:D$1003,3),0))</f>
        <v>0</v>
      </c>
      <c r="O89" s="26" t="str">
        <f t="shared" si="59"/>
        <v/>
      </c>
      <c r="P89" s="24" t="str">
        <f t="shared" si="60"/>
        <v/>
      </c>
      <c r="Q89" s="25">
        <f>IF(A89="","",IFERROR(SUMIFS(Int_Repayments!E$4:E$1003,Int_Repayments!C$4:C$1003,A89,Int_Repayments!D$4:D$1003,4),0))</f>
        <v>0</v>
      </c>
      <c r="R89" s="26" t="str">
        <f t="shared" si="61"/>
        <v/>
      </c>
      <c r="S89" s="24" t="str">
        <f t="shared" si="62"/>
        <v/>
      </c>
      <c r="T89" s="25">
        <f>IF(A89="","",IFERROR(SUMIFS(Int_Repayments!E$4:E$1003,Int_Repayments!C$4:C$1003,A89,Int_Repayments!D$4:D$1003,5),0))</f>
        <v>0</v>
      </c>
      <c r="U89" s="26" t="str">
        <f t="shared" si="63"/>
        <v/>
      </c>
      <c r="V89" s="24" t="str">
        <f t="shared" si="64"/>
        <v/>
      </c>
      <c r="W89" s="25">
        <f>IF(A89="","",IFERROR(SUMIFS(Int_Repayments!E$4:E$1003,Int_Repayments!C$4:C$1003,A89,Int_Repayments!D$4:D$1003,6),0))</f>
        <v>0</v>
      </c>
      <c r="X89" s="26" t="str">
        <f t="shared" si="65"/>
        <v/>
      </c>
      <c r="Y89" s="24" t="str">
        <f t="shared" si="66"/>
        <v/>
      </c>
      <c r="Z89" s="25">
        <f>IF(A89="","",IFERROR(SUMIFS(Int_Repayments!E$4:E$1003,Int_Repayments!C$4:C$1003,A89,Int_Repayments!D$4:D$1003,7),0))</f>
        <v>0</v>
      </c>
      <c r="AA89" s="26" t="str">
        <f t="shared" si="67"/>
        <v/>
      </c>
      <c r="AB89" s="24" t="str">
        <f t="shared" si="68"/>
        <v/>
      </c>
      <c r="AC89" s="25">
        <f>IF(A89="","",IFERROR(SUMIFS(Int_Repayments!E$4:E$1003,Int_Repayments!C$4:C$1003,A89,Int_Repayments!D$4:D$1003,8),0))</f>
        <v>0</v>
      </c>
      <c r="AD89" s="26" t="str">
        <f t="shared" si="69"/>
        <v/>
      </c>
      <c r="AE89" s="24" t="str">
        <f t="shared" si="70"/>
        <v/>
      </c>
      <c r="AF89" s="25">
        <f>IF(A89="","",IFERROR(SUMIFS(Int_Repayments!E$4:E$1003,Int_Repayments!C$4:C$1003,A89,Int_Repayments!D$4:D$1003,9),0))</f>
        <v>0</v>
      </c>
      <c r="AG89" s="26" t="str">
        <f t="shared" si="71"/>
        <v/>
      </c>
      <c r="AH89" s="24" t="str">
        <f t="shared" si="72"/>
        <v/>
      </c>
      <c r="AI89" s="25">
        <f>IF(A89="","",IFERROR(SUMIFS(Int_Repayments!E$4:E$1003,Int_Repayments!C$4:C$1003,A89,Int_Repayments!D$4:D$1003,10),0))</f>
        <v>0</v>
      </c>
      <c r="AJ89" s="26" t="str">
        <f t="shared" si="73"/>
        <v/>
      </c>
      <c r="AK89" s="24" t="str">
        <f t="shared" si="74"/>
        <v/>
      </c>
      <c r="AL89" s="25">
        <f>IF(A89="","",IFERROR(SUMIFS(Int_Repayments!E$4:E$1003,Int_Repayments!C$4:C$1003,A89,Int_Repayments!D$4:D$1003,11),0))</f>
        <v>0</v>
      </c>
      <c r="AM89" s="26" t="str">
        <f t="shared" si="75"/>
        <v/>
      </c>
      <c r="AN89" s="24" t="str">
        <f t="shared" si="76"/>
        <v/>
      </c>
      <c r="AO89" s="25">
        <f>IF(A89="","",IFERROR(SUMIFS(Int_Repayments!E$4:E$1003,Int_Repayments!C$4:C$1003,A89,Int_Repayments!D$4:D$1003,12),0))</f>
        <v>0</v>
      </c>
      <c r="AP89" s="26" t="str">
        <f t="shared" si="77"/>
        <v/>
      </c>
      <c r="AQ89" s="24" t="str">
        <f t="shared" si="78"/>
        <v/>
      </c>
      <c r="AR89" s="24" t="str">
        <f t="shared" si="79"/>
        <v/>
      </c>
      <c r="AS89" s="24" t="str">
        <f t="shared" si="80"/>
        <v/>
      </c>
    </row>
    <row r="90" spans="1:45" ht="15.75" customHeight="1" x14ac:dyDescent="0.25">
      <c r="A90" s="6">
        <f>IFERROR(Loans!C90,"")</f>
        <v>0</v>
      </c>
      <c r="B90" s="4">
        <f>IFERROR(Loans!B90,"")</f>
        <v>0</v>
      </c>
      <c r="C90" s="6">
        <f>IFERROR(Loans!A90,"")</f>
        <v>0</v>
      </c>
      <c r="D90" s="21">
        <f>IFERROR(Loans!E90,0)</f>
        <v>0</v>
      </c>
      <c r="E90" s="22">
        <f>IFERROR(Loans!H90,0)</f>
        <v>0</v>
      </c>
      <c r="F90" s="23">
        <f>IFERROR(Loans!I90,0)</f>
        <v>0</v>
      </c>
      <c r="G90" s="24" t="str">
        <f t="shared" si="54"/>
        <v/>
      </c>
      <c r="H90" s="25">
        <f>IF(A90="","",IFERROR(SUMIFS(Int_Repayments!E$4:E$1003,Int_Repayments!C$4:C$1003,A90,Int_Repayments!D$4:D$1003,1),0))</f>
        <v>0</v>
      </c>
      <c r="I90" s="26" t="str">
        <f t="shared" si="55"/>
        <v/>
      </c>
      <c r="J90" s="24" t="str">
        <f t="shared" si="56"/>
        <v/>
      </c>
      <c r="K90" s="25">
        <f>IF(A90="","",IFERROR(SUMIFS(Int_Repayments!E$4:E$1003,Int_Repayments!C$4:C$1003,A90,Int_Repayments!D$4:D$1003,2),0))</f>
        <v>0</v>
      </c>
      <c r="L90" s="26" t="str">
        <f t="shared" si="57"/>
        <v/>
      </c>
      <c r="M90" s="24" t="str">
        <f t="shared" si="58"/>
        <v/>
      </c>
      <c r="N90" s="25">
        <f>IF(A90="","",IFERROR(SUMIFS(Int_Repayments!E$4:E$1003,Int_Repayments!C$4:C$1003,A90,Int_Repayments!D$4:D$1003,3),0))</f>
        <v>0</v>
      </c>
      <c r="O90" s="26" t="str">
        <f t="shared" si="59"/>
        <v/>
      </c>
      <c r="P90" s="24" t="str">
        <f t="shared" si="60"/>
        <v/>
      </c>
      <c r="Q90" s="25">
        <f>IF(A90="","",IFERROR(SUMIFS(Int_Repayments!E$4:E$1003,Int_Repayments!C$4:C$1003,A90,Int_Repayments!D$4:D$1003,4),0))</f>
        <v>0</v>
      </c>
      <c r="R90" s="26" t="str">
        <f t="shared" si="61"/>
        <v/>
      </c>
      <c r="S90" s="24" t="str">
        <f t="shared" si="62"/>
        <v/>
      </c>
      <c r="T90" s="25">
        <f>IF(A90="","",IFERROR(SUMIFS(Int_Repayments!E$4:E$1003,Int_Repayments!C$4:C$1003,A90,Int_Repayments!D$4:D$1003,5),0))</f>
        <v>0</v>
      </c>
      <c r="U90" s="26" t="str">
        <f t="shared" si="63"/>
        <v/>
      </c>
      <c r="V90" s="24" t="str">
        <f t="shared" si="64"/>
        <v/>
      </c>
      <c r="W90" s="25">
        <f>IF(A90="","",IFERROR(SUMIFS(Int_Repayments!E$4:E$1003,Int_Repayments!C$4:C$1003,A90,Int_Repayments!D$4:D$1003,6),0))</f>
        <v>0</v>
      </c>
      <c r="X90" s="26" t="str">
        <f t="shared" si="65"/>
        <v/>
      </c>
      <c r="Y90" s="24" t="str">
        <f t="shared" si="66"/>
        <v/>
      </c>
      <c r="Z90" s="25">
        <f>IF(A90="","",IFERROR(SUMIFS(Int_Repayments!E$4:E$1003,Int_Repayments!C$4:C$1003,A90,Int_Repayments!D$4:D$1003,7),0))</f>
        <v>0</v>
      </c>
      <c r="AA90" s="26" t="str">
        <f t="shared" si="67"/>
        <v/>
      </c>
      <c r="AB90" s="24" t="str">
        <f t="shared" si="68"/>
        <v/>
      </c>
      <c r="AC90" s="25">
        <f>IF(A90="","",IFERROR(SUMIFS(Int_Repayments!E$4:E$1003,Int_Repayments!C$4:C$1003,A90,Int_Repayments!D$4:D$1003,8),0))</f>
        <v>0</v>
      </c>
      <c r="AD90" s="26" t="str">
        <f t="shared" si="69"/>
        <v/>
      </c>
      <c r="AE90" s="24" t="str">
        <f t="shared" si="70"/>
        <v/>
      </c>
      <c r="AF90" s="25">
        <f>IF(A90="","",IFERROR(SUMIFS(Int_Repayments!E$4:E$1003,Int_Repayments!C$4:C$1003,A90,Int_Repayments!D$4:D$1003,9),0))</f>
        <v>0</v>
      </c>
      <c r="AG90" s="26" t="str">
        <f t="shared" si="71"/>
        <v/>
      </c>
      <c r="AH90" s="24" t="str">
        <f t="shared" si="72"/>
        <v/>
      </c>
      <c r="AI90" s="25">
        <f>IF(A90="","",IFERROR(SUMIFS(Int_Repayments!E$4:E$1003,Int_Repayments!C$4:C$1003,A90,Int_Repayments!D$4:D$1003,10),0))</f>
        <v>0</v>
      </c>
      <c r="AJ90" s="26" t="str">
        <f t="shared" si="73"/>
        <v/>
      </c>
      <c r="AK90" s="24" t="str">
        <f t="shared" si="74"/>
        <v/>
      </c>
      <c r="AL90" s="25">
        <f>IF(A90="","",IFERROR(SUMIFS(Int_Repayments!E$4:E$1003,Int_Repayments!C$4:C$1003,A90,Int_Repayments!D$4:D$1003,11),0))</f>
        <v>0</v>
      </c>
      <c r="AM90" s="26" t="str">
        <f t="shared" si="75"/>
        <v/>
      </c>
      <c r="AN90" s="24" t="str">
        <f t="shared" si="76"/>
        <v/>
      </c>
      <c r="AO90" s="25">
        <f>IF(A90="","",IFERROR(SUMIFS(Int_Repayments!E$4:E$1003,Int_Repayments!C$4:C$1003,A90,Int_Repayments!D$4:D$1003,12),0))</f>
        <v>0</v>
      </c>
      <c r="AP90" s="26" t="str">
        <f t="shared" si="77"/>
        <v/>
      </c>
      <c r="AQ90" s="24" t="str">
        <f t="shared" si="78"/>
        <v/>
      </c>
      <c r="AR90" s="24" t="str">
        <f t="shared" si="79"/>
        <v/>
      </c>
      <c r="AS90" s="24" t="str">
        <f t="shared" si="80"/>
        <v/>
      </c>
    </row>
    <row r="91" spans="1:45" ht="15.75" customHeight="1" x14ac:dyDescent="0.25">
      <c r="A91" s="6">
        <f>IFERROR(Loans!C91,"")</f>
        <v>0</v>
      </c>
      <c r="B91" s="4">
        <f>IFERROR(Loans!B91,"")</f>
        <v>0</v>
      </c>
      <c r="C91" s="6">
        <f>IFERROR(Loans!A91,"")</f>
        <v>0</v>
      </c>
      <c r="D91" s="21">
        <f>IFERROR(Loans!E91,0)</f>
        <v>0</v>
      </c>
      <c r="E91" s="22">
        <f>IFERROR(Loans!H91,0)</f>
        <v>0</v>
      </c>
      <c r="F91" s="23">
        <f>IFERROR(Loans!I91,0)</f>
        <v>0</v>
      </c>
      <c r="G91" s="24" t="str">
        <f t="shared" si="54"/>
        <v/>
      </c>
      <c r="H91" s="25">
        <f>IF(A91="","",IFERROR(SUMIFS(Int_Repayments!E$4:E$1003,Int_Repayments!C$4:C$1003,A91,Int_Repayments!D$4:D$1003,1),0))</f>
        <v>0</v>
      </c>
      <c r="I91" s="26" t="str">
        <f t="shared" si="55"/>
        <v/>
      </c>
      <c r="J91" s="24" t="str">
        <f t="shared" si="56"/>
        <v/>
      </c>
      <c r="K91" s="25">
        <f>IF(A91="","",IFERROR(SUMIFS(Int_Repayments!E$4:E$1003,Int_Repayments!C$4:C$1003,A91,Int_Repayments!D$4:D$1003,2),0))</f>
        <v>0</v>
      </c>
      <c r="L91" s="26" t="str">
        <f t="shared" si="57"/>
        <v/>
      </c>
      <c r="M91" s="24" t="str">
        <f t="shared" si="58"/>
        <v/>
      </c>
      <c r="N91" s="25">
        <f>IF(A91="","",IFERROR(SUMIFS(Int_Repayments!E$4:E$1003,Int_Repayments!C$4:C$1003,A91,Int_Repayments!D$4:D$1003,3),0))</f>
        <v>0</v>
      </c>
      <c r="O91" s="26" t="str">
        <f t="shared" si="59"/>
        <v/>
      </c>
      <c r="P91" s="24" t="str">
        <f t="shared" si="60"/>
        <v/>
      </c>
      <c r="Q91" s="25">
        <f>IF(A91="","",IFERROR(SUMIFS(Int_Repayments!E$4:E$1003,Int_Repayments!C$4:C$1003,A91,Int_Repayments!D$4:D$1003,4),0))</f>
        <v>0</v>
      </c>
      <c r="R91" s="26" t="str">
        <f t="shared" si="61"/>
        <v/>
      </c>
      <c r="S91" s="24" t="str">
        <f t="shared" si="62"/>
        <v/>
      </c>
      <c r="T91" s="25">
        <f>IF(A91="","",IFERROR(SUMIFS(Int_Repayments!E$4:E$1003,Int_Repayments!C$4:C$1003,A91,Int_Repayments!D$4:D$1003,5),0))</f>
        <v>0</v>
      </c>
      <c r="U91" s="26" t="str">
        <f t="shared" si="63"/>
        <v/>
      </c>
      <c r="V91" s="24" t="str">
        <f t="shared" si="64"/>
        <v/>
      </c>
      <c r="W91" s="25">
        <f>IF(A91="","",IFERROR(SUMIFS(Int_Repayments!E$4:E$1003,Int_Repayments!C$4:C$1003,A91,Int_Repayments!D$4:D$1003,6),0))</f>
        <v>0</v>
      </c>
      <c r="X91" s="26" t="str">
        <f t="shared" si="65"/>
        <v/>
      </c>
      <c r="Y91" s="24" t="str">
        <f t="shared" si="66"/>
        <v/>
      </c>
      <c r="Z91" s="25">
        <f>IF(A91="","",IFERROR(SUMIFS(Int_Repayments!E$4:E$1003,Int_Repayments!C$4:C$1003,A91,Int_Repayments!D$4:D$1003,7),0))</f>
        <v>0</v>
      </c>
      <c r="AA91" s="26" t="str">
        <f t="shared" si="67"/>
        <v/>
      </c>
      <c r="AB91" s="24" t="str">
        <f t="shared" si="68"/>
        <v/>
      </c>
      <c r="AC91" s="25">
        <f>IF(A91="","",IFERROR(SUMIFS(Int_Repayments!E$4:E$1003,Int_Repayments!C$4:C$1003,A91,Int_Repayments!D$4:D$1003,8),0))</f>
        <v>0</v>
      </c>
      <c r="AD91" s="26" t="str">
        <f t="shared" si="69"/>
        <v/>
      </c>
      <c r="AE91" s="24" t="str">
        <f t="shared" si="70"/>
        <v/>
      </c>
      <c r="AF91" s="25">
        <f>IF(A91="","",IFERROR(SUMIFS(Int_Repayments!E$4:E$1003,Int_Repayments!C$4:C$1003,A91,Int_Repayments!D$4:D$1003,9),0))</f>
        <v>0</v>
      </c>
      <c r="AG91" s="26" t="str">
        <f t="shared" si="71"/>
        <v/>
      </c>
      <c r="AH91" s="24" t="str">
        <f t="shared" si="72"/>
        <v/>
      </c>
      <c r="AI91" s="25">
        <f>IF(A91="","",IFERROR(SUMIFS(Int_Repayments!E$4:E$1003,Int_Repayments!C$4:C$1003,A91,Int_Repayments!D$4:D$1003,10),0))</f>
        <v>0</v>
      </c>
      <c r="AJ91" s="26" t="str">
        <f t="shared" si="73"/>
        <v/>
      </c>
      <c r="AK91" s="24" t="str">
        <f t="shared" si="74"/>
        <v/>
      </c>
      <c r="AL91" s="25">
        <f>IF(A91="","",IFERROR(SUMIFS(Int_Repayments!E$4:E$1003,Int_Repayments!C$4:C$1003,A91,Int_Repayments!D$4:D$1003,11),0))</f>
        <v>0</v>
      </c>
      <c r="AM91" s="26" t="str">
        <f t="shared" si="75"/>
        <v/>
      </c>
      <c r="AN91" s="24" t="str">
        <f t="shared" si="76"/>
        <v/>
      </c>
      <c r="AO91" s="25">
        <f>IF(A91="","",IFERROR(SUMIFS(Int_Repayments!E$4:E$1003,Int_Repayments!C$4:C$1003,A91,Int_Repayments!D$4:D$1003,12),0))</f>
        <v>0</v>
      </c>
      <c r="AP91" s="26" t="str">
        <f t="shared" si="77"/>
        <v/>
      </c>
      <c r="AQ91" s="24" t="str">
        <f t="shared" si="78"/>
        <v/>
      </c>
      <c r="AR91" s="24" t="str">
        <f t="shared" si="79"/>
        <v/>
      </c>
      <c r="AS91" s="24" t="str">
        <f t="shared" si="80"/>
        <v/>
      </c>
    </row>
    <row r="92" spans="1:45" ht="15.75" customHeight="1" x14ac:dyDescent="0.25">
      <c r="A92" s="6">
        <f>IFERROR(Loans!C92,"")</f>
        <v>0</v>
      </c>
      <c r="B92" s="4">
        <f>IFERROR(Loans!B92,"")</f>
        <v>0</v>
      </c>
      <c r="C92" s="6">
        <f>IFERROR(Loans!A92,"")</f>
        <v>0</v>
      </c>
      <c r="D92" s="21">
        <f>IFERROR(Loans!E92,0)</f>
        <v>0</v>
      </c>
      <c r="E92" s="22">
        <f>IFERROR(Loans!H92,0)</f>
        <v>0</v>
      </c>
      <c r="F92" s="23">
        <f>IFERROR(Loans!I92,0)</f>
        <v>0</v>
      </c>
      <c r="G92" s="24" t="str">
        <f t="shared" si="54"/>
        <v/>
      </c>
      <c r="H92" s="25">
        <f>IF(A92="","",IFERROR(SUMIFS(Int_Repayments!E$4:E$1003,Int_Repayments!C$4:C$1003,A92,Int_Repayments!D$4:D$1003,1),0))</f>
        <v>0</v>
      </c>
      <c r="I92" s="26" t="str">
        <f t="shared" si="55"/>
        <v/>
      </c>
      <c r="J92" s="24" t="str">
        <f t="shared" si="56"/>
        <v/>
      </c>
      <c r="K92" s="25">
        <f>IF(A92="","",IFERROR(SUMIFS(Int_Repayments!E$4:E$1003,Int_Repayments!C$4:C$1003,A92,Int_Repayments!D$4:D$1003,2),0))</f>
        <v>0</v>
      </c>
      <c r="L92" s="26" t="str">
        <f t="shared" si="57"/>
        <v/>
      </c>
      <c r="M92" s="24" t="str">
        <f t="shared" si="58"/>
        <v/>
      </c>
      <c r="N92" s="25">
        <f>IF(A92="","",IFERROR(SUMIFS(Int_Repayments!E$4:E$1003,Int_Repayments!C$4:C$1003,A92,Int_Repayments!D$4:D$1003,3),0))</f>
        <v>0</v>
      </c>
      <c r="O92" s="26" t="str">
        <f t="shared" si="59"/>
        <v/>
      </c>
      <c r="P92" s="24" t="str">
        <f t="shared" si="60"/>
        <v/>
      </c>
      <c r="Q92" s="25">
        <f>IF(A92="","",IFERROR(SUMIFS(Int_Repayments!E$4:E$1003,Int_Repayments!C$4:C$1003,A92,Int_Repayments!D$4:D$1003,4),0))</f>
        <v>0</v>
      </c>
      <c r="R92" s="26" t="str">
        <f t="shared" si="61"/>
        <v/>
      </c>
      <c r="S92" s="24" t="str">
        <f t="shared" si="62"/>
        <v/>
      </c>
      <c r="T92" s="25">
        <f>IF(A92="","",IFERROR(SUMIFS(Int_Repayments!E$4:E$1003,Int_Repayments!C$4:C$1003,A92,Int_Repayments!D$4:D$1003,5),0))</f>
        <v>0</v>
      </c>
      <c r="U92" s="26" t="str">
        <f t="shared" si="63"/>
        <v/>
      </c>
      <c r="V92" s="24" t="str">
        <f t="shared" si="64"/>
        <v/>
      </c>
      <c r="W92" s="25">
        <f>IF(A92="","",IFERROR(SUMIFS(Int_Repayments!E$4:E$1003,Int_Repayments!C$4:C$1003,A92,Int_Repayments!D$4:D$1003,6),0))</f>
        <v>0</v>
      </c>
      <c r="X92" s="26" t="str">
        <f t="shared" si="65"/>
        <v/>
      </c>
      <c r="Y92" s="24" t="str">
        <f t="shared" si="66"/>
        <v/>
      </c>
      <c r="Z92" s="25">
        <f>IF(A92="","",IFERROR(SUMIFS(Int_Repayments!E$4:E$1003,Int_Repayments!C$4:C$1003,A92,Int_Repayments!D$4:D$1003,7),0))</f>
        <v>0</v>
      </c>
      <c r="AA92" s="26" t="str">
        <f t="shared" si="67"/>
        <v/>
      </c>
      <c r="AB92" s="24" t="str">
        <f t="shared" si="68"/>
        <v/>
      </c>
      <c r="AC92" s="25">
        <f>IF(A92="","",IFERROR(SUMIFS(Int_Repayments!E$4:E$1003,Int_Repayments!C$4:C$1003,A92,Int_Repayments!D$4:D$1003,8),0))</f>
        <v>0</v>
      </c>
      <c r="AD92" s="26" t="str">
        <f t="shared" si="69"/>
        <v/>
      </c>
      <c r="AE92" s="24" t="str">
        <f t="shared" si="70"/>
        <v/>
      </c>
      <c r="AF92" s="25">
        <f>IF(A92="","",IFERROR(SUMIFS(Int_Repayments!E$4:E$1003,Int_Repayments!C$4:C$1003,A92,Int_Repayments!D$4:D$1003,9),0))</f>
        <v>0</v>
      </c>
      <c r="AG92" s="26" t="str">
        <f t="shared" si="71"/>
        <v/>
      </c>
      <c r="AH92" s="24" t="str">
        <f t="shared" si="72"/>
        <v/>
      </c>
      <c r="AI92" s="25">
        <f>IF(A92="","",IFERROR(SUMIFS(Int_Repayments!E$4:E$1003,Int_Repayments!C$4:C$1003,A92,Int_Repayments!D$4:D$1003,10),0))</f>
        <v>0</v>
      </c>
      <c r="AJ92" s="26" t="str">
        <f t="shared" si="73"/>
        <v/>
      </c>
      <c r="AK92" s="24" t="str">
        <f t="shared" si="74"/>
        <v/>
      </c>
      <c r="AL92" s="25">
        <f>IF(A92="","",IFERROR(SUMIFS(Int_Repayments!E$4:E$1003,Int_Repayments!C$4:C$1003,A92,Int_Repayments!D$4:D$1003,11),0))</f>
        <v>0</v>
      </c>
      <c r="AM92" s="26" t="str">
        <f t="shared" si="75"/>
        <v/>
      </c>
      <c r="AN92" s="24" t="str">
        <f t="shared" si="76"/>
        <v/>
      </c>
      <c r="AO92" s="25">
        <f>IF(A92="","",IFERROR(SUMIFS(Int_Repayments!E$4:E$1003,Int_Repayments!C$4:C$1003,A92,Int_Repayments!D$4:D$1003,12),0))</f>
        <v>0</v>
      </c>
      <c r="AP92" s="26" t="str">
        <f t="shared" si="77"/>
        <v/>
      </c>
      <c r="AQ92" s="24" t="str">
        <f t="shared" si="78"/>
        <v/>
      </c>
      <c r="AR92" s="24" t="str">
        <f t="shared" si="79"/>
        <v/>
      </c>
      <c r="AS92" s="24" t="str">
        <f t="shared" si="80"/>
        <v/>
      </c>
    </row>
    <row r="93" spans="1:45" ht="15.75" customHeight="1" x14ac:dyDescent="0.25">
      <c r="A93" s="6">
        <f>IFERROR(Loans!C93,"")</f>
        <v>0</v>
      </c>
      <c r="B93" s="4">
        <f>IFERROR(Loans!B93,"")</f>
        <v>0</v>
      </c>
      <c r="C93" s="6">
        <f>IFERROR(Loans!A93,"")</f>
        <v>0</v>
      </c>
      <c r="D93" s="21">
        <f>IFERROR(Loans!E93,0)</f>
        <v>0</v>
      </c>
      <c r="E93" s="22">
        <f>IFERROR(Loans!H93,0)</f>
        <v>0</v>
      </c>
      <c r="F93" s="23">
        <f>IFERROR(Loans!I93,0)</f>
        <v>0</v>
      </c>
      <c r="G93" s="24" t="str">
        <f t="shared" si="54"/>
        <v/>
      </c>
      <c r="H93" s="25">
        <f>IF(A93="","",IFERROR(SUMIFS(Int_Repayments!E$4:E$1003,Int_Repayments!C$4:C$1003,A93,Int_Repayments!D$4:D$1003,1),0))</f>
        <v>0</v>
      </c>
      <c r="I93" s="26" t="str">
        <f t="shared" si="55"/>
        <v/>
      </c>
      <c r="J93" s="24" t="str">
        <f t="shared" si="56"/>
        <v/>
      </c>
      <c r="K93" s="25">
        <f>IF(A93="","",IFERROR(SUMIFS(Int_Repayments!E$4:E$1003,Int_Repayments!C$4:C$1003,A93,Int_Repayments!D$4:D$1003,2),0))</f>
        <v>0</v>
      </c>
      <c r="L93" s="26" t="str">
        <f t="shared" si="57"/>
        <v/>
      </c>
      <c r="M93" s="24" t="str">
        <f t="shared" si="58"/>
        <v/>
      </c>
      <c r="N93" s="25">
        <f>IF(A93="","",IFERROR(SUMIFS(Int_Repayments!E$4:E$1003,Int_Repayments!C$4:C$1003,A93,Int_Repayments!D$4:D$1003,3),0))</f>
        <v>0</v>
      </c>
      <c r="O93" s="26" t="str">
        <f t="shared" si="59"/>
        <v/>
      </c>
      <c r="P93" s="24" t="str">
        <f t="shared" si="60"/>
        <v/>
      </c>
      <c r="Q93" s="25">
        <f>IF(A93="","",IFERROR(SUMIFS(Int_Repayments!E$4:E$1003,Int_Repayments!C$4:C$1003,A93,Int_Repayments!D$4:D$1003,4),0))</f>
        <v>0</v>
      </c>
      <c r="R93" s="26" t="str">
        <f t="shared" si="61"/>
        <v/>
      </c>
      <c r="S93" s="24" t="str">
        <f t="shared" si="62"/>
        <v/>
      </c>
      <c r="T93" s="25">
        <f>IF(A93="","",IFERROR(SUMIFS(Int_Repayments!E$4:E$1003,Int_Repayments!C$4:C$1003,A93,Int_Repayments!D$4:D$1003,5),0))</f>
        <v>0</v>
      </c>
      <c r="U93" s="26" t="str">
        <f t="shared" si="63"/>
        <v/>
      </c>
      <c r="V93" s="24" t="str">
        <f t="shared" si="64"/>
        <v/>
      </c>
      <c r="W93" s="25">
        <f>IF(A93="","",IFERROR(SUMIFS(Int_Repayments!E$4:E$1003,Int_Repayments!C$4:C$1003,A93,Int_Repayments!D$4:D$1003,6),0))</f>
        <v>0</v>
      </c>
      <c r="X93" s="26" t="str">
        <f t="shared" si="65"/>
        <v/>
      </c>
      <c r="Y93" s="24" t="str">
        <f t="shared" si="66"/>
        <v/>
      </c>
      <c r="Z93" s="25">
        <f>IF(A93="","",IFERROR(SUMIFS(Int_Repayments!E$4:E$1003,Int_Repayments!C$4:C$1003,A93,Int_Repayments!D$4:D$1003,7),0))</f>
        <v>0</v>
      </c>
      <c r="AA93" s="26" t="str">
        <f t="shared" si="67"/>
        <v/>
      </c>
      <c r="AB93" s="24" t="str">
        <f t="shared" si="68"/>
        <v/>
      </c>
      <c r="AC93" s="25">
        <f>IF(A93="","",IFERROR(SUMIFS(Int_Repayments!E$4:E$1003,Int_Repayments!C$4:C$1003,A93,Int_Repayments!D$4:D$1003,8),0))</f>
        <v>0</v>
      </c>
      <c r="AD93" s="26" t="str">
        <f t="shared" si="69"/>
        <v/>
      </c>
      <c r="AE93" s="24" t="str">
        <f t="shared" si="70"/>
        <v/>
      </c>
      <c r="AF93" s="25">
        <f>IF(A93="","",IFERROR(SUMIFS(Int_Repayments!E$4:E$1003,Int_Repayments!C$4:C$1003,A93,Int_Repayments!D$4:D$1003,9),0))</f>
        <v>0</v>
      </c>
      <c r="AG93" s="26" t="str">
        <f t="shared" si="71"/>
        <v/>
      </c>
      <c r="AH93" s="24" t="str">
        <f t="shared" si="72"/>
        <v/>
      </c>
      <c r="AI93" s="25">
        <f>IF(A93="","",IFERROR(SUMIFS(Int_Repayments!E$4:E$1003,Int_Repayments!C$4:C$1003,A93,Int_Repayments!D$4:D$1003,10),0))</f>
        <v>0</v>
      </c>
      <c r="AJ93" s="26" t="str">
        <f t="shared" si="73"/>
        <v/>
      </c>
      <c r="AK93" s="24" t="str">
        <f t="shared" si="74"/>
        <v/>
      </c>
      <c r="AL93" s="25">
        <f>IF(A93="","",IFERROR(SUMIFS(Int_Repayments!E$4:E$1003,Int_Repayments!C$4:C$1003,A93,Int_Repayments!D$4:D$1003,11),0))</f>
        <v>0</v>
      </c>
      <c r="AM93" s="26" t="str">
        <f t="shared" si="75"/>
        <v/>
      </c>
      <c r="AN93" s="24" t="str">
        <f t="shared" si="76"/>
        <v/>
      </c>
      <c r="AO93" s="25">
        <f>IF(A93="","",IFERROR(SUMIFS(Int_Repayments!E$4:E$1003,Int_Repayments!C$4:C$1003,A93,Int_Repayments!D$4:D$1003,12),0))</f>
        <v>0</v>
      </c>
      <c r="AP93" s="26" t="str">
        <f t="shared" si="77"/>
        <v/>
      </c>
      <c r="AQ93" s="24" t="str">
        <f t="shared" si="78"/>
        <v/>
      </c>
      <c r="AR93" s="24" t="str">
        <f t="shared" si="79"/>
        <v/>
      </c>
      <c r="AS93" s="24" t="str">
        <f t="shared" si="80"/>
        <v/>
      </c>
    </row>
    <row r="94" spans="1:45" ht="15.75" customHeight="1" x14ac:dyDescent="0.25">
      <c r="A94" s="6">
        <f>IFERROR(Loans!C94,"")</f>
        <v>0</v>
      </c>
      <c r="B94" s="4">
        <f>IFERROR(Loans!B94,"")</f>
        <v>0</v>
      </c>
      <c r="C94" s="6">
        <f>IFERROR(Loans!A94,"")</f>
        <v>0</v>
      </c>
      <c r="D94" s="21">
        <f>IFERROR(Loans!E94,0)</f>
        <v>0</v>
      </c>
      <c r="E94" s="22">
        <f>IFERROR(Loans!H94,0)</f>
        <v>0</v>
      </c>
      <c r="F94" s="23">
        <f>IFERROR(Loans!I94,0)</f>
        <v>0</v>
      </c>
      <c r="G94" s="24" t="str">
        <f t="shared" si="54"/>
        <v/>
      </c>
      <c r="H94" s="25">
        <f>IF(A94="","",IFERROR(SUMIFS(Int_Repayments!E$4:E$1003,Int_Repayments!C$4:C$1003,A94,Int_Repayments!D$4:D$1003,1),0))</f>
        <v>0</v>
      </c>
      <c r="I94" s="26" t="str">
        <f t="shared" si="55"/>
        <v/>
      </c>
      <c r="J94" s="24" t="str">
        <f t="shared" si="56"/>
        <v/>
      </c>
      <c r="K94" s="25">
        <f>IF(A94="","",IFERROR(SUMIFS(Int_Repayments!E$4:E$1003,Int_Repayments!C$4:C$1003,A94,Int_Repayments!D$4:D$1003,2),0))</f>
        <v>0</v>
      </c>
      <c r="L94" s="26" t="str">
        <f t="shared" si="57"/>
        <v/>
      </c>
      <c r="M94" s="24" t="str">
        <f t="shared" si="58"/>
        <v/>
      </c>
      <c r="N94" s="25">
        <f>IF(A94="","",IFERROR(SUMIFS(Int_Repayments!E$4:E$1003,Int_Repayments!C$4:C$1003,A94,Int_Repayments!D$4:D$1003,3),0))</f>
        <v>0</v>
      </c>
      <c r="O94" s="26" t="str">
        <f t="shared" si="59"/>
        <v/>
      </c>
      <c r="P94" s="24" t="str">
        <f t="shared" si="60"/>
        <v/>
      </c>
      <c r="Q94" s="25">
        <f>IF(A94="","",IFERROR(SUMIFS(Int_Repayments!E$4:E$1003,Int_Repayments!C$4:C$1003,A94,Int_Repayments!D$4:D$1003,4),0))</f>
        <v>0</v>
      </c>
      <c r="R94" s="26" t="str">
        <f t="shared" si="61"/>
        <v/>
      </c>
      <c r="S94" s="24" t="str">
        <f t="shared" si="62"/>
        <v/>
      </c>
      <c r="T94" s="25">
        <f>IF(A94="","",IFERROR(SUMIFS(Int_Repayments!E$4:E$1003,Int_Repayments!C$4:C$1003,A94,Int_Repayments!D$4:D$1003,5),0))</f>
        <v>0</v>
      </c>
      <c r="U94" s="26" t="str">
        <f t="shared" si="63"/>
        <v/>
      </c>
      <c r="V94" s="24" t="str">
        <f t="shared" si="64"/>
        <v/>
      </c>
      <c r="W94" s="25">
        <f>IF(A94="","",IFERROR(SUMIFS(Int_Repayments!E$4:E$1003,Int_Repayments!C$4:C$1003,A94,Int_Repayments!D$4:D$1003,6),0))</f>
        <v>0</v>
      </c>
      <c r="X94" s="26" t="str">
        <f t="shared" si="65"/>
        <v/>
      </c>
      <c r="Y94" s="24" t="str">
        <f t="shared" si="66"/>
        <v/>
      </c>
      <c r="Z94" s="25">
        <f>IF(A94="","",IFERROR(SUMIFS(Int_Repayments!E$4:E$1003,Int_Repayments!C$4:C$1003,A94,Int_Repayments!D$4:D$1003,7),0))</f>
        <v>0</v>
      </c>
      <c r="AA94" s="26" t="str">
        <f t="shared" si="67"/>
        <v/>
      </c>
      <c r="AB94" s="24" t="str">
        <f t="shared" si="68"/>
        <v/>
      </c>
      <c r="AC94" s="25">
        <f>IF(A94="","",IFERROR(SUMIFS(Int_Repayments!E$4:E$1003,Int_Repayments!C$4:C$1003,A94,Int_Repayments!D$4:D$1003,8),0))</f>
        <v>0</v>
      </c>
      <c r="AD94" s="26" t="str">
        <f t="shared" si="69"/>
        <v/>
      </c>
      <c r="AE94" s="24" t="str">
        <f t="shared" si="70"/>
        <v/>
      </c>
      <c r="AF94" s="25">
        <f>IF(A94="","",IFERROR(SUMIFS(Int_Repayments!E$4:E$1003,Int_Repayments!C$4:C$1003,A94,Int_Repayments!D$4:D$1003,9),0))</f>
        <v>0</v>
      </c>
      <c r="AG94" s="26" t="str">
        <f t="shared" si="71"/>
        <v/>
      </c>
      <c r="AH94" s="24" t="str">
        <f t="shared" si="72"/>
        <v/>
      </c>
      <c r="AI94" s="25">
        <f>IF(A94="","",IFERROR(SUMIFS(Int_Repayments!E$4:E$1003,Int_Repayments!C$4:C$1003,A94,Int_Repayments!D$4:D$1003,10),0))</f>
        <v>0</v>
      </c>
      <c r="AJ94" s="26" t="str">
        <f t="shared" si="73"/>
        <v/>
      </c>
      <c r="AK94" s="24" t="str">
        <f t="shared" si="74"/>
        <v/>
      </c>
      <c r="AL94" s="25">
        <f>IF(A94="","",IFERROR(SUMIFS(Int_Repayments!E$4:E$1003,Int_Repayments!C$4:C$1003,A94,Int_Repayments!D$4:D$1003,11),0))</f>
        <v>0</v>
      </c>
      <c r="AM94" s="26" t="str">
        <f t="shared" si="75"/>
        <v/>
      </c>
      <c r="AN94" s="24" t="str">
        <f t="shared" si="76"/>
        <v/>
      </c>
      <c r="AO94" s="25">
        <f>IF(A94="","",IFERROR(SUMIFS(Int_Repayments!E$4:E$1003,Int_Repayments!C$4:C$1003,A94,Int_Repayments!D$4:D$1003,12),0))</f>
        <v>0</v>
      </c>
      <c r="AP94" s="26" t="str">
        <f t="shared" si="77"/>
        <v/>
      </c>
      <c r="AQ94" s="24" t="str">
        <f t="shared" si="78"/>
        <v/>
      </c>
      <c r="AR94" s="24" t="str">
        <f t="shared" si="79"/>
        <v/>
      </c>
      <c r="AS94" s="24" t="str">
        <f t="shared" si="80"/>
        <v/>
      </c>
    </row>
    <row r="95" spans="1:45" ht="15.75" customHeight="1" x14ac:dyDescent="0.25">
      <c r="A95" s="6">
        <f>IFERROR(Loans!C95,"")</f>
        <v>0</v>
      </c>
      <c r="B95" s="4">
        <f>IFERROR(Loans!B95,"")</f>
        <v>0</v>
      </c>
      <c r="C95" s="6">
        <f>IFERROR(Loans!A95,"")</f>
        <v>0</v>
      </c>
      <c r="D95" s="21">
        <f>IFERROR(Loans!E95,0)</f>
        <v>0</v>
      </c>
      <c r="E95" s="22">
        <f>IFERROR(Loans!H95,0)</f>
        <v>0</v>
      </c>
      <c r="F95" s="23">
        <f>IFERROR(Loans!I95,0)</f>
        <v>0</v>
      </c>
      <c r="G95" s="24" t="str">
        <f t="shared" si="54"/>
        <v/>
      </c>
      <c r="H95" s="25">
        <f>IF(A95="","",IFERROR(SUMIFS(Int_Repayments!E$4:E$1003,Int_Repayments!C$4:C$1003,A95,Int_Repayments!D$4:D$1003,1),0))</f>
        <v>0</v>
      </c>
      <c r="I95" s="26" t="str">
        <f t="shared" si="55"/>
        <v/>
      </c>
      <c r="J95" s="24" t="str">
        <f t="shared" si="56"/>
        <v/>
      </c>
      <c r="K95" s="25">
        <f>IF(A95="","",IFERROR(SUMIFS(Int_Repayments!E$4:E$1003,Int_Repayments!C$4:C$1003,A95,Int_Repayments!D$4:D$1003,2),0))</f>
        <v>0</v>
      </c>
      <c r="L95" s="26" t="str">
        <f t="shared" si="57"/>
        <v/>
      </c>
      <c r="M95" s="24" t="str">
        <f t="shared" si="58"/>
        <v/>
      </c>
      <c r="N95" s="25">
        <f>IF(A95="","",IFERROR(SUMIFS(Int_Repayments!E$4:E$1003,Int_Repayments!C$4:C$1003,A95,Int_Repayments!D$4:D$1003,3),0))</f>
        <v>0</v>
      </c>
      <c r="O95" s="26" t="str">
        <f t="shared" si="59"/>
        <v/>
      </c>
      <c r="P95" s="24" t="str">
        <f t="shared" si="60"/>
        <v/>
      </c>
      <c r="Q95" s="25">
        <f>IF(A95="","",IFERROR(SUMIFS(Int_Repayments!E$4:E$1003,Int_Repayments!C$4:C$1003,A95,Int_Repayments!D$4:D$1003,4),0))</f>
        <v>0</v>
      </c>
      <c r="R95" s="26" t="str">
        <f t="shared" si="61"/>
        <v/>
      </c>
      <c r="S95" s="24" t="str">
        <f t="shared" si="62"/>
        <v/>
      </c>
      <c r="T95" s="25">
        <f>IF(A95="","",IFERROR(SUMIFS(Int_Repayments!E$4:E$1003,Int_Repayments!C$4:C$1003,A95,Int_Repayments!D$4:D$1003,5),0))</f>
        <v>0</v>
      </c>
      <c r="U95" s="26" t="str">
        <f t="shared" si="63"/>
        <v/>
      </c>
      <c r="V95" s="24" t="str">
        <f t="shared" si="64"/>
        <v/>
      </c>
      <c r="W95" s="25">
        <f>IF(A95="","",IFERROR(SUMIFS(Int_Repayments!E$4:E$1003,Int_Repayments!C$4:C$1003,A95,Int_Repayments!D$4:D$1003,6),0))</f>
        <v>0</v>
      </c>
      <c r="X95" s="26" t="str">
        <f t="shared" si="65"/>
        <v/>
      </c>
      <c r="Y95" s="24" t="str">
        <f t="shared" si="66"/>
        <v/>
      </c>
      <c r="Z95" s="25">
        <f>IF(A95="","",IFERROR(SUMIFS(Int_Repayments!E$4:E$1003,Int_Repayments!C$4:C$1003,A95,Int_Repayments!D$4:D$1003,7),0))</f>
        <v>0</v>
      </c>
      <c r="AA95" s="26" t="str">
        <f t="shared" si="67"/>
        <v/>
      </c>
      <c r="AB95" s="24" t="str">
        <f t="shared" si="68"/>
        <v/>
      </c>
      <c r="AC95" s="25">
        <f>IF(A95="","",IFERROR(SUMIFS(Int_Repayments!E$4:E$1003,Int_Repayments!C$4:C$1003,A95,Int_Repayments!D$4:D$1003,8),0))</f>
        <v>0</v>
      </c>
      <c r="AD95" s="26" t="str">
        <f t="shared" si="69"/>
        <v/>
      </c>
      <c r="AE95" s="24" t="str">
        <f t="shared" si="70"/>
        <v/>
      </c>
      <c r="AF95" s="25">
        <f>IF(A95="","",IFERROR(SUMIFS(Int_Repayments!E$4:E$1003,Int_Repayments!C$4:C$1003,A95,Int_Repayments!D$4:D$1003,9),0))</f>
        <v>0</v>
      </c>
      <c r="AG95" s="26" t="str">
        <f t="shared" si="71"/>
        <v/>
      </c>
      <c r="AH95" s="24" t="str">
        <f t="shared" si="72"/>
        <v/>
      </c>
      <c r="AI95" s="25">
        <f>IF(A95="","",IFERROR(SUMIFS(Int_Repayments!E$4:E$1003,Int_Repayments!C$4:C$1003,A95,Int_Repayments!D$4:D$1003,10),0))</f>
        <v>0</v>
      </c>
      <c r="AJ95" s="26" t="str">
        <f t="shared" si="73"/>
        <v/>
      </c>
      <c r="AK95" s="24" t="str">
        <f t="shared" si="74"/>
        <v/>
      </c>
      <c r="AL95" s="25">
        <f>IF(A95="","",IFERROR(SUMIFS(Int_Repayments!E$4:E$1003,Int_Repayments!C$4:C$1003,A95,Int_Repayments!D$4:D$1003,11),0))</f>
        <v>0</v>
      </c>
      <c r="AM95" s="26" t="str">
        <f t="shared" si="75"/>
        <v/>
      </c>
      <c r="AN95" s="24" t="str">
        <f t="shared" si="76"/>
        <v/>
      </c>
      <c r="AO95" s="25">
        <f>IF(A95="","",IFERROR(SUMIFS(Int_Repayments!E$4:E$1003,Int_Repayments!C$4:C$1003,A95,Int_Repayments!D$4:D$1003,12),0))</f>
        <v>0</v>
      </c>
      <c r="AP95" s="26" t="str">
        <f t="shared" si="77"/>
        <v/>
      </c>
      <c r="AQ95" s="24" t="str">
        <f t="shared" si="78"/>
        <v/>
      </c>
      <c r="AR95" s="24" t="str">
        <f t="shared" si="79"/>
        <v/>
      </c>
      <c r="AS95" s="24" t="str">
        <f t="shared" si="80"/>
        <v/>
      </c>
    </row>
    <row r="96" spans="1:45" ht="15.75" customHeight="1" x14ac:dyDescent="0.25">
      <c r="A96" s="6">
        <f>IFERROR(Loans!C96,"")</f>
        <v>0</v>
      </c>
      <c r="B96" s="4">
        <f>IFERROR(Loans!B96,"")</f>
        <v>0</v>
      </c>
      <c r="C96" s="6">
        <f>IFERROR(Loans!A96,"")</f>
        <v>0</v>
      </c>
      <c r="D96" s="21">
        <f>IFERROR(Loans!E96,0)</f>
        <v>0</v>
      </c>
      <c r="E96" s="22">
        <f>IFERROR(Loans!H96,0)</f>
        <v>0</v>
      </c>
      <c r="F96" s="23">
        <f>IFERROR(Loans!I96,0)</f>
        <v>0</v>
      </c>
      <c r="G96" s="24" t="str">
        <f t="shared" si="54"/>
        <v/>
      </c>
      <c r="H96" s="25">
        <f>IF(A96="","",IFERROR(SUMIFS(Int_Repayments!E$4:E$1003,Int_Repayments!C$4:C$1003,A96,Int_Repayments!D$4:D$1003,1),0))</f>
        <v>0</v>
      </c>
      <c r="I96" s="26" t="str">
        <f t="shared" si="55"/>
        <v/>
      </c>
      <c r="J96" s="24" t="str">
        <f t="shared" si="56"/>
        <v/>
      </c>
      <c r="K96" s="25">
        <f>IF(A96="","",IFERROR(SUMIFS(Int_Repayments!E$4:E$1003,Int_Repayments!C$4:C$1003,A96,Int_Repayments!D$4:D$1003,2),0))</f>
        <v>0</v>
      </c>
      <c r="L96" s="26" t="str">
        <f t="shared" si="57"/>
        <v/>
      </c>
      <c r="M96" s="24" t="str">
        <f t="shared" si="58"/>
        <v/>
      </c>
      <c r="N96" s="25">
        <f>IF(A96="","",IFERROR(SUMIFS(Int_Repayments!E$4:E$1003,Int_Repayments!C$4:C$1003,A96,Int_Repayments!D$4:D$1003,3),0))</f>
        <v>0</v>
      </c>
      <c r="O96" s="26" t="str">
        <f t="shared" si="59"/>
        <v/>
      </c>
      <c r="P96" s="24" t="str">
        <f t="shared" si="60"/>
        <v/>
      </c>
      <c r="Q96" s="25">
        <f>IF(A96="","",IFERROR(SUMIFS(Int_Repayments!E$4:E$1003,Int_Repayments!C$4:C$1003,A96,Int_Repayments!D$4:D$1003,4),0))</f>
        <v>0</v>
      </c>
      <c r="R96" s="26" t="str">
        <f t="shared" si="61"/>
        <v/>
      </c>
      <c r="S96" s="24" t="str">
        <f t="shared" si="62"/>
        <v/>
      </c>
      <c r="T96" s="25">
        <f>IF(A96="","",IFERROR(SUMIFS(Int_Repayments!E$4:E$1003,Int_Repayments!C$4:C$1003,A96,Int_Repayments!D$4:D$1003,5),0))</f>
        <v>0</v>
      </c>
      <c r="U96" s="26" t="str">
        <f t="shared" si="63"/>
        <v/>
      </c>
      <c r="V96" s="24" t="str">
        <f t="shared" si="64"/>
        <v/>
      </c>
      <c r="W96" s="25">
        <f>IF(A96="","",IFERROR(SUMIFS(Int_Repayments!E$4:E$1003,Int_Repayments!C$4:C$1003,A96,Int_Repayments!D$4:D$1003,6),0))</f>
        <v>0</v>
      </c>
      <c r="X96" s="26" t="str">
        <f t="shared" si="65"/>
        <v/>
      </c>
      <c r="Y96" s="24" t="str">
        <f t="shared" si="66"/>
        <v/>
      </c>
      <c r="Z96" s="25">
        <f>IF(A96="","",IFERROR(SUMIFS(Int_Repayments!E$4:E$1003,Int_Repayments!C$4:C$1003,A96,Int_Repayments!D$4:D$1003,7),0))</f>
        <v>0</v>
      </c>
      <c r="AA96" s="26" t="str">
        <f t="shared" si="67"/>
        <v/>
      </c>
      <c r="AB96" s="24" t="str">
        <f t="shared" si="68"/>
        <v/>
      </c>
      <c r="AC96" s="25">
        <f>IF(A96="","",IFERROR(SUMIFS(Int_Repayments!E$4:E$1003,Int_Repayments!C$4:C$1003,A96,Int_Repayments!D$4:D$1003,8),0))</f>
        <v>0</v>
      </c>
      <c r="AD96" s="26" t="str">
        <f t="shared" si="69"/>
        <v/>
      </c>
      <c r="AE96" s="24" t="str">
        <f t="shared" si="70"/>
        <v/>
      </c>
      <c r="AF96" s="25">
        <f>IF(A96="","",IFERROR(SUMIFS(Int_Repayments!E$4:E$1003,Int_Repayments!C$4:C$1003,A96,Int_Repayments!D$4:D$1003,9),0))</f>
        <v>0</v>
      </c>
      <c r="AG96" s="26" t="str">
        <f t="shared" si="71"/>
        <v/>
      </c>
      <c r="AH96" s="24" t="str">
        <f t="shared" si="72"/>
        <v/>
      </c>
      <c r="AI96" s="25">
        <f>IF(A96="","",IFERROR(SUMIFS(Int_Repayments!E$4:E$1003,Int_Repayments!C$4:C$1003,A96,Int_Repayments!D$4:D$1003,10),0))</f>
        <v>0</v>
      </c>
      <c r="AJ96" s="26" t="str">
        <f t="shared" si="73"/>
        <v/>
      </c>
      <c r="AK96" s="24" t="str">
        <f t="shared" si="74"/>
        <v/>
      </c>
      <c r="AL96" s="25">
        <f>IF(A96="","",IFERROR(SUMIFS(Int_Repayments!E$4:E$1003,Int_Repayments!C$4:C$1003,A96,Int_Repayments!D$4:D$1003,11),0))</f>
        <v>0</v>
      </c>
      <c r="AM96" s="26" t="str">
        <f t="shared" si="75"/>
        <v/>
      </c>
      <c r="AN96" s="24" t="str">
        <f t="shared" si="76"/>
        <v/>
      </c>
      <c r="AO96" s="25">
        <f>IF(A96="","",IFERROR(SUMIFS(Int_Repayments!E$4:E$1003,Int_Repayments!C$4:C$1003,A96,Int_Repayments!D$4:D$1003,12),0))</f>
        <v>0</v>
      </c>
      <c r="AP96" s="26" t="str">
        <f t="shared" si="77"/>
        <v/>
      </c>
      <c r="AQ96" s="24" t="str">
        <f t="shared" si="78"/>
        <v/>
      </c>
      <c r="AR96" s="24" t="str">
        <f t="shared" si="79"/>
        <v/>
      </c>
      <c r="AS96" s="24" t="str">
        <f t="shared" si="80"/>
        <v/>
      </c>
    </row>
    <row r="97" spans="1:45" ht="15.75" customHeight="1" x14ac:dyDescent="0.25">
      <c r="A97" s="6">
        <f>IFERROR(Loans!C97,"")</f>
        <v>0</v>
      </c>
      <c r="B97" s="4">
        <f>IFERROR(Loans!B97,"")</f>
        <v>0</v>
      </c>
      <c r="C97" s="6">
        <f>IFERROR(Loans!A97,"")</f>
        <v>0</v>
      </c>
      <c r="D97" s="21">
        <f>IFERROR(Loans!E97,0)</f>
        <v>0</v>
      </c>
      <c r="E97" s="22">
        <f>IFERROR(Loans!H97,0)</f>
        <v>0</v>
      </c>
      <c r="F97" s="23">
        <f>IFERROR(Loans!I97,0)</f>
        <v>0</v>
      </c>
      <c r="G97" s="24" t="str">
        <f t="shared" si="54"/>
        <v/>
      </c>
      <c r="H97" s="25">
        <f>IF(A97="","",IFERROR(SUMIFS(Int_Repayments!E$4:E$1003,Int_Repayments!C$4:C$1003,A97,Int_Repayments!D$4:D$1003,1),0))</f>
        <v>0</v>
      </c>
      <c r="I97" s="26" t="str">
        <f t="shared" si="55"/>
        <v/>
      </c>
      <c r="J97" s="24" t="str">
        <f t="shared" si="56"/>
        <v/>
      </c>
      <c r="K97" s="25">
        <f>IF(A97="","",IFERROR(SUMIFS(Int_Repayments!E$4:E$1003,Int_Repayments!C$4:C$1003,A97,Int_Repayments!D$4:D$1003,2),0))</f>
        <v>0</v>
      </c>
      <c r="L97" s="26" t="str">
        <f t="shared" si="57"/>
        <v/>
      </c>
      <c r="M97" s="24" t="str">
        <f t="shared" si="58"/>
        <v/>
      </c>
      <c r="N97" s="25">
        <f>IF(A97="","",IFERROR(SUMIFS(Int_Repayments!E$4:E$1003,Int_Repayments!C$4:C$1003,A97,Int_Repayments!D$4:D$1003,3),0))</f>
        <v>0</v>
      </c>
      <c r="O97" s="26" t="str">
        <f t="shared" si="59"/>
        <v/>
      </c>
      <c r="P97" s="24" t="str">
        <f t="shared" si="60"/>
        <v/>
      </c>
      <c r="Q97" s="25">
        <f>IF(A97="","",IFERROR(SUMIFS(Int_Repayments!E$4:E$1003,Int_Repayments!C$4:C$1003,A97,Int_Repayments!D$4:D$1003,4),0))</f>
        <v>0</v>
      </c>
      <c r="R97" s="26" t="str">
        <f t="shared" si="61"/>
        <v/>
      </c>
      <c r="S97" s="24" t="str">
        <f t="shared" si="62"/>
        <v/>
      </c>
      <c r="T97" s="25">
        <f>IF(A97="","",IFERROR(SUMIFS(Int_Repayments!E$4:E$1003,Int_Repayments!C$4:C$1003,A97,Int_Repayments!D$4:D$1003,5),0))</f>
        <v>0</v>
      </c>
      <c r="U97" s="26" t="str">
        <f t="shared" si="63"/>
        <v/>
      </c>
      <c r="V97" s="24" t="str">
        <f t="shared" si="64"/>
        <v/>
      </c>
      <c r="W97" s="25">
        <f>IF(A97="","",IFERROR(SUMIFS(Int_Repayments!E$4:E$1003,Int_Repayments!C$4:C$1003,A97,Int_Repayments!D$4:D$1003,6),0))</f>
        <v>0</v>
      </c>
      <c r="X97" s="26" t="str">
        <f t="shared" si="65"/>
        <v/>
      </c>
      <c r="Y97" s="24" t="str">
        <f t="shared" si="66"/>
        <v/>
      </c>
      <c r="Z97" s="25">
        <f>IF(A97="","",IFERROR(SUMIFS(Int_Repayments!E$4:E$1003,Int_Repayments!C$4:C$1003,A97,Int_Repayments!D$4:D$1003,7),0))</f>
        <v>0</v>
      </c>
      <c r="AA97" s="26" t="str">
        <f t="shared" si="67"/>
        <v/>
      </c>
      <c r="AB97" s="24" t="str">
        <f t="shared" si="68"/>
        <v/>
      </c>
      <c r="AC97" s="25">
        <f>IF(A97="","",IFERROR(SUMIFS(Int_Repayments!E$4:E$1003,Int_Repayments!C$4:C$1003,A97,Int_Repayments!D$4:D$1003,8),0))</f>
        <v>0</v>
      </c>
      <c r="AD97" s="26" t="str">
        <f t="shared" si="69"/>
        <v/>
      </c>
      <c r="AE97" s="24" t="str">
        <f t="shared" si="70"/>
        <v/>
      </c>
      <c r="AF97" s="25">
        <f>IF(A97="","",IFERROR(SUMIFS(Int_Repayments!E$4:E$1003,Int_Repayments!C$4:C$1003,A97,Int_Repayments!D$4:D$1003,9),0))</f>
        <v>0</v>
      </c>
      <c r="AG97" s="26" t="str">
        <f t="shared" si="71"/>
        <v/>
      </c>
      <c r="AH97" s="24" t="str">
        <f t="shared" si="72"/>
        <v/>
      </c>
      <c r="AI97" s="25">
        <f>IF(A97="","",IFERROR(SUMIFS(Int_Repayments!E$4:E$1003,Int_Repayments!C$4:C$1003,A97,Int_Repayments!D$4:D$1003,10),0))</f>
        <v>0</v>
      </c>
      <c r="AJ97" s="26" t="str">
        <f t="shared" si="73"/>
        <v/>
      </c>
      <c r="AK97" s="24" t="str">
        <f t="shared" si="74"/>
        <v/>
      </c>
      <c r="AL97" s="25">
        <f>IF(A97="","",IFERROR(SUMIFS(Int_Repayments!E$4:E$1003,Int_Repayments!C$4:C$1003,A97,Int_Repayments!D$4:D$1003,11),0))</f>
        <v>0</v>
      </c>
      <c r="AM97" s="26" t="str">
        <f t="shared" si="75"/>
        <v/>
      </c>
      <c r="AN97" s="24" t="str">
        <f t="shared" si="76"/>
        <v/>
      </c>
      <c r="AO97" s="25">
        <f>IF(A97="","",IFERROR(SUMIFS(Int_Repayments!E$4:E$1003,Int_Repayments!C$4:C$1003,A97,Int_Repayments!D$4:D$1003,12),0))</f>
        <v>0</v>
      </c>
      <c r="AP97" s="26" t="str">
        <f t="shared" si="77"/>
        <v/>
      </c>
      <c r="AQ97" s="24" t="str">
        <f t="shared" si="78"/>
        <v/>
      </c>
      <c r="AR97" s="24" t="str">
        <f t="shared" si="79"/>
        <v/>
      </c>
      <c r="AS97" s="24" t="str">
        <f t="shared" si="80"/>
        <v/>
      </c>
    </row>
    <row r="98" spans="1:45" ht="15.75" customHeight="1" x14ac:dyDescent="0.25">
      <c r="A98" s="6">
        <f>IFERROR(Loans!C98,"")</f>
        <v>0</v>
      </c>
      <c r="B98" s="4">
        <f>IFERROR(Loans!B98,"")</f>
        <v>0</v>
      </c>
      <c r="C98" s="6">
        <f>IFERROR(Loans!A98,"")</f>
        <v>0</v>
      </c>
      <c r="D98" s="21">
        <f>IFERROR(Loans!E98,0)</f>
        <v>0</v>
      </c>
      <c r="E98" s="22">
        <f>IFERROR(Loans!H98,0)</f>
        <v>0</v>
      </c>
      <c r="F98" s="23">
        <f>IFERROR(Loans!I98,0)</f>
        <v>0</v>
      </c>
      <c r="G98" s="24" t="str">
        <f t="shared" si="54"/>
        <v/>
      </c>
      <c r="H98" s="25">
        <f>IF(A98="","",IFERROR(SUMIFS(Int_Repayments!E$4:E$1003,Int_Repayments!C$4:C$1003,A98,Int_Repayments!D$4:D$1003,1),0))</f>
        <v>0</v>
      </c>
      <c r="I98" s="26" t="str">
        <f t="shared" si="55"/>
        <v/>
      </c>
      <c r="J98" s="24" t="str">
        <f t="shared" si="56"/>
        <v/>
      </c>
      <c r="K98" s="25">
        <f>IF(A98="","",IFERROR(SUMIFS(Int_Repayments!E$4:E$1003,Int_Repayments!C$4:C$1003,A98,Int_Repayments!D$4:D$1003,2),0))</f>
        <v>0</v>
      </c>
      <c r="L98" s="26" t="str">
        <f t="shared" si="57"/>
        <v/>
      </c>
      <c r="M98" s="24" t="str">
        <f t="shared" si="58"/>
        <v/>
      </c>
      <c r="N98" s="25">
        <f>IF(A98="","",IFERROR(SUMIFS(Int_Repayments!E$4:E$1003,Int_Repayments!C$4:C$1003,A98,Int_Repayments!D$4:D$1003,3),0))</f>
        <v>0</v>
      </c>
      <c r="O98" s="26" t="str">
        <f t="shared" si="59"/>
        <v/>
      </c>
      <c r="P98" s="24" t="str">
        <f t="shared" si="60"/>
        <v/>
      </c>
      <c r="Q98" s="25">
        <f>IF(A98="","",IFERROR(SUMIFS(Int_Repayments!E$4:E$1003,Int_Repayments!C$4:C$1003,A98,Int_Repayments!D$4:D$1003,4),0))</f>
        <v>0</v>
      </c>
      <c r="R98" s="26" t="str">
        <f t="shared" si="61"/>
        <v/>
      </c>
      <c r="S98" s="24" t="str">
        <f t="shared" si="62"/>
        <v/>
      </c>
      <c r="T98" s="25">
        <f>IF(A98="","",IFERROR(SUMIFS(Int_Repayments!E$4:E$1003,Int_Repayments!C$4:C$1003,A98,Int_Repayments!D$4:D$1003,5),0))</f>
        <v>0</v>
      </c>
      <c r="U98" s="26" t="str">
        <f t="shared" si="63"/>
        <v/>
      </c>
      <c r="V98" s="24" t="str">
        <f t="shared" si="64"/>
        <v/>
      </c>
      <c r="W98" s="25">
        <f>IF(A98="","",IFERROR(SUMIFS(Int_Repayments!E$4:E$1003,Int_Repayments!C$4:C$1003,A98,Int_Repayments!D$4:D$1003,6),0))</f>
        <v>0</v>
      </c>
      <c r="X98" s="26" t="str">
        <f t="shared" si="65"/>
        <v/>
      </c>
      <c r="Y98" s="24" t="str">
        <f t="shared" si="66"/>
        <v/>
      </c>
      <c r="Z98" s="25">
        <f>IF(A98="","",IFERROR(SUMIFS(Int_Repayments!E$4:E$1003,Int_Repayments!C$4:C$1003,A98,Int_Repayments!D$4:D$1003,7),0))</f>
        <v>0</v>
      </c>
      <c r="AA98" s="26" t="str">
        <f t="shared" si="67"/>
        <v/>
      </c>
      <c r="AB98" s="24" t="str">
        <f t="shared" si="68"/>
        <v/>
      </c>
      <c r="AC98" s="25">
        <f>IF(A98="","",IFERROR(SUMIFS(Int_Repayments!E$4:E$1003,Int_Repayments!C$4:C$1003,A98,Int_Repayments!D$4:D$1003,8),0))</f>
        <v>0</v>
      </c>
      <c r="AD98" s="26" t="str">
        <f t="shared" si="69"/>
        <v/>
      </c>
      <c r="AE98" s="24" t="str">
        <f t="shared" si="70"/>
        <v/>
      </c>
      <c r="AF98" s="25">
        <f>IF(A98="","",IFERROR(SUMIFS(Int_Repayments!E$4:E$1003,Int_Repayments!C$4:C$1003,A98,Int_Repayments!D$4:D$1003,9),0))</f>
        <v>0</v>
      </c>
      <c r="AG98" s="26" t="str">
        <f t="shared" si="71"/>
        <v/>
      </c>
      <c r="AH98" s="24" t="str">
        <f t="shared" si="72"/>
        <v/>
      </c>
      <c r="AI98" s="25">
        <f>IF(A98="","",IFERROR(SUMIFS(Int_Repayments!E$4:E$1003,Int_Repayments!C$4:C$1003,A98,Int_Repayments!D$4:D$1003,10),0))</f>
        <v>0</v>
      </c>
      <c r="AJ98" s="26" t="str">
        <f t="shared" si="73"/>
        <v/>
      </c>
      <c r="AK98" s="24" t="str">
        <f t="shared" si="74"/>
        <v/>
      </c>
      <c r="AL98" s="25">
        <f>IF(A98="","",IFERROR(SUMIFS(Int_Repayments!E$4:E$1003,Int_Repayments!C$4:C$1003,A98,Int_Repayments!D$4:D$1003,11),0))</f>
        <v>0</v>
      </c>
      <c r="AM98" s="26" t="str">
        <f t="shared" si="75"/>
        <v/>
      </c>
      <c r="AN98" s="24" t="str">
        <f t="shared" si="76"/>
        <v/>
      </c>
      <c r="AO98" s="25">
        <f>IF(A98="","",IFERROR(SUMIFS(Int_Repayments!E$4:E$1003,Int_Repayments!C$4:C$1003,A98,Int_Repayments!D$4:D$1003,12),0))</f>
        <v>0</v>
      </c>
      <c r="AP98" s="26" t="str">
        <f t="shared" si="77"/>
        <v/>
      </c>
      <c r="AQ98" s="24" t="str">
        <f t="shared" si="78"/>
        <v/>
      </c>
      <c r="AR98" s="24" t="str">
        <f t="shared" si="79"/>
        <v/>
      </c>
      <c r="AS98" s="24" t="str">
        <f t="shared" si="80"/>
        <v/>
      </c>
    </row>
    <row r="99" spans="1:45" ht="15.75" customHeight="1" x14ac:dyDescent="0.25">
      <c r="A99" s="6">
        <f>IFERROR(Loans!C99,"")</f>
        <v>0</v>
      </c>
      <c r="B99" s="4">
        <f>IFERROR(Loans!B99,"")</f>
        <v>0</v>
      </c>
      <c r="C99" s="6">
        <f>IFERROR(Loans!A99,"")</f>
        <v>0</v>
      </c>
      <c r="D99" s="21">
        <f>IFERROR(Loans!E99,0)</f>
        <v>0</v>
      </c>
      <c r="E99" s="22">
        <f>IFERROR(Loans!H99,0)</f>
        <v>0</v>
      </c>
      <c r="F99" s="23">
        <f>IFERROR(Loans!I99,0)</f>
        <v>0</v>
      </c>
      <c r="G99" s="24" t="str">
        <f t="shared" si="54"/>
        <v/>
      </c>
      <c r="H99" s="25">
        <f>IF(A99="","",IFERROR(SUMIFS(Int_Repayments!E$4:E$1003,Int_Repayments!C$4:C$1003,A99,Int_Repayments!D$4:D$1003,1),0))</f>
        <v>0</v>
      </c>
      <c r="I99" s="26" t="str">
        <f t="shared" si="55"/>
        <v/>
      </c>
      <c r="J99" s="24" t="str">
        <f t="shared" si="56"/>
        <v/>
      </c>
      <c r="K99" s="25">
        <f>IF(A99="","",IFERROR(SUMIFS(Int_Repayments!E$4:E$1003,Int_Repayments!C$4:C$1003,A99,Int_Repayments!D$4:D$1003,2),0))</f>
        <v>0</v>
      </c>
      <c r="L99" s="26" t="str">
        <f t="shared" si="57"/>
        <v/>
      </c>
      <c r="M99" s="24" t="str">
        <f t="shared" si="58"/>
        <v/>
      </c>
      <c r="N99" s="25">
        <f>IF(A99="","",IFERROR(SUMIFS(Int_Repayments!E$4:E$1003,Int_Repayments!C$4:C$1003,A99,Int_Repayments!D$4:D$1003,3),0))</f>
        <v>0</v>
      </c>
      <c r="O99" s="26" t="str">
        <f t="shared" si="59"/>
        <v/>
      </c>
      <c r="P99" s="24" t="str">
        <f t="shared" si="60"/>
        <v/>
      </c>
      <c r="Q99" s="25">
        <f>IF(A99="","",IFERROR(SUMIFS(Int_Repayments!E$4:E$1003,Int_Repayments!C$4:C$1003,A99,Int_Repayments!D$4:D$1003,4),0))</f>
        <v>0</v>
      </c>
      <c r="R99" s="26" t="str">
        <f t="shared" si="61"/>
        <v/>
      </c>
      <c r="S99" s="24" t="str">
        <f t="shared" si="62"/>
        <v/>
      </c>
      <c r="T99" s="25">
        <f>IF(A99="","",IFERROR(SUMIFS(Int_Repayments!E$4:E$1003,Int_Repayments!C$4:C$1003,A99,Int_Repayments!D$4:D$1003,5),0))</f>
        <v>0</v>
      </c>
      <c r="U99" s="26" t="str">
        <f t="shared" si="63"/>
        <v/>
      </c>
      <c r="V99" s="24" t="str">
        <f t="shared" si="64"/>
        <v/>
      </c>
      <c r="W99" s="25">
        <f>IF(A99="","",IFERROR(SUMIFS(Int_Repayments!E$4:E$1003,Int_Repayments!C$4:C$1003,A99,Int_Repayments!D$4:D$1003,6),0))</f>
        <v>0</v>
      </c>
      <c r="X99" s="26" t="str">
        <f t="shared" si="65"/>
        <v/>
      </c>
      <c r="Y99" s="24" t="str">
        <f t="shared" si="66"/>
        <v/>
      </c>
      <c r="Z99" s="25">
        <f>IF(A99="","",IFERROR(SUMIFS(Int_Repayments!E$4:E$1003,Int_Repayments!C$4:C$1003,A99,Int_Repayments!D$4:D$1003,7),0))</f>
        <v>0</v>
      </c>
      <c r="AA99" s="26" t="str">
        <f t="shared" si="67"/>
        <v/>
      </c>
      <c r="AB99" s="24" t="str">
        <f t="shared" si="68"/>
        <v/>
      </c>
      <c r="AC99" s="25">
        <f>IF(A99="","",IFERROR(SUMIFS(Int_Repayments!E$4:E$1003,Int_Repayments!C$4:C$1003,A99,Int_Repayments!D$4:D$1003,8),0))</f>
        <v>0</v>
      </c>
      <c r="AD99" s="26" t="str">
        <f t="shared" si="69"/>
        <v/>
      </c>
      <c r="AE99" s="24" t="str">
        <f t="shared" si="70"/>
        <v/>
      </c>
      <c r="AF99" s="25">
        <f>IF(A99="","",IFERROR(SUMIFS(Int_Repayments!E$4:E$1003,Int_Repayments!C$4:C$1003,A99,Int_Repayments!D$4:D$1003,9),0))</f>
        <v>0</v>
      </c>
      <c r="AG99" s="26" t="str">
        <f t="shared" si="71"/>
        <v/>
      </c>
      <c r="AH99" s="24" t="str">
        <f t="shared" si="72"/>
        <v/>
      </c>
      <c r="AI99" s="25">
        <f>IF(A99="","",IFERROR(SUMIFS(Int_Repayments!E$4:E$1003,Int_Repayments!C$4:C$1003,A99,Int_Repayments!D$4:D$1003,10),0))</f>
        <v>0</v>
      </c>
      <c r="AJ99" s="26" t="str">
        <f t="shared" si="73"/>
        <v/>
      </c>
      <c r="AK99" s="24" t="str">
        <f t="shared" si="74"/>
        <v/>
      </c>
      <c r="AL99" s="25">
        <f>IF(A99="","",IFERROR(SUMIFS(Int_Repayments!E$4:E$1003,Int_Repayments!C$4:C$1003,A99,Int_Repayments!D$4:D$1003,11),0))</f>
        <v>0</v>
      </c>
      <c r="AM99" s="26" t="str">
        <f t="shared" si="75"/>
        <v/>
      </c>
      <c r="AN99" s="24" t="str">
        <f t="shared" si="76"/>
        <v/>
      </c>
      <c r="AO99" s="25">
        <f>IF(A99="","",IFERROR(SUMIFS(Int_Repayments!E$4:E$1003,Int_Repayments!C$4:C$1003,A99,Int_Repayments!D$4:D$1003,12),0))</f>
        <v>0</v>
      </c>
      <c r="AP99" s="26" t="str">
        <f t="shared" si="77"/>
        <v/>
      </c>
      <c r="AQ99" s="24" t="str">
        <f t="shared" si="78"/>
        <v/>
      </c>
      <c r="AR99" s="24" t="str">
        <f t="shared" si="79"/>
        <v/>
      </c>
      <c r="AS99" s="24" t="str">
        <f t="shared" si="80"/>
        <v/>
      </c>
    </row>
    <row r="100" spans="1:45" ht="15.75" customHeight="1" x14ac:dyDescent="0.25">
      <c r="A100" s="6">
        <f>IFERROR(Loans!C100,"")</f>
        <v>0</v>
      </c>
      <c r="B100" s="4">
        <f>IFERROR(Loans!B100,"")</f>
        <v>0</v>
      </c>
      <c r="C100" s="6">
        <f>IFERROR(Loans!A100,"")</f>
        <v>0</v>
      </c>
      <c r="D100" s="21">
        <f>IFERROR(Loans!E100,0)</f>
        <v>0</v>
      </c>
      <c r="E100" s="22">
        <f>IFERROR(Loans!H100,0)</f>
        <v>0</v>
      </c>
      <c r="F100" s="23">
        <f>IFERROR(Loans!I100,0)</f>
        <v>0</v>
      </c>
      <c r="G100" s="24" t="str">
        <f t="shared" si="54"/>
        <v/>
      </c>
      <c r="H100" s="25">
        <f>IF(A100="","",IFERROR(SUMIFS(Int_Repayments!E$4:E$1003,Int_Repayments!C$4:C$1003,A100,Int_Repayments!D$4:D$1003,1),0))</f>
        <v>0</v>
      </c>
      <c r="I100" s="26" t="str">
        <f t="shared" ref="I100:I131" si="81">IF(D100=0,"",MAX(0,G100-H100))</f>
        <v/>
      </c>
      <c r="J100" s="24" t="str">
        <f t="shared" si="56"/>
        <v/>
      </c>
      <c r="K100" s="25">
        <f>IF(A100="","",IFERROR(SUMIFS(Int_Repayments!E$4:E$1003,Int_Repayments!C$4:C$1003,A100,Int_Repayments!D$4:D$1003,2),0))</f>
        <v>0</v>
      </c>
      <c r="L100" s="26" t="str">
        <f t="shared" ref="L100:L131" si="82">IF(D100=0,"",MAX(0,J100-K100))</f>
        <v/>
      </c>
      <c r="M100" s="24" t="str">
        <f t="shared" si="58"/>
        <v/>
      </c>
      <c r="N100" s="25">
        <f>IF(A100="","",IFERROR(SUMIFS(Int_Repayments!E$4:E$1003,Int_Repayments!C$4:C$1003,A100,Int_Repayments!D$4:D$1003,3),0))</f>
        <v>0</v>
      </c>
      <c r="O100" s="26" t="str">
        <f t="shared" ref="O100:O131" si="83">IF(D100=0,"",MAX(0,M100-N100))</f>
        <v/>
      </c>
      <c r="P100" s="24" t="str">
        <f t="shared" si="60"/>
        <v/>
      </c>
      <c r="Q100" s="25">
        <f>IF(A100="","",IFERROR(SUMIFS(Int_Repayments!E$4:E$1003,Int_Repayments!C$4:C$1003,A100,Int_Repayments!D$4:D$1003,4),0))</f>
        <v>0</v>
      </c>
      <c r="R100" s="26" t="str">
        <f t="shared" ref="R100:R131" si="84">IF(D100=0,"",MAX(0,P100-Q100))</f>
        <v/>
      </c>
      <c r="S100" s="24" t="str">
        <f t="shared" si="62"/>
        <v/>
      </c>
      <c r="T100" s="25">
        <f>IF(A100="","",IFERROR(SUMIFS(Int_Repayments!E$4:E$1003,Int_Repayments!C$4:C$1003,A100,Int_Repayments!D$4:D$1003,5),0))</f>
        <v>0</v>
      </c>
      <c r="U100" s="26" t="str">
        <f t="shared" ref="U100:U131" si="85">IF(D100=0,"",MAX(0,S100-T100))</f>
        <v/>
      </c>
      <c r="V100" s="24" t="str">
        <f t="shared" si="64"/>
        <v/>
      </c>
      <c r="W100" s="25">
        <f>IF(A100="","",IFERROR(SUMIFS(Int_Repayments!E$4:E$1003,Int_Repayments!C$4:C$1003,A100,Int_Repayments!D$4:D$1003,6),0))</f>
        <v>0</v>
      </c>
      <c r="X100" s="26" t="str">
        <f t="shared" ref="X100:X131" si="86">IF(D100=0,"",MAX(0,V100-W100))</f>
        <v/>
      </c>
      <c r="Y100" s="24" t="str">
        <f t="shared" si="66"/>
        <v/>
      </c>
      <c r="Z100" s="25">
        <f>IF(A100="","",IFERROR(SUMIFS(Int_Repayments!E$4:E$1003,Int_Repayments!C$4:C$1003,A100,Int_Repayments!D$4:D$1003,7),0))</f>
        <v>0</v>
      </c>
      <c r="AA100" s="26" t="str">
        <f t="shared" ref="AA100:AA131" si="87">IF(D100=0,"",MAX(0,Y100-Z100))</f>
        <v/>
      </c>
      <c r="AB100" s="24" t="str">
        <f t="shared" si="68"/>
        <v/>
      </c>
      <c r="AC100" s="25">
        <f>IF(A100="","",IFERROR(SUMIFS(Int_Repayments!E$4:E$1003,Int_Repayments!C$4:C$1003,A100,Int_Repayments!D$4:D$1003,8),0))</f>
        <v>0</v>
      </c>
      <c r="AD100" s="26" t="str">
        <f t="shared" ref="AD100:AD131" si="88">IF(D100=0,"",MAX(0,AB100-AC100))</f>
        <v/>
      </c>
      <c r="AE100" s="24" t="str">
        <f t="shared" si="70"/>
        <v/>
      </c>
      <c r="AF100" s="25">
        <f>IF(A100="","",IFERROR(SUMIFS(Int_Repayments!E$4:E$1003,Int_Repayments!C$4:C$1003,A100,Int_Repayments!D$4:D$1003,9),0))</f>
        <v>0</v>
      </c>
      <c r="AG100" s="26" t="str">
        <f t="shared" ref="AG100:AG131" si="89">IF(D100=0,"",MAX(0,AE100-AF100))</f>
        <v/>
      </c>
      <c r="AH100" s="24" t="str">
        <f t="shared" si="72"/>
        <v/>
      </c>
      <c r="AI100" s="25">
        <f>IF(A100="","",IFERROR(SUMIFS(Int_Repayments!E$4:E$1003,Int_Repayments!C$4:C$1003,A100,Int_Repayments!D$4:D$1003,10),0))</f>
        <v>0</v>
      </c>
      <c r="AJ100" s="26" t="str">
        <f t="shared" ref="AJ100:AJ131" si="90">IF(D100=0,"",MAX(0,AH100-AI100))</f>
        <v/>
      </c>
      <c r="AK100" s="24" t="str">
        <f t="shared" si="74"/>
        <v/>
      </c>
      <c r="AL100" s="25">
        <f>IF(A100="","",IFERROR(SUMIFS(Int_Repayments!E$4:E$1003,Int_Repayments!C$4:C$1003,A100,Int_Repayments!D$4:D$1003,11),0))</f>
        <v>0</v>
      </c>
      <c r="AM100" s="26" t="str">
        <f t="shared" ref="AM100:AM131" si="91">IF(D100=0,"",MAX(0,AK100-AL100))</f>
        <v/>
      </c>
      <c r="AN100" s="24" t="str">
        <f t="shared" si="76"/>
        <v/>
      </c>
      <c r="AO100" s="25">
        <f>IF(A100="","",IFERROR(SUMIFS(Int_Repayments!E$4:E$1003,Int_Repayments!C$4:C$1003,A100,Int_Repayments!D$4:D$1003,12),0))</f>
        <v>0</v>
      </c>
      <c r="AP100" s="26" t="str">
        <f t="shared" ref="AP100:AP131" si="92">IF(D100=0,"",MAX(0,AN100-AO100))</f>
        <v/>
      </c>
      <c r="AQ100" s="24" t="str">
        <f t="shared" si="78"/>
        <v/>
      </c>
      <c r="AR100" s="24" t="str">
        <f t="shared" si="79"/>
        <v/>
      </c>
      <c r="AS100" s="24" t="str">
        <f t="shared" ref="AS100:AS131" si="93">IF(D100=0,"",MAX(0,AQ100-AR100))</f>
        <v/>
      </c>
    </row>
    <row r="101" spans="1:45" ht="15.75" customHeight="1" x14ac:dyDescent="0.25">
      <c r="A101" s="6">
        <f>IFERROR(Loans!C101,"")</f>
        <v>0</v>
      </c>
      <c r="B101" s="4">
        <f>IFERROR(Loans!B101,"")</f>
        <v>0</v>
      </c>
      <c r="C101" s="6">
        <f>IFERROR(Loans!A101,"")</f>
        <v>0</v>
      </c>
      <c r="D101" s="21">
        <f>IFERROR(Loans!E101,0)</f>
        <v>0</v>
      </c>
      <c r="E101" s="22">
        <f>IFERROR(Loans!H101,0)</f>
        <v>0</v>
      </c>
      <c r="F101" s="23">
        <f>IFERROR(Loans!I101,0)</f>
        <v>0</v>
      </c>
      <c r="G101" s="24" t="str">
        <f t="shared" si="54"/>
        <v/>
      </c>
      <c r="H101" s="25">
        <f>IF(A101="","",IFERROR(SUMIFS(Int_Repayments!E$4:E$1003,Int_Repayments!C$4:C$1003,A101,Int_Repayments!D$4:D$1003,1),0))</f>
        <v>0</v>
      </c>
      <c r="I101" s="26" t="str">
        <f t="shared" si="81"/>
        <v/>
      </c>
      <c r="J101" s="24" t="str">
        <f t="shared" si="56"/>
        <v/>
      </c>
      <c r="K101" s="25">
        <f>IF(A101="","",IFERROR(SUMIFS(Int_Repayments!E$4:E$1003,Int_Repayments!C$4:C$1003,A101,Int_Repayments!D$4:D$1003,2),0))</f>
        <v>0</v>
      </c>
      <c r="L101" s="26" t="str">
        <f t="shared" si="82"/>
        <v/>
      </c>
      <c r="M101" s="24" t="str">
        <f t="shared" si="58"/>
        <v/>
      </c>
      <c r="N101" s="25">
        <f>IF(A101="","",IFERROR(SUMIFS(Int_Repayments!E$4:E$1003,Int_Repayments!C$4:C$1003,A101,Int_Repayments!D$4:D$1003,3),0))</f>
        <v>0</v>
      </c>
      <c r="O101" s="26" t="str">
        <f t="shared" si="83"/>
        <v/>
      </c>
      <c r="P101" s="24" t="str">
        <f t="shared" si="60"/>
        <v/>
      </c>
      <c r="Q101" s="25">
        <f>IF(A101="","",IFERROR(SUMIFS(Int_Repayments!E$4:E$1003,Int_Repayments!C$4:C$1003,A101,Int_Repayments!D$4:D$1003,4),0))</f>
        <v>0</v>
      </c>
      <c r="R101" s="26" t="str">
        <f t="shared" si="84"/>
        <v/>
      </c>
      <c r="S101" s="24" t="str">
        <f t="shared" si="62"/>
        <v/>
      </c>
      <c r="T101" s="25">
        <f>IF(A101="","",IFERROR(SUMIFS(Int_Repayments!E$4:E$1003,Int_Repayments!C$4:C$1003,A101,Int_Repayments!D$4:D$1003,5),0))</f>
        <v>0</v>
      </c>
      <c r="U101" s="26" t="str">
        <f t="shared" si="85"/>
        <v/>
      </c>
      <c r="V101" s="24" t="str">
        <f t="shared" si="64"/>
        <v/>
      </c>
      <c r="W101" s="25">
        <f>IF(A101="","",IFERROR(SUMIFS(Int_Repayments!E$4:E$1003,Int_Repayments!C$4:C$1003,A101,Int_Repayments!D$4:D$1003,6),0))</f>
        <v>0</v>
      </c>
      <c r="X101" s="26" t="str">
        <f t="shared" si="86"/>
        <v/>
      </c>
      <c r="Y101" s="24" t="str">
        <f t="shared" si="66"/>
        <v/>
      </c>
      <c r="Z101" s="25">
        <f>IF(A101="","",IFERROR(SUMIFS(Int_Repayments!E$4:E$1003,Int_Repayments!C$4:C$1003,A101,Int_Repayments!D$4:D$1003,7),0))</f>
        <v>0</v>
      </c>
      <c r="AA101" s="26" t="str">
        <f t="shared" si="87"/>
        <v/>
      </c>
      <c r="AB101" s="24" t="str">
        <f t="shared" si="68"/>
        <v/>
      </c>
      <c r="AC101" s="25">
        <f>IF(A101="","",IFERROR(SUMIFS(Int_Repayments!E$4:E$1003,Int_Repayments!C$4:C$1003,A101,Int_Repayments!D$4:D$1003,8),0))</f>
        <v>0</v>
      </c>
      <c r="AD101" s="26" t="str">
        <f t="shared" si="88"/>
        <v/>
      </c>
      <c r="AE101" s="24" t="str">
        <f t="shared" si="70"/>
        <v/>
      </c>
      <c r="AF101" s="25">
        <f>IF(A101="","",IFERROR(SUMIFS(Int_Repayments!E$4:E$1003,Int_Repayments!C$4:C$1003,A101,Int_Repayments!D$4:D$1003,9),0))</f>
        <v>0</v>
      </c>
      <c r="AG101" s="26" t="str">
        <f t="shared" si="89"/>
        <v/>
      </c>
      <c r="AH101" s="24" t="str">
        <f t="shared" si="72"/>
        <v/>
      </c>
      <c r="AI101" s="25">
        <f>IF(A101="","",IFERROR(SUMIFS(Int_Repayments!E$4:E$1003,Int_Repayments!C$4:C$1003,A101,Int_Repayments!D$4:D$1003,10),0))</f>
        <v>0</v>
      </c>
      <c r="AJ101" s="26" t="str">
        <f t="shared" si="90"/>
        <v/>
      </c>
      <c r="AK101" s="24" t="str">
        <f t="shared" si="74"/>
        <v/>
      </c>
      <c r="AL101" s="25">
        <f>IF(A101="","",IFERROR(SUMIFS(Int_Repayments!E$4:E$1003,Int_Repayments!C$4:C$1003,A101,Int_Repayments!D$4:D$1003,11),0))</f>
        <v>0</v>
      </c>
      <c r="AM101" s="26" t="str">
        <f t="shared" si="91"/>
        <v/>
      </c>
      <c r="AN101" s="24" t="str">
        <f t="shared" si="76"/>
        <v/>
      </c>
      <c r="AO101" s="25">
        <f>IF(A101="","",IFERROR(SUMIFS(Int_Repayments!E$4:E$1003,Int_Repayments!C$4:C$1003,A101,Int_Repayments!D$4:D$1003,12),0))</f>
        <v>0</v>
      </c>
      <c r="AP101" s="26" t="str">
        <f t="shared" si="92"/>
        <v/>
      </c>
      <c r="AQ101" s="24" t="str">
        <f t="shared" si="78"/>
        <v/>
      </c>
      <c r="AR101" s="24" t="str">
        <f t="shared" si="79"/>
        <v/>
      </c>
      <c r="AS101" s="24" t="str">
        <f t="shared" si="93"/>
        <v/>
      </c>
    </row>
    <row r="102" spans="1:45" ht="15.75" customHeight="1" x14ac:dyDescent="0.25">
      <c r="A102" s="6">
        <f>IFERROR(Loans!C102,"")</f>
        <v>0</v>
      </c>
      <c r="B102" s="4">
        <f>IFERROR(Loans!B102,"")</f>
        <v>0</v>
      </c>
      <c r="C102" s="6">
        <f>IFERROR(Loans!A102,"")</f>
        <v>0</v>
      </c>
      <c r="D102" s="21">
        <f>IFERROR(Loans!E102,0)</f>
        <v>0</v>
      </c>
      <c r="E102" s="22">
        <f>IFERROR(Loans!H102,0)</f>
        <v>0</v>
      </c>
      <c r="F102" s="23">
        <f>IFERROR(Loans!I102,0)</f>
        <v>0</v>
      </c>
      <c r="G102" s="24" t="str">
        <f t="shared" si="54"/>
        <v/>
      </c>
      <c r="H102" s="25">
        <f>IF(A102="","",IFERROR(SUMIFS(Int_Repayments!E$4:E$1003,Int_Repayments!C$4:C$1003,A102,Int_Repayments!D$4:D$1003,1),0))</f>
        <v>0</v>
      </c>
      <c r="I102" s="26" t="str">
        <f t="shared" si="81"/>
        <v/>
      </c>
      <c r="J102" s="24" t="str">
        <f t="shared" si="56"/>
        <v/>
      </c>
      <c r="K102" s="25">
        <f>IF(A102="","",IFERROR(SUMIFS(Int_Repayments!E$4:E$1003,Int_Repayments!C$4:C$1003,A102,Int_Repayments!D$4:D$1003,2),0))</f>
        <v>0</v>
      </c>
      <c r="L102" s="26" t="str">
        <f t="shared" si="82"/>
        <v/>
      </c>
      <c r="M102" s="24" t="str">
        <f t="shared" si="58"/>
        <v/>
      </c>
      <c r="N102" s="25">
        <f>IF(A102="","",IFERROR(SUMIFS(Int_Repayments!E$4:E$1003,Int_Repayments!C$4:C$1003,A102,Int_Repayments!D$4:D$1003,3),0))</f>
        <v>0</v>
      </c>
      <c r="O102" s="26" t="str">
        <f t="shared" si="83"/>
        <v/>
      </c>
      <c r="P102" s="24" t="str">
        <f t="shared" si="60"/>
        <v/>
      </c>
      <c r="Q102" s="25">
        <f>IF(A102="","",IFERROR(SUMIFS(Int_Repayments!E$4:E$1003,Int_Repayments!C$4:C$1003,A102,Int_Repayments!D$4:D$1003,4),0))</f>
        <v>0</v>
      </c>
      <c r="R102" s="26" t="str">
        <f t="shared" si="84"/>
        <v/>
      </c>
      <c r="S102" s="24" t="str">
        <f t="shared" si="62"/>
        <v/>
      </c>
      <c r="T102" s="25">
        <f>IF(A102="","",IFERROR(SUMIFS(Int_Repayments!E$4:E$1003,Int_Repayments!C$4:C$1003,A102,Int_Repayments!D$4:D$1003,5),0))</f>
        <v>0</v>
      </c>
      <c r="U102" s="26" t="str">
        <f t="shared" si="85"/>
        <v/>
      </c>
      <c r="V102" s="24" t="str">
        <f t="shared" si="64"/>
        <v/>
      </c>
      <c r="W102" s="25">
        <f>IF(A102="","",IFERROR(SUMIFS(Int_Repayments!E$4:E$1003,Int_Repayments!C$4:C$1003,A102,Int_Repayments!D$4:D$1003,6),0))</f>
        <v>0</v>
      </c>
      <c r="X102" s="26" t="str">
        <f t="shared" si="86"/>
        <v/>
      </c>
      <c r="Y102" s="24" t="str">
        <f t="shared" si="66"/>
        <v/>
      </c>
      <c r="Z102" s="25">
        <f>IF(A102="","",IFERROR(SUMIFS(Int_Repayments!E$4:E$1003,Int_Repayments!C$4:C$1003,A102,Int_Repayments!D$4:D$1003,7),0))</f>
        <v>0</v>
      </c>
      <c r="AA102" s="26" t="str">
        <f t="shared" si="87"/>
        <v/>
      </c>
      <c r="AB102" s="24" t="str">
        <f t="shared" si="68"/>
        <v/>
      </c>
      <c r="AC102" s="25">
        <f>IF(A102="","",IFERROR(SUMIFS(Int_Repayments!E$4:E$1003,Int_Repayments!C$4:C$1003,A102,Int_Repayments!D$4:D$1003,8),0))</f>
        <v>0</v>
      </c>
      <c r="AD102" s="26" t="str">
        <f t="shared" si="88"/>
        <v/>
      </c>
      <c r="AE102" s="24" t="str">
        <f t="shared" si="70"/>
        <v/>
      </c>
      <c r="AF102" s="25">
        <f>IF(A102="","",IFERROR(SUMIFS(Int_Repayments!E$4:E$1003,Int_Repayments!C$4:C$1003,A102,Int_Repayments!D$4:D$1003,9),0))</f>
        <v>0</v>
      </c>
      <c r="AG102" s="26" t="str">
        <f t="shared" si="89"/>
        <v/>
      </c>
      <c r="AH102" s="24" t="str">
        <f t="shared" si="72"/>
        <v/>
      </c>
      <c r="AI102" s="25">
        <f>IF(A102="","",IFERROR(SUMIFS(Int_Repayments!E$4:E$1003,Int_Repayments!C$4:C$1003,A102,Int_Repayments!D$4:D$1003,10),0))</f>
        <v>0</v>
      </c>
      <c r="AJ102" s="26" t="str">
        <f t="shared" si="90"/>
        <v/>
      </c>
      <c r="AK102" s="24" t="str">
        <f t="shared" si="74"/>
        <v/>
      </c>
      <c r="AL102" s="25">
        <f>IF(A102="","",IFERROR(SUMIFS(Int_Repayments!E$4:E$1003,Int_Repayments!C$4:C$1003,A102,Int_Repayments!D$4:D$1003,11),0))</f>
        <v>0</v>
      </c>
      <c r="AM102" s="26" t="str">
        <f t="shared" si="91"/>
        <v/>
      </c>
      <c r="AN102" s="24" t="str">
        <f t="shared" si="76"/>
        <v/>
      </c>
      <c r="AO102" s="25">
        <f>IF(A102="","",IFERROR(SUMIFS(Int_Repayments!E$4:E$1003,Int_Repayments!C$4:C$1003,A102,Int_Repayments!D$4:D$1003,12),0))</f>
        <v>0</v>
      </c>
      <c r="AP102" s="26" t="str">
        <f t="shared" si="92"/>
        <v/>
      </c>
      <c r="AQ102" s="24" t="str">
        <f t="shared" si="78"/>
        <v/>
      </c>
      <c r="AR102" s="24" t="str">
        <f t="shared" si="79"/>
        <v/>
      </c>
      <c r="AS102" s="24" t="str">
        <f t="shared" si="93"/>
        <v/>
      </c>
    </row>
    <row r="103" spans="1:45" ht="15.75" customHeight="1" x14ac:dyDescent="0.25">
      <c r="A103" s="6">
        <f>IFERROR(Loans!C103,"")</f>
        <v>0</v>
      </c>
      <c r="B103" s="4">
        <f>IFERROR(Loans!B103,"")</f>
        <v>0</v>
      </c>
      <c r="C103" s="6">
        <f>IFERROR(Loans!A103,"")</f>
        <v>0</v>
      </c>
      <c r="D103" s="21">
        <f>IFERROR(Loans!E103,0)</f>
        <v>0</v>
      </c>
      <c r="E103" s="22">
        <f>IFERROR(Loans!H103,0)</f>
        <v>0</v>
      </c>
      <c r="F103" s="23">
        <f>IFERROR(Loans!I103,0)</f>
        <v>0</v>
      </c>
      <c r="G103" s="24" t="str">
        <f t="shared" si="54"/>
        <v/>
      </c>
      <c r="H103" s="25">
        <f>IF(A103="","",IFERROR(SUMIFS(Int_Repayments!E$4:E$1003,Int_Repayments!C$4:C$1003,A103,Int_Repayments!D$4:D$1003,1),0))</f>
        <v>0</v>
      </c>
      <c r="I103" s="26" t="str">
        <f t="shared" si="81"/>
        <v/>
      </c>
      <c r="J103" s="24" t="str">
        <f t="shared" si="56"/>
        <v/>
      </c>
      <c r="K103" s="25">
        <f>IF(A103="","",IFERROR(SUMIFS(Int_Repayments!E$4:E$1003,Int_Repayments!C$4:C$1003,A103,Int_Repayments!D$4:D$1003,2),0))</f>
        <v>0</v>
      </c>
      <c r="L103" s="26" t="str">
        <f t="shared" si="82"/>
        <v/>
      </c>
      <c r="M103" s="24" t="str">
        <f t="shared" si="58"/>
        <v/>
      </c>
      <c r="N103" s="25">
        <f>IF(A103="","",IFERROR(SUMIFS(Int_Repayments!E$4:E$1003,Int_Repayments!C$4:C$1003,A103,Int_Repayments!D$4:D$1003,3),0))</f>
        <v>0</v>
      </c>
      <c r="O103" s="26" t="str">
        <f t="shared" si="83"/>
        <v/>
      </c>
      <c r="P103" s="24" t="str">
        <f t="shared" si="60"/>
        <v/>
      </c>
      <c r="Q103" s="25">
        <f>IF(A103="","",IFERROR(SUMIFS(Int_Repayments!E$4:E$1003,Int_Repayments!C$4:C$1003,A103,Int_Repayments!D$4:D$1003,4),0))</f>
        <v>0</v>
      </c>
      <c r="R103" s="26" t="str">
        <f t="shared" si="84"/>
        <v/>
      </c>
      <c r="S103" s="24" t="str">
        <f t="shared" si="62"/>
        <v/>
      </c>
      <c r="T103" s="25">
        <f>IF(A103="","",IFERROR(SUMIFS(Int_Repayments!E$4:E$1003,Int_Repayments!C$4:C$1003,A103,Int_Repayments!D$4:D$1003,5),0))</f>
        <v>0</v>
      </c>
      <c r="U103" s="26" t="str">
        <f t="shared" si="85"/>
        <v/>
      </c>
      <c r="V103" s="24" t="str">
        <f t="shared" si="64"/>
        <v/>
      </c>
      <c r="W103" s="25">
        <f>IF(A103="","",IFERROR(SUMIFS(Int_Repayments!E$4:E$1003,Int_Repayments!C$4:C$1003,A103,Int_Repayments!D$4:D$1003,6),0))</f>
        <v>0</v>
      </c>
      <c r="X103" s="26" t="str">
        <f t="shared" si="86"/>
        <v/>
      </c>
      <c r="Y103" s="24" t="str">
        <f t="shared" si="66"/>
        <v/>
      </c>
      <c r="Z103" s="25">
        <f>IF(A103="","",IFERROR(SUMIFS(Int_Repayments!E$4:E$1003,Int_Repayments!C$4:C$1003,A103,Int_Repayments!D$4:D$1003,7),0))</f>
        <v>0</v>
      </c>
      <c r="AA103" s="26" t="str">
        <f t="shared" si="87"/>
        <v/>
      </c>
      <c r="AB103" s="24" t="str">
        <f t="shared" si="68"/>
        <v/>
      </c>
      <c r="AC103" s="25">
        <f>IF(A103="","",IFERROR(SUMIFS(Int_Repayments!E$4:E$1003,Int_Repayments!C$4:C$1003,A103,Int_Repayments!D$4:D$1003,8),0))</f>
        <v>0</v>
      </c>
      <c r="AD103" s="26" t="str">
        <f t="shared" si="88"/>
        <v/>
      </c>
      <c r="AE103" s="24" t="str">
        <f t="shared" si="70"/>
        <v/>
      </c>
      <c r="AF103" s="25">
        <f>IF(A103="","",IFERROR(SUMIFS(Int_Repayments!E$4:E$1003,Int_Repayments!C$4:C$1003,A103,Int_Repayments!D$4:D$1003,9),0))</f>
        <v>0</v>
      </c>
      <c r="AG103" s="26" t="str">
        <f t="shared" si="89"/>
        <v/>
      </c>
      <c r="AH103" s="24" t="str">
        <f t="shared" si="72"/>
        <v/>
      </c>
      <c r="AI103" s="25">
        <f>IF(A103="","",IFERROR(SUMIFS(Int_Repayments!E$4:E$1003,Int_Repayments!C$4:C$1003,A103,Int_Repayments!D$4:D$1003,10),0))</f>
        <v>0</v>
      </c>
      <c r="AJ103" s="26" t="str">
        <f t="shared" si="90"/>
        <v/>
      </c>
      <c r="AK103" s="24" t="str">
        <f t="shared" si="74"/>
        <v/>
      </c>
      <c r="AL103" s="25">
        <f>IF(A103="","",IFERROR(SUMIFS(Int_Repayments!E$4:E$1003,Int_Repayments!C$4:C$1003,A103,Int_Repayments!D$4:D$1003,11),0))</f>
        <v>0</v>
      </c>
      <c r="AM103" s="26" t="str">
        <f t="shared" si="91"/>
        <v/>
      </c>
      <c r="AN103" s="24" t="str">
        <f t="shared" si="76"/>
        <v/>
      </c>
      <c r="AO103" s="25">
        <f>IF(A103="","",IFERROR(SUMIFS(Int_Repayments!E$4:E$1003,Int_Repayments!C$4:C$1003,A103,Int_Repayments!D$4:D$1003,12),0))</f>
        <v>0</v>
      </c>
      <c r="AP103" s="26" t="str">
        <f t="shared" si="92"/>
        <v/>
      </c>
      <c r="AQ103" s="24" t="str">
        <f t="shared" si="78"/>
        <v/>
      </c>
      <c r="AR103" s="24" t="str">
        <f t="shared" si="79"/>
        <v/>
      </c>
      <c r="AS103" s="24" t="str">
        <f t="shared" si="93"/>
        <v/>
      </c>
    </row>
  </sheetData>
  <mergeCells count="15">
    <mergeCell ref="AQ2:AS2"/>
    <mergeCell ref="M2:O2"/>
    <mergeCell ref="S2:U2"/>
    <mergeCell ref="AH2:AJ2"/>
    <mergeCell ref="V2:X2"/>
    <mergeCell ref="AE2:AG2"/>
    <mergeCell ref="AK2:AM2"/>
    <mergeCell ref="P2:R2"/>
    <mergeCell ref="AN2:AP2"/>
    <mergeCell ref="A1:O1"/>
    <mergeCell ref="A2:F2"/>
    <mergeCell ref="G2:I2"/>
    <mergeCell ref="J2:L2"/>
    <mergeCell ref="AB2:AD2"/>
    <mergeCell ref="Y2:AA2"/>
  </mergeCells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1003"/>
  <sheetViews>
    <sheetView zoomScaleNormal="100" workbookViewId="0">
      <pane ySplit="3" topLeftCell="A4" activePane="bottomLeft" state="frozen"/>
      <selection pane="bottomLeft" sqref="A1:H1"/>
    </sheetView>
  </sheetViews>
  <sheetFormatPr defaultColWidth="8.7109375" defaultRowHeight="15" x14ac:dyDescent="0.25"/>
  <cols>
    <col min="1" max="1" width="14" customWidth="1"/>
    <col min="2" max="2" width="22" customWidth="1"/>
    <col min="3" max="3" width="14" customWidth="1"/>
    <col min="4" max="4" width="10" customWidth="1"/>
    <col min="5" max="5" width="13" customWidth="1"/>
    <col min="6" max="7" width="16" customWidth="1"/>
    <col min="8" max="8" width="13" customWidth="1"/>
    <col min="9" max="9" width="22" customWidth="1"/>
    <col min="10" max="10" width="18" customWidth="1"/>
  </cols>
  <sheetData>
    <row r="1" spans="1:10" ht="31.5" customHeight="1" x14ac:dyDescent="0.25">
      <c r="A1" s="166" t="s">
        <v>344</v>
      </c>
      <c r="B1" s="162"/>
      <c r="C1" s="162"/>
      <c r="D1" s="162"/>
      <c r="E1" s="162"/>
      <c r="F1" s="162"/>
      <c r="G1" s="162"/>
      <c r="H1" s="162"/>
    </row>
    <row r="2" spans="1:10" ht="19.5" customHeight="1" x14ac:dyDescent="0.25">
      <c r="A2" s="27" t="s">
        <v>345</v>
      </c>
    </row>
    <row r="3" spans="1:10" ht="24" customHeight="1" x14ac:dyDescent="0.25">
      <c r="A3" s="28" t="s">
        <v>43</v>
      </c>
      <c r="B3" s="28" t="s">
        <v>260</v>
      </c>
      <c r="C3" s="28" t="s">
        <v>346</v>
      </c>
      <c r="D3" s="28" t="s">
        <v>347</v>
      </c>
      <c r="E3" s="28" t="s">
        <v>348</v>
      </c>
      <c r="F3" s="28" t="s">
        <v>349</v>
      </c>
      <c r="G3" s="28" t="s">
        <v>350</v>
      </c>
      <c r="H3" s="28" t="s">
        <v>351</v>
      </c>
      <c r="I3" s="28" t="s">
        <v>51</v>
      </c>
      <c r="J3" s="28" t="s">
        <v>352</v>
      </c>
    </row>
    <row r="4" spans="1:10" ht="15.75" customHeight="1" x14ac:dyDescent="0.25">
      <c r="A4" s="11"/>
      <c r="B4" s="4" t="str">
        <f>IF(A4="","",IFERROR(VLOOKUP(A4,Members!A$4:B$103,2,0),""))</f>
        <v/>
      </c>
      <c r="C4" s="6">
        <f t="shared" ref="C4:C67" si="0">A4</f>
        <v>0</v>
      </c>
      <c r="D4" s="11"/>
      <c r="E4" s="6" t="str">
        <f t="shared" ref="E4:E67" si="1">IF(D4="","",TEXT(DATE(2024,D4,1),"MMMM"))</f>
        <v/>
      </c>
      <c r="F4" s="11"/>
      <c r="G4" s="25" t="str">
        <f>IF(A4="","",IFERROR(SUMIFS($F$4:$F4,$A$4:$A4,A4),0))</f>
        <v/>
      </c>
      <c r="H4" s="11"/>
      <c r="I4" s="11"/>
      <c r="J4" s="11"/>
    </row>
    <row r="5" spans="1:10" ht="15.75" customHeight="1" x14ac:dyDescent="0.25">
      <c r="A5" s="11"/>
      <c r="B5" s="4" t="str">
        <f>IF(A5="","",IFERROR(VLOOKUP(A5,Members!A$4:B$103,2,0),""))</f>
        <v/>
      </c>
      <c r="C5" s="6">
        <f t="shared" si="0"/>
        <v>0</v>
      </c>
      <c r="D5" s="11"/>
      <c r="E5" s="6" t="str">
        <f t="shared" si="1"/>
        <v/>
      </c>
      <c r="F5" s="11"/>
      <c r="G5" s="25" t="str">
        <f>IF(A5="","",IFERROR(SUMIFS($F$4:$F5,$A$4:$A5,A5),0))</f>
        <v/>
      </c>
      <c r="H5" s="11"/>
      <c r="I5" s="11"/>
      <c r="J5" s="11"/>
    </row>
    <row r="6" spans="1:10" ht="15.75" customHeight="1" x14ac:dyDescent="0.25">
      <c r="A6" s="11"/>
      <c r="B6" s="4" t="str">
        <f>IF(A6="","",IFERROR(VLOOKUP(A6,Members!A$4:B$103,2,0),""))</f>
        <v/>
      </c>
      <c r="C6" s="6">
        <f t="shared" si="0"/>
        <v>0</v>
      </c>
      <c r="D6" s="11"/>
      <c r="E6" s="6" t="str">
        <f t="shared" si="1"/>
        <v/>
      </c>
      <c r="F6" s="11"/>
      <c r="G6" s="25" t="str">
        <f>IF(A6="","",IFERROR(SUMIFS($F$4:$F6,$A$4:$A6,A6),0))</f>
        <v/>
      </c>
      <c r="H6" s="11"/>
      <c r="I6" s="11"/>
      <c r="J6" s="11"/>
    </row>
    <row r="7" spans="1:10" ht="15.75" customHeight="1" x14ac:dyDescent="0.25">
      <c r="A7" s="11"/>
      <c r="B7" s="4" t="str">
        <f>IF(A7="","",IFERROR(VLOOKUP(A7,Members!A$4:B$103,2,0),""))</f>
        <v/>
      </c>
      <c r="C7" s="6">
        <f t="shared" si="0"/>
        <v>0</v>
      </c>
      <c r="D7" s="11"/>
      <c r="E7" s="6" t="str">
        <f t="shared" si="1"/>
        <v/>
      </c>
      <c r="F7" s="11"/>
      <c r="G7" s="25" t="str">
        <f>IF(A7="","",IFERROR(SUMIFS($F$4:$F7,$A$4:$A7,A7),0))</f>
        <v/>
      </c>
      <c r="H7" s="11"/>
      <c r="I7" s="11"/>
      <c r="J7" s="11"/>
    </row>
    <row r="8" spans="1:10" ht="15.75" customHeight="1" x14ac:dyDescent="0.25">
      <c r="A8" s="11"/>
      <c r="B8" s="4" t="str">
        <f>IF(A8="","",IFERROR(VLOOKUP(A8,Members!A$4:B$103,2,0),""))</f>
        <v/>
      </c>
      <c r="C8" s="6">
        <f t="shared" si="0"/>
        <v>0</v>
      </c>
      <c r="D8" s="11"/>
      <c r="E8" s="6" t="str">
        <f t="shared" si="1"/>
        <v/>
      </c>
      <c r="F8" s="11"/>
      <c r="G8" s="25" t="str">
        <f>IF(A8="","",IFERROR(SUMIFS($F$4:$F8,$A$4:$A8,A8),0))</f>
        <v/>
      </c>
      <c r="H8" s="11"/>
      <c r="I8" s="11"/>
      <c r="J8" s="11"/>
    </row>
    <row r="9" spans="1:10" ht="15.75" customHeight="1" x14ac:dyDescent="0.25">
      <c r="A9" s="11"/>
      <c r="B9" s="4" t="str">
        <f>IF(A9="","",IFERROR(VLOOKUP(A9,Members!A$4:B$103,2,0),""))</f>
        <v/>
      </c>
      <c r="C9" s="6">
        <f t="shared" si="0"/>
        <v>0</v>
      </c>
      <c r="D9" s="11"/>
      <c r="E9" s="6" t="str">
        <f t="shared" si="1"/>
        <v/>
      </c>
      <c r="F9" s="11"/>
      <c r="G9" s="25" t="str">
        <f>IF(A9="","",IFERROR(SUMIFS($F$4:$F9,$A$4:$A9,A9),0))</f>
        <v/>
      </c>
      <c r="H9" s="11"/>
      <c r="I9" s="11"/>
      <c r="J9" s="11"/>
    </row>
    <row r="10" spans="1:10" ht="15.75" customHeight="1" x14ac:dyDescent="0.25">
      <c r="A10" s="11"/>
      <c r="B10" s="4" t="str">
        <f>IF(A10="","",IFERROR(VLOOKUP(A10,Members!A$4:B$103,2,0),""))</f>
        <v/>
      </c>
      <c r="C10" s="6">
        <f t="shared" si="0"/>
        <v>0</v>
      </c>
      <c r="D10" s="11"/>
      <c r="E10" s="6" t="str">
        <f t="shared" si="1"/>
        <v/>
      </c>
      <c r="F10" s="11"/>
      <c r="G10" s="25" t="str">
        <f>IF(A10="","",IFERROR(SUMIFS($F$4:$F10,$A$4:$A10,A10),0))</f>
        <v/>
      </c>
      <c r="H10" s="11"/>
      <c r="I10" s="11"/>
      <c r="J10" s="11"/>
    </row>
    <row r="11" spans="1:10" ht="15.75" customHeight="1" x14ac:dyDescent="0.25">
      <c r="A11" s="11"/>
      <c r="B11" s="4" t="str">
        <f>IF(A11="","",IFERROR(VLOOKUP(A11,Members!A$4:B$103,2,0),""))</f>
        <v/>
      </c>
      <c r="C11" s="6">
        <f t="shared" si="0"/>
        <v>0</v>
      </c>
      <c r="D11" s="11"/>
      <c r="E11" s="6" t="str">
        <f t="shared" si="1"/>
        <v/>
      </c>
      <c r="F11" s="11"/>
      <c r="G11" s="25" t="str">
        <f>IF(A11="","",IFERROR(SUMIFS($F$4:$F11,$A$4:$A11,A11),0))</f>
        <v/>
      </c>
      <c r="H11" s="11"/>
      <c r="I11" s="11"/>
      <c r="J11" s="11"/>
    </row>
    <row r="12" spans="1:10" ht="15.75" customHeight="1" x14ac:dyDescent="0.25">
      <c r="A12" s="11"/>
      <c r="B12" s="4" t="str">
        <f>IF(A12="","",IFERROR(VLOOKUP(A12,Members!A$4:B$103,2,0),""))</f>
        <v/>
      </c>
      <c r="C12" s="6">
        <f t="shared" si="0"/>
        <v>0</v>
      </c>
      <c r="D12" s="11"/>
      <c r="E12" s="6" t="str">
        <f t="shared" si="1"/>
        <v/>
      </c>
      <c r="F12" s="11"/>
      <c r="G12" s="25" t="str">
        <f>IF(A12="","",IFERROR(SUMIFS($F$4:$F12,$A$4:$A12,A12),0))</f>
        <v/>
      </c>
      <c r="H12" s="11"/>
      <c r="I12" s="11"/>
      <c r="J12" s="11"/>
    </row>
    <row r="13" spans="1:10" ht="15.75" customHeight="1" x14ac:dyDescent="0.25">
      <c r="A13" s="11"/>
      <c r="B13" s="4" t="str">
        <f>IF(A13="","",IFERROR(VLOOKUP(A13,Members!A$4:B$103,2,0),""))</f>
        <v/>
      </c>
      <c r="C13" s="6">
        <f t="shared" si="0"/>
        <v>0</v>
      </c>
      <c r="D13" s="11"/>
      <c r="E13" s="6" t="str">
        <f t="shared" si="1"/>
        <v/>
      </c>
      <c r="F13" s="11"/>
      <c r="G13" s="25" t="str">
        <f>IF(A13="","",IFERROR(SUMIFS($F$4:$F13,$A$4:$A13,A13),0))</f>
        <v/>
      </c>
      <c r="H13" s="11"/>
      <c r="I13" s="11"/>
      <c r="J13" s="11"/>
    </row>
    <row r="14" spans="1:10" ht="15.75" customHeight="1" x14ac:dyDescent="0.25">
      <c r="A14" s="11"/>
      <c r="B14" s="4" t="str">
        <f>IF(A14="","",IFERROR(VLOOKUP(A14,Members!A$4:B$103,2,0),""))</f>
        <v/>
      </c>
      <c r="C14" s="6">
        <f t="shared" si="0"/>
        <v>0</v>
      </c>
      <c r="D14" s="11"/>
      <c r="E14" s="6" t="str">
        <f t="shared" si="1"/>
        <v/>
      </c>
      <c r="F14" s="11"/>
      <c r="G14" s="25" t="str">
        <f>IF(A14="","",IFERROR(SUMIFS($F$4:$F14,$A$4:$A14,A14),0))</f>
        <v/>
      </c>
      <c r="H14" s="11"/>
      <c r="I14" s="11"/>
      <c r="J14" s="11"/>
    </row>
    <row r="15" spans="1:10" ht="15.75" customHeight="1" x14ac:dyDescent="0.25">
      <c r="A15" s="11"/>
      <c r="B15" s="4" t="str">
        <f>IF(A15="","",IFERROR(VLOOKUP(A15,Members!A$4:B$103,2,0),""))</f>
        <v/>
      </c>
      <c r="C15" s="6">
        <f t="shared" si="0"/>
        <v>0</v>
      </c>
      <c r="D15" s="11"/>
      <c r="E15" s="6" t="str">
        <f t="shared" si="1"/>
        <v/>
      </c>
      <c r="F15" s="11"/>
      <c r="G15" s="25" t="str">
        <f>IF(A15="","",IFERROR(SUMIFS($F$4:$F15,$A$4:$A15,A15),0))</f>
        <v/>
      </c>
      <c r="H15" s="11"/>
      <c r="I15" s="11"/>
      <c r="J15" s="11"/>
    </row>
    <row r="16" spans="1:10" ht="15.75" customHeight="1" x14ac:dyDescent="0.25">
      <c r="A16" s="11"/>
      <c r="B16" s="4" t="str">
        <f>IF(A16="","",IFERROR(VLOOKUP(A16,Members!A$4:B$103,2,0),""))</f>
        <v/>
      </c>
      <c r="C16" s="6">
        <f t="shared" si="0"/>
        <v>0</v>
      </c>
      <c r="D16" s="11"/>
      <c r="E16" s="6" t="str">
        <f t="shared" si="1"/>
        <v/>
      </c>
      <c r="F16" s="11"/>
      <c r="G16" s="25" t="str">
        <f>IF(A16="","",IFERROR(SUMIFS($F$4:$F16,$A$4:$A16,A16),0))</f>
        <v/>
      </c>
      <c r="H16" s="11"/>
      <c r="I16" s="11"/>
      <c r="J16" s="11"/>
    </row>
    <row r="17" spans="1:10" ht="15.75" customHeight="1" x14ac:dyDescent="0.25">
      <c r="A17" s="11"/>
      <c r="B17" s="4" t="str">
        <f>IF(A17="","",IFERROR(VLOOKUP(A17,Members!A$4:B$103,2,0),""))</f>
        <v/>
      </c>
      <c r="C17" s="6">
        <f t="shared" si="0"/>
        <v>0</v>
      </c>
      <c r="D17" s="11"/>
      <c r="E17" s="6" t="str">
        <f t="shared" si="1"/>
        <v/>
      </c>
      <c r="F17" s="11"/>
      <c r="G17" s="25" t="str">
        <f>IF(A17="","",IFERROR(SUMIFS($F$4:$F17,$A$4:$A17,A17),0))</f>
        <v/>
      </c>
      <c r="H17" s="11"/>
      <c r="I17" s="11"/>
      <c r="J17" s="11"/>
    </row>
    <row r="18" spans="1:10" ht="15.75" customHeight="1" x14ac:dyDescent="0.25">
      <c r="A18" s="11"/>
      <c r="B18" s="4" t="str">
        <f>IF(A18="","",IFERROR(VLOOKUP(A18,Members!A$4:B$103,2,0),""))</f>
        <v/>
      </c>
      <c r="C18" s="6">
        <f t="shared" si="0"/>
        <v>0</v>
      </c>
      <c r="D18" s="11"/>
      <c r="E18" s="6" t="str">
        <f t="shared" si="1"/>
        <v/>
      </c>
      <c r="F18" s="11"/>
      <c r="G18" s="25" t="str">
        <f>IF(A18="","",IFERROR(SUMIFS($F$4:$F18,$A$4:$A18,A18),0))</f>
        <v/>
      </c>
      <c r="H18" s="11"/>
      <c r="I18" s="11"/>
      <c r="J18" s="11"/>
    </row>
    <row r="19" spans="1:10" ht="15.75" customHeight="1" x14ac:dyDescent="0.25">
      <c r="A19" s="11"/>
      <c r="B19" s="4" t="str">
        <f>IF(A19="","",IFERROR(VLOOKUP(A19,Members!A$4:B$103,2,0),""))</f>
        <v/>
      </c>
      <c r="C19" s="6">
        <f t="shared" si="0"/>
        <v>0</v>
      </c>
      <c r="D19" s="11"/>
      <c r="E19" s="6" t="str">
        <f t="shared" si="1"/>
        <v/>
      </c>
      <c r="F19" s="11"/>
      <c r="G19" s="25" t="str">
        <f>IF(A19="","",IFERROR(SUMIFS($F$4:$F19,$A$4:$A19,A19),0))</f>
        <v/>
      </c>
      <c r="H19" s="11"/>
      <c r="I19" s="11"/>
      <c r="J19" s="11"/>
    </row>
    <row r="20" spans="1:10" ht="15.75" customHeight="1" x14ac:dyDescent="0.25">
      <c r="A20" s="11"/>
      <c r="B20" s="4" t="str">
        <f>IF(A20="","",IFERROR(VLOOKUP(A20,Members!A$4:B$103,2,0),""))</f>
        <v/>
      </c>
      <c r="C20" s="6">
        <f t="shared" si="0"/>
        <v>0</v>
      </c>
      <c r="D20" s="11"/>
      <c r="E20" s="6" t="str">
        <f t="shared" si="1"/>
        <v/>
      </c>
      <c r="F20" s="11"/>
      <c r="G20" s="25" t="str">
        <f>IF(A20="","",IFERROR(SUMIFS($F$4:$F20,$A$4:$A20,A20),0))</f>
        <v/>
      </c>
      <c r="H20" s="11"/>
      <c r="I20" s="11"/>
      <c r="J20" s="11"/>
    </row>
    <row r="21" spans="1:10" ht="15.75" customHeight="1" x14ac:dyDescent="0.25">
      <c r="A21" s="11"/>
      <c r="B21" s="4" t="str">
        <f>IF(A21="","",IFERROR(VLOOKUP(A21,Members!A$4:B$103,2,0),""))</f>
        <v/>
      </c>
      <c r="C21" s="6">
        <f t="shared" si="0"/>
        <v>0</v>
      </c>
      <c r="D21" s="11"/>
      <c r="E21" s="6" t="str">
        <f t="shared" si="1"/>
        <v/>
      </c>
      <c r="F21" s="11"/>
      <c r="G21" s="25" t="str">
        <f>IF(A21="","",IFERROR(SUMIFS($F$4:$F21,$A$4:$A21,A21),0))</f>
        <v/>
      </c>
      <c r="H21" s="11"/>
      <c r="I21" s="11"/>
      <c r="J21" s="11"/>
    </row>
    <row r="22" spans="1:10" ht="15.75" customHeight="1" x14ac:dyDescent="0.25">
      <c r="A22" s="11"/>
      <c r="B22" s="4" t="str">
        <f>IF(A22="","",IFERROR(VLOOKUP(A22,Members!A$4:B$103,2,0),""))</f>
        <v/>
      </c>
      <c r="C22" s="6">
        <f t="shared" si="0"/>
        <v>0</v>
      </c>
      <c r="D22" s="11"/>
      <c r="E22" s="6" t="str">
        <f t="shared" si="1"/>
        <v/>
      </c>
      <c r="F22" s="11"/>
      <c r="G22" s="25" t="str">
        <f>IF(A22="","",IFERROR(SUMIFS($F$4:$F22,$A$4:$A22,A22),0))</f>
        <v/>
      </c>
      <c r="H22" s="11"/>
      <c r="I22" s="11"/>
      <c r="J22" s="11"/>
    </row>
    <row r="23" spans="1:10" ht="15.75" customHeight="1" x14ac:dyDescent="0.25">
      <c r="A23" s="11"/>
      <c r="B23" s="4" t="str">
        <f>IF(A23="","",IFERROR(VLOOKUP(A23,Members!A$4:B$103,2,0),""))</f>
        <v/>
      </c>
      <c r="C23" s="6">
        <f t="shared" si="0"/>
        <v>0</v>
      </c>
      <c r="D23" s="11"/>
      <c r="E23" s="6" t="str">
        <f t="shared" si="1"/>
        <v/>
      </c>
      <c r="F23" s="11"/>
      <c r="G23" s="25" t="str">
        <f>IF(A23="","",IFERROR(SUMIFS($F$4:$F23,$A$4:$A23,A23),0))</f>
        <v/>
      </c>
      <c r="H23" s="11"/>
      <c r="I23" s="11"/>
      <c r="J23" s="11"/>
    </row>
    <row r="24" spans="1:10" ht="15.75" customHeight="1" x14ac:dyDescent="0.25">
      <c r="A24" s="11"/>
      <c r="B24" s="4" t="str">
        <f>IF(A24="","",IFERROR(VLOOKUP(A24,Members!A$4:B$103,2,0),""))</f>
        <v/>
      </c>
      <c r="C24" s="6">
        <f t="shared" si="0"/>
        <v>0</v>
      </c>
      <c r="D24" s="11"/>
      <c r="E24" s="6" t="str">
        <f t="shared" si="1"/>
        <v/>
      </c>
      <c r="F24" s="11"/>
      <c r="G24" s="25" t="str">
        <f>IF(A24="","",IFERROR(SUMIFS($F$4:$F24,$A$4:$A24,A24),0))</f>
        <v/>
      </c>
      <c r="H24" s="11"/>
      <c r="I24" s="11"/>
      <c r="J24" s="11"/>
    </row>
    <row r="25" spans="1:10" ht="15.75" customHeight="1" x14ac:dyDescent="0.25">
      <c r="A25" s="11"/>
      <c r="B25" s="4" t="str">
        <f>IF(A25="","",IFERROR(VLOOKUP(A25,Members!A$4:B$103,2,0),""))</f>
        <v/>
      </c>
      <c r="C25" s="6">
        <f t="shared" si="0"/>
        <v>0</v>
      </c>
      <c r="D25" s="11"/>
      <c r="E25" s="6" t="str">
        <f t="shared" si="1"/>
        <v/>
      </c>
      <c r="F25" s="11"/>
      <c r="G25" s="25" t="str">
        <f>IF(A25="","",IFERROR(SUMIFS($F$4:$F25,$A$4:$A25,A25),0))</f>
        <v/>
      </c>
      <c r="H25" s="11"/>
      <c r="I25" s="11"/>
      <c r="J25" s="11"/>
    </row>
    <row r="26" spans="1:10" ht="15.75" customHeight="1" x14ac:dyDescent="0.25">
      <c r="A26" s="11"/>
      <c r="B26" s="4" t="str">
        <f>IF(A26="","",IFERROR(VLOOKUP(A26,Members!A$4:B$103,2,0),""))</f>
        <v/>
      </c>
      <c r="C26" s="6">
        <f t="shared" si="0"/>
        <v>0</v>
      </c>
      <c r="D26" s="11"/>
      <c r="E26" s="6" t="str">
        <f t="shared" si="1"/>
        <v/>
      </c>
      <c r="F26" s="11"/>
      <c r="G26" s="25" t="str">
        <f>IF(A26="","",IFERROR(SUMIFS($F$4:$F26,$A$4:$A26,A26),0))</f>
        <v/>
      </c>
      <c r="H26" s="11"/>
      <c r="I26" s="11"/>
      <c r="J26" s="11"/>
    </row>
    <row r="27" spans="1:10" ht="15.75" customHeight="1" x14ac:dyDescent="0.25">
      <c r="A27" s="11"/>
      <c r="B27" s="4" t="str">
        <f>IF(A27="","",IFERROR(VLOOKUP(A27,Members!A$4:B$103,2,0),""))</f>
        <v/>
      </c>
      <c r="C27" s="6">
        <f t="shared" si="0"/>
        <v>0</v>
      </c>
      <c r="D27" s="11"/>
      <c r="E27" s="6" t="str">
        <f t="shared" si="1"/>
        <v/>
      </c>
      <c r="F27" s="11"/>
      <c r="G27" s="25" t="str">
        <f>IF(A27="","",IFERROR(SUMIFS($F$4:$F27,$A$4:$A27,A27),0))</f>
        <v/>
      </c>
      <c r="H27" s="11"/>
      <c r="I27" s="11"/>
      <c r="J27" s="11"/>
    </row>
    <row r="28" spans="1:10" ht="15.75" customHeight="1" x14ac:dyDescent="0.25">
      <c r="A28" s="11"/>
      <c r="B28" s="4" t="str">
        <f>IF(A28="","",IFERROR(VLOOKUP(A28,Members!A$4:B$103,2,0),""))</f>
        <v/>
      </c>
      <c r="C28" s="6">
        <f t="shared" si="0"/>
        <v>0</v>
      </c>
      <c r="D28" s="11"/>
      <c r="E28" s="6" t="str">
        <f t="shared" si="1"/>
        <v/>
      </c>
      <c r="F28" s="11"/>
      <c r="G28" s="25" t="str">
        <f>IF(A28="","",IFERROR(SUMIFS($F$4:$F28,$A$4:$A28,A28),0))</f>
        <v/>
      </c>
      <c r="H28" s="11"/>
      <c r="I28" s="11"/>
      <c r="J28" s="11"/>
    </row>
    <row r="29" spans="1:10" ht="15.75" customHeight="1" x14ac:dyDescent="0.25">
      <c r="A29" s="11"/>
      <c r="B29" s="4" t="str">
        <f>IF(A29="","",IFERROR(VLOOKUP(A29,Members!A$4:B$103,2,0),""))</f>
        <v/>
      </c>
      <c r="C29" s="6">
        <f t="shared" si="0"/>
        <v>0</v>
      </c>
      <c r="D29" s="11"/>
      <c r="E29" s="6" t="str">
        <f t="shared" si="1"/>
        <v/>
      </c>
      <c r="F29" s="11"/>
      <c r="G29" s="25" t="str">
        <f>IF(A29="","",IFERROR(SUMIFS($F$4:$F29,$A$4:$A29,A29),0))</f>
        <v/>
      </c>
      <c r="H29" s="11"/>
      <c r="I29" s="11"/>
      <c r="J29" s="11"/>
    </row>
    <row r="30" spans="1:10" ht="15.75" customHeight="1" x14ac:dyDescent="0.25">
      <c r="A30" s="11"/>
      <c r="B30" s="4" t="str">
        <f>IF(A30="","",IFERROR(VLOOKUP(A30,Members!A$4:B$103,2,0),""))</f>
        <v/>
      </c>
      <c r="C30" s="6">
        <f t="shared" si="0"/>
        <v>0</v>
      </c>
      <c r="D30" s="11"/>
      <c r="E30" s="6" t="str">
        <f t="shared" si="1"/>
        <v/>
      </c>
      <c r="F30" s="11"/>
      <c r="G30" s="25" t="str">
        <f>IF(A30="","",IFERROR(SUMIFS($F$4:$F30,$A$4:$A30,A30),0))</f>
        <v/>
      </c>
      <c r="H30" s="11"/>
      <c r="I30" s="11"/>
      <c r="J30" s="11"/>
    </row>
    <row r="31" spans="1:10" ht="15.75" customHeight="1" x14ac:dyDescent="0.25">
      <c r="A31" s="11"/>
      <c r="B31" s="4" t="str">
        <f>IF(A31="","",IFERROR(VLOOKUP(A31,Members!A$4:B$103,2,0),""))</f>
        <v/>
      </c>
      <c r="C31" s="6">
        <f t="shared" si="0"/>
        <v>0</v>
      </c>
      <c r="D31" s="11"/>
      <c r="E31" s="6" t="str">
        <f t="shared" si="1"/>
        <v/>
      </c>
      <c r="F31" s="11"/>
      <c r="G31" s="25" t="str">
        <f>IF(A31="","",IFERROR(SUMIFS($F$4:$F31,$A$4:$A31,A31),0))</f>
        <v/>
      </c>
      <c r="H31" s="11"/>
      <c r="I31" s="11"/>
      <c r="J31" s="11"/>
    </row>
    <row r="32" spans="1:10" ht="15.75" customHeight="1" x14ac:dyDescent="0.25">
      <c r="A32" s="11"/>
      <c r="B32" s="4" t="str">
        <f>IF(A32="","",IFERROR(VLOOKUP(A32,Members!A$4:B$103,2,0),""))</f>
        <v/>
      </c>
      <c r="C32" s="6">
        <f t="shared" si="0"/>
        <v>0</v>
      </c>
      <c r="D32" s="11"/>
      <c r="E32" s="6" t="str">
        <f t="shared" si="1"/>
        <v/>
      </c>
      <c r="F32" s="11"/>
      <c r="G32" s="25" t="str">
        <f>IF(A32="","",IFERROR(SUMIFS($F$4:$F32,$A$4:$A32,A32),0))</f>
        <v/>
      </c>
      <c r="H32" s="11"/>
      <c r="I32" s="11"/>
      <c r="J32" s="11"/>
    </row>
    <row r="33" spans="1:10" ht="15.75" customHeight="1" x14ac:dyDescent="0.25">
      <c r="A33" s="11"/>
      <c r="B33" s="4" t="str">
        <f>IF(A33="","",IFERROR(VLOOKUP(A33,Members!A$4:B$103,2,0),""))</f>
        <v/>
      </c>
      <c r="C33" s="6">
        <f t="shared" si="0"/>
        <v>0</v>
      </c>
      <c r="D33" s="11"/>
      <c r="E33" s="6" t="str">
        <f t="shared" si="1"/>
        <v/>
      </c>
      <c r="F33" s="11"/>
      <c r="G33" s="25" t="str">
        <f>IF(A33="","",IFERROR(SUMIFS($F$4:$F33,$A$4:$A33,A33),0))</f>
        <v/>
      </c>
      <c r="H33" s="11"/>
      <c r="I33" s="11"/>
      <c r="J33" s="11"/>
    </row>
    <row r="34" spans="1:10" ht="15.75" customHeight="1" x14ac:dyDescent="0.25">
      <c r="A34" s="11"/>
      <c r="B34" s="4" t="str">
        <f>IF(A34="","",IFERROR(VLOOKUP(A34,Members!A$4:B$103,2,0),""))</f>
        <v/>
      </c>
      <c r="C34" s="6">
        <f t="shared" si="0"/>
        <v>0</v>
      </c>
      <c r="D34" s="11"/>
      <c r="E34" s="6" t="str">
        <f t="shared" si="1"/>
        <v/>
      </c>
      <c r="F34" s="11"/>
      <c r="G34" s="25" t="str">
        <f>IF(A34="","",IFERROR(SUMIFS($F$4:$F34,$A$4:$A34,A34),0))</f>
        <v/>
      </c>
      <c r="H34" s="11"/>
      <c r="I34" s="11"/>
      <c r="J34" s="11"/>
    </row>
    <row r="35" spans="1:10" ht="15.75" customHeight="1" x14ac:dyDescent="0.25">
      <c r="A35" s="11"/>
      <c r="B35" s="4" t="str">
        <f>IF(A35="","",IFERROR(VLOOKUP(A35,Members!A$4:B$103,2,0),""))</f>
        <v/>
      </c>
      <c r="C35" s="6">
        <f t="shared" si="0"/>
        <v>0</v>
      </c>
      <c r="D35" s="11"/>
      <c r="E35" s="6" t="str">
        <f t="shared" si="1"/>
        <v/>
      </c>
      <c r="F35" s="11"/>
      <c r="G35" s="25" t="str">
        <f>IF(A35="","",IFERROR(SUMIFS($F$4:$F35,$A$4:$A35,A35),0))</f>
        <v/>
      </c>
      <c r="H35" s="11"/>
      <c r="I35" s="11"/>
      <c r="J35" s="11"/>
    </row>
    <row r="36" spans="1:10" ht="15.75" customHeight="1" x14ac:dyDescent="0.25">
      <c r="A36" s="11"/>
      <c r="B36" s="4" t="str">
        <f>IF(A36="","",IFERROR(VLOOKUP(A36,Members!A$4:B$103,2,0),""))</f>
        <v/>
      </c>
      <c r="C36" s="6">
        <f t="shared" si="0"/>
        <v>0</v>
      </c>
      <c r="D36" s="11"/>
      <c r="E36" s="6" t="str">
        <f t="shared" si="1"/>
        <v/>
      </c>
      <c r="F36" s="11"/>
      <c r="G36" s="25" t="str">
        <f>IF(A36="","",IFERROR(SUMIFS($F$4:$F36,$A$4:$A36,A36),0))</f>
        <v/>
      </c>
      <c r="H36" s="11"/>
      <c r="I36" s="11"/>
      <c r="J36" s="11"/>
    </row>
    <row r="37" spans="1:10" ht="15.75" customHeight="1" x14ac:dyDescent="0.25">
      <c r="A37" s="11"/>
      <c r="B37" s="4" t="str">
        <f>IF(A37="","",IFERROR(VLOOKUP(A37,Members!A$4:B$103,2,0),""))</f>
        <v/>
      </c>
      <c r="C37" s="6">
        <f t="shared" si="0"/>
        <v>0</v>
      </c>
      <c r="D37" s="11"/>
      <c r="E37" s="6" t="str">
        <f t="shared" si="1"/>
        <v/>
      </c>
      <c r="F37" s="11"/>
      <c r="G37" s="25" t="str">
        <f>IF(A37="","",IFERROR(SUMIFS($F$4:$F37,$A$4:$A37,A37),0))</f>
        <v/>
      </c>
      <c r="H37" s="11"/>
      <c r="I37" s="11"/>
      <c r="J37" s="11"/>
    </row>
    <row r="38" spans="1:10" ht="15.75" customHeight="1" x14ac:dyDescent="0.25">
      <c r="A38" s="11"/>
      <c r="B38" s="4" t="str">
        <f>IF(A38="","",IFERROR(VLOOKUP(A38,Members!A$4:B$103,2,0),""))</f>
        <v/>
      </c>
      <c r="C38" s="6">
        <f t="shared" si="0"/>
        <v>0</v>
      </c>
      <c r="D38" s="11"/>
      <c r="E38" s="6" t="str">
        <f t="shared" si="1"/>
        <v/>
      </c>
      <c r="F38" s="11"/>
      <c r="G38" s="25" t="str">
        <f>IF(A38="","",IFERROR(SUMIFS($F$4:$F38,$A$4:$A38,A38),0))</f>
        <v/>
      </c>
      <c r="H38" s="11"/>
      <c r="I38" s="11"/>
      <c r="J38" s="11"/>
    </row>
    <row r="39" spans="1:10" ht="15.75" customHeight="1" x14ac:dyDescent="0.25">
      <c r="A39" s="11"/>
      <c r="B39" s="4" t="str">
        <f>IF(A39="","",IFERROR(VLOOKUP(A39,Members!A$4:B$103,2,0),""))</f>
        <v/>
      </c>
      <c r="C39" s="6">
        <f t="shared" si="0"/>
        <v>0</v>
      </c>
      <c r="D39" s="11"/>
      <c r="E39" s="6" t="str">
        <f t="shared" si="1"/>
        <v/>
      </c>
      <c r="F39" s="11"/>
      <c r="G39" s="25" t="str">
        <f>IF(A39="","",IFERROR(SUMIFS($F$4:$F39,$A$4:$A39,A39),0))</f>
        <v/>
      </c>
      <c r="H39" s="11"/>
      <c r="I39" s="11"/>
      <c r="J39" s="11"/>
    </row>
    <row r="40" spans="1:10" ht="15.75" customHeight="1" x14ac:dyDescent="0.25">
      <c r="A40" s="11"/>
      <c r="B40" s="4" t="str">
        <f>IF(A40="","",IFERROR(VLOOKUP(A40,Members!A$4:B$103,2,0),""))</f>
        <v/>
      </c>
      <c r="C40" s="6">
        <f t="shared" si="0"/>
        <v>0</v>
      </c>
      <c r="D40" s="11"/>
      <c r="E40" s="6" t="str">
        <f t="shared" si="1"/>
        <v/>
      </c>
      <c r="F40" s="11"/>
      <c r="G40" s="25" t="str">
        <f>IF(A40="","",IFERROR(SUMIFS($F$4:$F40,$A$4:$A40,A40),0))</f>
        <v/>
      </c>
      <c r="H40" s="11"/>
      <c r="I40" s="11"/>
      <c r="J40" s="11"/>
    </row>
    <row r="41" spans="1:10" ht="15.75" customHeight="1" x14ac:dyDescent="0.25">
      <c r="A41" s="11"/>
      <c r="B41" s="4" t="str">
        <f>IF(A41="","",IFERROR(VLOOKUP(A41,Members!A$4:B$103,2,0),""))</f>
        <v/>
      </c>
      <c r="C41" s="6">
        <f t="shared" si="0"/>
        <v>0</v>
      </c>
      <c r="D41" s="11"/>
      <c r="E41" s="6" t="str">
        <f t="shared" si="1"/>
        <v/>
      </c>
      <c r="F41" s="11"/>
      <c r="G41" s="25" t="str">
        <f>IF(A41="","",IFERROR(SUMIFS($F$4:$F41,$A$4:$A41,A41),0))</f>
        <v/>
      </c>
      <c r="H41" s="11"/>
      <c r="I41" s="11"/>
      <c r="J41" s="11"/>
    </row>
    <row r="42" spans="1:10" ht="15.75" customHeight="1" x14ac:dyDescent="0.25">
      <c r="A42" s="11"/>
      <c r="B42" s="4" t="str">
        <f>IF(A42="","",IFERROR(VLOOKUP(A42,Members!A$4:B$103,2,0),""))</f>
        <v/>
      </c>
      <c r="C42" s="6">
        <f t="shared" si="0"/>
        <v>0</v>
      </c>
      <c r="D42" s="11"/>
      <c r="E42" s="6" t="str">
        <f t="shared" si="1"/>
        <v/>
      </c>
      <c r="F42" s="11"/>
      <c r="G42" s="25" t="str">
        <f>IF(A42="","",IFERROR(SUMIFS($F$4:$F42,$A$4:$A42,A42),0))</f>
        <v/>
      </c>
      <c r="H42" s="11"/>
      <c r="I42" s="11"/>
      <c r="J42" s="11"/>
    </row>
    <row r="43" spans="1:10" ht="15.75" customHeight="1" x14ac:dyDescent="0.25">
      <c r="A43" s="11"/>
      <c r="B43" s="4" t="str">
        <f>IF(A43="","",IFERROR(VLOOKUP(A43,Members!A$4:B$103,2,0),""))</f>
        <v/>
      </c>
      <c r="C43" s="6">
        <f t="shared" si="0"/>
        <v>0</v>
      </c>
      <c r="D43" s="11"/>
      <c r="E43" s="6" t="str">
        <f t="shared" si="1"/>
        <v/>
      </c>
      <c r="F43" s="11"/>
      <c r="G43" s="25" t="str">
        <f>IF(A43="","",IFERROR(SUMIFS($F$4:$F43,$A$4:$A43,A43),0))</f>
        <v/>
      </c>
      <c r="H43" s="11"/>
      <c r="I43" s="11"/>
      <c r="J43" s="11"/>
    </row>
    <row r="44" spans="1:10" ht="15.75" customHeight="1" x14ac:dyDescent="0.25">
      <c r="A44" s="11"/>
      <c r="B44" s="4" t="str">
        <f>IF(A44="","",IFERROR(VLOOKUP(A44,Members!A$4:B$103,2,0),""))</f>
        <v/>
      </c>
      <c r="C44" s="6">
        <f t="shared" si="0"/>
        <v>0</v>
      </c>
      <c r="D44" s="11"/>
      <c r="E44" s="6" t="str">
        <f t="shared" si="1"/>
        <v/>
      </c>
      <c r="F44" s="11"/>
      <c r="G44" s="25" t="str">
        <f>IF(A44="","",IFERROR(SUMIFS($F$4:$F44,$A$4:$A44,A44),0))</f>
        <v/>
      </c>
      <c r="H44" s="11"/>
      <c r="I44" s="11"/>
      <c r="J44" s="11"/>
    </row>
    <row r="45" spans="1:10" ht="15.75" customHeight="1" x14ac:dyDescent="0.25">
      <c r="A45" s="11"/>
      <c r="B45" s="4" t="str">
        <f>IF(A45="","",IFERROR(VLOOKUP(A45,Members!A$4:B$103,2,0),""))</f>
        <v/>
      </c>
      <c r="C45" s="6">
        <f t="shared" si="0"/>
        <v>0</v>
      </c>
      <c r="D45" s="11"/>
      <c r="E45" s="6" t="str">
        <f t="shared" si="1"/>
        <v/>
      </c>
      <c r="F45" s="11"/>
      <c r="G45" s="25" t="str">
        <f>IF(A45="","",IFERROR(SUMIFS($F$4:$F45,$A$4:$A45,A45),0))</f>
        <v/>
      </c>
      <c r="H45" s="11"/>
      <c r="I45" s="11"/>
      <c r="J45" s="11"/>
    </row>
    <row r="46" spans="1:10" ht="15.75" customHeight="1" x14ac:dyDescent="0.25">
      <c r="A46" s="11"/>
      <c r="B46" s="4" t="str">
        <f>IF(A46="","",IFERROR(VLOOKUP(A46,Members!A$4:B$103,2,0),""))</f>
        <v/>
      </c>
      <c r="C46" s="6">
        <f t="shared" si="0"/>
        <v>0</v>
      </c>
      <c r="D46" s="11"/>
      <c r="E46" s="6" t="str">
        <f t="shared" si="1"/>
        <v/>
      </c>
      <c r="F46" s="11"/>
      <c r="G46" s="25" t="str">
        <f>IF(A46="","",IFERROR(SUMIFS($F$4:$F46,$A$4:$A46,A46),0))</f>
        <v/>
      </c>
      <c r="H46" s="11"/>
      <c r="I46" s="11"/>
      <c r="J46" s="11"/>
    </row>
    <row r="47" spans="1:10" ht="15.75" customHeight="1" x14ac:dyDescent="0.25">
      <c r="A47" s="11"/>
      <c r="B47" s="4" t="str">
        <f>IF(A47="","",IFERROR(VLOOKUP(A47,Members!A$4:B$103,2,0),""))</f>
        <v/>
      </c>
      <c r="C47" s="6">
        <f t="shared" si="0"/>
        <v>0</v>
      </c>
      <c r="D47" s="11"/>
      <c r="E47" s="6" t="str">
        <f t="shared" si="1"/>
        <v/>
      </c>
      <c r="F47" s="11"/>
      <c r="G47" s="25" t="str">
        <f>IF(A47="","",IFERROR(SUMIFS($F$4:$F47,$A$4:$A47,A47),0))</f>
        <v/>
      </c>
      <c r="H47" s="11"/>
      <c r="I47" s="11"/>
      <c r="J47" s="11"/>
    </row>
    <row r="48" spans="1:10" ht="15.75" customHeight="1" x14ac:dyDescent="0.25">
      <c r="A48" s="11"/>
      <c r="B48" s="4" t="str">
        <f>IF(A48="","",IFERROR(VLOOKUP(A48,Members!A$4:B$103,2,0),""))</f>
        <v/>
      </c>
      <c r="C48" s="6">
        <f t="shared" si="0"/>
        <v>0</v>
      </c>
      <c r="D48" s="11"/>
      <c r="E48" s="6" t="str">
        <f t="shared" si="1"/>
        <v/>
      </c>
      <c r="F48" s="11"/>
      <c r="G48" s="25" t="str">
        <f>IF(A48="","",IFERROR(SUMIFS($F$4:$F48,$A$4:$A48,A48),0))</f>
        <v/>
      </c>
      <c r="H48" s="11"/>
      <c r="I48" s="11"/>
      <c r="J48" s="11"/>
    </row>
    <row r="49" spans="1:10" ht="15.75" customHeight="1" x14ac:dyDescent="0.25">
      <c r="A49" s="11"/>
      <c r="B49" s="4" t="str">
        <f>IF(A49="","",IFERROR(VLOOKUP(A49,Members!A$4:B$103,2,0),""))</f>
        <v/>
      </c>
      <c r="C49" s="6">
        <f t="shared" si="0"/>
        <v>0</v>
      </c>
      <c r="D49" s="11"/>
      <c r="E49" s="6" t="str">
        <f t="shared" si="1"/>
        <v/>
      </c>
      <c r="F49" s="11"/>
      <c r="G49" s="25" t="str">
        <f>IF(A49="","",IFERROR(SUMIFS($F$4:$F49,$A$4:$A49,A49),0))</f>
        <v/>
      </c>
      <c r="H49" s="11"/>
      <c r="I49" s="11"/>
      <c r="J49" s="11"/>
    </row>
    <row r="50" spans="1:10" ht="15.75" customHeight="1" x14ac:dyDescent="0.25">
      <c r="A50" s="11"/>
      <c r="B50" s="4" t="str">
        <f>IF(A50="","",IFERROR(VLOOKUP(A50,Members!A$4:B$103,2,0),""))</f>
        <v/>
      </c>
      <c r="C50" s="6">
        <f t="shared" si="0"/>
        <v>0</v>
      </c>
      <c r="D50" s="11"/>
      <c r="E50" s="6" t="str">
        <f t="shared" si="1"/>
        <v/>
      </c>
      <c r="F50" s="11"/>
      <c r="G50" s="25" t="str">
        <f>IF(A50="","",IFERROR(SUMIFS($F$4:$F50,$A$4:$A50,A50),0))</f>
        <v/>
      </c>
      <c r="H50" s="11"/>
      <c r="I50" s="11"/>
      <c r="J50" s="11"/>
    </row>
    <row r="51" spans="1:10" ht="15.75" customHeight="1" x14ac:dyDescent="0.25">
      <c r="A51" s="11"/>
      <c r="B51" s="4" t="str">
        <f>IF(A51="","",IFERROR(VLOOKUP(A51,Members!A$4:B$103,2,0),""))</f>
        <v/>
      </c>
      <c r="C51" s="6">
        <f t="shared" si="0"/>
        <v>0</v>
      </c>
      <c r="D51" s="11"/>
      <c r="E51" s="6" t="str">
        <f t="shared" si="1"/>
        <v/>
      </c>
      <c r="F51" s="11"/>
      <c r="G51" s="25" t="str">
        <f>IF(A51="","",IFERROR(SUMIFS($F$4:$F51,$A$4:$A51,A51),0))</f>
        <v/>
      </c>
      <c r="H51" s="11"/>
      <c r="I51" s="11"/>
      <c r="J51" s="11"/>
    </row>
    <row r="52" spans="1:10" ht="15.75" customHeight="1" x14ac:dyDescent="0.25">
      <c r="A52" s="11"/>
      <c r="B52" s="4" t="str">
        <f>IF(A52="","",IFERROR(VLOOKUP(A52,Members!A$4:B$103,2,0),""))</f>
        <v/>
      </c>
      <c r="C52" s="6">
        <f t="shared" si="0"/>
        <v>0</v>
      </c>
      <c r="D52" s="11"/>
      <c r="E52" s="6" t="str">
        <f t="shared" si="1"/>
        <v/>
      </c>
      <c r="F52" s="11"/>
      <c r="G52" s="25" t="str">
        <f>IF(A52="","",IFERROR(SUMIFS($F$4:$F52,$A$4:$A52,A52),0))</f>
        <v/>
      </c>
      <c r="H52" s="11"/>
      <c r="I52" s="11"/>
      <c r="J52" s="11"/>
    </row>
    <row r="53" spans="1:10" ht="15.75" customHeight="1" x14ac:dyDescent="0.25">
      <c r="A53" s="11"/>
      <c r="B53" s="4" t="str">
        <f>IF(A53="","",IFERROR(VLOOKUP(A53,Members!A$4:B$103,2,0),""))</f>
        <v/>
      </c>
      <c r="C53" s="6">
        <f t="shared" si="0"/>
        <v>0</v>
      </c>
      <c r="D53" s="11"/>
      <c r="E53" s="6" t="str">
        <f t="shared" si="1"/>
        <v/>
      </c>
      <c r="F53" s="11"/>
      <c r="G53" s="25" t="str">
        <f>IF(A53="","",IFERROR(SUMIFS($F$4:$F53,$A$4:$A53,A53),0))</f>
        <v/>
      </c>
      <c r="H53" s="11"/>
      <c r="I53" s="11"/>
      <c r="J53" s="11"/>
    </row>
    <row r="54" spans="1:10" ht="15.75" customHeight="1" x14ac:dyDescent="0.25">
      <c r="A54" s="11"/>
      <c r="B54" s="4" t="str">
        <f>IF(A54="","",IFERROR(VLOOKUP(A54,Members!A$4:B$103,2,0),""))</f>
        <v/>
      </c>
      <c r="C54" s="6">
        <f t="shared" si="0"/>
        <v>0</v>
      </c>
      <c r="D54" s="11"/>
      <c r="E54" s="6" t="str">
        <f t="shared" si="1"/>
        <v/>
      </c>
      <c r="F54" s="11"/>
      <c r="G54" s="25" t="str">
        <f>IF(A54="","",IFERROR(SUMIFS($F$4:$F54,$A$4:$A54,A54),0))</f>
        <v/>
      </c>
      <c r="H54" s="11"/>
      <c r="I54" s="11"/>
      <c r="J54" s="11"/>
    </row>
    <row r="55" spans="1:10" ht="15.75" customHeight="1" x14ac:dyDescent="0.25">
      <c r="A55" s="11"/>
      <c r="B55" s="4" t="str">
        <f>IF(A55="","",IFERROR(VLOOKUP(A55,Members!A$4:B$103,2,0),""))</f>
        <v/>
      </c>
      <c r="C55" s="6">
        <f t="shared" si="0"/>
        <v>0</v>
      </c>
      <c r="D55" s="11"/>
      <c r="E55" s="6" t="str">
        <f t="shared" si="1"/>
        <v/>
      </c>
      <c r="F55" s="11"/>
      <c r="G55" s="25" t="str">
        <f>IF(A55="","",IFERROR(SUMIFS($F$4:$F55,$A$4:$A55,A55),0))</f>
        <v/>
      </c>
      <c r="H55" s="11"/>
      <c r="I55" s="11"/>
      <c r="J55" s="11"/>
    </row>
    <row r="56" spans="1:10" ht="15.75" customHeight="1" x14ac:dyDescent="0.25">
      <c r="A56" s="11"/>
      <c r="B56" s="4" t="str">
        <f>IF(A56="","",IFERROR(VLOOKUP(A56,Members!A$4:B$103,2,0),""))</f>
        <v/>
      </c>
      <c r="C56" s="6">
        <f t="shared" si="0"/>
        <v>0</v>
      </c>
      <c r="D56" s="11"/>
      <c r="E56" s="6" t="str">
        <f t="shared" si="1"/>
        <v/>
      </c>
      <c r="F56" s="11"/>
      <c r="G56" s="25" t="str">
        <f>IF(A56="","",IFERROR(SUMIFS($F$4:$F56,$A$4:$A56,A56),0))</f>
        <v/>
      </c>
      <c r="H56" s="11"/>
      <c r="I56" s="11"/>
      <c r="J56" s="11"/>
    </row>
    <row r="57" spans="1:10" ht="15.75" customHeight="1" x14ac:dyDescent="0.25">
      <c r="A57" s="11"/>
      <c r="B57" s="4" t="str">
        <f>IF(A57="","",IFERROR(VLOOKUP(A57,Members!A$4:B$103,2,0),""))</f>
        <v/>
      </c>
      <c r="C57" s="6">
        <f t="shared" si="0"/>
        <v>0</v>
      </c>
      <c r="D57" s="11"/>
      <c r="E57" s="6" t="str">
        <f t="shared" si="1"/>
        <v/>
      </c>
      <c r="F57" s="11"/>
      <c r="G57" s="25" t="str">
        <f>IF(A57="","",IFERROR(SUMIFS($F$4:$F57,$A$4:$A57,A57),0))</f>
        <v/>
      </c>
      <c r="H57" s="11"/>
      <c r="I57" s="11"/>
      <c r="J57" s="11"/>
    </row>
    <row r="58" spans="1:10" ht="15.75" customHeight="1" x14ac:dyDescent="0.25">
      <c r="A58" s="11"/>
      <c r="B58" s="4" t="str">
        <f>IF(A58="","",IFERROR(VLOOKUP(A58,Members!A$4:B$103,2,0),""))</f>
        <v/>
      </c>
      <c r="C58" s="6">
        <f t="shared" si="0"/>
        <v>0</v>
      </c>
      <c r="D58" s="11"/>
      <c r="E58" s="6" t="str">
        <f t="shared" si="1"/>
        <v/>
      </c>
      <c r="F58" s="11"/>
      <c r="G58" s="25" t="str">
        <f>IF(A58="","",IFERROR(SUMIFS($F$4:$F58,$A$4:$A58,A58),0))</f>
        <v/>
      </c>
      <c r="H58" s="11"/>
      <c r="I58" s="11"/>
      <c r="J58" s="11"/>
    </row>
    <row r="59" spans="1:10" ht="15.75" customHeight="1" x14ac:dyDescent="0.25">
      <c r="A59" s="11"/>
      <c r="B59" s="4" t="str">
        <f>IF(A59="","",IFERROR(VLOOKUP(A59,Members!A$4:B$103,2,0),""))</f>
        <v/>
      </c>
      <c r="C59" s="6">
        <f t="shared" si="0"/>
        <v>0</v>
      </c>
      <c r="D59" s="11"/>
      <c r="E59" s="6" t="str">
        <f t="shared" si="1"/>
        <v/>
      </c>
      <c r="F59" s="11"/>
      <c r="G59" s="25" t="str">
        <f>IF(A59="","",IFERROR(SUMIFS($F$4:$F59,$A$4:$A59,A59),0))</f>
        <v/>
      </c>
      <c r="H59" s="11"/>
      <c r="I59" s="11"/>
      <c r="J59" s="11"/>
    </row>
    <row r="60" spans="1:10" ht="15.75" customHeight="1" x14ac:dyDescent="0.25">
      <c r="A60" s="11"/>
      <c r="B60" s="4" t="str">
        <f>IF(A60="","",IFERROR(VLOOKUP(A60,Members!A$4:B$103,2,0),""))</f>
        <v/>
      </c>
      <c r="C60" s="6">
        <f t="shared" si="0"/>
        <v>0</v>
      </c>
      <c r="D60" s="11"/>
      <c r="E60" s="6" t="str">
        <f t="shared" si="1"/>
        <v/>
      </c>
      <c r="F60" s="11"/>
      <c r="G60" s="25" t="str">
        <f>IF(A60="","",IFERROR(SUMIFS($F$4:$F60,$A$4:$A60,A60),0))</f>
        <v/>
      </c>
      <c r="H60" s="11"/>
      <c r="I60" s="11"/>
      <c r="J60" s="11"/>
    </row>
    <row r="61" spans="1:10" ht="15.75" customHeight="1" x14ac:dyDescent="0.25">
      <c r="A61" s="11"/>
      <c r="B61" s="4" t="str">
        <f>IF(A61="","",IFERROR(VLOOKUP(A61,Members!A$4:B$103,2,0),""))</f>
        <v/>
      </c>
      <c r="C61" s="6">
        <f t="shared" si="0"/>
        <v>0</v>
      </c>
      <c r="D61" s="11"/>
      <c r="E61" s="6" t="str">
        <f t="shared" si="1"/>
        <v/>
      </c>
      <c r="F61" s="11"/>
      <c r="G61" s="25" t="str">
        <f>IF(A61="","",IFERROR(SUMIFS($F$4:$F61,$A$4:$A61,A61),0))</f>
        <v/>
      </c>
      <c r="H61" s="11"/>
      <c r="I61" s="11"/>
      <c r="J61" s="11"/>
    </row>
    <row r="62" spans="1:10" ht="15.75" customHeight="1" x14ac:dyDescent="0.25">
      <c r="A62" s="11"/>
      <c r="B62" s="4" t="str">
        <f>IF(A62="","",IFERROR(VLOOKUP(A62,Members!A$4:B$103,2,0),""))</f>
        <v/>
      </c>
      <c r="C62" s="6">
        <f t="shared" si="0"/>
        <v>0</v>
      </c>
      <c r="D62" s="11"/>
      <c r="E62" s="6" t="str">
        <f t="shared" si="1"/>
        <v/>
      </c>
      <c r="F62" s="11"/>
      <c r="G62" s="25" t="str">
        <f>IF(A62="","",IFERROR(SUMIFS($F$4:$F62,$A$4:$A62,A62),0))</f>
        <v/>
      </c>
      <c r="H62" s="11"/>
      <c r="I62" s="11"/>
      <c r="J62" s="11"/>
    </row>
    <row r="63" spans="1:10" ht="15.75" customHeight="1" x14ac:dyDescent="0.25">
      <c r="A63" s="11"/>
      <c r="B63" s="4" t="str">
        <f>IF(A63="","",IFERROR(VLOOKUP(A63,Members!A$4:B$103,2,0),""))</f>
        <v/>
      </c>
      <c r="C63" s="6">
        <f t="shared" si="0"/>
        <v>0</v>
      </c>
      <c r="D63" s="11"/>
      <c r="E63" s="6" t="str">
        <f t="shared" si="1"/>
        <v/>
      </c>
      <c r="F63" s="11"/>
      <c r="G63" s="25" t="str">
        <f>IF(A63="","",IFERROR(SUMIFS($F$4:$F63,$A$4:$A63,A63),0))</f>
        <v/>
      </c>
      <c r="H63" s="11"/>
      <c r="I63" s="11"/>
      <c r="J63" s="11"/>
    </row>
    <row r="64" spans="1:10" ht="15.75" customHeight="1" x14ac:dyDescent="0.25">
      <c r="A64" s="11"/>
      <c r="B64" s="4" t="str">
        <f>IF(A64="","",IFERROR(VLOOKUP(A64,Members!A$4:B$103,2,0),""))</f>
        <v/>
      </c>
      <c r="C64" s="6">
        <f t="shared" si="0"/>
        <v>0</v>
      </c>
      <c r="D64" s="11"/>
      <c r="E64" s="6" t="str">
        <f t="shared" si="1"/>
        <v/>
      </c>
      <c r="F64" s="11"/>
      <c r="G64" s="25" t="str">
        <f>IF(A64="","",IFERROR(SUMIFS($F$4:$F64,$A$4:$A64,A64),0))</f>
        <v/>
      </c>
      <c r="H64" s="11"/>
      <c r="I64" s="11"/>
      <c r="J64" s="11"/>
    </row>
    <row r="65" spans="1:10" ht="15.75" customHeight="1" x14ac:dyDescent="0.25">
      <c r="A65" s="11"/>
      <c r="B65" s="4" t="str">
        <f>IF(A65="","",IFERROR(VLOOKUP(A65,Members!A$4:B$103,2,0),""))</f>
        <v/>
      </c>
      <c r="C65" s="6">
        <f t="shared" si="0"/>
        <v>0</v>
      </c>
      <c r="D65" s="11"/>
      <c r="E65" s="6" t="str">
        <f t="shared" si="1"/>
        <v/>
      </c>
      <c r="F65" s="11"/>
      <c r="G65" s="25" t="str">
        <f>IF(A65="","",IFERROR(SUMIFS($F$4:$F65,$A$4:$A65,A65),0))</f>
        <v/>
      </c>
      <c r="H65" s="11"/>
      <c r="I65" s="11"/>
      <c r="J65" s="11"/>
    </row>
    <row r="66" spans="1:10" ht="15.75" customHeight="1" x14ac:dyDescent="0.25">
      <c r="A66" s="11"/>
      <c r="B66" s="4" t="str">
        <f>IF(A66="","",IFERROR(VLOOKUP(A66,Members!A$4:B$103,2,0),""))</f>
        <v/>
      </c>
      <c r="C66" s="6">
        <f t="shared" si="0"/>
        <v>0</v>
      </c>
      <c r="D66" s="11"/>
      <c r="E66" s="6" t="str">
        <f t="shared" si="1"/>
        <v/>
      </c>
      <c r="F66" s="11"/>
      <c r="G66" s="25" t="str">
        <f>IF(A66="","",IFERROR(SUMIFS($F$4:$F66,$A$4:$A66,A66),0))</f>
        <v/>
      </c>
      <c r="H66" s="11"/>
      <c r="I66" s="11"/>
      <c r="J66" s="11"/>
    </row>
    <row r="67" spans="1:10" ht="15.75" customHeight="1" x14ac:dyDescent="0.25">
      <c r="A67" s="11"/>
      <c r="B67" s="4" t="str">
        <f>IF(A67="","",IFERROR(VLOOKUP(A67,Members!A$4:B$103,2,0),""))</f>
        <v/>
      </c>
      <c r="C67" s="6">
        <f t="shared" si="0"/>
        <v>0</v>
      </c>
      <c r="D67" s="11"/>
      <c r="E67" s="6" t="str">
        <f t="shared" si="1"/>
        <v/>
      </c>
      <c r="F67" s="11"/>
      <c r="G67" s="25" t="str">
        <f>IF(A67="","",IFERROR(SUMIFS($F$4:$F67,$A$4:$A67,A67),0))</f>
        <v/>
      </c>
      <c r="H67" s="11"/>
      <c r="I67" s="11"/>
      <c r="J67" s="11"/>
    </row>
    <row r="68" spans="1:10" ht="15.75" customHeight="1" x14ac:dyDescent="0.25">
      <c r="A68" s="11"/>
      <c r="B68" s="4" t="str">
        <f>IF(A68="","",IFERROR(VLOOKUP(A68,Members!A$4:B$103,2,0),""))</f>
        <v/>
      </c>
      <c r="C68" s="6">
        <f t="shared" ref="C68:C131" si="2">A68</f>
        <v>0</v>
      </c>
      <c r="D68" s="11"/>
      <c r="E68" s="6" t="str">
        <f t="shared" ref="E68:E131" si="3">IF(D68="","",TEXT(DATE(2024,D68,1),"MMMM"))</f>
        <v/>
      </c>
      <c r="F68" s="11"/>
      <c r="G68" s="25" t="str">
        <f>IF(A68="","",IFERROR(SUMIFS($F$4:$F68,$A$4:$A68,A68),0))</f>
        <v/>
      </c>
      <c r="H68" s="11"/>
      <c r="I68" s="11"/>
      <c r="J68" s="11"/>
    </row>
    <row r="69" spans="1:10" ht="15.75" customHeight="1" x14ac:dyDescent="0.25">
      <c r="A69" s="11"/>
      <c r="B69" s="4" t="str">
        <f>IF(A69="","",IFERROR(VLOOKUP(A69,Members!A$4:B$103,2,0),""))</f>
        <v/>
      </c>
      <c r="C69" s="6">
        <f t="shared" si="2"/>
        <v>0</v>
      </c>
      <c r="D69" s="11"/>
      <c r="E69" s="6" t="str">
        <f t="shared" si="3"/>
        <v/>
      </c>
      <c r="F69" s="11"/>
      <c r="G69" s="25" t="str">
        <f>IF(A69="","",IFERROR(SUMIFS($F$4:$F69,$A$4:$A69,A69),0))</f>
        <v/>
      </c>
      <c r="H69" s="11"/>
      <c r="I69" s="11"/>
      <c r="J69" s="11"/>
    </row>
    <row r="70" spans="1:10" ht="15.75" customHeight="1" x14ac:dyDescent="0.25">
      <c r="A70" s="11"/>
      <c r="B70" s="4" t="str">
        <f>IF(A70="","",IFERROR(VLOOKUP(A70,Members!A$4:B$103,2,0),""))</f>
        <v/>
      </c>
      <c r="C70" s="6">
        <f t="shared" si="2"/>
        <v>0</v>
      </c>
      <c r="D70" s="11"/>
      <c r="E70" s="6" t="str">
        <f t="shared" si="3"/>
        <v/>
      </c>
      <c r="F70" s="11"/>
      <c r="G70" s="25" t="str">
        <f>IF(A70="","",IFERROR(SUMIFS($F$4:$F70,$A$4:$A70,A70),0))</f>
        <v/>
      </c>
      <c r="H70" s="11"/>
      <c r="I70" s="11"/>
      <c r="J70" s="11"/>
    </row>
    <row r="71" spans="1:10" ht="15.75" customHeight="1" x14ac:dyDescent="0.25">
      <c r="A71" s="11"/>
      <c r="B71" s="4" t="str">
        <f>IF(A71="","",IFERROR(VLOOKUP(A71,Members!A$4:B$103,2,0),""))</f>
        <v/>
      </c>
      <c r="C71" s="6">
        <f t="shared" si="2"/>
        <v>0</v>
      </c>
      <c r="D71" s="11"/>
      <c r="E71" s="6" t="str">
        <f t="shared" si="3"/>
        <v/>
      </c>
      <c r="F71" s="11"/>
      <c r="G71" s="25" t="str">
        <f>IF(A71="","",IFERROR(SUMIFS($F$4:$F71,$A$4:$A71,A71),0))</f>
        <v/>
      </c>
      <c r="H71" s="11"/>
      <c r="I71" s="11"/>
      <c r="J71" s="11"/>
    </row>
    <row r="72" spans="1:10" ht="15.75" customHeight="1" x14ac:dyDescent="0.25">
      <c r="A72" s="11"/>
      <c r="B72" s="4" t="str">
        <f>IF(A72="","",IFERROR(VLOOKUP(A72,Members!A$4:B$103,2,0),""))</f>
        <v/>
      </c>
      <c r="C72" s="6">
        <f t="shared" si="2"/>
        <v>0</v>
      </c>
      <c r="D72" s="11"/>
      <c r="E72" s="6" t="str">
        <f t="shared" si="3"/>
        <v/>
      </c>
      <c r="F72" s="11"/>
      <c r="G72" s="25" t="str">
        <f>IF(A72="","",IFERROR(SUMIFS($F$4:$F72,$A$4:$A72,A72),0))</f>
        <v/>
      </c>
      <c r="H72" s="11"/>
      <c r="I72" s="11"/>
      <c r="J72" s="11"/>
    </row>
    <row r="73" spans="1:10" ht="15.75" customHeight="1" x14ac:dyDescent="0.25">
      <c r="A73" s="11"/>
      <c r="B73" s="4" t="str">
        <f>IF(A73="","",IFERROR(VLOOKUP(A73,Members!A$4:B$103,2,0),""))</f>
        <v/>
      </c>
      <c r="C73" s="6">
        <f t="shared" si="2"/>
        <v>0</v>
      </c>
      <c r="D73" s="11"/>
      <c r="E73" s="6" t="str">
        <f t="shared" si="3"/>
        <v/>
      </c>
      <c r="F73" s="11"/>
      <c r="G73" s="25" t="str">
        <f>IF(A73="","",IFERROR(SUMIFS($F$4:$F73,$A$4:$A73,A73),0))</f>
        <v/>
      </c>
      <c r="H73" s="11"/>
      <c r="I73" s="11"/>
      <c r="J73" s="11"/>
    </row>
    <row r="74" spans="1:10" ht="15.75" customHeight="1" x14ac:dyDescent="0.25">
      <c r="A74" s="11"/>
      <c r="B74" s="4" t="str">
        <f>IF(A74="","",IFERROR(VLOOKUP(A74,Members!A$4:B$103,2,0),""))</f>
        <v/>
      </c>
      <c r="C74" s="6">
        <f t="shared" si="2"/>
        <v>0</v>
      </c>
      <c r="D74" s="11"/>
      <c r="E74" s="6" t="str">
        <f t="shared" si="3"/>
        <v/>
      </c>
      <c r="F74" s="11"/>
      <c r="G74" s="25" t="str">
        <f>IF(A74="","",IFERROR(SUMIFS($F$4:$F74,$A$4:$A74,A74),0))</f>
        <v/>
      </c>
      <c r="H74" s="11"/>
      <c r="I74" s="11"/>
      <c r="J74" s="11"/>
    </row>
    <row r="75" spans="1:10" ht="15.75" customHeight="1" x14ac:dyDescent="0.25">
      <c r="A75" s="11"/>
      <c r="B75" s="4" t="str">
        <f>IF(A75="","",IFERROR(VLOOKUP(A75,Members!A$4:B$103,2,0),""))</f>
        <v/>
      </c>
      <c r="C75" s="6">
        <f t="shared" si="2"/>
        <v>0</v>
      </c>
      <c r="D75" s="11"/>
      <c r="E75" s="6" t="str">
        <f t="shared" si="3"/>
        <v/>
      </c>
      <c r="F75" s="11"/>
      <c r="G75" s="25" t="str">
        <f>IF(A75="","",IFERROR(SUMIFS($F$4:$F75,$A$4:$A75,A75),0))</f>
        <v/>
      </c>
      <c r="H75" s="11"/>
      <c r="I75" s="11"/>
      <c r="J75" s="11"/>
    </row>
    <row r="76" spans="1:10" ht="15.75" customHeight="1" x14ac:dyDescent="0.25">
      <c r="A76" s="11"/>
      <c r="B76" s="4" t="str">
        <f>IF(A76="","",IFERROR(VLOOKUP(A76,Members!A$4:B$103,2,0),""))</f>
        <v/>
      </c>
      <c r="C76" s="6">
        <f t="shared" si="2"/>
        <v>0</v>
      </c>
      <c r="D76" s="11"/>
      <c r="E76" s="6" t="str">
        <f t="shared" si="3"/>
        <v/>
      </c>
      <c r="F76" s="11"/>
      <c r="G76" s="25" t="str">
        <f>IF(A76="","",IFERROR(SUMIFS($F$4:$F76,$A$4:$A76,A76),0))</f>
        <v/>
      </c>
      <c r="H76" s="11"/>
      <c r="I76" s="11"/>
      <c r="J76" s="11"/>
    </row>
    <row r="77" spans="1:10" ht="15.75" customHeight="1" x14ac:dyDescent="0.25">
      <c r="A77" s="11"/>
      <c r="B77" s="4" t="str">
        <f>IF(A77="","",IFERROR(VLOOKUP(A77,Members!A$4:B$103,2,0),""))</f>
        <v/>
      </c>
      <c r="C77" s="6">
        <f t="shared" si="2"/>
        <v>0</v>
      </c>
      <c r="D77" s="11"/>
      <c r="E77" s="6" t="str">
        <f t="shared" si="3"/>
        <v/>
      </c>
      <c r="F77" s="11"/>
      <c r="G77" s="25" t="str">
        <f>IF(A77="","",IFERROR(SUMIFS($F$4:$F77,$A$4:$A77,A77),0))</f>
        <v/>
      </c>
      <c r="H77" s="11"/>
      <c r="I77" s="11"/>
      <c r="J77" s="11"/>
    </row>
    <row r="78" spans="1:10" ht="15.75" customHeight="1" x14ac:dyDescent="0.25">
      <c r="A78" s="11"/>
      <c r="B78" s="4" t="str">
        <f>IF(A78="","",IFERROR(VLOOKUP(A78,Members!A$4:B$103,2,0),""))</f>
        <v/>
      </c>
      <c r="C78" s="6">
        <f t="shared" si="2"/>
        <v>0</v>
      </c>
      <c r="D78" s="11"/>
      <c r="E78" s="6" t="str">
        <f t="shared" si="3"/>
        <v/>
      </c>
      <c r="F78" s="11"/>
      <c r="G78" s="25" t="str">
        <f>IF(A78="","",IFERROR(SUMIFS($F$4:$F78,$A$4:$A78,A78),0))</f>
        <v/>
      </c>
      <c r="H78" s="11"/>
      <c r="I78" s="11"/>
      <c r="J78" s="11"/>
    </row>
    <row r="79" spans="1:10" ht="15.75" customHeight="1" x14ac:dyDescent="0.25">
      <c r="A79" s="11"/>
      <c r="B79" s="4" t="str">
        <f>IF(A79="","",IFERROR(VLOOKUP(A79,Members!A$4:B$103,2,0),""))</f>
        <v/>
      </c>
      <c r="C79" s="6">
        <f t="shared" si="2"/>
        <v>0</v>
      </c>
      <c r="D79" s="11"/>
      <c r="E79" s="6" t="str">
        <f t="shared" si="3"/>
        <v/>
      </c>
      <c r="F79" s="11"/>
      <c r="G79" s="25" t="str">
        <f>IF(A79="","",IFERROR(SUMIFS($F$4:$F79,$A$4:$A79,A79),0))</f>
        <v/>
      </c>
      <c r="H79" s="11"/>
      <c r="I79" s="11"/>
      <c r="J79" s="11"/>
    </row>
    <row r="80" spans="1:10" ht="15.75" customHeight="1" x14ac:dyDescent="0.25">
      <c r="A80" s="11"/>
      <c r="B80" s="4" t="str">
        <f>IF(A80="","",IFERROR(VLOOKUP(A80,Members!A$4:B$103,2,0),""))</f>
        <v/>
      </c>
      <c r="C80" s="6">
        <f t="shared" si="2"/>
        <v>0</v>
      </c>
      <c r="D80" s="11"/>
      <c r="E80" s="6" t="str">
        <f t="shared" si="3"/>
        <v/>
      </c>
      <c r="F80" s="11"/>
      <c r="G80" s="25" t="str">
        <f>IF(A80="","",IFERROR(SUMIFS($F$4:$F80,$A$4:$A80,A80),0))</f>
        <v/>
      </c>
      <c r="H80" s="11"/>
      <c r="I80" s="11"/>
      <c r="J80" s="11"/>
    </row>
    <row r="81" spans="1:10" ht="15.75" customHeight="1" x14ac:dyDescent="0.25">
      <c r="A81" s="11"/>
      <c r="B81" s="4" t="str">
        <f>IF(A81="","",IFERROR(VLOOKUP(A81,Members!A$4:B$103,2,0),""))</f>
        <v/>
      </c>
      <c r="C81" s="6">
        <f t="shared" si="2"/>
        <v>0</v>
      </c>
      <c r="D81" s="11"/>
      <c r="E81" s="6" t="str">
        <f t="shared" si="3"/>
        <v/>
      </c>
      <c r="F81" s="11"/>
      <c r="G81" s="25" t="str">
        <f>IF(A81="","",IFERROR(SUMIFS($F$4:$F81,$A$4:$A81,A81),0))</f>
        <v/>
      </c>
      <c r="H81" s="11"/>
      <c r="I81" s="11"/>
      <c r="J81" s="11"/>
    </row>
    <row r="82" spans="1:10" ht="15.75" customHeight="1" x14ac:dyDescent="0.25">
      <c r="A82" s="11"/>
      <c r="B82" s="4" t="str">
        <f>IF(A82="","",IFERROR(VLOOKUP(A82,Members!A$4:B$103,2,0),""))</f>
        <v/>
      </c>
      <c r="C82" s="6">
        <f t="shared" si="2"/>
        <v>0</v>
      </c>
      <c r="D82" s="11"/>
      <c r="E82" s="6" t="str">
        <f t="shared" si="3"/>
        <v/>
      </c>
      <c r="F82" s="11"/>
      <c r="G82" s="25" t="str">
        <f>IF(A82="","",IFERROR(SUMIFS($F$4:$F82,$A$4:$A82,A82),0))</f>
        <v/>
      </c>
      <c r="H82" s="11"/>
      <c r="I82" s="11"/>
      <c r="J82" s="11"/>
    </row>
    <row r="83" spans="1:10" ht="15.75" customHeight="1" x14ac:dyDescent="0.25">
      <c r="A83" s="11"/>
      <c r="B83" s="4" t="str">
        <f>IF(A83="","",IFERROR(VLOOKUP(A83,Members!A$4:B$103,2,0),""))</f>
        <v/>
      </c>
      <c r="C83" s="6">
        <f t="shared" si="2"/>
        <v>0</v>
      </c>
      <c r="D83" s="11"/>
      <c r="E83" s="6" t="str">
        <f t="shared" si="3"/>
        <v/>
      </c>
      <c r="F83" s="11"/>
      <c r="G83" s="25" t="str">
        <f>IF(A83="","",IFERROR(SUMIFS($F$4:$F83,$A$4:$A83,A83),0))</f>
        <v/>
      </c>
      <c r="H83" s="11"/>
      <c r="I83" s="11"/>
      <c r="J83" s="11"/>
    </row>
    <row r="84" spans="1:10" ht="15.75" customHeight="1" x14ac:dyDescent="0.25">
      <c r="A84" s="11"/>
      <c r="B84" s="4" t="str">
        <f>IF(A84="","",IFERROR(VLOOKUP(A84,Members!A$4:B$103,2,0),""))</f>
        <v/>
      </c>
      <c r="C84" s="6">
        <f t="shared" si="2"/>
        <v>0</v>
      </c>
      <c r="D84" s="11"/>
      <c r="E84" s="6" t="str">
        <f t="shared" si="3"/>
        <v/>
      </c>
      <c r="F84" s="11"/>
      <c r="G84" s="25" t="str">
        <f>IF(A84="","",IFERROR(SUMIFS($F$4:$F84,$A$4:$A84,A84),0))</f>
        <v/>
      </c>
      <c r="H84" s="11"/>
      <c r="I84" s="11"/>
      <c r="J84" s="11"/>
    </row>
    <row r="85" spans="1:10" ht="15.75" customHeight="1" x14ac:dyDescent="0.25">
      <c r="A85" s="11"/>
      <c r="B85" s="4" t="str">
        <f>IF(A85="","",IFERROR(VLOOKUP(A85,Members!A$4:B$103,2,0),""))</f>
        <v/>
      </c>
      <c r="C85" s="6">
        <f t="shared" si="2"/>
        <v>0</v>
      </c>
      <c r="D85" s="11"/>
      <c r="E85" s="6" t="str">
        <f t="shared" si="3"/>
        <v/>
      </c>
      <c r="F85" s="11"/>
      <c r="G85" s="25" t="str">
        <f>IF(A85="","",IFERROR(SUMIFS($F$4:$F85,$A$4:$A85,A85),0))</f>
        <v/>
      </c>
      <c r="H85" s="11"/>
      <c r="I85" s="11"/>
      <c r="J85" s="11"/>
    </row>
    <row r="86" spans="1:10" ht="15.75" customHeight="1" x14ac:dyDescent="0.25">
      <c r="A86" s="11"/>
      <c r="B86" s="4" t="str">
        <f>IF(A86="","",IFERROR(VLOOKUP(A86,Members!A$4:B$103,2,0),""))</f>
        <v/>
      </c>
      <c r="C86" s="6">
        <f t="shared" si="2"/>
        <v>0</v>
      </c>
      <c r="D86" s="11"/>
      <c r="E86" s="6" t="str">
        <f t="shared" si="3"/>
        <v/>
      </c>
      <c r="F86" s="11"/>
      <c r="G86" s="25" t="str">
        <f>IF(A86="","",IFERROR(SUMIFS($F$4:$F86,$A$4:$A86,A86),0))</f>
        <v/>
      </c>
      <c r="H86" s="11"/>
      <c r="I86" s="11"/>
      <c r="J86" s="11"/>
    </row>
    <row r="87" spans="1:10" ht="15.75" customHeight="1" x14ac:dyDescent="0.25">
      <c r="A87" s="11"/>
      <c r="B87" s="4" t="str">
        <f>IF(A87="","",IFERROR(VLOOKUP(A87,Members!A$4:B$103,2,0),""))</f>
        <v/>
      </c>
      <c r="C87" s="6">
        <f t="shared" si="2"/>
        <v>0</v>
      </c>
      <c r="D87" s="11"/>
      <c r="E87" s="6" t="str">
        <f t="shared" si="3"/>
        <v/>
      </c>
      <c r="F87" s="11"/>
      <c r="G87" s="25" t="str">
        <f>IF(A87="","",IFERROR(SUMIFS($F$4:$F87,$A$4:$A87,A87),0))</f>
        <v/>
      </c>
      <c r="H87" s="11"/>
      <c r="I87" s="11"/>
      <c r="J87" s="11"/>
    </row>
    <row r="88" spans="1:10" ht="15.75" customHeight="1" x14ac:dyDescent="0.25">
      <c r="A88" s="11"/>
      <c r="B88" s="4" t="str">
        <f>IF(A88="","",IFERROR(VLOOKUP(A88,Members!A$4:B$103,2,0),""))</f>
        <v/>
      </c>
      <c r="C88" s="6">
        <f t="shared" si="2"/>
        <v>0</v>
      </c>
      <c r="D88" s="11"/>
      <c r="E88" s="6" t="str">
        <f t="shared" si="3"/>
        <v/>
      </c>
      <c r="F88" s="11"/>
      <c r="G88" s="25" t="str">
        <f>IF(A88="","",IFERROR(SUMIFS($F$4:$F88,$A$4:$A88,A88),0))</f>
        <v/>
      </c>
      <c r="H88" s="11"/>
      <c r="I88" s="11"/>
      <c r="J88" s="11"/>
    </row>
    <row r="89" spans="1:10" ht="15.75" customHeight="1" x14ac:dyDescent="0.25">
      <c r="A89" s="11"/>
      <c r="B89" s="4" t="str">
        <f>IF(A89="","",IFERROR(VLOOKUP(A89,Members!A$4:B$103,2,0),""))</f>
        <v/>
      </c>
      <c r="C89" s="6">
        <f t="shared" si="2"/>
        <v>0</v>
      </c>
      <c r="D89" s="11"/>
      <c r="E89" s="6" t="str">
        <f t="shared" si="3"/>
        <v/>
      </c>
      <c r="F89" s="11"/>
      <c r="G89" s="25" t="str">
        <f>IF(A89="","",IFERROR(SUMIFS($F$4:$F89,$A$4:$A89,A89),0))</f>
        <v/>
      </c>
      <c r="H89" s="11"/>
      <c r="I89" s="11"/>
      <c r="J89" s="11"/>
    </row>
    <row r="90" spans="1:10" ht="15.75" customHeight="1" x14ac:dyDescent="0.25">
      <c r="A90" s="11"/>
      <c r="B90" s="4" t="str">
        <f>IF(A90="","",IFERROR(VLOOKUP(A90,Members!A$4:B$103,2,0),""))</f>
        <v/>
      </c>
      <c r="C90" s="6">
        <f t="shared" si="2"/>
        <v>0</v>
      </c>
      <c r="D90" s="11"/>
      <c r="E90" s="6" t="str">
        <f t="shared" si="3"/>
        <v/>
      </c>
      <c r="F90" s="11"/>
      <c r="G90" s="25" t="str">
        <f>IF(A90="","",IFERROR(SUMIFS($F$4:$F90,$A$4:$A90,A90),0))</f>
        <v/>
      </c>
      <c r="H90" s="11"/>
      <c r="I90" s="11"/>
      <c r="J90" s="11"/>
    </row>
    <row r="91" spans="1:10" ht="15.75" customHeight="1" x14ac:dyDescent="0.25">
      <c r="A91" s="11"/>
      <c r="B91" s="4" t="str">
        <f>IF(A91="","",IFERROR(VLOOKUP(A91,Members!A$4:B$103,2,0),""))</f>
        <v/>
      </c>
      <c r="C91" s="6">
        <f t="shared" si="2"/>
        <v>0</v>
      </c>
      <c r="D91" s="11"/>
      <c r="E91" s="6" t="str">
        <f t="shared" si="3"/>
        <v/>
      </c>
      <c r="F91" s="11"/>
      <c r="G91" s="25" t="str">
        <f>IF(A91="","",IFERROR(SUMIFS($F$4:$F91,$A$4:$A91,A91),0))</f>
        <v/>
      </c>
      <c r="H91" s="11"/>
      <c r="I91" s="11"/>
      <c r="J91" s="11"/>
    </row>
    <row r="92" spans="1:10" ht="15.75" customHeight="1" x14ac:dyDescent="0.25">
      <c r="A92" s="11"/>
      <c r="B92" s="4" t="str">
        <f>IF(A92="","",IFERROR(VLOOKUP(A92,Members!A$4:B$103,2,0),""))</f>
        <v/>
      </c>
      <c r="C92" s="6">
        <f t="shared" si="2"/>
        <v>0</v>
      </c>
      <c r="D92" s="11"/>
      <c r="E92" s="6" t="str">
        <f t="shared" si="3"/>
        <v/>
      </c>
      <c r="F92" s="11"/>
      <c r="G92" s="25" t="str">
        <f>IF(A92="","",IFERROR(SUMIFS($F$4:$F92,$A$4:$A92,A92),0))</f>
        <v/>
      </c>
      <c r="H92" s="11"/>
      <c r="I92" s="11"/>
      <c r="J92" s="11"/>
    </row>
    <row r="93" spans="1:10" ht="15.75" customHeight="1" x14ac:dyDescent="0.25">
      <c r="A93" s="11"/>
      <c r="B93" s="4" t="str">
        <f>IF(A93="","",IFERROR(VLOOKUP(A93,Members!A$4:B$103,2,0),""))</f>
        <v/>
      </c>
      <c r="C93" s="6">
        <f t="shared" si="2"/>
        <v>0</v>
      </c>
      <c r="D93" s="11"/>
      <c r="E93" s="6" t="str">
        <f t="shared" si="3"/>
        <v/>
      </c>
      <c r="F93" s="11"/>
      <c r="G93" s="25" t="str">
        <f>IF(A93="","",IFERROR(SUMIFS($F$4:$F93,$A$4:$A93,A93),0))</f>
        <v/>
      </c>
      <c r="H93" s="11"/>
      <c r="I93" s="11"/>
      <c r="J93" s="11"/>
    </row>
    <row r="94" spans="1:10" ht="15.75" customHeight="1" x14ac:dyDescent="0.25">
      <c r="A94" s="11"/>
      <c r="B94" s="4" t="str">
        <f>IF(A94="","",IFERROR(VLOOKUP(A94,Members!A$4:B$103,2,0),""))</f>
        <v/>
      </c>
      <c r="C94" s="6">
        <f t="shared" si="2"/>
        <v>0</v>
      </c>
      <c r="D94" s="11"/>
      <c r="E94" s="6" t="str">
        <f t="shared" si="3"/>
        <v/>
      </c>
      <c r="F94" s="11"/>
      <c r="G94" s="25" t="str">
        <f>IF(A94="","",IFERROR(SUMIFS($F$4:$F94,$A$4:$A94,A94),0))</f>
        <v/>
      </c>
      <c r="H94" s="11"/>
      <c r="I94" s="11"/>
      <c r="J94" s="11"/>
    </row>
    <row r="95" spans="1:10" ht="15.75" customHeight="1" x14ac:dyDescent="0.25">
      <c r="A95" s="11"/>
      <c r="B95" s="4" t="str">
        <f>IF(A95="","",IFERROR(VLOOKUP(A95,Members!A$4:B$103,2,0),""))</f>
        <v/>
      </c>
      <c r="C95" s="6">
        <f t="shared" si="2"/>
        <v>0</v>
      </c>
      <c r="D95" s="11"/>
      <c r="E95" s="6" t="str">
        <f t="shared" si="3"/>
        <v/>
      </c>
      <c r="F95" s="11"/>
      <c r="G95" s="25" t="str">
        <f>IF(A95="","",IFERROR(SUMIFS($F$4:$F95,$A$4:$A95,A95),0))</f>
        <v/>
      </c>
      <c r="H95" s="11"/>
      <c r="I95" s="11"/>
      <c r="J95" s="11"/>
    </row>
    <row r="96" spans="1:10" ht="15.75" customHeight="1" x14ac:dyDescent="0.25">
      <c r="A96" s="11"/>
      <c r="B96" s="4" t="str">
        <f>IF(A96="","",IFERROR(VLOOKUP(A96,Members!A$4:B$103,2,0),""))</f>
        <v/>
      </c>
      <c r="C96" s="6">
        <f t="shared" si="2"/>
        <v>0</v>
      </c>
      <c r="D96" s="11"/>
      <c r="E96" s="6" t="str">
        <f t="shared" si="3"/>
        <v/>
      </c>
      <c r="F96" s="11"/>
      <c r="G96" s="25" t="str">
        <f>IF(A96="","",IFERROR(SUMIFS($F$4:$F96,$A$4:$A96,A96),0))</f>
        <v/>
      </c>
      <c r="H96" s="11"/>
      <c r="I96" s="11"/>
      <c r="J96" s="11"/>
    </row>
    <row r="97" spans="1:10" ht="15.75" customHeight="1" x14ac:dyDescent="0.25">
      <c r="A97" s="11"/>
      <c r="B97" s="4" t="str">
        <f>IF(A97="","",IFERROR(VLOOKUP(A97,Members!A$4:B$103,2,0),""))</f>
        <v/>
      </c>
      <c r="C97" s="6">
        <f t="shared" si="2"/>
        <v>0</v>
      </c>
      <c r="D97" s="11"/>
      <c r="E97" s="6" t="str">
        <f t="shared" si="3"/>
        <v/>
      </c>
      <c r="F97" s="11"/>
      <c r="G97" s="25" t="str">
        <f>IF(A97="","",IFERROR(SUMIFS($F$4:$F97,$A$4:$A97,A97),0))</f>
        <v/>
      </c>
      <c r="H97" s="11"/>
      <c r="I97" s="11"/>
      <c r="J97" s="11"/>
    </row>
    <row r="98" spans="1:10" ht="15.75" customHeight="1" x14ac:dyDescent="0.25">
      <c r="A98" s="11"/>
      <c r="B98" s="4" t="str">
        <f>IF(A98="","",IFERROR(VLOOKUP(A98,Members!A$4:B$103,2,0),""))</f>
        <v/>
      </c>
      <c r="C98" s="6">
        <f t="shared" si="2"/>
        <v>0</v>
      </c>
      <c r="D98" s="11"/>
      <c r="E98" s="6" t="str">
        <f t="shared" si="3"/>
        <v/>
      </c>
      <c r="F98" s="11"/>
      <c r="G98" s="25" t="str">
        <f>IF(A98="","",IFERROR(SUMIFS($F$4:$F98,$A$4:$A98,A98),0))</f>
        <v/>
      </c>
      <c r="H98" s="11"/>
      <c r="I98" s="11"/>
      <c r="J98" s="11"/>
    </row>
    <row r="99" spans="1:10" ht="15.75" customHeight="1" x14ac:dyDescent="0.25">
      <c r="A99" s="11"/>
      <c r="B99" s="4" t="str">
        <f>IF(A99="","",IFERROR(VLOOKUP(A99,Members!A$4:B$103,2,0),""))</f>
        <v/>
      </c>
      <c r="C99" s="6">
        <f t="shared" si="2"/>
        <v>0</v>
      </c>
      <c r="D99" s="11"/>
      <c r="E99" s="6" t="str">
        <f t="shared" si="3"/>
        <v/>
      </c>
      <c r="F99" s="11"/>
      <c r="G99" s="25" t="str">
        <f>IF(A99="","",IFERROR(SUMIFS($F$4:$F99,$A$4:$A99,A99),0))</f>
        <v/>
      </c>
      <c r="H99" s="11"/>
      <c r="I99" s="11"/>
      <c r="J99" s="11"/>
    </row>
    <row r="100" spans="1:10" ht="15.75" customHeight="1" x14ac:dyDescent="0.25">
      <c r="A100" s="11"/>
      <c r="B100" s="4" t="str">
        <f>IF(A100="","",IFERROR(VLOOKUP(A100,Members!A$4:B$103,2,0),""))</f>
        <v/>
      </c>
      <c r="C100" s="6">
        <f t="shared" si="2"/>
        <v>0</v>
      </c>
      <c r="D100" s="11"/>
      <c r="E100" s="6" t="str">
        <f t="shared" si="3"/>
        <v/>
      </c>
      <c r="F100" s="11"/>
      <c r="G100" s="25" t="str">
        <f>IF(A100="","",IFERROR(SUMIFS($F$4:$F100,$A$4:$A100,A100),0))</f>
        <v/>
      </c>
      <c r="H100" s="11"/>
      <c r="I100" s="11"/>
      <c r="J100" s="11"/>
    </row>
    <row r="101" spans="1:10" ht="15.75" customHeight="1" x14ac:dyDescent="0.25">
      <c r="A101" s="11"/>
      <c r="B101" s="4" t="str">
        <f>IF(A101="","",IFERROR(VLOOKUP(A101,Members!A$4:B$103,2,0),""))</f>
        <v/>
      </c>
      <c r="C101" s="6">
        <f t="shared" si="2"/>
        <v>0</v>
      </c>
      <c r="D101" s="11"/>
      <c r="E101" s="6" t="str">
        <f t="shared" si="3"/>
        <v/>
      </c>
      <c r="F101" s="11"/>
      <c r="G101" s="25" t="str">
        <f>IF(A101="","",IFERROR(SUMIFS($F$4:$F101,$A$4:$A101,A101),0))</f>
        <v/>
      </c>
      <c r="H101" s="11"/>
      <c r="I101" s="11"/>
      <c r="J101" s="11"/>
    </row>
    <row r="102" spans="1:10" ht="15.75" customHeight="1" x14ac:dyDescent="0.25">
      <c r="A102" s="11"/>
      <c r="B102" s="4" t="str">
        <f>IF(A102="","",IFERROR(VLOOKUP(A102,Members!A$4:B$103,2,0),""))</f>
        <v/>
      </c>
      <c r="C102" s="6">
        <f t="shared" si="2"/>
        <v>0</v>
      </c>
      <c r="D102" s="11"/>
      <c r="E102" s="6" t="str">
        <f t="shared" si="3"/>
        <v/>
      </c>
      <c r="F102" s="11"/>
      <c r="G102" s="25" t="str">
        <f>IF(A102="","",IFERROR(SUMIFS($F$4:$F102,$A$4:$A102,A102),0))</f>
        <v/>
      </c>
      <c r="H102" s="11"/>
      <c r="I102" s="11"/>
      <c r="J102" s="11"/>
    </row>
    <row r="103" spans="1:10" ht="15.75" customHeight="1" x14ac:dyDescent="0.25">
      <c r="A103" s="11"/>
      <c r="B103" s="4" t="str">
        <f>IF(A103="","",IFERROR(VLOOKUP(A103,Members!A$4:B$103,2,0),""))</f>
        <v/>
      </c>
      <c r="C103" s="6">
        <f t="shared" si="2"/>
        <v>0</v>
      </c>
      <c r="D103" s="11"/>
      <c r="E103" s="6" t="str">
        <f t="shared" si="3"/>
        <v/>
      </c>
      <c r="F103" s="11"/>
      <c r="G103" s="25" t="str">
        <f>IF(A103="","",IFERROR(SUMIFS($F$4:$F103,$A$4:$A103,A103),0))</f>
        <v/>
      </c>
      <c r="H103" s="11"/>
      <c r="I103" s="11"/>
      <c r="J103" s="11"/>
    </row>
    <row r="104" spans="1:10" ht="15.75" customHeight="1" x14ac:dyDescent="0.25">
      <c r="A104" s="11"/>
      <c r="B104" s="4" t="str">
        <f>IF(A104="","",IFERROR(VLOOKUP(A104,Members!A$4:B$103,2,0),""))</f>
        <v/>
      </c>
      <c r="C104" s="6">
        <f t="shared" si="2"/>
        <v>0</v>
      </c>
      <c r="D104" s="11"/>
      <c r="E104" s="6" t="str">
        <f t="shared" si="3"/>
        <v/>
      </c>
      <c r="F104" s="11"/>
      <c r="G104" s="25" t="str">
        <f>IF(A104="","",IFERROR(SUMIFS($F$4:$F104,$A$4:$A104,A104),0))</f>
        <v/>
      </c>
      <c r="H104" s="11"/>
      <c r="I104" s="11"/>
      <c r="J104" s="11"/>
    </row>
    <row r="105" spans="1:10" ht="15.75" customHeight="1" x14ac:dyDescent="0.25">
      <c r="A105" s="11"/>
      <c r="B105" s="4" t="str">
        <f>IF(A105="","",IFERROR(VLOOKUP(A105,Members!A$4:B$103,2,0),""))</f>
        <v/>
      </c>
      <c r="C105" s="6">
        <f t="shared" si="2"/>
        <v>0</v>
      </c>
      <c r="D105" s="11"/>
      <c r="E105" s="6" t="str">
        <f t="shared" si="3"/>
        <v/>
      </c>
      <c r="F105" s="11"/>
      <c r="G105" s="25" t="str">
        <f>IF(A105="","",IFERROR(SUMIFS($F$4:$F105,$A$4:$A105,A105),0))</f>
        <v/>
      </c>
      <c r="H105" s="11"/>
      <c r="I105" s="11"/>
      <c r="J105" s="11"/>
    </row>
    <row r="106" spans="1:10" ht="15.75" customHeight="1" x14ac:dyDescent="0.25">
      <c r="A106" s="11"/>
      <c r="B106" s="4" t="str">
        <f>IF(A106="","",IFERROR(VLOOKUP(A106,Members!A$4:B$103,2,0),""))</f>
        <v/>
      </c>
      <c r="C106" s="6">
        <f t="shared" si="2"/>
        <v>0</v>
      </c>
      <c r="D106" s="11"/>
      <c r="E106" s="6" t="str">
        <f t="shared" si="3"/>
        <v/>
      </c>
      <c r="F106" s="11"/>
      <c r="G106" s="25" t="str">
        <f>IF(A106="","",IFERROR(SUMIFS($F$4:$F106,$A$4:$A106,A106),0))</f>
        <v/>
      </c>
      <c r="H106" s="11"/>
      <c r="I106" s="11"/>
      <c r="J106" s="11"/>
    </row>
    <row r="107" spans="1:10" ht="15.75" customHeight="1" x14ac:dyDescent="0.25">
      <c r="A107" s="11"/>
      <c r="B107" s="4" t="str">
        <f>IF(A107="","",IFERROR(VLOOKUP(A107,Members!A$4:B$103,2,0),""))</f>
        <v/>
      </c>
      <c r="C107" s="6">
        <f t="shared" si="2"/>
        <v>0</v>
      </c>
      <c r="D107" s="11"/>
      <c r="E107" s="6" t="str">
        <f t="shared" si="3"/>
        <v/>
      </c>
      <c r="F107" s="11"/>
      <c r="G107" s="25" t="str">
        <f>IF(A107="","",IFERROR(SUMIFS($F$4:$F107,$A$4:$A107,A107),0))</f>
        <v/>
      </c>
      <c r="H107" s="11"/>
      <c r="I107" s="11"/>
      <c r="J107" s="11"/>
    </row>
    <row r="108" spans="1:10" ht="15.75" customHeight="1" x14ac:dyDescent="0.25">
      <c r="A108" s="11"/>
      <c r="B108" s="4" t="str">
        <f>IF(A108="","",IFERROR(VLOOKUP(A108,Members!A$4:B$103,2,0),""))</f>
        <v/>
      </c>
      <c r="C108" s="6">
        <f t="shared" si="2"/>
        <v>0</v>
      </c>
      <c r="D108" s="11"/>
      <c r="E108" s="6" t="str">
        <f t="shared" si="3"/>
        <v/>
      </c>
      <c r="F108" s="11"/>
      <c r="G108" s="25" t="str">
        <f>IF(A108="","",IFERROR(SUMIFS($F$4:$F108,$A$4:$A108,A108),0))</f>
        <v/>
      </c>
      <c r="H108" s="11"/>
      <c r="I108" s="11"/>
      <c r="J108" s="11"/>
    </row>
    <row r="109" spans="1:10" ht="15.75" customHeight="1" x14ac:dyDescent="0.25">
      <c r="A109" s="11"/>
      <c r="B109" s="4" t="str">
        <f>IF(A109="","",IFERROR(VLOOKUP(A109,Members!A$4:B$103,2,0),""))</f>
        <v/>
      </c>
      <c r="C109" s="6">
        <f t="shared" si="2"/>
        <v>0</v>
      </c>
      <c r="D109" s="11"/>
      <c r="E109" s="6" t="str">
        <f t="shared" si="3"/>
        <v/>
      </c>
      <c r="F109" s="11"/>
      <c r="G109" s="25" t="str">
        <f>IF(A109="","",IFERROR(SUMIFS($F$4:$F109,$A$4:$A109,A109),0))</f>
        <v/>
      </c>
      <c r="H109" s="11"/>
      <c r="I109" s="11"/>
      <c r="J109" s="11"/>
    </row>
    <row r="110" spans="1:10" ht="15.75" customHeight="1" x14ac:dyDescent="0.25">
      <c r="A110" s="11"/>
      <c r="B110" s="4" t="str">
        <f>IF(A110="","",IFERROR(VLOOKUP(A110,Members!A$4:B$103,2,0),""))</f>
        <v/>
      </c>
      <c r="C110" s="6">
        <f t="shared" si="2"/>
        <v>0</v>
      </c>
      <c r="D110" s="11"/>
      <c r="E110" s="6" t="str">
        <f t="shared" si="3"/>
        <v/>
      </c>
      <c r="F110" s="11"/>
      <c r="G110" s="25" t="str">
        <f>IF(A110="","",IFERROR(SUMIFS($F$4:$F110,$A$4:$A110,A110),0))</f>
        <v/>
      </c>
      <c r="H110" s="11"/>
      <c r="I110" s="11"/>
      <c r="J110" s="11"/>
    </row>
    <row r="111" spans="1:10" ht="15.75" customHeight="1" x14ac:dyDescent="0.25">
      <c r="A111" s="11"/>
      <c r="B111" s="4" t="str">
        <f>IF(A111="","",IFERROR(VLOOKUP(A111,Members!A$4:B$103,2,0),""))</f>
        <v/>
      </c>
      <c r="C111" s="6">
        <f t="shared" si="2"/>
        <v>0</v>
      </c>
      <c r="D111" s="11"/>
      <c r="E111" s="6" t="str">
        <f t="shared" si="3"/>
        <v/>
      </c>
      <c r="F111" s="11"/>
      <c r="G111" s="25" t="str">
        <f>IF(A111="","",IFERROR(SUMIFS($F$4:$F111,$A$4:$A111,A111),0))</f>
        <v/>
      </c>
      <c r="H111" s="11"/>
      <c r="I111" s="11"/>
      <c r="J111" s="11"/>
    </row>
    <row r="112" spans="1:10" ht="15.75" customHeight="1" x14ac:dyDescent="0.25">
      <c r="A112" s="11"/>
      <c r="B112" s="4" t="str">
        <f>IF(A112="","",IFERROR(VLOOKUP(A112,Members!A$4:B$103,2,0),""))</f>
        <v/>
      </c>
      <c r="C112" s="6">
        <f t="shared" si="2"/>
        <v>0</v>
      </c>
      <c r="D112" s="11"/>
      <c r="E112" s="6" t="str">
        <f t="shared" si="3"/>
        <v/>
      </c>
      <c r="F112" s="11"/>
      <c r="G112" s="25" t="str">
        <f>IF(A112="","",IFERROR(SUMIFS($F$4:$F112,$A$4:$A112,A112),0))</f>
        <v/>
      </c>
      <c r="H112" s="11"/>
      <c r="I112" s="11"/>
      <c r="J112" s="11"/>
    </row>
    <row r="113" spans="1:10" ht="15.75" customHeight="1" x14ac:dyDescent="0.25">
      <c r="A113" s="11"/>
      <c r="B113" s="4" t="str">
        <f>IF(A113="","",IFERROR(VLOOKUP(A113,Members!A$4:B$103,2,0),""))</f>
        <v/>
      </c>
      <c r="C113" s="6">
        <f t="shared" si="2"/>
        <v>0</v>
      </c>
      <c r="D113" s="11"/>
      <c r="E113" s="6" t="str">
        <f t="shared" si="3"/>
        <v/>
      </c>
      <c r="F113" s="11"/>
      <c r="G113" s="25" t="str">
        <f>IF(A113="","",IFERROR(SUMIFS($F$4:$F113,$A$4:$A113,A113),0))</f>
        <v/>
      </c>
      <c r="H113" s="11"/>
      <c r="I113" s="11"/>
      <c r="J113" s="11"/>
    </row>
    <row r="114" spans="1:10" ht="15.75" customHeight="1" x14ac:dyDescent="0.25">
      <c r="A114" s="11"/>
      <c r="B114" s="4" t="str">
        <f>IF(A114="","",IFERROR(VLOOKUP(A114,Members!A$4:B$103,2,0),""))</f>
        <v/>
      </c>
      <c r="C114" s="6">
        <f t="shared" si="2"/>
        <v>0</v>
      </c>
      <c r="D114" s="11"/>
      <c r="E114" s="6" t="str">
        <f t="shared" si="3"/>
        <v/>
      </c>
      <c r="F114" s="11"/>
      <c r="G114" s="25" t="str">
        <f>IF(A114="","",IFERROR(SUMIFS($F$4:$F114,$A$4:$A114,A114),0))</f>
        <v/>
      </c>
      <c r="H114" s="11"/>
      <c r="I114" s="11"/>
      <c r="J114" s="11"/>
    </row>
    <row r="115" spans="1:10" ht="15.75" customHeight="1" x14ac:dyDescent="0.25">
      <c r="A115" s="11"/>
      <c r="B115" s="4" t="str">
        <f>IF(A115="","",IFERROR(VLOOKUP(A115,Members!A$4:B$103,2,0),""))</f>
        <v/>
      </c>
      <c r="C115" s="6">
        <f t="shared" si="2"/>
        <v>0</v>
      </c>
      <c r="D115" s="11"/>
      <c r="E115" s="6" t="str">
        <f t="shared" si="3"/>
        <v/>
      </c>
      <c r="F115" s="11"/>
      <c r="G115" s="25" t="str">
        <f>IF(A115="","",IFERROR(SUMIFS($F$4:$F115,$A$4:$A115,A115),0))</f>
        <v/>
      </c>
      <c r="H115" s="11"/>
      <c r="I115" s="11"/>
      <c r="J115" s="11"/>
    </row>
    <row r="116" spans="1:10" ht="15.75" customHeight="1" x14ac:dyDescent="0.25">
      <c r="A116" s="11"/>
      <c r="B116" s="4" t="str">
        <f>IF(A116="","",IFERROR(VLOOKUP(A116,Members!A$4:B$103,2,0),""))</f>
        <v/>
      </c>
      <c r="C116" s="6">
        <f t="shared" si="2"/>
        <v>0</v>
      </c>
      <c r="D116" s="11"/>
      <c r="E116" s="6" t="str">
        <f t="shared" si="3"/>
        <v/>
      </c>
      <c r="F116" s="11"/>
      <c r="G116" s="25" t="str">
        <f>IF(A116="","",IFERROR(SUMIFS($F$4:$F116,$A$4:$A116,A116),0))</f>
        <v/>
      </c>
      <c r="H116" s="11"/>
      <c r="I116" s="11"/>
      <c r="J116" s="11"/>
    </row>
    <row r="117" spans="1:10" ht="15.75" customHeight="1" x14ac:dyDescent="0.25">
      <c r="A117" s="11"/>
      <c r="B117" s="4" t="str">
        <f>IF(A117="","",IFERROR(VLOOKUP(A117,Members!A$4:B$103,2,0),""))</f>
        <v/>
      </c>
      <c r="C117" s="6">
        <f t="shared" si="2"/>
        <v>0</v>
      </c>
      <c r="D117" s="11"/>
      <c r="E117" s="6" t="str">
        <f t="shared" si="3"/>
        <v/>
      </c>
      <c r="F117" s="11"/>
      <c r="G117" s="25" t="str">
        <f>IF(A117="","",IFERROR(SUMIFS($F$4:$F117,$A$4:$A117,A117),0))</f>
        <v/>
      </c>
      <c r="H117" s="11"/>
      <c r="I117" s="11"/>
      <c r="J117" s="11"/>
    </row>
    <row r="118" spans="1:10" ht="15.75" customHeight="1" x14ac:dyDescent="0.25">
      <c r="A118" s="11"/>
      <c r="B118" s="4" t="str">
        <f>IF(A118="","",IFERROR(VLOOKUP(A118,Members!A$4:B$103,2,0),""))</f>
        <v/>
      </c>
      <c r="C118" s="6">
        <f t="shared" si="2"/>
        <v>0</v>
      </c>
      <c r="D118" s="11"/>
      <c r="E118" s="6" t="str">
        <f t="shared" si="3"/>
        <v/>
      </c>
      <c r="F118" s="11"/>
      <c r="G118" s="25" t="str">
        <f>IF(A118="","",IFERROR(SUMIFS($F$4:$F118,$A$4:$A118,A118),0))</f>
        <v/>
      </c>
      <c r="H118" s="11"/>
      <c r="I118" s="11"/>
      <c r="J118" s="11"/>
    </row>
    <row r="119" spans="1:10" ht="15.75" customHeight="1" x14ac:dyDescent="0.25">
      <c r="A119" s="11"/>
      <c r="B119" s="4" t="str">
        <f>IF(A119="","",IFERROR(VLOOKUP(A119,Members!A$4:B$103,2,0),""))</f>
        <v/>
      </c>
      <c r="C119" s="6">
        <f t="shared" si="2"/>
        <v>0</v>
      </c>
      <c r="D119" s="11"/>
      <c r="E119" s="6" t="str">
        <f t="shared" si="3"/>
        <v/>
      </c>
      <c r="F119" s="11"/>
      <c r="G119" s="25" t="str">
        <f>IF(A119="","",IFERROR(SUMIFS($F$4:$F119,$A$4:$A119,A119),0))</f>
        <v/>
      </c>
      <c r="H119" s="11"/>
      <c r="I119" s="11"/>
      <c r="J119" s="11"/>
    </row>
    <row r="120" spans="1:10" ht="15.75" customHeight="1" x14ac:dyDescent="0.25">
      <c r="A120" s="11"/>
      <c r="B120" s="4" t="str">
        <f>IF(A120="","",IFERROR(VLOOKUP(A120,Members!A$4:B$103,2,0),""))</f>
        <v/>
      </c>
      <c r="C120" s="6">
        <f t="shared" si="2"/>
        <v>0</v>
      </c>
      <c r="D120" s="11"/>
      <c r="E120" s="6" t="str">
        <f t="shared" si="3"/>
        <v/>
      </c>
      <c r="F120" s="11"/>
      <c r="G120" s="25" t="str">
        <f>IF(A120="","",IFERROR(SUMIFS($F$4:$F120,$A$4:$A120,A120),0))</f>
        <v/>
      </c>
      <c r="H120" s="11"/>
      <c r="I120" s="11"/>
      <c r="J120" s="11"/>
    </row>
    <row r="121" spans="1:10" ht="15.75" customHeight="1" x14ac:dyDescent="0.25">
      <c r="A121" s="11"/>
      <c r="B121" s="4" t="str">
        <f>IF(A121="","",IFERROR(VLOOKUP(A121,Members!A$4:B$103,2,0),""))</f>
        <v/>
      </c>
      <c r="C121" s="6">
        <f t="shared" si="2"/>
        <v>0</v>
      </c>
      <c r="D121" s="11"/>
      <c r="E121" s="6" t="str">
        <f t="shared" si="3"/>
        <v/>
      </c>
      <c r="F121" s="11"/>
      <c r="G121" s="25" t="str">
        <f>IF(A121="","",IFERROR(SUMIFS($F$4:$F121,$A$4:$A121,A121),0))</f>
        <v/>
      </c>
      <c r="H121" s="11"/>
      <c r="I121" s="11"/>
      <c r="J121" s="11"/>
    </row>
    <row r="122" spans="1:10" ht="15.75" customHeight="1" x14ac:dyDescent="0.25">
      <c r="A122" s="11"/>
      <c r="B122" s="4" t="str">
        <f>IF(A122="","",IFERROR(VLOOKUP(A122,Members!A$4:B$103,2,0),""))</f>
        <v/>
      </c>
      <c r="C122" s="6">
        <f t="shared" si="2"/>
        <v>0</v>
      </c>
      <c r="D122" s="11"/>
      <c r="E122" s="6" t="str">
        <f t="shared" si="3"/>
        <v/>
      </c>
      <c r="F122" s="11"/>
      <c r="G122" s="25" t="str">
        <f>IF(A122="","",IFERROR(SUMIFS($F$4:$F122,$A$4:$A122,A122),0))</f>
        <v/>
      </c>
      <c r="H122" s="11"/>
      <c r="I122" s="11"/>
      <c r="J122" s="11"/>
    </row>
    <row r="123" spans="1:10" ht="15.75" customHeight="1" x14ac:dyDescent="0.25">
      <c r="A123" s="11"/>
      <c r="B123" s="4" t="str">
        <f>IF(A123="","",IFERROR(VLOOKUP(A123,Members!A$4:B$103,2,0),""))</f>
        <v/>
      </c>
      <c r="C123" s="6">
        <f t="shared" si="2"/>
        <v>0</v>
      </c>
      <c r="D123" s="11"/>
      <c r="E123" s="6" t="str">
        <f t="shared" si="3"/>
        <v/>
      </c>
      <c r="F123" s="11"/>
      <c r="G123" s="25" t="str">
        <f>IF(A123="","",IFERROR(SUMIFS($F$4:$F123,$A$4:$A123,A123),0))</f>
        <v/>
      </c>
      <c r="H123" s="11"/>
      <c r="I123" s="11"/>
      <c r="J123" s="11"/>
    </row>
    <row r="124" spans="1:10" ht="15.75" customHeight="1" x14ac:dyDescent="0.25">
      <c r="A124" s="11"/>
      <c r="B124" s="4" t="str">
        <f>IF(A124="","",IFERROR(VLOOKUP(A124,Members!A$4:B$103,2,0),""))</f>
        <v/>
      </c>
      <c r="C124" s="6">
        <f t="shared" si="2"/>
        <v>0</v>
      </c>
      <c r="D124" s="11"/>
      <c r="E124" s="6" t="str">
        <f t="shared" si="3"/>
        <v/>
      </c>
      <c r="F124" s="11"/>
      <c r="G124" s="25" t="str">
        <f>IF(A124="","",IFERROR(SUMIFS($F$4:$F124,$A$4:$A124,A124),0))</f>
        <v/>
      </c>
      <c r="H124" s="11"/>
      <c r="I124" s="11"/>
      <c r="J124" s="11"/>
    </row>
    <row r="125" spans="1:10" ht="15.75" customHeight="1" x14ac:dyDescent="0.25">
      <c r="A125" s="11"/>
      <c r="B125" s="4" t="str">
        <f>IF(A125="","",IFERROR(VLOOKUP(A125,Members!A$4:B$103,2,0),""))</f>
        <v/>
      </c>
      <c r="C125" s="6">
        <f t="shared" si="2"/>
        <v>0</v>
      </c>
      <c r="D125" s="11"/>
      <c r="E125" s="6" t="str">
        <f t="shared" si="3"/>
        <v/>
      </c>
      <c r="F125" s="11"/>
      <c r="G125" s="25" t="str">
        <f>IF(A125="","",IFERROR(SUMIFS($F$4:$F125,$A$4:$A125,A125),0))</f>
        <v/>
      </c>
      <c r="H125" s="11"/>
      <c r="I125" s="11"/>
      <c r="J125" s="11"/>
    </row>
    <row r="126" spans="1:10" ht="15.75" customHeight="1" x14ac:dyDescent="0.25">
      <c r="A126" s="11"/>
      <c r="B126" s="4" t="str">
        <f>IF(A126="","",IFERROR(VLOOKUP(A126,Members!A$4:B$103,2,0),""))</f>
        <v/>
      </c>
      <c r="C126" s="6">
        <f t="shared" si="2"/>
        <v>0</v>
      </c>
      <c r="D126" s="11"/>
      <c r="E126" s="6" t="str">
        <f t="shared" si="3"/>
        <v/>
      </c>
      <c r="F126" s="11"/>
      <c r="G126" s="25" t="str">
        <f>IF(A126="","",IFERROR(SUMIFS($F$4:$F126,$A$4:$A126,A126),0))</f>
        <v/>
      </c>
      <c r="H126" s="11"/>
      <c r="I126" s="11"/>
      <c r="J126" s="11"/>
    </row>
    <row r="127" spans="1:10" ht="15.75" customHeight="1" x14ac:dyDescent="0.25">
      <c r="A127" s="11"/>
      <c r="B127" s="4" t="str">
        <f>IF(A127="","",IFERROR(VLOOKUP(A127,Members!A$4:B$103,2,0),""))</f>
        <v/>
      </c>
      <c r="C127" s="6">
        <f t="shared" si="2"/>
        <v>0</v>
      </c>
      <c r="D127" s="11"/>
      <c r="E127" s="6" t="str">
        <f t="shared" si="3"/>
        <v/>
      </c>
      <c r="F127" s="11"/>
      <c r="G127" s="25" t="str">
        <f>IF(A127="","",IFERROR(SUMIFS($F$4:$F127,$A$4:$A127,A127),0))</f>
        <v/>
      </c>
      <c r="H127" s="11"/>
      <c r="I127" s="11"/>
      <c r="J127" s="11"/>
    </row>
    <row r="128" spans="1:10" ht="15.75" customHeight="1" x14ac:dyDescent="0.25">
      <c r="A128" s="11"/>
      <c r="B128" s="4" t="str">
        <f>IF(A128="","",IFERROR(VLOOKUP(A128,Members!A$4:B$103,2,0),""))</f>
        <v/>
      </c>
      <c r="C128" s="6">
        <f t="shared" si="2"/>
        <v>0</v>
      </c>
      <c r="D128" s="11"/>
      <c r="E128" s="6" t="str">
        <f t="shared" si="3"/>
        <v/>
      </c>
      <c r="F128" s="11"/>
      <c r="G128" s="25" t="str">
        <f>IF(A128="","",IFERROR(SUMIFS($F$4:$F128,$A$4:$A128,A128),0))</f>
        <v/>
      </c>
      <c r="H128" s="11"/>
      <c r="I128" s="11"/>
      <c r="J128" s="11"/>
    </row>
    <row r="129" spans="1:10" ht="15.75" customHeight="1" x14ac:dyDescent="0.25">
      <c r="A129" s="11"/>
      <c r="B129" s="4" t="str">
        <f>IF(A129="","",IFERROR(VLOOKUP(A129,Members!A$4:B$103,2,0),""))</f>
        <v/>
      </c>
      <c r="C129" s="6">
        <f t="shared" si="2"/>
        <v>0</v>
      </c>
      <c r="D129" s="11"/>
      <c r="E129" s="6" t="str">
        <f t="shared" si="3"/>
        <v/>
      </c>
      <c r="F129" s="11"/>
      <c r="G129" s="25" t="str">
        <f>IF(A129="","",IFERROR(SUMIFS($F$4:$F129,$A$4:$A129,A129),0))</f>
        <v/>
      </c>
      <c r="H129" s="11"/>
      <c r="I129" s="11"/>
      <c r="J129" s="11"/>
    </row>
    <row r="130" spans="1:10" ht="15.75" customHeight="1" x14ac:dyDescent="0.25">
      <c r="A130" s="11"/>
      <c r="B130" s="4" t="str">
        <f>IF(A130="","",IFERROR(VLOOKUP(A130,Members!A$4:B$103,2,0),""))</f>
        <v/>
      </c>
      <c r="C130" s="6">
        <f t="shared" si="2"/>
        <v>0</v>
      </c>
      <c r="D130" s="11"/>
      <c r="E130" s="6" t="str">
        <f t="shared" si="3"/>
        <v/>
      </c>
      <c r="F130" s="11"/>
      <c r="G130" s="25" t="str">
        <f>IF(A130="","",IFERROR(SUMIFS($F$4:$F130,$A$4:$A130,A130),0))</f>
        <v/>
      </c>
      <c r="H130" s="11"/>
      <c r="I130" s="11"/>
      <c r="J130" s="11"/>
    </row>
    <row r="131" spans="1:10" ht="15.75" customHeight="1" x14ac:dyDescent="0.25">
      <c r="A131" s="11"/>
      <c r="B131" s="4" t="str">
        <f>IF(A131="","",IFERROR(VLOOKUP(A131,Members!A$4:B$103,2,0),""))</f>
        <v/>
      </c>
      <c r="C131" s="6">
        <f t="shared" si="2"/>
        <v>0</v>
      </c>
      <c r="D131" s="11"/>
      <c r="E131" s="6" t="str">
        <f t="shared" si="3"/>
        <v/>
      </c>
      <c r="F131" s="11"/>
      <c r="G131" s="25" t="str">
        <f>IF(A131="","",IFERROR(SUMIFS($F$4:$F131,$A$4:$A131,A131),0))</f>
        <v/>
      </c>
      <c r="H131" s="11"/>
      <c r="I131" s="11"/>
      <c r="J131" s="11"/>
    </row>
    <row r="132" spans="1:10" ht="15.75" customHeight="1" x14ac:dyDescent="0.25">
      <c r="A132" s="11"/>
      <c r="B132" s="4" t="str">
        <f>IF(A132="","",IFERROR(VLOOKUP(A132,Members!A$4:B$103,2,0),""))</f>
        <v/>
      </c>
      <c r="C132" s="6">
        <f t="shared" ref="C132:C195" si="4">A132</f>
        <v>0</v>
      </c>
      <c r="D132" s="11"/>
      <c r="E132" s="6" t="str">
        <f t="shared" ref="E132:E195" si="5">IF(D132="","",TEXT(DATE(2024,D132,1),"MMMM"))</f>
        <v/>
      </c>
      <c r="F132" s="11"/>
      <c r="G132" s="25" t="str">
        <f>IF(A132="","",IFERROR(SUMIFS($F$4:$F132,$A$4:$A132,A132),0))</f>
        <v/>
      </c>
      <c r="H132" s="11"/>
      <c r="I132" s="11"/>
      <c r="J132" s="11"/>
    </row>
    <row r="133" spans="1:10" ht="15.75" customHeight="1" x14ac:dyDescent="0.25">
      <c r="A133" s="11"/>
      <c r="B133" s="4" t="str">
        <f>IF(A133="","",IFERROR(VLOOKUP(A133,Members!A$4:B$103,2,0),""))</f>
        <v/>
      </c>
      <c r="C133" s="6">
        <f t="shared" si="4"/>
        <v>0</v>
      </c>
      <c r="D133" s="11"/>
      <c r="E133" s="6" t="str">
        <f t="shared" si="5"/>
        <v/>
      </c>
      <c r="F133" s="11"/>
      <c r="G133" s="25" t="str">
        <f>IF(A133="","",IFERROR(SUMIFS($F$4:$F133,$A$4:$A133,A133),0))</f>
        <v/>
      </c>
      <c r="H133" s="11"/>
      <c r="I133" s="11"/>
      <c r="J133" s="11"/>
    </row>
    <row r="134" spans="1:10" ht="15.75" customHeight="1" x14ac:dyDescent="0.25">
      <c r="A134" s="11"/>
      <c r="B134" s="4" t="str">
        <f>IF(A134="","",IFERROR(VLOOKUP(A134,Members!A$4:B$103,2,0),""))</f>
        <v/>
      </c>
      <c r="C134" s="6">
        <f t="shared" si="4"/>
        <v>0</v>
      </c>
      <c r="D134" s="11"/>
      <c r="E134" s="6" t="str">
        <f t="shared" si="5"/>
        <v/>
      </c>
      <c r="F134" s="11"/>
      <c r="G134" s="25" t="str">
        <f>IF(A134="","",IFERROR(SUMIFS($F$4:$F134,$A$4:$A134,A134),0))</f>
        <v/>
      </c>
      <c r="H134" s="11"/>
      <c r="I134" s="11"/>
      <c r="J134" s="11"/>
    </row>
    <row r="135" spans="1:10" ht="15.75" customHeight="1" x14ac:dyDescent="0.25">
      <c r="A135" s="11"/>
      <c r="B135" s="4" t="str">
        <f>IF(A135="","",IFERROR(VLOOKUP(A135,Members!A$4:B$103,2,0),""))</f>
        <v/>
      </c>
      <c r="C135" s="6">
        <f t="shared" si="4"/>
        <v>0</v>
      </c>
      <c r="D135" s="11"/>
      <c r="E135" s="6" t="str">
        <f t="shared" si="5"/>
        <v/>
      </c>
      <c r="F135" s="11"/>
      <c r="G135" s="25" t="str">
        <f>IF(A135="","",IFERROR(SUMIFS($F$4:$F135,$A$4:$A135,A135),0))</f>
        <v/>
      </c>
      <c r="H135" s="11"/>
      <c r="I135" s="11"/>
      <c r="J135" s="11"/>
    </row>
    <row r="136" spans="1:10" ht="15.75" customHeight="1" x14ac:dyDescent="0.25">
      <c r="A136" s="11"/>
      <c r="B136" s="4" t="str">
        <f>IF(A136="","",IFERROR(VLOOKUP(A136,Members!A$4:B$103,2,0),""))</f>
        <v/>
      </c>
      <c r="C136" s="6">
        <f t="shared" si="4"/>
        <v>0</v>
      </c>
      <c r="D136" s="11"/>
      <c r="E136" s="6" t="str">
        <f t="shared" si="5"/>
        <v/>
      </c>
      <c r="F136" s="11"/>
      <c r="G136" s="25" t="str">
        <f>IF(A136="","",IFERROR(SUMIFS($F$4:$F136,$A$4:$A136,A136),0))</f>
        <v/>
      </c>
      <c r="H136" s="11"/>
      <c r="I136" s="11"/>
      <c r="J136" s="11"/>
    </row>
    <row r="137" spans="1:10" ht="15.75" customHeight="1" x14ac:dyDescent="0.25">
      <c r="A137" s="11"/>
      <c r="B137" s="4" t="str">
        <f>IF(A137="","",IFERROR(VLOOKUP(A137,Members!A$4:B$103,2,0),""))</f>
        <v/>
      </c>
      <c r="C137" s="6">
        <f t="shared" si="4"/>
        <v>0</v>
      </c>
      <c r="D137" s="11"/>
      <c r="E137" s="6" t="str">
        <f t="shared" si="5"/>
        <v/>
      </c>
      <c r="F137" s="11"/>
      <c r="G137" s="25" t="str">
        <f>IF(A137="","",IFERROR(SUMIFS($F$4:$F137,$A$4:$A137,A137),0))</f>
        <v/>
      </c>
      <c r="H137" s="11"/>
      <c r="I137" s="11"/>
      <c r="J137" s="11"/>
    </row>
    <row r="138" spans="1:10" ht="15.75" customHeight="1" x14ac:dyDescent="0.25">
      <c r="A138" s="11"/>
      <c r="B138" s="4" t="str">
        <f>IF(A138="","",IFERROR(VLOOKUP(A138,Members!A$4:B$103,2,0),""))</f>
        <v/>
      </c>
      <c r="C138" s="6">
        <f t="shared" si="4"/>
        <v>0</v>
      </c>
      <c r="D138" s="11"/>
      <c r="E138" s="6" t="str">
        <f t="shared" si="5"/>
        <v/>
      </c>
      <c r="F138" s="11"/>
      <c r="G138" s="25" t="str">
        <f>IF(A138="","",IFERROR(SUMIFS($F$4:$F138,$A$4:$A138,A138),0))</f>
        <v/>
      </c>
      <c r="H138" s="11"/>
      <c r="I138" s="11"/>
      <c r="J138" s="11"/>
    </row>
    <row r="139" spans="1:10" ht="15.75" customHeight="1" x14ac:dyDescent="0.25">
      <c r="A139" s="11"/>
      <c r="B139" s="4" t="str">
        <f>IF(A139="","",IFERROR(VLOOKUP(A139,Members!A$4:B$103,2,0),""))</f>
        <v/>
      </c>
      <c r="C139" s="6">
        <f t="shared" si="4"/>
        <v>0</v>
      </c>
      <c r="D139" s="11"/>
      <c r="E139" s="6" t="str">
        <f t="shared" si="5"/>
        <v/>
      </c>
      <c r="F139" s="11"/>
      <c r="G139" s="25" t="str">
        <f>IF(A139="","",IFERROR(SUMIFS($F$4:$F139,$A$4:$A139,A139),0))</f>
        <v/>
      </c>
      <c r="H139" s="11"/>
      <c r="I139" s="11"/>
      <c r="J139" s="11"/>
    </row>
    <row r="140" spans="1:10" ht="15.75" customHeight="1" x14ac:dyDescent="0.25">
      <c r="A140" s="11"/>
      <c r="B140" s="4" t="str">
        <f>IF(A140="","",IFERROR(VLOOKUP(A140,Members!A$4:B$103,2,0),""))</f>
        <v/>
      </c>
      <c r="C140" s="6">
        <f t="shared" si="4"/>
        <v>0</v>
      </c>
      <c r="D140" s="11"/>
      <c r="E140" s="6" t="str">
        <f t="shared" si="5"/>
        <v/>
      </c>
      <c r="F140" s="11"/>
      <c r="G140" s="25" t="str">
        <f>IF(A140="","",IFERROR(SUMIFS($F$4:$F140,$A$4:$A140,A140),0))</f>
        <v/>
      </c>
      <c r="H140" s="11"/>
      <c r="I140" s="11"/>
      <c r="J140" s="11"/>
    </row>
    <row r="141" spans="1:10" ht="15.75" customHeight="1" x14ac:dyDescent="0.25">
      <c r="A141" s="11"/>
      <c r="B141" s="4" t="str">
        <f>IF(A141="","",IFERROR(VLOOKUP(A141,Members!A$4:B$103,2,0),""))</f>
        <v/>
      </c>
      <c r="C141" s="6">
        <f t="shared" si="4"/>
        <v>0</v>
      </c>
      <c r="D141" s="11"/>
      <c r="E141" s="6" t="str">
        <f t="shared" si="5"/>
        <v/>
      </c>
      <c r="F141" s="11"/>
      <c r="G141" s="25" t="str">
        <f>IF(A141="","",IFERROR(SUMIFS($F$4:$F141,$A$4:$A141,A141),0))</f>
        <v/>
      </c>
      <c r="H141" s="11"/>
      <c r="I141" s="11"/>
      <c r="J141" s="11"/>
    </row>
    <row r="142" spans="1:10" ht="15.75" customHeight="1" x14ac:dyDescent="0.25">
      <c r="A142" s="11"/>
      <c r="B142" s="4" t="str">
        <f>IF(A142="","",IFERROR(VLOOKUP(A142,Members!A$4:B$103,2,0),""))</f>
        <v/>
      </c>
      <c r="C142" s="6">
        <f t="shared" si="4"/>
        <v>0</v>
      </c>
      <c r="D142" s="11"/>
      <c r="E142" s="6" t="str">
        <f t="shared" si="5"/>
        <v/>
      </c>
      <c r="F142" s="11"/>
      <c r="G142" s="25" t="str">
        <f>IF(A142="","",IFERROR(SUMIFS($F$4:$F142,$A$4:$A142,A142),0))</f>
        <v/>
      </c>
      <c r="H142" s="11"/>
      <c r="I142" s="11"/>
      <c r="J142" s="11"/>
    </row>
    <row r="143" spans="1:10" ht="15.75" customHeight="1" x14ac:dyDescent="0.25">
      <c r="A143" s="11"/>
      <c r="B143" s="4" t="str">
        <f>IF(A143="","",IFERROR(VLOOKUP(A143,Members!A$4:B$103,2,0),""))</f>
        <v/>
      </c>
      <c r="C143" s="6">
        <f t="shared" si="4"/>
        <v>0</v>
      </c>
      <c r="D143" s="11"/>
      <c r="E143" s="6" t="str">
        <f t="shared" si="5"/>
        <v/>
      </c>
      <c r="F143" s="11"/>
      <c r="G143" s="25" t="str">
        <f>IF(A143="","",IFERROR(SUMIFS($F$4:$F143,$A$4:$A143,A143),0))</f>
        <v/>
      </c>
      <c r="H143" s="11"/>
      <c r="I143" s="11"/>
      <c r="J143" s="11"/>
    </row>
    <row r="144" spans="1:10" ht="15.75" customHeight="1" x14ac:dyDescent="0.25">
      <c r="A144" s="11"/>
      <c r="B144" s="4" t="str">
        <f>IF(A144="","",IFERROR(VLOOKUP(A144,Members!A$4:B$103,2,0),""))</f>
        <v/>
      </c>
      <c r="C144" s="6">
        <f t="shared" si="4"/>
        <v>0</v>
      </c>
      <c r="D144" s="11"/>
      <c r="E144" s="6" t="str">
        <f t="shared" si="5"/>
        <v/>
      </c>
      <c r="F144" s="11"/>
      <c r="G144" s="25" t="str">
        <f>IF(A144="","",IFERROR(SUMIFS($F$4:$F144,$A$4:$A144,A144),0))</f>
        <v/>
      </c>
      <c r="H144" s="11"/>
      <c r="I144" s="11"/>
      <c r="J144" s="11"/>
    </row>
    <row r="145" spans="1:10" ht="15.75" customHeight="1" x14ac:dyDescent="0.25">
      <c r="A145" s="11"/>
      <c r="B145" s="4" t="str">
        <f>IF(A145="","",IFERROR(VLOOKUP(A145,Members!A$4:B$103,2,0),""))</f>
        <v/>
      </c>
      <c r="C145" s="6">
        <f t="shared" si="4"/>
        <v>0</v>
      </c>
      <c r="D145" s="11"/>
      <c r="E145" s="6" t="str">
        <f t="shared" si="5"/>
        <v/>
      </c>
      <c r="F145" s="11"/>
      <c r="G145" s="25" t="str">
        <f>IF(A145="","",IFERROR(SUMIFS($F$4:$F145,$A$4:$A145,A145),0))</f>
        <v/>
      </c>
      <c r="H145" s="11"/>
      <c r="I145" s="11"/>
      <c r="J145" s="11"/>
    </row>
    <row r="146" spans="1:10" ht="15.75" customHeight="1" x14ac:dyDescent="0.25">
      <c r="A146" s="11"/>
      <c r="B146" s="4" t="str">
        <f>IF(A146="","",IFERROR(VLOOKUP(A146,Members!A$4:B$103,2,0),""))</f>
        <v/>
      </c>
      <c r="C146" s="6">
        <f t="shared" si="4"/>
        <v>0</v>
      </c>
      <c r="D146" s="11"/>
      <c r="E146" s="6" t="str">
        <f t="shared" si="5"/>
        <v/>
      </c>
      <c r="F146" s="11"/>
      <c r="G146" s="25" t="str">
        <f>IF(A146="","",IFERROR(SUMIFS($F$4:$F146,$A$4:$A146,A146),0))</f>
        <v/>
      </c>
      <c r="H146" s="11"/>
      <c r="I146" s="11"/>
      <c r="J146" s="11"/>
    </row>
    <row r="147" spans="1:10" ht="15.75" customHeight="1" x14ac:dyDescent="0.25">
      <c r="A147" s="11"/>
      <c r="B147" s="4" t="str">
        <f>IF(A147="","",IFERROR(VLOOKUP(A147,Members!A$4:B$103,2,0),""))</f>
        <v/>
      </c>
      <c r="C147" s="6">
        <f t="shared" si="4"/>
        <v>0</v>
      </c>
      <c r="D147" s="11"/>
      <c r="E147" s="6" t="str">
        <f t="shared" si="5"/>
        <v/>
      </c>
      <c r="F147" s="11"/>
      <c r="G147" s="25" t="str">
        <f>IF(A147="","",IFERROR(SUMIFS($F$4:$F147,$A$4:$A147,A147),0))</f>
        <v/>
      </c>
      <c r="H147" s="11"/>
      <c r="I147" s="11"/>
      <c r="J147" s="11"/>
    </row>
    <row r="148" spans="1:10" ht="15.75" customHeight="1" x14ac:dyDescent="0.25">
      <c r="A148" s="11"/>
      <c r="B148" s="4" t="str">
        <f>IF(A148="","",IFERROR(VLOOKUP(A148,Members!A$4:B$103,2,0),""))</f>
        <v/>
      </c>
      <c r="C148" s="6">
        <f t="shared" si="4"/>
        <v>0</v>
      </c>
      <c r="D148" s="11"/>
      <c r="E148" s="6" t="str">
        <f t="shared" si="5"/>
        <v/>
      </c>
      <c r="F148" s="11"/>
      <c r="G148" s="25" t="str">
        <f>IF(A148="","",IFERROR(SUMIFS($F$4:$F148,$A$4:$A148,A148),0))</f>
        <v/>
      </c>
      <c r="H148" s="11"/>
      <c r="I148" s="11"/>
      <c r="J148" s="11"/>
    </row>
    <row r="149" spans="1:10" ht="15.75" customHeight="1" x14ac:dyDescent="0.25">
      <c r="A149" s="11"/>
      <c r="B149" s="4" t="str">
        <f>IF(A149="","",IFERROR(VLOOKUP(A149,Members!A$4:B$103,2,0),""))</f>
        <v/>
      </c>
      <c r="C149" s="6">
        <f t="shared" si="4"/>
        <v>0</v>
      </c>
      <c r="D149" s="11"/>
      <c r="E149" s="6" t="str">
        <f t="shared" si="5"/>
        <v/>
      </c>
      <c r="F149" s="11"/>
      <c r="G149" s="25" t="str">
        <f>IF(A149="","",IFERROR(SUMIFS($F$4:$F149,$A$4:$A149,A149),0))</f>
        <v/>
      </c>
      <c r="H149" s="11"/>
      <c r="I149" s="11"/>
      <c r="J149" s="11"/>
    </row>
    <row r="150" spans="1:10" ht="15.75" customHeight="1" x14ac:dyDescent="0.25">
      <c r="A150" s="11"/>
      <c r="B150" s="4" t="str">
        <f>IF(A150="","",IFERROR(VLOOKUP(A150,Members!A$4:B$103,2,0),""))</f>
        <v/>
      </c>
      <c r="C150" s="6">
        <f t="shared" si="4"/>
        <v>0</v>
      </c>
      <c r="D150" s="11"/>
      <c r="E150" s="6" t="str">
        <f t="shared" si="5"/>
        <v/>
      </c>
      <c r="F150" s="11"/>
      <c r="G150" s="25" t="str">
        <f>IF(A150="","",IFERROR(SUMIFS($F$4:$F150,$A$4:$A150,A150),0))</f>
        <v/>
      </c>
      <c r="H150" s="11"/>
      <c r="I150" s="11"/>
      <c r="J150" s="11"/>
    </row>
    <row r="151" spans="1:10" ht="15.75" customHeight="1" x14ac:dyDescent="0.25">
      <c r="A151" s="11"/>
      <c r="B151" s="4" t="str">
        <f>IF(A151="","",IFERROR(VLOOKUP(A151,Members!A$4:B$103,2,0),""))</f>
        <v/>
      </c>
      <c r="C151" s="6">
        <f t="shared" si="4"/>
        <v>0</v>
      </c>
      <c r="D151" s="11"/>
      <c r="E151" s="6" t="str">
        <f t="shared" si="5"/>
        <v/>
      </c>
      <c r="F151" s="11"/>
      <c r="G151" s="25" t="str">
        <f>IF(A151="","",IFERROR(SUMIFS($F$4:$F151,$A$4:$A151,A151),0))</f>
        <v/>
      </c>
      <c r="H151" s="11"/>
      <c r="I151" s="11"/>
      <c r="J151" s="11"/>
    </row>
    <row r="152" spans="1:10" ht="15.75" customHeight="1" x14ac:dyDescent="0.25">
      <c r="A152" s="11"/>
      <c r="B152" s="4" t="str">
        <f>IF(A152="","",IFERROR(VLOOKUP(A152,Members!A$4:B$103,2,0),""))</f>
        <v/>
      </c>
      <c r="C152" s="6">
        <f t="shared" si="4"/>
        <v>0</v>
      </c>
      <c r="D152" s="11"/>
      <c r="E152" s="6" t="str">
        <f t="shared" si="5"/>
        <v/>
      </c>
      <c r="F152" s="11"/>
      <c r="G152" s="25" t="str">
        <f>IF(A152="","",IFERROR(SUMIFS($F$4:$F152,$A$4:$A152,A152),0))</f>
        <v/>
      </c>
      <c r="H152" s="11"/>
      <c r="I152" s="11"/>
      <c r="J152" s="11"/>
    </row>
    <row r="153" spans="1:10" ht="15.75" customHeight="1" x14ac:dyDescent="0.25">
      <c r="A153" s="11"/>
      <c r="B153" s="4" t="str">
        <f>IF(A153="","",IFERROR(VLOOKUP(A153,Members!A$4:B$103,2,0),""))</f>
        <v/>
      </c>
      <c r="C153" s="6">
        <f t="shared" si="4"/>
        <v>0</v>
      </c>
      <c r="D153" s="11"/>
      <c r="E153" s="6" t="str">
        <f t="shared" si="5"/>
        <v/>
      </c>
      <c r="F153" s="11"/>
      <c r="G153" s="25" t="str">
        <f>IF(A153="","",IFERROR(SUMIFS($F$4:$F153,$A$4:$A153,A153),0))</f>
        <v/>
      </c>
      <c r="H153" s="11"/>
      <c r="I153" s="11"/>
      <c r="J153" s="11"/>
    </row>
    <row r="154" spans="1:10" ht="15.75" customHeight="1" x14ac:dyDescent="0.25">
      <c r="A154" s="11"/>
      <c r="B154" s="4" t="str">
        <f>IF(A154="","",IFERROR(VLOOKUP(A154,Members!A$4:B$103,2,0),""))</f>
        <v/>
      </c>
      <c r="C154" s="6">
        <f t="shared" si="4"/>
        <v>0</v>
      </c>
      <c r="D154" s="11"/>
      <c r="E154" s="6" t="str">
        <f t="shared" si="5"/>
        <v/>
      </c>
      <c r="F154" s="11"/>
      <c r="G154" s="25" t="str">
        <f>IF(A154="","",IFERROR(SUMIFS($F$4:$F154,$A$4:$A154,A154),0))</f>
        <v/>
      </c>
      <c r="H154" s="11"/>
      <c r="I154" s="11"/>
      <c r="J154" s="11"/>
    </row>
    <row r="155" spans="1:10" ht="15.75" customHeight="1" x14ac:dyDescent="0.25">
      <c r="A155" s="11"/>
      <c r="B155" s="4" t="str">
        <f>IF(A155="","",IFERROR(VLOOKUP(A155,Members!A$4:B$103,2,0),""))</f>
        <v/>
      </c>
      <c r="C155" s="6">
        <f t="shared" si="4"/>
        <v>0</v>
      </c>
      <c r="D155" s="11"/>
      <c r="E155" s="6" t="str">
        <f t="shared" si="5"/>
        <v/>
      </c>
      <c r="F155" s="11"/>
      <c r="G155" s="25" t="str">
        <f>IF(A155="","",IFERROR(SUMIFS($F$4:$F155,$A$4:$A155,A155),0))</f>
        <v/>
      </c>
      <c r="H155" s="11"/>
      <c r="I155" s="11"/>
      <c r="J155" s="11"/>
    </row>
    <row r="156" spans="1:10" ht="15.75" customHeight="1" x14ac:dyDescent="0.25">
      <c r="A156" s="11"/>
      <c r="B156" s="4" t="str">
        <f>IF(A156="","",IFERROR(VLOOKUP(A156,Members!A$4:B$103,2,0),""))</f>
        <v/>
      </c>
      <c r="C156" s="6">
        <f t="shared" si="4"/>
        <v>0</v>
      </c>
      <c r="D156" s="11"/>
      <c r="E156" s="6" t="str">
        <f t="shared" si="5"/>
        <v/>
      </c>
      <c r="F156" s="11"/>
      <c r="G156" s="25" t="str">
        <f>IF(A156="","",IFERROR(SUMIFS($F$4:$F156,$A$4:$A156,A156),0))</f>
        <v/>
      </c>
      <c r="H156" s="11"/>
      <c r="I156" s="11"/>
      <c r="J156" s="11"/>
    </row>
    <row r="157" spans="1:10" ht="15.75" customHeight="1" x14ac:dyDescent="0.25">
      <c r="A157" s="11"/>
      <c r="B157" s="4" t="str">
        <f>IF(A157="","",IFERROR(VLOOKUP(A157,Members!A$4:B$103,2,0),""))</f>
        <v/>
      </c>
      <c r="C157" s="6">
        <f t="shared" si="4"/>
        <v>0</v>
      </c>
      <c r="D157" s="11"/>
      <c r="E157" s="6" t="str">
        <f t="shared" si="5"/>
        <v/>
      </c>
      <c r="F157" s="11"/>
      <c r="G157" s="25" t="str">
        <f>IF(A157="","",IFERROR(SUMIFS($F$4:$F157,$A$4:$A157,A157),0))</f>
        <v/>
      </c>
      <c r="H157" s="11"/>
      <c r="I157" s="11"/>
      <c r="J157" s="11"/>
    </row>
    <row r="158" spans="1:10" ht="15.75" customHeight="1" x14ac:dyDescent="0.25">
      <c r="A158" s="11"/>
      <c r="B158" s="4" t="str">
        <f>IF(A158="","",IFERROR(VLOOKUP(A158,Members!A$4:B$103,2,0),""))</f>
        <v/>
      </c>
      <c r="C158" s="6">
        <f t="shared" si="4"/>
        <v>0</v>
      </c>
      <c r="D158" s="11"/>
      <c r="E158" s="6" t="str">
        <f t="shared" si="5"/>
        <v/>
      </c>
      <c r="F158" s="11"/>
      <c r="G158" s="25" t="str">
        <f>IF(A158="","",IFERROR(SUMIFS($F$4:$F158,$A$4:$A158,A158),0))</f>
        <v/>
      </c>
      <c r="H158" s="11"/>
      <c r="I158" s="11"/>
      <c r="J158" s="11"/>
    </row>
    <row r="159" spans="1:10" ht="15.75" customHeight="1" x14ac:dyDescent="0.25">
      <c r="A159" s="11"/>
      <c r="B159" s="4" t="str">
        <f>IF(A159="","",IFERROR(VLOOKUP(A159,Members!A$4:B$103,2,0),""))</f>
        <v/>
      </c>
      <c r="C159" s="6">
        <f t="shared" si="4"/>
        <v>0</v>
      </c>
      <c r="D159" s="11"/>
      <c r="E159" s="6" t="str">
        <f t="shared" si="5"/>
        <v/>
      </c>
      <c r="F159" s="11"/>
      <c r="G159" s="25" t="str">
        <f>IF(A159="","",IFERROR(SUMIFS($F$4:$F159,$A$4:$A159,A159),0))</f>
        <v/>
      </c>
      <c r="H159" s="11"/>
      <c r="I159" s="11"/>
      <c r="J159" s="11"/>
    </row>
    <row r="160" spans="1:10" ht="15.75" customHeight="1" x14ac:dyDescent="0.25">
      <c r="A160" s="11"/>
      <c r="B160" s="4" t="str">
        <f>IF(A160="","",IFERROR(VLOOKUP(A160,Members!A$4:B$103,2,0),""))</f>
        <v/>
      </c>
      <c r="C160" s="6">
        <f t="shared" si="4"/>
        <v>0</v>
      </c>
      <c r="D160" s="11"/>
      <c r="E160" s="6" t="str">
        <f t="shared" si="5"/>
        <v/>
      </c>
      <c r="F160" s="11"/>
      <c r="G160" s="25" t="str">
        <f>IF(A160="","",IFERROR(SUMIFS($F$4:$F160,$A$4:$A160,A160),0))</f>
        <v/>
      </c>
      <c r="H160" s="11"/>
      <c r="I160" s="11"/>
      <c r="J160" s="11"/>
    </row>
    <row r="161" spans="1:10" ht="15.75" customHeight="1" x14ac:dyDescent="0.25">
      <c r="A161" s="11"/>
      <c r="B161" s="4" t="str">
        <f>IF(A161="","",IFERROR(VLOOKUP(A161,Members!A$4:B$103,2,0),""))</f>
        <v/>
      </c>
      <c r="C161" s="6">
        <f t="shared" si="4"/>
        <v>0</v>
      </c>
      <c r="D161" s="11"/>
      <c r="E161" s="6" t="str">
        <f t="shared" si="5"/>
        <v/>
      </c>
      <c r="F161" s="11"/>
      <c r="G161" s="25" t="str">
        <f>IF(A161="","",IFERROR(SUMIFS($F$4:$F161,$A$4:$A161,A161),0))</f>
        <v/>
      </c>
      <c r="H161" s="11"/>
      <c r="I161" s="11"/>
      <c r="J161" s="11"/>
    </row>
    <row r="162" spans="1:10" ht="15.75" customHeight="1" x14ac:dyDescent="0.25">
      <c r="A162" s="11"/>
      <c r="B162" s="4" t="str">
        <f>IF(A162="","",IFERROR(VLOOKUP(A162,Members!A$4:B$103,2,0),""))</f>
        <v/>
      </c>
      <c r="C162" s="6">
        <f t="shared" si="4"/>
        <v>0</v>
      </c>
      <c r="D162" s="11"/>
      <c r="E162" s="6" t="str">
        <f t="shared" si="5"/>
        <v/>
      </c>
      <c r="F162" s="11"/>
      <c r="G162" s="25" t="str">
        <f>IF(A162="","",IFERROR(SUMIFS($F$4:$F162,$A$4:$A162,A162),0))</f>
        <v/>
      </c>
      <c r="H162" s="11"/>
      <c r="I162" s="11"/>
      <c r="J162" s="11"/>
    </row>
    <row r="163" spans="1:10" ht="15.75" customHeight="1" x14ac:dyDescent="0.25">
      <c r="A163" s="11"/>
      <c r="B163" s="4" t="str">
        <f>IF(A163="","",IFERROR(VLOOKUP(A163,Members!A$4:B$103,2,0),""))</f>
        <v/>
      </c>
      <c r="C163" s="6">
        <f t="shared" si="4"/>
        <v>0</v>
      </c>
      <c r="D163" s="11"/>
      <c r="E163" s="6" t="str">
        <f t="shared" si="5"/>
        <v/>
      </c>
      <c r="F163" s="11"/>
      <c r="G163" s="25" t="str">
        <f>IF(A163="","",IFERROR(SUMIFS($F$4:$F163,$A$4:$A163,A163),0))</f>
        <v/>
      </c>
      <c r="H163" s="11"/>
      <c r="I163" s="11"/>
      <c r="J163" s="11"/>
    </row>
    <row r="164" spans="1:10" ht="15.75" customHeight="1" x14ac:dyDescent="0.25">
      <c r="A164" s="11"/>
      <c r="B164" s="4" t="str">
        <f>IF(A164="","",IFERROR(VLOOKUP(A164,Members!A$4:B$103,2,0),""))</f>
        <v/>
      </c>
      <c r="C164" s="6">
        <f t="shared" si="4"/>
        <v>0</v>
      </c>
      <c r="D164" s="11"/>
      <c r="E164" s="6" t="str">
        <f t="shared" si="5"/>
        <v/>
      </c>
      <c r="F164" s="11"/>
      <c r="G164" s="25" t="str">
        <f>IF(A164="","",IFERROR(SUMIFS($F$4:$F164,$A$4:$A164,A164),0))</f>
        <v/>
      </c>
      <c r="H164" s="11"/>
      <c r="I164" s="11"/>
      <c r="J164" s="11"/>
    </row>
    <row r="165" spans="1:10" ht="15.75" customHeight="1" x14ac:dyDescent="0.25">
      <c r="A165" s="11"/>
      <c r="B165" s="4" t="str">
        <f>IF(A165="","",IFERROR(VLOOKUP(A165,Members!A$4:B$103,2,0),""))</f>
        <v/>
      </c>
      <c r="C165" s="6">
        <f t="shared" si="4"/>
        <v>0</v>
      </c>
      <c r="D165" s="11"/>
      <c r="E165" s="6" t="str">
        <f t="shared" si="5"/>
        <v/>
      </c>
      <c r="F165" s="11"/>
      <c r="G165" s="25" t="str">
        <f>IF(A165="","",IFERROR(SUMIFS($F$4:$F165,$A$4:$A165,A165),0))</f>
        <v/>
      </c>
      <c r="H165" s="11"/>
      <c r="I165" s="11"/>
      <c r="J165" s="11"/>
    </row>
    <row r="166" spans="1:10" ht="15.75" customHeight="1" x14ac:dyDescent="0.25">
      <c r="A166" s="11"/>
      <c r="B166" s="4" t="str">
        <f>IF(A166="","",IFERROR(VLOOKUP(A166,Members!A$4:B$103,2,0),""))</f>
        <v/>
      </c>
      <c r="C166" s="6">
        <f t="shared" si="4"/>
        <v>0</v>
      </c>
      <c r="D166" s="11"/>
      <c r="E166" s="6" t="str">
        <f t="shared" si="5"/>
        <v/>
      </c>
      <c r="F166" s="11"/>
      <c r="G166" s="25" t="str">
        <f>IF(A166="","",IFERROR(SUMIFS($F$4:$F166,$A$4:$A166,A166),0))</f>
        <v/>
      </c>
      <c r="H166" s="11"/>
      <c r="I166" s="11"/>
      <c r="J166" s="11"/>
    </row>
    <row r="167" spans="1:10" ht="15.75" customHeight="1" x14ac:dyDescent="0.25">
      <c r="A167" s="11"/>
      <c r="B167" s="4" t="str">
        <f>IF(A167="","",IFERROR(VLOOKUP(A167,Members!A$4:B$103,2,0),""))</f>
        <v/>
      </c>
      <c r="C167" s="6">
        <f t="shared" si="4"/>
        <v>0</v>
      </c>
      <c r="D167" s="11"/>
      <c r="E167" s="6" t="str">
        <f t="shared" si="5"/>
        <v/>
      </c>
      <c r="F167" s="11"/>
      <c r="G167" s="25" t="str">
        <f>IF(A167="","",IFERROR(SUMIFS($F$4:$F167,$A$4:$A167,A167),0))</f>
        <v/>
      </c>
      <c r="H167" s="11"/>
      <c r="I167" s="11"/>
      <c r="J167" s="11"/>
    </row>
    <row r="168" spans="1:10" ht="15.75" customHeight="1" x14ac:dyDescent="0.25">
      <c r="A168" s="11"/>
      <c r="B168" s="4" t="str">
        <f>IF(A168="","",IFERROR(VLOOKUP(A168,Members!A$4:B$103,2,0),""))</f>
        <v/>
      </c>
      <c r="C168" s="6">
        <f t="shared" si="4"/>
        <v>0</v>
      </c>
      <c r="D168" s="11"/>
      <c r="E168" s="6" t="str">
        <f t="shared" si="5"/>
        <v/>
      </c>
      <c r="F168" s="11"/>
      <c r="G168" s="25" t="str">
        <f>IF(A168="","",IFERROR(SUMIFS($F$4:$F168,$A$4:$A168,A168),0))</f>
        <v/>
      </c>
      <c r="H168" s="11"/>
      <c r="I168" s="11"/>
      <c r="J168" s="11"/>
    </row>
    <row r="169" spans="1:10" ht="15.75" customHeight="1" x14ac:dyDescent="0.25">
      <c r="A169" s="11"/>
      <c r="B169" s="4" t="str">
        <f>IF(A169="","",IFERROR(VLOOKUP(A169,Members!A$4:B$103,2,0),""))</f>
        <v/>
      </c>
      <c r="C169" s="6">
        <f t="shared" si="4"/>
        <v>0</v>
      </c>
      <c r="D169" s="11"/>
      <c r="E169" s="6" t="str">
        <f t="shared" si="5"/>
        <v/>
      </c>
      <c r="F169" s="11"/>
      <c r="G169" s="25" t="str">
        <f>IF(A169="","",IFERROR(SUMIFS($F$4:$F169,$A$4:$A169,A169),0))</f>
        <v/>
      </c>
      <c r="H169" s="11"/>
      <c r="I169" s="11"/>
      <c r="J169" s="11"/>
    </row>
    <row r="170" spans="1:10" ht="15.75" customHeight="1" x14ac:dyDescent="0.25">
      <c r="A170" s="11"/>
      <c r="B170" s="4" t="str">
        <f>IF(A170="","",IFERROR(VLOOKUP(A170,Members!A$4:B$103,2,0),""))</f>
        <v/>
      </c>
      <c r="C170" s="6">
        <f t="shared" si="4"/>
        <v>0</v>
      </c>
      <c r="D170" s="11"/>
      <c r="E170" s="6" t="str">
        <f t="shared" si="5"/>
        <v/>
      </c>
      <c r="F170" s="11"/>
      <c r="G170" s="25" t="str">
        <f>IF(A170="","",IFERROR(SUMIFS($F$4:$F170,$A$4:$A170,A170),0))</f>
        <v/>
      </c>
      <c r="H170" s="11"/>
      <c r="I170" s="11"/>
      <c r="J170" s="11"/>
    </row>
    <row r="171" spans="1:10" ht="15.75" customHeight="1" x14ac:dyDescent="0.25">
      <c r="A171" s="11"/>
      <c r="B171" s="4" t="str">
        <f>IF(A171="","",IFERROR(VLOOKUP(A171,Members!A$4:B$103,2,0),""))</f>
        <v/>
      </c>
      <c r="C171" s="6">
        <f t="shared" si="4"/>
        <v>0</v>
      </c>
      <c r="D171" s="11"/>
      <c r="E171" s="6" t="str">
        <f t="shared" si="5"/>
        <v/>
      </c>
      <c r="F171" s="11"/>
      <c r="G171" s="25" t="str">
        <f>IF(A171="","",IFERROR(SUMIFS($F$4:$F171,$A$4:$A171,A171),0))</f>
        <v/>
      </c>
      <c r="H171" s="11"/>
      <c r="I171" s="11"/>
      <c r="J171" s="11"/>
    </row>
    <row r="172" spans="1:10" ht="15.75" customHeight="1" x14ac:dyDescent="0.25">
      <c r="A172" s="11"/>
      <c r="B172" s="4" t="str">
        <f>IF(A172="","",IFERROR(VLOOKUP(A172,Members!A$4:B$103,2,0),""))</f>
        <v/>
      </c>
      <c r="C172" s="6">
        <f t="shared" si="4"/>
        <v>0</v>
      </c>
      <c r="D172" s="11"/>
      <c r="E172" s="6" t="str">
        <f t="shared" si="5"/>
        <v/>
      </c>
      <c r="F172" s="11"/>
      <c r="G172" s="25" t="str">
        <f>IF(A172="","",IFERROR(SUMIFS($F$4:$F172,$A$4:$A172,A172),0))</f>
        <v/>
      </c>
      <c r="H172" s="11"/>
      <c r="I172" s="11"/>
      <c r="J172" s="11"/>
    </row>
    <row r="173" spans="1:10" ht="15.75" customHeight="1" x14ac:dyDescent="0.25">
      <c r="A173" s="11"/>
      <c r="B173" s="4" t="str">
        <f>IF(A173="","",IFERROR(VLOOKUP(A173,Members!A$4:B$103,2,0),""))</f>
        <v/>
      </c>
      <c r="C173" s="6">
        <f t="shared" si="4"/>
        <v>0</v>
      </c>
      <c r="D173" s="11"/>
      <c r="E173" s="6" t="str">
        <f t="shared" si="5"/>
        <v/>
      </c>
      <c r="F173" s="11"/>
      <c r="G173" s="25" t="str">
        <f>IF(A173="","",IFERROR(SUMIFS($F$4:$F173,$A$4:$A173,A173),0))</f>
        <v/>
      </c>
      <c r="H173" s="11"/>
      <c r="I173" s="11"/>
      <c r="J173" s="11"/>
    </row>
    <row r="174" spans="1:10" ht="15.75" customHeight="1" x14ac:dyDescent="0.25">
      <c r="A174" s="11"/>
      <c r="B174" s="4" t="str">
        <f>IF(A174="","",IFERROR(VLOOKUP(A174,Members!A$4:B$103,2,0),""))</f>
        <v/>
      </c>
      <c r="C174" s="6">
        <f t="shared" si="4"/>
        <v>0</v>
      </c>
      <c r="D174" s="11"/>
      <c r="E174" s="6" t="str">
        <f t="shared" si="5"/>
        <v/>
      </c>
      <c r="F174" s="11"/>
      <c r="G174" s="25" t="str">
        <f>IF(A174="","",IFERROR(SUMIFS($F$4:$F174,$A$4:$A174,A174),0))</f>
        <v/>
      </c>
      <c r="H174" s="11"/>
      <c r="I174" s="11"/>
      <c r="J174" s="11"/>
    </row>
    <row r="175" spans="1:10" ht="15.75" customHeight="1" x14ac:dyDescent="0.25">
      <c r="A175" s="11"/>
      <c r="B175" s="4" t="str">
        <f>IF(A175="","",IFERROR(VLOOKUP(A175,Members!A$4:B$103,2,0),""))</f>
        <v/>
      </c>
      <c r="C175" s="6">
        <f t="shared" si="4"/>
        <v>0</v>
      </c>
      <c r="D175" s="11"/>
      <c r="E175" s="6" t="str">
        <f t="shared" si="5"/>
        <v/>
      </c>
      <c r="F175" s="11"/>
      <c r="G175" s="25" t="str">
        <f>IF(A175="","",IFERROR(SUMIFS($F$4:$F175,$A$4:$A175,A175),0))</f>
        <v/>
      </c>
      <c r="H175" s="11"/>
      <c r="I175" s="11"/>
      <c r="J175" s="11"/>
    </row>
    <row r="176" spans="1:10" ht="15.75" customHeight="1" x14ac:dyDescent="0.25">
      <c r="A176" s="11"/>
      <c r="B176" s="4" t="str">
        <f>IF(A176="","",IFERROR(VLOOKUP(A176,Members!A$4:B$103,2,0),""))</f>
        <v/>
      </c>
      <c r="C176" s="6">
        <f t="shared" si="4"/>
        <v>0</v>
      </c>
      <c r="D176" s="11"/>
      <c r="E176" s="6" t="str">
        <f t="shared" si="5"/>
        <v/>
      </c>
      <c r="F176" s="11"/>
      <c r="G176" s="25" t="str">
        <f>IF(A176="","",IFERROR(SUMIFS($F$4:$F176,$A$4:$A176,A176),0))</f>
        <v/>
      </c>
      <c r="H176" s="11"/>
      <c r="I176" s="11"/>
      <c r="J176" s="11"/>
    </row>
    <row r="177" spans="1:10" ht="15.75" customHeight="1" x14ac:dyDescent="0.25">
      <c r="A177" s="11"/>
      <c r="B177" s="4" t="str">
        <f>IF(A177="","",IFERROR(VLOOKUP(A177,Members!A$4:B$103,2,0),""))</f>
        <v/>
      </c>
      <c r="C177" s="6">
        <f t="shared" si="4"/>
        <v>0</v>
      </c>
      <c r="D177" s="11"/>
      <c r="E177" s="6" t="str">
        <f t="shared" si="5"/>
        <v/>
      </c>
      <c r="F177" s="11"/>
      <c r="G177" s="25" t="str">
        <f>IF(A177="","",IFERROR(SUMIFS($F$4:$F177,$A$4:$A177,A177),0))</f>
        <v/>
      </c>
      <c r="H177" s="11"/>
      <c r="I177" s="11"/>
      <c r="J177" s="11"/>
    </row>
    <row r="178" spans="1:10" ht="15.75" customHeight="1" x14ac:dyDescent="0.25">
      <c r="A178" s="11"/>
      <c r="B178" s="4" t="str">
        <f>IF(A178="","",IFERROR(VLOOKUP(A178,Members!A$4:B$103,2,0),""))</f>
        <v/>
      </c>
      <c r="C178" s="6">
        <f t="shared" si="4"/>
        <v>0</v>
      </c>
      <c r="D178" s="11"/>
      <c r="E178" s="6" t="str">
        <f t="shared" si="5"/>
        <v/>
      </c>
      <c r="F178" s="11"/>
      <c r="G178" s="25" t="str">
        <f>IF(A178="","",IFERROR(SUMIFS($F$4:$F178,$A$4:$A178,A178),0))</f>
        <v/>
      </c>
      <c r="H178" s="11"/>
      <c r="I178" s="11"/>
      <c r="J178" s="11"/>
    </row>
    <row r="179" spans="1:10" ht="15.75" customHeight="1" x14ac:dyDescent="0.25">
      <c r="A179" s="11"/>
      <c r="B179" s="4" t="str">
        <f>IF(A179="","",IFERROR(VLOOKUP(A179,Members!A$4:B$103,2,0),""))</f>
        <v/>
      </c>
      <c r="C179" s="6">
        <f t="shared" si="4"/>
        <v>0</v>
      </c>
      <c r="D179" s="11"/>
      <c r="E179" s="6" t="str">
        <f t="shared" si="5"/>
        <v/>
      </c>
      <c r="F179" s="11"/>
      <c r="G179" s="25" t="str">
        <f>IF(A179="","",IFERROR(SUMIFS($F$4:$F179,$A$4:$A179,A179),0))</f>
        <v/>
      </c>
      <c r="H179" s="11"/>
      <c r="I179" s="11"/>
      <c r="J179" s="11"/>
    </row>
    <row r="180" spans="1:10" ht="15.75" customHeight="1" x14ac:dyDescent="0.25">
      <c r="A180" s="11"/>
      <c r="B180" s="4" t="str">
        <f>IF(A180="","",IFERROR(VLOOKUP(A180,Members!A$4:B$103,2,0),""))</f>
        <v/>
      </c>
      <c r="C180" s="6">
        <f t="shared" si="4"/>
        <v>0</v>
      </c>
      <c r="D180" s="11"/>
      <c r="E180" s="6" t="str">
        <f t="shared" si="5"/>
        <v/>
      </c>
      <c r="F180" s="11"/>
      <c r="G180" s="25" t="str">
        <f>IF(A180="","",IFERROR(SUMIFS($F$4:$F180,$A$4:$A180,A180),0))</f>
        <v/>
      </c>
      <c r="H180" s="11"/>
      <c r="I180" s="11"/>
      <c r="J180" s="11"/>
    </row>
    <row r="181" spans="1:10" ht="15.75" customHeight="1" x14ac:dyDescent="0.25">
      <c r="A181" s="11"/>
      <c r="B181" s="4" t="str">
        <f>IF(A181="","",IFERROR(VLOOKUP(A181,Members!A$4:B$103,2,0),""))</f>
        <v/>
      </c>
      <c r="C181" s="6">
        <f t="shared" si="4"/>
        <v>0</v>
      </c>
      <c r="D181" s="11"/>
      <c r="E181" s="6" t="str">
        <f t="shared" si="5"/>
        <v/>
      </c>
      <c r="F181" s="11"/>
      <c r="G181" s="25" t="str">
        <f>IF(A181="","",IFERROR(SUMIFS($F$4:$F181,$A$4:$A181,A181),0))</f>
        <v/>
      </c>
      <c r="H181" s="11"/>
      <c r="I181" s="11"/>
      <c r="J181" s="11"/>
    </row>
    <row r="182" spans="1:10" ht="15.75" customHeight="1" x14ac:dyDescent="0.25">
      <c r="A182" s="11"/>
      <c r="B182" s="4" t="str">
        <f>IF(A182="","",IFERROR(VLOOKUP(A182,Members!A$4:B$103,2,0),""))</f>
        <v/>
      </c>
      <c r="C182" s="6">
        <f t="shared" si="4"/>
        <v>0</v>
      </c>
      <c r="D182" s="11"/>
      <c r="E182" s="6" t="str">
        <f t="shared" si="5"/>
        <v/>
      </c>
      <c r="F182" s="11"/>
      <c r="G182" s="25" t="str">
        <f>IF(A182="","",IFERROR(SUMIFS($F$4:$F182,$A$4:$A182,A182),0))</f>
        <v/>
      </c>
      <c r="H182" s="11"/>
      <c r="I182" s="11"/>
      <c r="J182" s="11"/>
    </row>
    <row r="183" spans="1:10" ht="15.75" customHeight="1" x14ac:dyDescent="0.25">
      <c r="A183" s="11"/>
      <c r="B183" s="4" t="str">
        <f>IF(A183="","",IFERROR(VLOOKUP(A183,Members!A$4:B$103,2,0),""))</f>
        <v/>
      </c>
      <c r="C183" s="6">
        <f t="shared" si="4"/>
        <v>0</v>
      </c>
      <c r="D183" s="11"/>
      <c r="E183" s="6" t="str">
        <f t="shared" si="5"/>
        <v/>
      </c>
      <c r="F183" s="11"/>
      <c r="G183" s="25" t="str">
        <f>IF(A183="","",IFERROR(SUMIFS($F$4:$F183,$A$4:$A183,A183),0))</f>
        <v/>
      </c>
      <c r="H183" s="11"/>
      <c r="I183" s="11"/>
      <c r="J183" s="11"/>
    </row>
    <row r="184" spans="1:10" ht="15.75" customHeight="1" x14ac:dyDescent="0.25">
      <c r="A184" s="11"/>
      <c r="B184" s="4" t="str">
        <f>IF(A184="","",IFERROR(VLOOKUP(A184,Members!A$4:B$103,2,0),""))</f>
        <v/>
      </c>
      <c r="C184" s="6">
        <f t="shared" si="4"/>
        <v>0</v>
      </c>
      <c r="D184" s="11"/>
      <c r="E184" s="6" t="str">
        <f t="shared" si="5"/>
        <v/>
      </c>
      <c r="F184" s="11"/>
      <c r="G184" s="25" t="str">
        <f>IF(A184="","",IFERROR(SUMIFS($F$4:$F184,$A$4:$A184,A184),0))</f>
        <v/>
      </c>
      <c r="H184" s="11"/>
      <c r="I184" s="11"/>
      <c r="J184" s="11"/>
    </row>
    <row r="185" spans="1:10" ht="15.75" customHeight="1" x14ac:dyDescent="0.25">
      <c r="A185" s="11"/>
      <c r="B185" s="4" t="str">
        <f>IF(A185="","",IFERROR(VLOOKUP(A185,Members!A$4:B$103,2,0),""))</f>
        <v/>
      </c>
      <c r="C185" s="6">
        <f t="shared" si="4"/>
        <v>0</v>
      </c>
      <c r="D185" s="11"/>
      <c r="E185" s="6" t="str">
        <f t="shared" si="5"/>
        <v/>
      </c>
      <c r="F185" s="11"/>
      <c r="G185" s="25" t="str">
        <f>IF(A185="","",IFERROR(SUMIFS($F$4:$F185,$A$4:$A185,A185),0))</f>
        <v/>
      </c>
      <c r="H185" s="11"/>
      <c r="I185" s="11"/>
      <c r="J185" s="11"/>
    </row>
    <row r="186" spans="1:10" ht="15.75" customHeight="1" x14ac:dyDescent="0.25">
      <c r="A186" s="11"/>
      <c r="B186" s="4" t="str">
        <f>IF(A186="","",IFERROR(VLOOKUP(A186,Members!A$4:B$103,2,0),""))</f>
        <v/>
      </c>
      <c r="C186" s="6">
        <f t="shared" si="4"/>
        <v>0</v>
      </c>
      <c r="D186" s="11"/>
      <c r="E186" s="6" t="str">
        <f t="shared" si="5"/>
        <v/>
      </c>
      <c r="F186" s="11"/>
      <c r="G186" s="25" t="str">
        <f>IF(A186="","",IFERROR(SUMIFS($F$4:$F186,$A$4:$A186,A186),0))</f>
        <v/>
      </c>
      <c r="H186" s="11"/>
      <c r="I186" s="11"/>
      <c r="J186" s="11"/>
    </row>
    <row r="187" spans="1:10" ht="15.75" customHeight="1" x14ac:dyDescent="0.25">
      <c r="A187" s="11"/>
      <c r="B187" s="4" t="str">
        <f>IF(A187="","",IFERROR(VLOOKUP(A187,Members!A$4:B$103,2,0),""))</f>
        <v/>
      </c>
      <c r="C187" s="6">
        <f t="shared" si="4"/>
        <v>0</v>
      </c>
      <c r="D187" s="11"/>
      <c r="E187" s="6" t="str">
        <f t="shared" si="5"/>
        <v/>
      </c>
      <c r="F187" s="11"/>
      <c r="G187" s="25" t="str">
        <f>IF(A187="","",IFERROR(SUMIFS($F$4:$F187,$A$4:$A187,A187),0))</f>
        <v/>
      </c>
      <c r="H187" s="11"/>
      <c r="I187" s="11"/>
      <c r="J187" s="11"/>
    </row>
    <row r="188" spans="1:10" ht="15.75" customHeight="1" x14ac:dyDescent="0.25">
      <c r="A188" s="11"/>
      <c r="B188" s="4" t="str">
        <f>IF(A188="","",IFERROR(VLOOKUP(A188,Members!A$4:B$103,2,0),""))</f>
        <v/>
      </c>
      <c r="C188" s="6">
        <f t="shared" si="4"/>
        <v>0</v>
      </c>
      <c r="D188" s="11"/>
      <c r="E188" s="6" t="str">
        <f t="shared" si="5"/>
        <v/>
      </c>
      <c r="F188" s="11"/>
      <c r="G188" s="25" t="str">
        <f>IF(A188="","",IFERROR(SUMIFS($F$4:$F188,$A$4:$A188,A188),0))</f>
        <v/>
      </c>
      <c r="H188" s="11"/>
      <c r="I188" s="11"/>
      <c r="J188" s="11"/>
    </row>
    <row r="189" spans="1:10" ht="15.75" customHeight="1" x14ac:dyDescent="0.25">
      <c r="A189" s="11"/>
      <c r="B189" s="4" t="str">
        <f>IF(A189="","",IFERROR(VLOOKUP(A189,Members!A$4:B$103,2,0),""))</f>
        <v/>
      </c>
      <c r="C189" s="6">
        <f t="shared" si="4"/>
        <v>0</v>
      </c>
      <c r="D189" s="11"/>
      <c r="E189" s="6" t="str">
        <f t="shared" si="5"/>
        <v/>
      </c>
      <c r="F189" s="11"/>
      <c r="G189" s="25" t="str">
        <f>IF(A189="","",IFERROR(SUMIFS($F$4:$F189,$A$4:$A189,A189),0))</f>
        <v/>
      </c>
      <c r="H189" s="11"/>
      <c r="I189" s="11"/>
      <c r="J189" s="11"/>
    </row>
    <row r="190" spans="1:10" ht="15.75" customHeight="1" x14ac:dyDescent="0.25">
      <c r="A190" s="11"/>
      <c r="B190" s="4" t="str">
        <f>IF(A190="","",IFERROR(VLOOKUP(A190,Members!A$4:B$103,2,0),""))</f>
        <v/>
      </c>
      <c r="C190" s="6">
        <f t="shared" si="4"/>
        <v>0</v>
      </c>
      <c r="D190" s="11"/>
      <c r="E190" s="6" t="str">
        <f t="shared" si="5"/>
        <v/>
      </c>
      <c r="F190" s="11"/>
      <c r="G190" s="25" t="str">
        <f>IF(A190="","",IFERROR(SUMIFS($F$4:$F190,$A$4:$A190,A190),0))</f>
        <v/>
      </c>
      <c r="H190" s="11"/>
      <c r="I190" s="11"/>
      <c r="J190" s="11"/>
    </row>
    <row r="191" spans="1:10" ht="15.75" customHeight="1" x14ac:dyDescent="0.25">
      <c r="A191" s="11"/>
      <c r="B191" s="4" t="str">
        <f>IF(A191="","",IFERROR(VLOOKUP(A191,Members!A$4:B$103,2,0),""))</f>
        <v/>
      </c>
      <c r="C191" s="6">
        <f t="shared" si="4"/>
        <v>0</v>
      </c>
      <c r="D191" s="11"/>
      <c r="E191" s="6" t="str">
        <f t="shared" si="5"/>
        <v/>
      </c>
      <c r="F191" s="11"/>
      <c r="G191" s="25" t="str">
        <f>IF(A191="","",IFERROR(SUMIFS($F$4:$F191,$A$4:$A191,A191),0))</f>
        <v/>
      </c>
      <c r="H191" s="11"/>
      <c r="I191" s="11"/>
      <c r="J191" s="11"/>
    </row>
    <row r="192" spans="1:10" ht="15.75" customHeight="1" x14ac:dyDescent="0.25">
      <c r="A192" s="11"/>
      <c r="B192" s="4" t="str">
        <f>IF(A192="","",IFERROR(VLOOKUP(A192,Members!A$4:B$103,2,0),""))</f>
        <v/>
      </c>
      <c r="C192" s="6">
        <f t="shared" si="4"/>
        <v>0</v>
      </c>
      <c r="D192" s="11"/>
      <c r="E192" s="6" t="str">
        <f t="shared" si="5"/>
        <v/>
      </c>
      <c r="F192" s="11"/>
      <c r="G192" s="25" t="str">
        <f>IF(A192="","",IFERROR(SUMIFS($F$4:$F192,$A$4:$A192,A192),0))</f>
        <v/>
      </c>
      <c r="H192" s="11"/>
      <c r="I192" s="11"/>
      <c r="J192" s="11"/>
    </row>
    <row r="193" spans="1:10" ht="15.75" customHeight="1" x14ac:dyDescent="0.25">
      <c r="A193" s="11"/>
      <c r="B193" s="4" t="str">
        <f>IF(A193="","",IFERROR(VLOOKUP(A193,Members!A$4:B$103,2,0),""))</f>
        <v/>
      </c>
      <c r="C193" s="6">
        <f t="shared" si="4"/>
        <v>0</v>
      </c>
      <c r="D193" s="11"/>
      <c r="E193" s="6" t="str">
        <f t="shared" si="5"/>
        <v/>
      </c>
      <c r="F193" s="11"/>
      <c r="G193" s="25" t="str">
        <f>IF(A193="","",IFERROR(SUMIFS($F$4:$F193,$A$4:$A193,A193),0))</f>
        <v/>
      </c>
      <c r="H193" s="11"/>
      <c r="I193" s="11"/>
      <c r="J193" s="11"/>
    </row>
    <row r="194" spans="1:10" ht="15.75" customHeight="1" x14ac:dyDescent="0.25">
      <c r="A194" s="11"/>
      <c r="B194" s="4" t="str">
        <f>IF(A194="","",IFERROR(VLOOKUP(A194,Members!A$4:B$103,2,0),""))</f>
        <v/>
      </c>
      <c r="C194" s="6">
        <f t="shared" si="4"/>
        <v>0</v>
      </c>
      <c r="D194" s="11"/>
      <c r="E194" s="6" t="str">
        <f t="shared" si="5"/>
        <v/>
      </c>
      <c r="F194" s="11"/>
      <c r="G194" s="25" t="str">
        <f>IF(A194="","",IFERROR(SUMIFS($F$4:$F194,$A$4:$A194,A194),0))</f>
        <v/>
      </c>
      <c r="H194" s="11"/>
      <c r="I194" s="11"/>
      <c r="J194" s="11"/>
    </row>
    <row r="195" spans="1:10" ht="15.75" customHeight="1" x14ac:dyDescent="0.25">
      <c r="A195" s="11"/>
      <c r="B195" s="4" t="str">
        <f>IF(A195="","",IFERROR(VLOOKUP(A195,Members!A$4:B$103,2,0),""))</f>
        <v/>
      </c>
      <c r="C195" s="6">
        <f t="shared" si="4"/>
        <v>0</v>
      </c>
      <c r="D195" s="11"/>
      <c r="E195" s="6" t="str">
        <f t="shared" si="5"/>
        <v/>
      </c>
      <c r="F195" s="11"/>
      <c r="G195" s="25" t="str">
        <f>IF(A195="","",IFERROR(SUMIFS($F$4:$F195,$A$4:$A195,A195),0))</f>
        <v/>
      </c>
      <c r="H195" s="11"/>
      <c r="I195" s="11"/>
      <c r="J195" s="11"/>
    </row>
    <row r="196" spans="1:10" ht="15.75" customHeight="1" x14ac:dyDescent="0.25">
      <c r="A196" s="11"/>
      <c r="B196" s="4" t="str">
        <f>IF(A196="","",IFERROR(VLOOKUP(A196,Members!A$4:B$103,2,0),""))</f>
        <v/>
      </c>
      <c r="C196" s="6">
        <f t="shared" ref="C196:C259" si="6">A196</f>
        <v>0</v>
      </c>
      <c r="D196" s="11"/>
      <c r="E196" s="6" t="str">
        <f t="shared" ref="E196:E259" si="7">IF(D196="","",TEXT(DATE(2024,D196,1),"MMMM"))</f>
        <v/>
      </c>
      <c r="F196" s="11"/>
      <c r="G196" s="25" t="str">
        <f>IF(A196="","",IFERROR(SUMIFS($F$4:$F196,$A$4:$A196,A196),0))</f>
        <v/>
      </c>
      <c r="H196" s="11"/>
      <c r="I196" s="11"/>
      <c r="J196" s="11"/>
    </row>
    <row r="197" spans="1:10" ht="15.75" customHeight="1" x14ac:dyDescent="0.25">
      <c r="A197" s="11"/>
      <c r="B197" s="4" t="str">
        <f>IF(A197="","",IFERROR(VLOOKUP(A197,Members!A$4:B$103,2,0),""))</f>
        <v/>
      </c>
      <c r="C197" s="6">
        <f t="shared" si="6"/>
        <v>0</v>
      </c>
      <c r="D197" s="11"/>
      <c r="E197" s="6" t="str">
        <f t="shared" si="7"/>
        <v/>
      </c>
      <c r="F197" s="11"/>
      <c r="G197" s="25" t="str">
        <f>IF(A197="","",IFERROR(SUMIFS($F$4:$F197,$A$4:$A197,A197),0))</f>
        <v/>
      </c>
      <c r="H197" s="11"/>
      <c r="I197" s="11"/>
      <c r="J197" s="11"/>
    </row>
    <row r="198" spans="1:10" ht="15.75" customHeight="1" x14ac:dyDescent="0.25">
      <c r="A198" s="11"/>
      <c r="B198" s="4" t="str">
        <f>IF(A198="","",IFERROR(VLOOKUP(A198,Members!A$4:B$103,2,0),""))</f>
        <v/>
      </c>
      <c r="C198" s="6">
        <f t="shared" si="6"/>
        <v>0</v>
      </c>
      <c r="D198" s="11"/>
      <c r="E198" s="6" t="str">
        <f t="shared" si="7"/>
        <v/>
      </c>
      <c r="F198" s="11"/>
      <c r="G198" s="25" t="str">
        <f>IF(A198="","",IFERROR(SUMIFS($F$4:$F198,$A$4:$A198,A198),0))</f>
        <v/>
      </c>
      <c r="H198" s="11"/>
      <c r="I198" s="11"/>
      <c r="J198" s="11"/>
    </row>
    <row r="199" spans="1:10" ht="15.75" customHeight="1" x14ac:dyDescent="0.25">
      <c r="A199" s="11"/>
      <c r="B199" s="4" t="str">
        <f>IF(A199="","",IFERROR(VLOOKUP(A199,Members!A$4:B$103,2,0),""))</f>
        <v/>
      </c>
      <c r="C199" s="6">
        <f t="shared" si="6"/>
        <v>0</v>
      </c>
      <c r="D199" s="11"/>
      <c r="E199" s="6" t="str">
        <f t="shared" si="7"/>
        <v/>
      </c>
      <c r="F199" s="11"/>
      <c r="G199" s="25" t="str">
        <f>IF(A199="","",IFERROR(SUMIFS($F$4:$F199,$A$4:$A199,A199),0))</f>
        <v/>
      </c>
      <c r="H199" s="11"/>
      <c r="I199" s="11"/>
      <c r="J199" s="11"/>
    </row>
    <row r="200" spans="1:10" ht="15.75" customHeight="1" x14ac:dyDescent="0.25">
      <c r="A200" s="11"/>
      <c r="B200" s="4" t="str">
        <f>IF(A200="","",IFERROR(VLOOKUP(A200,Members!A$4:B$103,2,0),""))</f>
        <v/>
      </c>
      <c r="C200" s="6">
        <f t="shared" si="6"/>
        <v>0</v>
      </c>
      <c r="D200" s="11"/>
      <c r="E200" s="6" t="str">
        <f t="shared" si="7"/>
        <v/>
      </c>
      <c r="F200" s="11"/>
      <c r="G200" s="25" t="str">
        <f>IF(A200="","",IFERROR(SUMIFS($F$4:$F200,$A$4:$A200,A200),0))</f>
        <v/>
      </c>
      <c r="H200" s="11"/>
      <c r="I200" s="11"/>
      <c r="J200" s="11"/>
    </row>
    <row r="201" spans="1:10" ht="15.75" customHeight="1" x14ac:dyDescent="0.25">
      <c r="A201" s="11"/>
      <c r="B201" s="4" t="str">
        <f>IF(A201="","",IFERROR(VLOOKUP(A201,Members!A$4:B$103,2,0),""))</f>
        <v/>
      </c>
      <c r="C201" s="6">
        <f t="shared" si="6"/>
        <v>0</v>
      </c>
      <c r="D201" s="11"/>
      <c r="E201" s="6" t="str">
        <f t="shared" si="7"/>
        <v/>
      </c>
      <c r="F201" s="11"/>
      <c r="G201" s="25" t="str">
        <f>IF(A201="","",IFERROR(SUMIFS($F$4:$F201,$A$4:$A201,A201),0))</f>
        <v/>
      </c>
      <c r="H201" s="11"/>
      <c r="I201" s="11"/>
      <c r="J201" s="11"/>
    </row>
    <row r="202" spans="1:10" ht="15.75" customHeight="1" x14ac:dyDescent="0.25">
      <c r="A202" s="11"/>
      <c r="B202" s="4" t="str">
        <f>IF(A202="","",IFERROR(VLOOKUP(A202,Members!A$4:B$103,2,0),""))</f>
        <v/>
      </c>
      <c r="C202" s="6">
        <f t="shared" si="6"/>
        <v>0</v>
      </c>
      <c r="D202" s="11"/>
      <c r="E202" s="6" t="str">
        <f t="shared" si="7"/>
        <v/>
      </c>
      <c r="F202" s="11"/>
      <c r="G202" s="25" t="str">
        <f>IF(A202="","",IFERROR(SUMIFS($F$4:$F202,$A$4:$A202,A202),0))</f>
        <v/>
      </c>
      <c r="H202" s="11"/>
      <c r="I202" s="11"/>
      <c r="J202" s="11"/>
    </row>
    <row r="203" spans="1:10" ht="15.75" customHeight="1" x14ac:dyDescent="0.25">
      <c r="A203" s="11"/>
      <c r="B203" s="4" t="str">
        <f>IF(A203="","",IFERROR(VLOOKUP(A203,Members!A$4:B$103,2,0),""))</f>
        <v/>
      </c>
      <c r="C203" s="6">
        <f t="shared" si="6"/>
        <v>0</v>
      </c>
      <c r="D203" s="11"/>
      <c r="E203" s="6" t="str">
        <f t="shared" si="7"/>
        <v/>
      </c>
      <c r="F203" s="11"/>
      <c r="G203" s="25" t="str">
        <f>IF(A203="","",IFERROR(SUMIFS($F$4:$F203,$A$4:$A203,A203),0))</f>
        <v/>
      </c>
      <c r="H203" s="11"/>
      <c r="I203" s="11"/>
      <c r="J203" s="11"/>
    </row>
    <row r="204" spans="1:10" ht="15.75" customHeight="1" x14ac:dyDescent="0.25">
      <c r="A204" s="11"/>
      <c r="B204" s="4" t="str">
        <f>IF(A204="","",IFERROR(VLOOKUP(A204,Members!A$4:B$103,2,0),""))</f>
        <v/>
      </c>
      <c r="C204" s="6">
        <f t="shared" si="6"/>
        <v>0</v>
      </c>
      <c r="D204" s="11"/>
      <c r="E204" s="6" t="str">
        <f t="shared" si="7"/>
        <v/>
      </c>
      <c r="F204" s="11"/>
      <c r="G204" s="25" t="str">
        <f>IF(A204="","",IFERROR(SUMIFS($F$4:$F204,$A$4:$A204,A204),0))</f>
        <v/>
      </c>
      <c r="H204" s="11"/>
      <c r="I204" s="11"/>
      <c r="J204" s="11"/>
    </row>
    <row r="205" spans="1:10" ht="15.75" customHeight="1" x14ac:dyDescent="0.25">
      <c r="A205" s="11"/>
      <c r="B205" s="4" t="str">
        <f>IF(A205="","",IFERROR(VLOOKUP(A205,Members!A$4:B$103,2,0),""))</f>
        <v/>
      </c>
      <c r="C205" s="6">
        <f t="shared" si="6"/>
        <v>0</v>
      </c>
      <c r="D205" s="11"/>
      <c r="E205" s="6" t="str">
        <f t="shared" si="7"/>
        <v/>
      </c>
      <c r="F205" s="11"/>
      <c r="G205" s="25" t="str">
        <f>IF(A205="","",IFERROR(SUMIFS($F$4:$F205,$A$4:$A205,A205),0))</f>
        <v/>
      </c>
      <c r="H205" s="11"/>
      <c r="I205" s="11"/>
      <c r="J205" s="11"/>
    </row>
    <row r="206" spans="1:10" ht="15.75" customHeight="1" x14ac:dyDescent="0.25">
      <c r="A206" s="11"/>
      <c r="B206" s="4" t="str">
        <f>IF(A206="","",IFERROR(VLOOKUP(A206,Members!A$4:B$103,2,0),""))</f>
        <v/>
      </c>
      <c r="C206" s="6">
        <f t="shared" si="6"/>
        <v>0</v>
      </c>
      <c r="D206" s="11"/>
      <c r="E206" s="6" t="str">
        <f t="shared" si="7"/>
        <v/>
      </c>
      <c r="F206" s="11"/>
      <c r="G206" s="25" t="str">
        <f>IF(A206="","",IFERROR(SUMIFS($F$4:$F206,$A$4:$A206,A206),0))</f>
        <v/>
      </c>
      <c r="H206" s="11"/>
      <c r="I206" s="11"/>
      <c r="J206" s="11"/>
    </row>
    <row r="207" spans="1:10" ht="15.75" customHeight="1" x14ac:dyDescent="0.25">
      <c r="A207" s="11"/>
      <c r="B207" s="4" t="str">
        <f>IF(A207="","",IFERROR(VLOOKUP(A207,Members!A$4:B$103,2,0),""))</f>
        <v/>
      </c>
      <c r="C207" s="6">
        <f t="shared" si="6"/>
        <v>0</v>
      </c>
      <c r="D207" s="11"/>
      <c r="E207" s="6" t="str">
        <f t="shared" si="7"/>
        <v/>
      </c>
      <c r="F207" s="11"/>
      <c r="G207" s="25" t="str">
        <f>IF(A207="","",IFERROR(SUMIFS($F$4:$F207,$A$4:$A207,A207),0))</f>
        <v/>
      </c>
      <c r="H207" s="11"/>
      <c r="I207" s="11"/>
      <c r="J207" s="11"/>
    </row>
    <row r="208" spans="1:10" ht="15.75" customHeight="1" x14ac:dyDescent="0.25">
      <c r="A208" s="11"/>
      <c r="B208" s="4" t="str">
        <f>IF(A208="","",IFERROR(VLOOKUP(A208,Members!A$4:B$103,2,0),""))</f>
        <v/>
      </c>
      <c r="C208" s="6">
        <f t="shared" si="6"/>
        <v>0</v>
      </c>
      <c r="D208" s="11"/>
      <c r="E208" s="6" t="str">
        <f t="shared" si="7"/>
        <v/>
      </c>
      <c r="F208" s="11"/>
      <c r="G208" s="25" t="str">
        <f>IF(A208="","",IFERROR(SUMIFS($F$4:$F208,$A$4:$A208,A208),0))</f>
        <v/>
      </c>
      <c r="H208" s="11"/>
      <c r="I208" s="11"/>
      <c r="J208" s="11"/>
    </row>
    <row r="209" spans="1:10" ht="15.75" customHeight="1" x14ac:dyDescent="0.25">
      <c r="A209" s="11"/>
      <c r="B209" s="4" t="str">
        <f>IF(A209="","",IFERROR(VLOOKUP(A209,Members!A$4:B$103,2,0),""))</f>
        <v/>
      </c>
      <c r="C209" s="6">
        <f t="shared" si="6"/>
        <v>0</v>
      </c>
      <c r="D209" s="11"/>
      <c r="E209" s="6" t="str">
        <f t="shared" si="7"/>
        <v/>
      </c>
      <c r="F209" s="11"/>
      <c r="G209" s="25" t="str">
        <f>IF(A209="","",IFERROR(SUMIFS($F$4:$F209,$A$4:$A209,A209),0))</f>
        <v/>
      </c>
      <c r="H209" s="11"/>
      <c r="I209" s="11"/>
      <c r="J209" s="11"/>
    </row>
    <row r="210" spans="1:10" ht="15.75" customHeight="1" x14ac:dyDescent="0.25">
      <c r="A210" s="11"/>
      <c r="B210" s="4" t="str">
        <f>IF(A210="","",IFERROR(VLOOKUP(A210,Members!A$4:B$103,2,0),""))</f>
        <v/>
      </c>
      <c r="C210" s="6">
        <f t="shared" si="6"/>
        <v>0</v>
      </c>
      <c r="D210" s="11"/>
      <c r="E210" s="6" t="str">
        <f t="shared" si="7"/>
        <v/>
      </c>
      <c r="F210" s="11"/>
      <c r="G210" s="25" t="str">
        <f>IF(A210="","",IFERROR(SUMIFS($F$4:$F210,$A$4:$A210,A210),0))</f>
        <v/>
      </c>
      <c r="H210" s="11"/>
      <c r="I210" s="11"/>
      <c r="J210" s="11"/>
    </row>
    <row r="211" spans="1:10" ht="15.75" customHeight="1" x14ac:dyDescent="0.25">
      <c r="A211" s="11"/>
      <c r="B211" s="4" t="str">
        <f>IF(A211="","",IFERROR(VLOOKUP(A211,Members!A$4:B$103,2,0),""))</f>
        <v/>
      </c>
      <c r="C211" s="6">
        <f t="shared" si="6"/>
        <v>0</v>
      </c>
      <c r="D211" s="11"/>
      <c r="E211" s="6" t="str">
        <f t="shared" si="7"/>
        <v/>
      </c>
      <c r="F211" s="11"/>
      <c r="G211" s="25" t="str">
        <f>IF(A211="","",IFERROR(SUMIFS($F$4:$F211,$A$4:$A211,A211),0))</f>
        <v/>
      </c>
      <c r="H211" s="11"/>
      <c r="I211" s="11"/>
      <c r="J211" s="11"/>
    </row>
    <row r="212" spans="1:10" ht="15.75" customHeight="1" x14ac:dyDescent="0.25">
      <c r="A212" s="11"/>
      <c r="B212" s="4" t="str">
        <f>IF(A212="","",IFERROR(VLOOKUP(A212,Members!A$4:B$103,2,0),""))</f>
        <v/>
      </c>
      <c r="C212" s="6">
        <f t="shared" si="6"/>
        <v>0</v>
      </c>
      <c r="D212" s="11"/>
      <c r="E212" s="6" t="str">
        <f t="shared" si="7"/>
        <v/>
      </c>
      <c r="F212" s="11"/>
      <c r="G212" s="25" t="str">
        <f>IF(A212="","",IFERROR(SUMIFS($F$4:$F212,$A$4:$A212,A212),0))</f>
        <v/>
      </c>
      <c r="H212" s="11"/>
      <c r="I212" s="11"/>
      <c r="J212" s="11"/>
    </row>
    <row r="213" spans="1:10" ht="15.75" customHeight="1" x14ac:dyDescent="0.25">
      <c r="A213" s="11"/>
      <c r="B213" s="4" t="str">
        <f>IF(A213="","",IFERROR(VLOOKUP(A213,Members!A$4:B$103,2,0),""))</f>
        <v/>
      </c>
      <c r="C213" s="6">
        <f t="shared" si="6"/>
        <v>0</v>
      </c>
      <c r="D213" s="11"/>
      <c r="E213" s="6" t="str">
        <f t="shared" si="7"/>
        <v/>
      </c>
      <c r="F213" s="11"/>
      <c r="G213" s="25" t="str">
        <f>IF(A213="","",IFERROR(SUMIFS($F$4:$F213,$A$4:$A213,A213),0))</f>
        <v/>
      </c>
      <c r="H213" s="11"/>
      <c r="I213" s="11"/>
      <c r="J213" s="11"/>
    </row>
    <row r="214" spans="1:10" ht="15.75" customHeight="1" x14ac:dyDescent="0.25">
      <c r="A214" s="11"/>
      <c r="B214" s="4" t="str">
        <f>IF(A214="","",IFERROR(VLOOKUP(A214,Members!A$4:B$103,2,0),""))</f>
        <v/>
      </c>
      <c r="C214" s="6">
        <f t="shared" si="6"/>
        <v>0</v>
      </c>
      <c r="D214" s="11"/>
      <c r="E214" s="6" t="str">
        <f t="shared" si="7"/>
        <v/>
      </c>
      <c r="F214" s="11"/>
      <c r="G214" s="25" t="str">
        <f>IF(A214="","",IFERROR(SUMIFS($F$4:$F214,$A$4:$A214,A214),0))</f>
        <v/>
      </c>
      <c r="H214" s="11"/>
      <c r="I214" s="11"/>
      <c r="J214" s="11"/>
    </row>
    <row r="215" spans="1:10" ht="15.75" customHeight="1" x14ac:dyDescent="0.25">
      <c r="A215" s="11"/>
      <c r="B215" s="4" t="str">
        <f>IF(A215="","",IFERROR(VLOOKUP(A215,Members!A$4:B$103,2,0),""))</f>
        <v/>
      </c>
      <c r="C215" s="6">
        <f t="shared" si="6"/>
        <v>0</v>
      </c>
      <c r="D215" s="11"/>
      <c r="E215" s="6" t="str">
        <f t="shared" si="7"/>
        <v/>
      </c>
      <c r="F215" s="11"/>
      <c r="G215" s="25" t="str">
        <f>IF(A215="","",IFERROR(SUMIFS($F$4:$F215,$A$4:$A215,A215),0))</f>
        <v/>
      </c>
      <c r="H215" s="11"/>
      <c r="I215" s="11"/>
      <c r="J215" s="11"/>
    </row>
    <row r="216" spans="1:10" ht="15.75" customHeight="1" x14ac:dyDescent="0.25">
      <c r="A216" s="11"/>
      <c r="B216" s="4" t="str">
        <f>IF(A216="","",IFERROR(VLOOKUP(A216,Members!A$4:B$103,2,0),""))</f>
        <v/>
      </c>
      <c r="C216" s="6">
        <f t="shared" si="6"/>
        <v>0</v>
      </c>
      <c r="D216" s="11"/>
      <c r="E216" s="6" t="str">
        <f t="shared" si="7"/>
        <v/>
      </c>
      <c r="F216" s="11"/>
      <c r="G216" s="25" t="str">
        <f>IF(A216="","",IFERROR(SUMIFS($F$4:$F216,$A$4:$A216,A216),0))</f>
        <v/>
      </c>
      <c r="H216" s="11"/>
      <c r="I216" s="11"/>
      <c r="J216" s="11"/>
    </row>
    <row r="217" spans="1:10" ht="15.75" customHeight="1" x14ac:dyDescent="0.25">
      <c r="A217" s="11"/>
      <c r="B217" s="4" t="str">
        <f>IF(A217="","",IFERROR(VLOOKUP(A217,Members!A$4:B$103,2,0),""))</f>
        <v/>
      </c>
      <c r="C217" s="6">
        <f t="shared" si="6"/>
        <v>0</v>
      </c>
      <c r="D217" s="11"/>
      <c r="E217" s="6" t="str">
        <f t="shared" si="7"/>
        <v/>
      </c>
      <c r="F217" s="11"/>
      <c r="G217" s="25" t="str">
        <f>IF(A217="","",IFERROR(SUMIFS($F$4:$F217,$A$4:$A217,A217),0))</f>
        <v/>
      </c>
      <c r="H217" s="11"/>
      <c r="I217" s="11"/>
      <c r="J217" s="11"/>
    </row>
    <row r="218" spans="1:10" ht="15.75" customHeight="1" x14ac:dyDescent="0.25">
      <c r="A218" s="11"/>
      <c r="B218" s="4" t="str">
        <f>IF(A218="","",IFERROR(VLOOKUP(A218,Members!A$4:B$103,2,0),""))</f>
        <v/>
      </c>
      <c r="C218" s="6">
        <f t="shared" si="6"/>
        <v>0</v>
      </c>
      <c r="D218" s="11"/>
      <c r="E218" s="6" t="str">
        <f t="shared" si="7"/>
        <v/>
      </c>
      <c r="F218" s="11"/>
      <c r="G218" s="25" t="str">
        <f>IF(A218="","",IFERROR(SUMIFS($F$4:$F218,$A$4:$A218,A218),0))</f>
        <v/>
      </c>
      <c r="H218" s="11"/>
      <c r="I218" s="11"/>
      <c r="J218" s="11"/>
    </row>
    <row r="219" spans="1:10" ht="15.75" customHeight="1" x14ac:dyDescent="0.25">
      <c r="A219" s="11"/>
      <c r="B219" s="4" t="str">
        <f>IF(A219="","",IFERROR(VLOOKUP(A219,Members!A$4:B$103,2,0),""))</f>
        <v/>
      </c>
      <c r="C219" s="6">
        <f t="shared" si="6"/>
        <v>0</v>
      </c>
      <c r="D219" s="11"/>
      <c r="E219" s="6" t="str">
        <f t="shared" si="7"/>
        <v/>
      </c>
      <c r="F219" s="11"/>
      <c r="G219" s="25" t="str">
        <f>IF(A219="","",IFERROR(SUMIFS($F$4:$F219,$A$4:$A219,A219),0))</f>
        <v/>
      </c>
      <c r="H219" s="11"/>
      <c r="I219" s="11"/>
      <c r="J219" s="11"/>
    </row>
    <row r="220" spans="1:10" ht="15.75" customHeight="1" x14ac:dyDescent="0.25">
      <c r="A220" s="11"/>
      <c r="B220" s="4" t="str">
        <f>IF(A220="","",IFERROR(VLOOKUP(A220,Members!A$4:B$103,2,0),""))</f>
        <v/>
      </c>
      <c r="C220" s="6">
        <f t="shared" si="6"/>
        <v>0</v>
      </c>
      <c r="D220" s="11"/>
      <c r="E220" s="6" t="str">
        <f t="shared" si="7"/>
        <v/>
      </c>
      <c r="F220" s="11"/>
      <c r="G220" s="25" t="str">
        <f>IF(A220="","",IFERROR(SUMIFS($F$4:$F220,$A$4:$A220,A220),0))</f>
        <v/>
      </c>
      <c r="H220" s="11"/>
      <c r="I220" s="11"/>
      <c r="J220" s="11"/>
    </row>
    <row r="221" spans="1:10" ht="15.75" customHeight="1" x14ac:dyDescent="0.25">
      <c r="A221" s="11"/>
      <c r="B221" s="4" t="str">
        <f>IF(A221="","",IFERROR(VLOOKUP(A221,Members!A$4:B$103,2,0),""))</f>
        <v/>
      </c>
      <c r="C221" s="6">
        <f t="shared" si="6"/>
        <v>0</v>
      </c>
      <c r="D221" s="11"/>
      <c r="E221" s="6" t="str">
        <f t="shared" si="7"/>
        <v/>
      </c>
      <c r="F221" s="11"/>
      <c r="G221" s="25" t="str">
        <f>IF(A221="","",IFERROR(SUMIFS($F$4:$F221,$A$4:$A221,A221),0))</f>
        <v/>
      </c>
      <c r="H221" s="11"/>
      <c r="I221" s="11"/>
      <c r="J221" s="11"/>
    </row>
    <row r="222" spans="1:10" ht="15.75" customHeight="1" x14ac:dyDescent="0.25">
      <c r="A222" s="11"/>
      <c r="B222" s="4" t="str">
        <f>IF(A222="","",IFERROR(VLOOKUP(A222,Members!A$4:B$103,2,0),""))</f>
        <v/>
      </c>
      <c r="C222" s="6">
        <f t="shared" si="6"/>
        <v>0</v>
      </c>
      <c r="D222" s="11"/>
      <c r="E222" s="6" t="str">
        <f t="shared" si="7"/>
        <v/>
      </c>
      <c r="F222" s="11"/>
      <c r="G222" s="25" t="str">
        <f>IF(A222="","",IFERROR(SUMIFS($F$4:$F222,$A$4:$A222,A222),0))</f>
        <v/>
      </c>
      <c r="H222" s="11"/>
      <c r="I222" s="11"/>
      <c r="J222" s="11"/>
    </row>
    <row r="223" spans="1:10" ht="15.75" customHeight="1" x14ac:dyDescent="0.25">
      <c r="A223" s="11"/>
      <c r="B223" s="4" t="str">
        <f>IF(A223="","",IFERROR(VLOOKUP(A223,Members!A$4:B$103,2,0),""))</f>
        <v/>
      </c>
      <c r="C223" s="6">
        <f t="shared" si="6"/>
        <v>0</v>
      </c>
      <c r="D223" s="11"/>
      <c r="E223" s="6" t="str">
        <f t="shared" si="7"/>
        <v/>
      </c>
      <c r="F223" s="11"/>
      <c r="G223" s="25" t="str">
        <f>IF(A223="","",IFERROR(SUMIFS($F$4:$F223,$A$4:$A223,A223),0))</f>
        <v/>
      </c>
      <c r="H223" s="11"/>
      <c r="I223" s="11"/>
      <c r="J223" s="11"/>
    </row>
    <row r="224" spans="1:10" ht="15.75" customHeight="1" x14ac:dyDescent="0.25">
      <c r="A224" s="11"/>
      <c r="B224" s="4" t="str">
        <f>IF(A224="","",IFERROR(VLOOKUP(A224,Members!A$4:B$103,2,0),""))</f>
        <v/>
      </c>
      <c r="C224" s="6">
        <f t="shared" si="6"/>
        <v>0</v>
      </c>
      <c r="D224" s="11"/>
      <c r="E224" s="6" t="str">
        <f t="shared" si="7"/>
        <v/>
      </c>
      <c r="F224" s="11"/>
      <c r="G224" s="25" t="str">
        <f>IF(A224="","",IFERROR(SUMIFS($F$4:$F224,$A$4:$A224,A224),0))</f>
        <v/>
      </c>
      <c r="H224" s="11"/>
      <c r="I224" s="11"/>
      <c r="J224" s="11"/>
    </row>
    <row r="225" spans="1:10" ht="15.75" customHeight="1" x14ac:dyDescent="0.25">
      <c r="A225" s="11"/>
      <c r="B225" s="4" t="str">
        <f>IF(A225="","",IFERROR(VLOOKUP(A225,Members!A$4:B$103,2,0),""))</f>
        <v/>
      </c>
      <c r="C225" s="6">
        <f t="shared" si="6"/>
        <v>0</v>
      </c>
      <c r="D225" s="11"/>
      <c r="E225" s="6" t="str">
        <f t="shared" si="7"/>
        <v/>
      </c>
      <c r="F225" s="11"/>
      <c r="G225" s="25" t="str">
        <f>IF(A225="","",IFERROR(SUMIFS($F$4:$F225,$A$4:$A225,A225),0))</f>
        <v/>
      </c>
      <c r="H225" s="11"/>
      <c r="I225" s="11"/>
      <c r="J225" s="11"/>
    </row>
    <row r="226" spans="1:10" ht="15.75" customHeight="1" x14ac:dyDescent="0.25">
      <c r="A226" s="11"/>
      <c r="B226" s="4" t="str">
        <f>IF(A226="","",IFERROR(VLOOKUP(A226,Members!A$4:B$103,2,0),""))</f>
        <v/>
      </c>
      <c r="C226" s="6">
        <f t="shared" si="6"/>
        <v>0</v>
      </c>
      <c r="D226" s="11"/>
      <c r="E226" s="6" t="str">
        <f t="shared" si="7"/>
        <v/>
      </c>
      <c r="F226" s="11"/>
      <c r="G226" s="25" t="str">
        <f>IF(A226="","",IFERROR(SUMIFS($F$4:$F226,$A$4:$A226,A226),0))</f>
        <v/>
      </c>
      <c r="H226" s="11"/>
      <c r="I226" s="11"/>
      <c r="J226" s="11"/>
    </row>
    <row r="227" spans="1:10" ht="15.75" customHeight="1" x14ac:dyDescent="0.25">
      <c r="A227" s="11"/>
      <c r="B227" s="4" t="str">
        <f>IF(A227="","",IFERROR(VLOOKUP(A227,Members!A$4:B$103,2,0),""))</f>
        <v/>
      </c>
      <c r="C227" s="6">
        <f t="shared" si="6"/>
        <v>0</v>
      </c>
      <c r="D227" s="11"/>
      <c r="E227" s="6" t="str">
        <f t="shared" si="7"/>
        <v/>
      </c>
      <c r="F227" s="11"/>
      <c r="G227" s="25" t="str">
        <f>IF(A227="","",IFERROR(SUMIFS($F$4:$F227,$A$4:$A227,A227),0))</f>
        <v/>
      </c>
      <c r="H227" s="11"/>
      <c r="I227" s="11"/>
      <c r="J227" s="11"/>
    </row>
    <row r="228" spans="1:10" ht="15.75" customHeight="1" x14ac:dyDescent="0.25">
      <c r="A228" s="11"/>
      <c r="B228" s="4" t="str">
        <f>IF(A228="","",IFERROR(VLOOKUP(A228,Members!A$4:B$103,2,0),""))</f>
        <v/>
      </c>
      <c r="C228" s="6">
        <f t="shared" si="6"/>
        <v>0</v>
      </c>
      <c r="D228" s="11"/>
      <c r="E228" s="6" t="str">
        <f t="shared" si="7"/>
        <v/>
      </c>
      <c r="F228" s="11"/>
      <c r="G228" s="25" t="str">
        <f>IF(A228="","",IFERROR(SUMIFS($F$4:$F228,$A$4:$A228,A228),0))</f>
        <v/>
      </c>
      <c r="H228" s="11"/>
      <c r="I228" s="11"/>
      <c r="J228" s="11"/>
    </row>
    <row r="229" spans="1:10" ht="15.75" customHeight="1" x14ac:dyDescent="0.25">
      <c r="A229" s="11"/>
      <c r="B229" s="4" t="str">
        <f>IF(A229="","",IFERROR(VLOOKUP(A229,Members!A$4:B$103,2,0),""))</f>
        <v/>
      </c>
      <c r="C229" s="6">
        <f t="shared" si="6"/>
        <v>0</v>
      </c>
      <c r="D229" s="11"/>
      <c r="E229" s="6" t="str">
        <f t="shared" si="7"/>
        <v/>
      </c>
      <c r="F229" s="11"/>
      <c r="G229" s="25" t="str">
        <f>IF(A229="","",IFERROR(SUMIFS($F$4:$F229,$A$4:$A229,A229),0))</f>
        <v/>
      </c>
      <c r="H229" s="11"/>
      <c r="I229" s="11"/>
      <c r="J229" s="11"/>
    </row>
    <row r="230" spans="1:10" ht="15.75" customHeight="1" x14ac:dyDescent="0.25">
      <c r="A230" s="11"/>
      <c r="B230" s="4" t="str">
        <f>IF(A230="","",IFERROR(VLOOKUP(A230,Members!A$4:B$103,2,0),""))</f>
        <v/>
      </c>
      <c r="C230" s="6">
        <f t="shared" si="6"/>
        <v>0</v>
      </c>
      <c r="D230" s="11"/>
      <c r="E230" s="6" t="str">
        <f t="shared" si="7"/>
        <v/>
      </c>
      <c r="F230" s="11"/>
      <c r="G230" s="25" t="str">
        <f>IF(A230="","",IFERROR(SUMIFS($F$4:$F230,$A$4:$A230,A230),0))</f>
        <v/>
      </c>
      <c r="H230" s="11"/>
      <c r="I230" s="11"/>
      <c r="J230" s="11"/>
    </row>
    <row r="231" spans="1:10" ht="15.75" customHeight="1" x14ac:dyDescent="0.25">
      <c r="A231" s="11"/>
      <c r="B231" s="4" t="str">
        <f>IF(A231="","",IFERROR(VLOOKUP(A231,Members!A$4:B$103,2,0),""))</f>
        <v/>
      </c>
      <c r="C231" s="6">
        <f t="shared" si="6"/>
        <v>0</v>
      </c>
      <c r="D231" s="11"/>
      <c r="E231" s="6" t="str">
        <f t="shared" si="7"/>
        <v/>
      </c>
      <c r="F231" s="11"/>
      <c r="G231" s="25" t="str">
        <f>IF(A231="","",IFERROR(SUMIFS($F$4:$F231,$A$4:$A231,A231),0))</f>
        <v/>
      </c>
      <c r="H231" s="11"/>
      <c r="I231" s="11"/>
      <c r="J231" s="11"/>
    </row>
    <row r="232" spans="1:10" ht="15.75" customHeight="1" x14ac:dyDescent="0.25">
      <c r="A232" s="11"/>
      <c r="B232" s="4" t="str">
        <f>IF(A232="","",IFERROR(VLOOKUP(A232,Members!A$4:B$103,2,0),""))</f>
        <v/>
      </c>
      <c r="C232" s="6">
        <f t="shared" si="6"/>
        <v>0</v>
      </c>
      <c r="D232" s="11"/>
      <c r="E232" s="6" t="str">
        <f t="shared" si="7"/>
        <v/>
      </c>
      <c r="F232" s="11"/>
      <c r="G232" s="25" t="str">
        <f>IF(A232="","",IFERROR(SUMIFS($F$4:$F232,$A$4:$A232,A232),0))</f>
        <v/>
      </c>
      <c r="H232" s="11"/>
      <c r="I232" s="11"/>
      <c r="J232" s="11"/>
    </row>
    <row r="233" spans="1:10" ht="15.75" customHeight="1" x14ac:dyDescent="0.25">
      <c r="A233" s="11"/>
      <c r="B233" s="4" t="str">
        <f>IF(A233="","",IFERROR(VLOOKUP(A233,Members!A$4:B$103,2,0),""))</f>
        <v/>
      </c>
      <c r="C233" s="6">
        <f t="shared" si="6"/>
        <v>0</v>
      </c>
      <c r="D233" s="11"/>
      <c r="E233" s="6" t="str">
        <f t="shared" si="7"/>
        <v/>
      </c>
      <c r="F233" s="11"/>
      <c r="G233" s="25" t="str">
        <f>IF(A233="","",IFERROR(SUMIFS($F$4:$F233,$A$4:$A233,A233),0))</f>
        <v/>
      </c>
      <c r="H233" s="11"/>
      <c r="I233" s="11"/>
      <c r="J233" s="11"/>
    </row>
    <row r="234" spans="1:10" ht="15.75" customHeight="1" x14ac:dyDescent="0.25">
      <c r="A234" s="11"/>
      <c r="B234" s="4" t="str">
        <f>IF(A234="","",IFERROR(VLOOKUP(A234,Members!A$4:B$103,2,0),""))</f>
        <v/>
      </c>
      <c r="C234" s="6">
        <f t="shared" si="6"/>
        <v>0</v>
      </c>
      <c r="D234" s="11"/>
      <c r="E234" s="6" t="str">
        <f t="shared" si="7"/>
        <v/>
      </c>
      <c r="F234" s="11"/>
      <c r="G234" s="25" t="str">
        <f>IF(A234="","",IFERROR(SUMIFS($F$4:$F234,$A$4:$A234,A234),0))</f>
        <v/>
      </c>
      <c r="H234" s="11"/>
      <c r="I234" s="11"/>
      <c r="J234" s="11"/>
    </row>
    <row r="235" spans="1:10" ht="15.75" customHeight="1" x14ac:dyDescent="0.25">
      <c r="A235" s="11"/>
      <c r="B235" s="4" t="str">
        <f>IF(A235="","",IFERROR(VLOOKUP(A235,Members!A$4:B$103,2,0),""))</f>
        <v/>
      </c>
      <c r="C235" s="6">
        <f t="shared" si="6"/>
        <v>0</v>
      </c>
      <c r="D235" s="11"/>
      <c r="E235" s="6" t="str">
        <f t="shared" si="7"/>
        <v/>
      </c>
      <c r="F235" s="11"/>
      <c r="G235" s="25" t="str">
        <f>IF(A235="","",IFERROR(SUMIFS($F$4:$F235,$A$4:$A235,A235),0))</f>
        <v/>
      </c>
      <c r="H235" s="11"/>
      <c r="I235" s="11"/>
      <c r="J235" s="11"/>
    </row>
    <row r="236" spans="1:10" ht="15.75" customHeight="1" x14ac:dyDescent="0.25">
      <c r="A236" s="11"/>
      <c r="B236" s="4" t="str">
        <f>IF(A236="","",IFERROR(VLOOKUP(A236,Members!A$4:B$103,2,0),""))</f>
        <v/>
      </c>
      <c r="C236" s="6">
        <f t="shared" si="6"/>
        <v>0</v>
      </c>
      <c r="D236" s="11"/>
      <c r="E236" s="6" t="str">
        <f t="shared" si="7"/>
        <v/>
      </c>
      <c r="F236" s="11"/>
      <c r="G236" s="25" t="str">
        <f>IF(A236="","",IFERROR(SUMIFS($F$4:$F236,$A$4:$A236,A236),0))</f>
        <v/>
      </c>
      <c r="H236" s="11"/>
      <c r="I236" s="11"/>
      <c r="J236" s="11"/>
    </row>
    <row r="237" spans="1:10" ht="15.75" customHeight="1" x14ac:dyDescent="0.25">
      <c r="A237" s="11"/>
      <c r="B237" s="4" t="str">
        <f>IF(A237="","",IFERROR(VLOOKUP(A237,Members!A$4:B$103,2,0),""))</f>
        <v/>
      </c>
      <c r="C237" s="6">
        <f t="shared" si="6"/>
        <v>0</v>
      </c>
      <c r="D237" s="11"/>
      <c r="E237" s="6" t="str">
        <f t="shared" si="7"/>
        <v/>
      </c>
      <c r="F237" s="11"/>
      <c r="G237" s="25" t="str">
        <f>IF(A237="","",IFERROR(SUMIFS($F$4:$F237,$A$4:$A237,A237),0))</f>
        <v/>
      </c>
      <c r="H237" s="11"/>
      <c r="I237" s="11"/>
      <c r="J237" s="11"/>
    </row>
    <row r="238" spans="1:10" ht="15.75" customHeight="1" x14ac:dyDescent="0.25">
      <c r="A238" s="11"/>
      <c r="B238" s="4" t="str">
        <f>IF(A238="","",IFERROR(VLOOKUP(A238,Members!A$4:B$103,2,0),""))</f>
        <v/>
      </c>
      <c r="C238" s="6">
        <f t="shared" si="6"/>
        <v>0</v>
      </c>
      <c r="D238" s="11"/>
      <c r="E238" s="6" t="str">
        <f t="shared" si="7"/>
        <v/>
      </c>
      <c r="F238" s="11"/>
      <c r="G238" s="25" t="str">
        <f>IF(A238="","",IFERROR(SUMIFS($F$4:$F238,$A$4:$A238,A238),0))</f>
        <v/>
      </c>
      <c r="H238" s="11"/>
      <c r="I238" s="11"/>
      <c r="J238" s="11"/>
    </row>
    <row r="239" spans="1:10" ht="15.75" customHeight="1" x14ac:dyDescent="0.25">
      <c r="A239" s="11"/>
      <c r="B239" s="4" t="str">
        <f>IF(A239="","",IFERROR(VLOOKUP(A239,Members!A$4:B$103,2,0),""))</f>
        <v/>
      </c>
      <c r="C239" s="6">
        <f t="shared" si="6"/>
        <v>0</v>
      </c>
      <c r="D239" s="11"/>
      <c r="E239" s="6" t="str">
        <f t="shared" si="7"/>
        <v/>
      </c>
      <c r="F239" s="11"/>
      <c r="G239" s="25" t="str">
        <f>IF(A239="","",IFERROR(SUMIFS($F$4:$F239,$A$4:$A239,A239),0))</f>
        <v/>
      </c>
      <c r="H239" s="11"/>
      <c r="I239" s="11"/>
      <c r="J239" s="11"/>
    </row>
    <row r="240" spans="1:10" ht="15.75" customHeight="1" x14ac:dyDescent="0.25">
      <c r="A240" s="11"/>
      <c r="B240" s="4" t="str">
        <f>IF(A240="","",IFERROR(VLOOKUP(A240,Members!A$4:B$103,2,0),""))</f>
        <v/>
      </c>
      <c r="C240" s="6">
        <f t="shared" si="6"/>
        <v>0</v>
      </c>
      <c r="D240" s="11"/>
      <c r="E240" s="6" t="str">
        <f t="shared" si="7"/>
        <v/>
      </c>
      <c r="F240" s="11"/>
      <c r="G240" s="25" t="str">
        <f>IF(A240="","",IFERROR(SUMIFS($F$4:$F240,$A$4:$A240,A240),0))</f>
        <v/>
      </c>
      <c r="H240" s="11"/>
      <c r="I240" s="11"/>
      <c r="J240" s="11"/>
    </row>
    <row r="241" spans="1:10" ht="15.75" customHeight="1" x14ac:dyDescent="0.25">
      <c r="A241" s="11"/>
      <c r="B241" s="4" t="str">
        <f>IF(A241="","",IFERROR(VLOOKUP(A241,Members!A$4:B$103,2,0),""))</f>
        <v/>
      </c>
      <c r="C241" s="6">
        <f t="shared" si="6"/>
        <v>0</v>
      </c>
      <c r="D241" s="11"/>
      <c r="E241" s="6" t="str">
        <f t="shared" si="7"/>
        <v/>
      </c>
      <c r="F241" s="11"/>
      <c r="G241" s="25" t="str">
        <f>IF(A241="","",IFERROR(SUMIFS($F$4:$F241,$A$4:$A241,A241),0))</f>
        <v/>
      </c>
      <c r="H241" s="11"/>
      <c r="I241" s="11"/>
      <c r="J241" s="11"/>
    </row>
    <row r="242" spans="1:10" ht="15.75" customHeight="1" x14ac:dyDescent="0.25">
      <c r="A242" s="11"/>
      <c r="B242" s="4" t="str">
        <f>IF(A242="","",IFERROR(VLOOKUP(A242,Members!A$4:B$103,2,0),""))</f>
        <v/>
      </c>
      <c r="C242" s="6">
        <f t="shared" si="6"/>
        <v>0</v>
      </c>
      <c r="D242" s="11"/>
      <c r="E242" s="6" t="str">
        <f t="shared" si="7"/>
        <v/>
      </c>
      <c r="F242" s="11"/>
      <c r="G242" s="25" t="str">
        <f>IF(A242="","",IFERROR(SUMIFS($F$4:$F242,$A$4:$A242,A242),0))</f>
        <v/>
      </c>
      <c r="H242" s="11"/>
      <c r="I242" s="11"/>
      <c r="J242" s="11"/>
    </row>
    <row r="243" spans="1:10" ht="15.75" customHeight="1" x14ac:dyDescent="0.25">
      <c r="A243" s="11"/>
      <c r="B243" s="4" t="str">
        <f>IF(A243="","",IFERROR(VLOOKUP(A243,Members!A$4:B$103,2,0),""))</f>
        <v/>
      </c>
      <c r="C243" s="6">
        <f t="shared" si="6"/>
        <v>0</v>
      </c>
      <c r="D243" s="11"/>
      <c r="E243" s="6" t="str">
        <f t="shared" si="7"/>
        <v/>
      </c>
      <c r="F243" s="11"/>
      <c r="G243" s="25" t="str">
        <f>IF(A243="","",IFERROR(SUMIFS($F$4:$F243,$A$4:$A243,A243),0))</f>
        <v/>
      </c>
      <c r="H243" s="11"/>
      <c r="I243" s="11"/>
      <c r="J243" s="11"/>
    </row>
    <row r="244" spans="1:10" ht="15.75" customHeight="1" x14ac:dyDescent="0.25">
      <c r="A244" s="11"/>
      <c r="B244" s="4" t="str">
        <f>IF(A244="","",IFERROR(VLOOKUP(A244,Members!A$4:B$103,2,0),""))</f>
        <v/>
      </c>
      <c r="C244" s="6">
        <f t="shared" si="6"/>
        <v>0</v>
      </c>
      <c r="D244" s="11"/>
      <c r="E244" s="6" t="str">
        <f t="shared" si="7"/>
        <v/>
      </c>
      <c r="F244" s="11"/>
      <c r="G244" s="25" t="str">
        <f>IF(A244="","",IFERROR(SUMIFS($F$4:$F244,$A$4:$A244,A244),0))</f>
        <v/>
      </c>
      <c r="H244" s="11"/>
      <c r="I244" s="11"/>
      <c r="J244" s="11"/>
    </row>
    <row r="245" spans="1:10" ht="15.75" customHeight="1" x14ac:dyDescent="0.25">
      <c r="A245" s="11"/>
      <c r="B245" s="4" t="str">
        <f>IF(A245="","",IFERROR(VLOOKUP(A245,Members!A$4:B$103,2,0),""))</f>
        <v/>
      </c>
      <c r="C245" s="6">
        <f t="shared" si="6"/>
        <v>0</v>
      </c>
      <c r="D245" s="11"/>
      <c r="E245" s="6" t="str">
        <f t="shared" si="7"/>
        <v/>
      </c>
      <c r="F245" s="11"/>
      <c r="G245" s="25" t="str">
        <f>IF(A245="","",IFERROR(SUMIFS($F$4:$F245,$A$4:$A245,A245),0))</f>
        <v/>
      </c>
      <c r="H245" s="11"/>
      <c r="I245" s="11"/>
      <c r="J245" s="11"/>
    </row>
    <row r="246" spans="1:10" ht="15.75" customHeight="1" x14ac:dyDescent="0.25">
      <c r="A246" s="11"/>
      <c r="B246" s="4" t="str">
        <f>IF(A246="","",IFERROR(VLOOKUP(A246,Members!A$4:B$103,2,0),""))</f>
        <v/>
      </c>
      <c r="C246" s="6">
        <f t="shared" si="6"/>
        <v>0</v>
      </c>
      <c r="D246" s="11"/>
      <c r="E246" s="6" t="str">
        <f t="shared" si="7"/>
        <v/>
      </c>
      <c r="F246" s="11"/>
      <c r="G246" s="25" t="str">
        <f>IF(A246="","",IFERROR(SUMIFS($F$4:$F246,$A$4:$A246,A246),0))</f>
        <v/>
      </c>
      <c r="H246" s="11"/>
      <c r="I246" s="11"/>
      <c r="J246" s="11"/>
    </row>
    <row r="247" spans="1:10" ht="15.75" customHeight="1" x14ac:dyDescent="0.25">
      <c r="A247" s="11"/>
      <c r="B247" s="4" t="str">
        <f>IF(A247="","",IFERROR(VLOOKUP(A247,Members!A$4:B$103,2,0),""))</f>
        <v/>
      </c>
      <c r="C247" s="6">
        <f t="shared" si="6"/>
        <v>0</v>
      </c>
      <c r="D247" s="11"/>
      <c r="E247" s="6" t="str">
        <f t="shared" si="7"/>
        <v/>
      </c>
      <c r="F247" s="11"/>
      <c r="G247" s="25" t="str">
        <f>IF(A247="","",IFERROR(SUMIFS($F$4:$F247,$A$4:$A247,A247),0))</f>
        <v/>
      </c>
      <c r="H247" s="11"/>
      <c r="I247" s="11"/>
      <c r="J247" s="11"/>
    </row>
    <row r="248" spans="1:10" ht="15.75" customHeight="1" x14ac:dyDescent="0.25">
      <c r="A248" s="11"/>
      <c r="B248" s="4" t="str">
        <f>IF(A248="","",IFERROR(VLOOKUP(A248,Members!A$4:B$103,2,0),""))</f>
        <v/>
      </c>
      <c r="C248" s="6">
        <f t="shared" si="6"/>
        <v>0</v>
      </c>
      <c r="D248" s="11"/>
      <c r="E248" s="6" t="str">
        <f t="shared" si="7"/>
        <v/>
      </c>
      <c r="F248" s="11"/>
      <c r="G248" s="25" t="str">
        <f>IF(A248="","",IFERROR(SUMIFS($F$4:$F248,$A$4:$A248,A248),0))</f>
        <v/>
      </c>
      <c r="H248" s="11"/>
      <c r="I248" s="11"/>
      <c r="J248" s="11"/>
    </row>
    <row r="249" spans="1:10" ht="15.75" customHeight="1" x14ac:dyDescent="0.25">
      <c r="A249" s="11"/>
      <c r="B249" s="4" t="str">
        <f>IF(A249="","",IFERROR(VLOOKUP(A249,Members!A$4:B$103,2,0),""))</f>
        <v/>
      </c>
      <c r="C249" s="6">
        <f t="shared" si="6"/>
        <v>0</v>
      </c>
      <c r="D249" s="11"/>
      <c r="E249" s="6" t="str">
        <f t="shared" si="7"/>
        <v/>
      </c>
      <c r="F249" s="11"/>
      <c r="G249" s="25" t="str">
        <f>IF(A249="","",IFERROR(SUMIFS($F$4:$F249,$A$4:$A249,A249),0))</f>
        <v/>
      </c>
      <c r="H249" s="11"/>
      <c r="I249" s="11"/>
      <c r="J249" s="11"/>
    </row>
    <row r="250" spans="1:10" ht="15.75" customHeight="1" x14ac:dyDescent="0.25">
      <c r="A250" s="11"/>
      <c r="B250" s="4" t="str">
        <f>IF(A250="","",IFERROR(VLOOKUP(A250,Members!A$4:B$103,2,0),""))</f>
        <v/>
      </c>
      <c r="C250" s="6">
        <f t="shared" si="6"/>
        <v>0</v>
      </c>
      <c r="D250" s="11"/>
      <c r="E250" s="6" t="str">
        <f t="shared" si="7"/>
        <v/>
      </c>
      <c r="F250" s="11"/>
      <c r="G250" s="25" t="str">
        <f>IF(A250="","",IFERROR(SUMIFS($F$4:$F250,$A$4:$A250,A250),0))</f>
        <v/>
      </c>
      <c r="H250" s="11"/>
      <c r="I250" s="11"/>
      <c r="J250" s="11"/>
    </row>
    <row r="251" spans="1:10" ht="15.75" customHeight="1" x14ac:dyDescent="0.25">
      <c r="A251" s="11"/>
      <c r="B251" s="4" t="str">
        <f>IF(A251="","",IFERROR(VLOOKUP(A251,Members!A$4:B$103,2,0),""))</f>
        <v/>
      </c>
      <c r="C251" s="6">
        <f t="shared" si="6"/>
        <v>0</v>
      </c>
      <c r="D251" s="11"/>
      <c r="E251" s="6" t="str">
        <f t="shared" si="7"/>
        <v/>
      </c>
      <c r="F251" s="11"/>
      <c r="G251" s="25" t="str">
        <f>IF(A251="","",IFERROR(SUMIFS($F$4:$F251,$A$4:$A251,A251),0))</f>
        <v/>
      </c>
      <c r="H251" s="11"/>
      <c r="I251" s="11"/>
      <c r="J251" s="11"/>
    </row>
    <row r="252" spans="1:10" ht="15.75" customHeight="1" x14ac:dyDescent="0.25">
      <c r="A252" s="11"/>
      <c r="B252" s="4" t="str">
        <f>IF(A252="","",IFERROR(VLOOKUP(A252,Members!A$4:B$103,2,0),""))</f>
        <v/>
      </c>
      <c r="C252" s="6">
        <f t="shared" si="6"/>
        <v>0</v>
      </c>
      <c r="D252" s="11"/>
      <c r="E252" s="6" t="str">
        <f t="shared" si="7"/>
        <v/>
      </c>
      <c r="F252" s="11"/>
      <c r="G252" s="25" t="str">
        <f>IF(A252="","",IFERROR(SUMIFS($F$4:$F252,$A$4:$A252,A252),0))</f>
        <v/>
      </c>
      <c r="H252" s="11"/>
      <c r="I252" s="11"/>
      <c r="J252" s="11"/>
    </row>
    <row r="253" spans="1:10" ht="15.75" customHeight="1" x14ac:dyDescent="0.25">
      <c r="A253" s="11"/>
      <c r="B253" s="4" t="str">
        <f>IF(A253="","",IFERROR(VLOOKUP(A253,Members!A$4:B$103,2,0),""))</f>
        <v/>
      </c>
      <c r="C253" s="6">
        <f t="shared" si="6"/>
        <v>0</v>
      </c>
      <c r="D253" s="11"/>
      <c r="E253" s="6" t="str">
        <f t="shared" si="7"/>
        <v/>
      </c>
      <c r="F253" s="11"/>
      <c r="G253" s="25" t="str">
        <f>IF(A253="","",IFERROR(SUMIFS($F$4:$F253,$A$4:$A253,A253),0))</f>
        <v/>
      </c>
      <c r="H253" s="11"/>
      <c r="I253" s="11"/>
      <c r="J253" s="11"/>
    </row>
    <row r="254" spans="1:10" ht="15.75" customHeight="1" x14ac:dyDescent="0.25">
      <c r="A254" s="11"/>
      <c r="B254" s="4" t="str">
        <f>IF(A254="","",IFERROR(VLOOKUP(A254,Members!A$4:B$103,2,0),""))</f>
        <v/>
      </c>
      <c r="C254" s="6">
        <f t="shared" si="6"/>
        <v>0</v>
      </c>
      <c r="D254" s="11"/>
      <c r="E254" s="6" t="str">
        <f t="shared" si="7"/>
        <v/>
      </c>
      <c r="F254" s="11"/>
      <c r="G254" s="25" t="str">
        <f>IF(A254="","",IFERROR(SUMIFS($F$4:$F254,$A$4:$A254,A254),0))</f>
        <v/>
      </c>
      <c r="H254" s="11"/>
      <c r="I254" s="11"/>
      <c r="J254" s="11"/>
    </row>
    <row r="255" spans="1:10" ht="15.75" customHeight="1" x14ac:dyDescent="0.25">
      <c r="A255" s="11"/>
      <c r="B255" s="4" t="str">
        <f>IF(A255="","",IFERROR(VLOOKUP(A255,Members!A$4:B$103,2,0),""))</f>
        <v/>
      </c>
      <c r="C255" s="6">
        <f t="shared" si="6"/>
        <v>0</v>
      </c>
      <c r="D255" s="11"/>
      <c r="E255" s="6" t="str">
        <f t="shared" si="7"/>
        <v/>
      </c>
      <c r="F255" s="11"/>
      <c r="G255" s="25" t="str">
        <f>IF(A255="","",IFERROR(SUMIFS($F$4:$F255,$A$4:$A255,A255),0))</f>
        <v/>
      </c>
      <c r="H255" s="11"/>
      <c r="I255" s="11"/>
      <c r="J255" s="11"/>
    </row>
    <row r="256" spans="1:10" ht="15.75" customHeight="1" x14ac:dyDescent="0.25">
      <c r="A256" s="11"/>
      <c r="B256" s="4" t="str">
        <f>IF(A256="","",IFERROR(VLOOKUP(A256,Members!A$4:B$103,2,0),""))</f>
        <v/>
      </c>
      <c r="C256" s="6">
        <f t="shared" si="6"/>
        <v>0</v>
      </c>
      <c r="D256" s="11"/>
      <c r="E256" s="6" t="str">
        <f t="shared" si="7"/>
        <v/>
      </c>
      <c r="F256" s="11"/>
      <c r="G256" s="25" t="str">
        <f>IF(A256="","",IFERROR(SUMIFS($F$4:$F256,$A$4:$A256,A256),0))</f>
        <v/>
      </c>
      <c r="H256" s="11"/>
      <c r="I256" s="11"/>
      <c r="J256" s="11"/>
    </row>
    <row r="257" spans="1:10" ht="15.75" customHeight="1" x14ac:dyDescent="0.25">
      <c r="A257" s="11"/>
      <c r="B257" s="4" t="str">
        <f>IF(A257="","",IFERROR(VLOOKUP(A257,Members!A$4:B$103,2,0),""))</f>
        <v/>
      </c>
      <c r="C257" s="6">
        <f t="shared" si="6"/>
        <v>0</v>
      </c>
      <c r="D257" s="11"/>
      <c r="E257" s="6" t="str">
        <f t="shared" si="7"/>
        <v/>
      </c>
      <c r="F257" s="11"/>
      <c r="G257" s="25" t="str">
        <f>IF(A257="","",IFERROR(SUMIFS($F$4:$F257,$A$4:$A257,A257),0))</f>
        <v/>
      </c>
      <c r="H257" s="11"/>
      <c r="I257" s="11"/>
      <c r="J257" s="11"/>
    </row>
    <row r="258" spans="1:10" ht="15.75" customHeight="1" x14ac:dyDescent="0.25">
      <c r="A258" s="11"/>
      <c r="B258" s="4" t="str">
        <f>IF(A258="","",IFERROR(VLOOKUP(A258,Members!A$4:B$103,2,0),""))</f>
        <v/>
      </c>
      <c r="C258" s="6">
        <f t="shared" si="6"/>
        <v>0</v>
      </c>
      <c r="D258" s="11"/>
      <c r="E258" s="6" t="str">
        <f t="shared" si="7"/>
        <v/>
      </c>
      <c r="F258" s="11"/>
      <c r="G258" s="25" t="str">
        <f>IF(A258="","",IFERROR(SUMIFS($F$4:$F258,$A$4:$A258,A258),0))</f>
        <v/>
      </c>
      <c r="H258" s="11"/>
      <c r="I258" s="11"/>
      <c r="J258" s="11"/>
    </row>
    <row r="259" spans="1:10" ht="15.75" customHeight="1" x14ac:dyDescent="0.25">
      <c r="A259" s="11"/>
      <c r="B259" s="4" t="str">
        <f>IF(A259="","",IFERROR(VLOOKUP(A259,Members!A$4:B$103,2,0),""))</f>
        <v/>
      </c>
      <c r="C259" s="6">
        <f t="shared" si="6"/>
        <v>0</v>
      </c>
      <c r="D259" s="11"/>
      <c r="E259" s="6" t="str">
        <f t="shared" si="7"/>
        <v/>
      </c>
      <c r="F259" s="11"/>
      <c r="G259" s="25" t="str">
        <f>IF(A259="","",IFERROR(SUMIFS($F$4:$F259,$A$4:$A259,A259),0))</f>
        <v/>
      </c>
      <c r="H259" s="11"/>
      <c r="I259" s="11"/>
      <c r="J259" s="11"/>
    </row>
    <row r="260" spans="1:10" ht="15.75" customHeight="1" x14ac:dyDescent="0.25">
      <c r="A260" s="11"/>
      <c r="B260" s="4" t="str">
        <f>IF(A260="","",IFERROR(VLOOKUP(A260,Members!A$4:B$103,2,0),""))</f>
        <v/>
      </c>
      <c r="C260" s="6">
        <f t="shared" ref="C260:C323" si="8">A260</f>
        <v>0</v>
      </c>
      <c r="D260" s="11"/>
      <c r="E260" s="6" t="str">
        <f t="shared" ref="E260:E323" si="9">IF(D260="","",TEXT(DATE(2024,D260,1),"MMMM"))</f>
        <v/>
      </c>
      <c r="F260" s="11"/>
      <c r="G260" s="25" t="str">
        <f>IF(A260="","",IFERROR(SUMIFS($F$4:$F260,$A$4:$A260,A260),0))</f>
        <v/>
      </c>
      <c r="H260" s="11"/>
      <c r="I260" s="11"/>
      <c r="J260" s="11"/>
    </row>
    <row r="261" spans="1:10" ht="15.75" customHeight="1" x14ac:dyDescent="0.25">
      <c r="A261" s="11"/>
      <c r="B261" s="4" t="str">
        <f>IF(A261="","",IFERROR(VLOOKUP(A261,Members!A$4:B$103,2,0),""))</f>
        <v/>
      </c>
      <c r="C261" s="6">
        <f t="shared" si="8"/>
        <v>0</v>
      </c>
      <c r="D261" s="11"/>
      <c r="E261" s="6" t="str">
        <f t="shared" si="9"/>
        <v/>
      </c>
      <c r="F261" s="11"/>
      <c r="G261" s="25" t="str">
        <f>IF(A261="","",IFERROR(SUMIFS($F$4:$F261,$A$4:$A261,A261),0))</f>
        <v/>
      </c>
      <c r="H261" s="11"/>
      <c r="I261" s="11"/>
      <c r="J261" s="11"/>
    </row>
    <row r="262" spans="1:10" ht="15.75" customHeight="1" x14ac:dyDescent="0.25">
      <c r="A262" s="11"/>
      <c r="B262" s="4" t="str">
        <f>IF(A262="","",IFERROR(VLOOKUP(A262,Members!A$4:B$103,2,0),""))</f>
        <v/>
      </c>
      <c r="C262" s="6">
        <f t="shared" si="8"/>
        <v>0</v>
      </c>
      <c r="D262" s="11"/>
      <c r="E262" s="6" t="str">
        <f t="shared" si="9"/>
        <v/>
      </c>
      <c r="F262" s="11"/>
      <c r="G262" s="25" t="str">
        <f>IF(A262="","",IFERROR(SUMIFS($F$4:$F262,$A$4:$A262,A262),0))</f>
        <v/>
      </c>
      <c r="H262" s="11"/>
      <c r="I262" s="11"/>
      <c r="J262" s="11"/>
    </row>
    <row r="263" spans="1:10" ht="15.75" customHeight="1" x14ac:dyDescent="0.25">
      <c r="A263" s="11"/>
      <c r="B263" s="4" t="str">
        <f>IF(A263="","",IFERROR(VLOOKUP(A263,Members!A$4:B$103,2,0),""))</f>
        <v/>
      </c>
      <c r="C263" s="6">
        <f t="shared" si="8"/>
        <v>0</v>
      </c>
      <c r="D263" s="11"/>
      <c r="E263" s="6" t="str">
        <f t="shared" si="9"/>
        <v/>
      </c>
      <c r="F263" s="11"/>
      <c r="G263" s="25" t="str">
        <f>IF(A263="","",IFERROR(SUMIFS($F$4:$F263,$A$4:$A263,A263),0))</f>
        <v/>
      </c>
      <c r="H263" s="11"/>
      <c r="I263" s="11"/>
      <c r="J263" s="11"/>
    </row>
    <row r="264" spans="1:10" ht="15.75" customHeight="1" x14ac:dyDescent="0.25">
      <c r="A264" s="11"/>
      <c r="B264" s="4" t="str">
        <f>IF(A264="","",IFERROR(VLOOKUP(A264,Members!A$4:B$103,2,0),""))</f>
        <v/>
      </c>
      <c r="C264" s="6">
        <f t="shared" si="8"/>
        <v>0</v>
      </c>
      <c r="D264" s="11"/>
      <c r="E264" s="6" t="str">
        <f t="shared" si="9"/>
        <v/>
      </c>
      <c r="F264" s="11"/>
      <c r="G264" s="25" t="str">
        <f>IF(A264="","",IFERROR(SUMIFS($F$4:$F264,$A$4:$A264,A264),0))</f>
        <v/>
      </c>
      <c r="H264" s="11"/>
      <c r="I264" s="11"/>
      <c r="J264" s="11"/>
    </row>
    <row r="265" spans="1:10" ht="15.75" customHeight="1" x14ac:dyDescent="0.25">
      <c r="A265" s="11"/>
      <c r="B265" s="4" t="str">
        <f>IF(A265="","",IFERROR(VLOOKUP(A265,Members!A$4:B$103,2,0),""))</f>
        <v/>
      </c>
      <c r="C265" s="6">
        <f t="shared" si="8"/>
        <v>0</v>
      </c>
      <c r="D265" s="11"/>
      <c r="E265" s="6" t="str">
        <f t="shared" si="9"/>
        <v/>
      </c>
      <c r="F265" s="11"/>
      <c r="G265" s="25" t="str">
        <f>IF(A265="","",IFERROR(SUMIFS($F$4:$F265,$A$4:$A265,A265),0))</f>
        <v/>
      </c>
      <c r="H265" s="11"/>
      <c r="I265" s="11"/>
      <c r="J265" s="11"/>
    </row>
    <row r="266" spans="1:10" ht="15.75" customHeight="1" x14ac:dyDescent="0.25">
      <c r="A266" s="11"/>
      <c r="B266" s="4" t="str">
        <f>IF(A266="","",IFERROR(VLOOKUP(A266,Members!A$4:B$103,2,0),""))</f>
        <v/>
      </c>
      <c r="C266" s="6">
        <f t="shared" si="8"/>
        <v>0</v>
      </c>
      <c r="D266" s="11"/>
      <c r="E266" s="6" t="str">
        <f t="shared" si="9"/>
        <v/>
      </c>
      <c r="F266" s="11"/>
      <c r="G266" s="25" t="str">
        <f>IF(A266="","",IFERROR(SUMIFS($F$4:$F266,$A$4:$A266,A266),0))</f>
        <v/>
      </c>
      <c r="H266" s="11"/>
      <c r="I266" s="11"/>
      <c r="J266" s="11"/>
    </row>
    <row r="267" spans="1:10" ht="15.75" customHeight="1" x14ac:dyDescent="0.25">
      <c r="A267" s="11"/>
      <c r="B267" s="4" t="str">
        <f>IF(A267="","",IFERROR(VLOOKUP(A267,Members!A$4:B$103,2,0),""))</f>
        <v/>
      </c>
      <c r="C267" s="6">
        <f t="shared" si="8"/>
        <v>0</v>
      </c>
      <c r="D267" s="11"/>
      <c r="E267" s="6" t="str">
        <f t="shared" si="9"/>
        <v/>
      </c>
      <c r="F267" s="11"/>
      <c r="G267" s="25" t="str">
        <f>IF(A267="","",IFERROR(SUMIFS($F$4:$F267,$A$4:$A267,A267),0))</f>
        <v/>
      </c>
      <c r="H267" s="11"/>
      <c r="I267" s="11"/>
      <c r="J267" s="11"/>
    </row>
    <row r="268" spans="1:10" ht="15.75" customHeight="1" x14ac:dyDescent="0.25">
      <c r="A268" s="11"/>
      <c r="B268" s="4" t="str">
        <f>IF(A268="","",IFERROR(VLOOKUP(A268,Members!A$4:B$103,2,0),""))</f>
        <v/>
      </c>
      <c r="C268" s="6">
        <f t="shared" si="8"/>
        <v>0</v>
      </c>
      <c r="D268" s="11"/>
      <c r="E268" s="6" t="str">
        <f t="shared" si="9"/>
        <v/>
      </c>
      <c r="F268" s="11"/>
      <c r="G268" s="25" t="str">
        <f>IF(A268="","",IFERROR(SUMIFS($F$4:$F268,$A$4:$A268,A268),0))</f>
        <v/>
      </c>
      <c r="H268" s="11"/>
      <c r="I268" s="11"/>
      <c r="J268" s="11"/>
    </row>
    <row r="269" spans="1:10" ht="15.75" customHeight="1" x14ac:dyDescent="0.25">
      <c r="A269" s="11"/>
      <c r="B269" s="4" t="str">
        <f>IF(A269="","",IFERROR(VLOOKUP(A269,Members!A$4:B$103,2,0),""))</f>
        <v/>
      </c>
      <c r="C269" s="6">
        <f t="shared" si="8"/>
        <v>0</v>
      </c>
      <c r="D269" s="11"/>
      <c r="E269" s="6" t="str">
        <f t="shared" si="9"/>
        <v/>
      </c>
      <c r="F269" s="11"/>
      <c r="G269" s="25" t="str">
        <f>IF(A269="","",IFERROR(SUMIFS($F$4:$F269,$A$4:$A269,A269),0))</f>
        <v/>
      </c>
      <c r="H269" s="11"/>
      <c r="I269" s="11"/>
      <c r="J269" s="11"/>
    </row>
    <row r="270" spans="1:10" ht="15.75" customHeight="1" x14ac:dyDescent="0.25">
      <c r="A270" s="11"/>
      <c r="B270" s="4" t="str">
        <f>IF(A270="","",IFERROR(VLOOKUP(A270,Members!A$4:B$103,2,0),""))</f>
        <v/>
      </c>
      <c r="C270" s="6">
        <f t="shared" si="8"/>
        <v>0</v>
      </c>
      <c r="D270" s="11"/>
      <c r="E270" s="6" t="str">
        <f t="shared" si="9"/>
        <v/>
      </c>
      <c r="F270" s="11"/>
      <c r="G270" s="25" t="str">
        <f>IF(A270="","",IFERROR(SUMIFS($F$4:$F270,$A$4:$A270,A270),0))</f>
        <v/>
      </c>
      <c r="H270" s="11"/>
      <c r="I270" s="11"/>
      <c r="J270" s="11"/>
    </row>
    <row r="271" spans="1:10" ht="15.75" customHeight="1" x14ac:dyDescent="0.25">
      <c r="A271" s="11"/>
      <c r="B271" s="4" t="str">
        <f>IF(A271="","",IFERROR(VLOOKUP(A271,Members!A$4:B$103,2,0),""))</f>
        <v/>
      </c>
      <c r="C271" s="6">
        <f t="shared" si="8"/>
        <v>0</v>
      </c>
      <c r="D271" s="11"/>
      <c r="E271" s="6" t="str">
        <f t="shared" si="9"/>
        <v/>
      </c>
      <c r="F271" s="11"/>
      <c r="G271" s="25" t="str">
        <f>IF(A271="","",IFERROR(SUMIFS($F$4:$F271,$A$4:$A271,A271),0))</f>
        <v/>
      </c>
      <c r="H271" s="11"/>
      <c r="I271" s="11"/>
      <c r="J271" s="11"/>
    </row>
    <row r="272" spans="1:10" ht="15.75" customHeight="1" x14ac:dyDescent="0.25">
      <c r="A272" s="11"/>
      <c r="B272" s="4" t="str">
        <f>IF(A272="","",IFERROR(VLOOKUP(A272,Members!A$4:B$103,2,0),""))</f>
        <v/>
      </c>
      <c r="C272" s="6">
        <f t="shared" si="8"/>
        <v>0</v>
      </c>
      <c r="D272" s="11"/>
      <c r="E272" s="6" t="str">
        <f t="shared" si="9"/>
        <v/>
      </c>
      <c r="F272" s="11"/>
      <c r="G272" s="25" t="str">
        <f>IF(A272="","",IFERROR(SUMIFS($F$4:$F272,$A$4:$A272,A272),0))</f>
        <v/>
      </c>
      <c r="H272" s="11"/>
      <c r="I272" s="11"/>
      <c r="J272" s="11"/>
    </row>
    <row r="273" spans="1:10" ht="15.75" customHeight="1" x14ac:dyDescent="0.25">
      <c r="A273" s="11"/>
      <c r="B273" s="4" t="str">
        <f>IF(A273="","",IFERROR(VLOOKUP(A273,Members!A$4:B$103,2,0),""))</f>
        <v/>
      </c>
      <c r="C273" s="6">
        <f t="shared" si="8"/>
        <v>0</v>
      </c>
      <c r="D273" s="11"/>
      <c r="E273" s="6" t="str">
        <f t="shared" si="9"/>
        <v/>
      </c>
      <c r="F273" s="11"/>
      <c r="G273" s="25" t="str">
        <f>IF(A273="","",IFERROR(SUMIFS($F$4:$F273,$A$4:$A273,A273),0))</f>
        <v/>
      </c>
      <c r="H273" s="11"/>
      <c r="I273" s="11"/>
      <c r="J273" s="11"/>
    </row>
    <row r="274" spans="1:10" ht="15.75" customHeight="1" x14ac:dyDescent="0.25">
      <c r="A274" s="11"/>
      <c r="B274" s="4" t="str">
        <f>IF(A274="","",IFERROR(VLOOKUP(A274,Members!A$4:B$103,2,0),""))</f>
        <v/>
      </c>
      <c r="C274" s="6">
        <f t="shared" si="8"/>
        <v>0</v>
      </c>
      <c r="D274" s="11"/>
      <c r="E274" s="6" t="str">
        <f t="shared" si="9"/>
        <v/>
      </c>
      <c r="F274" s="11"/>
      <c r="G274" s="25" t="str">
        <f>IF(A274="","",IFERROR(SUMIFS($F$4:$F274,$A$4:$A274,A274),0))</f>
        <v/>
      </c>
      <c r="H274" s="11"/>
      <c r="I274" s="11"/>
      <c r="J274" s="11"/>
    </row>
    <row r="275" spans="1:10" ht="15.75" customHeight="1" x14ac:dyDescent="0.25">
      <c r="A275" s="11"/>
      <c r="B275" s="4" t="str">
        <f>IF(A275="","",IFERROR(VLOOKUP(A275,Members!A$4:B$103,2,0),""))</f>
        <v/>
      </c>
      <c r="C275" s="6">
        <f t="shared" si="8"/>
        <v>0</v>
      </c>
      <c r="D275" s="11"/>
      <c r="E275" s="6" t="str">
        <f t="shared" si="9"/>
        <v/>
      </c>
      <c r="F275" s="11"/>
      <c r="G275" s="25" t="str">
        <f>IF(A275="","",IFERROR(SUMIFS($F$4:$F275,$A$4:$A275,A275),0))</f>
        <v/>
      </c>
      <c r="H275" s="11"/>
      <c r="I275" s="11"/>
      <c r="J275" s="11"/>
    </row>
    <row r="276" spans="1:10" ht="15.75" customHeight="1" x14ac:dyDescent="0.25">
      <c r="A276" s="11"/>
      <c r="B276" s="4" t="str">
        <f>IF(A276="","",IFERROR(VLOOKUP(A276,Members!A$4:B$103,2,0),""))</f>
        <v/>
      </c>
      <c r="C276" s="6">
        <f t="shared" si="8"/>
        <v>0</v>
      </c>
      <c r="D276" s="11"/>
      <c r="E276" s="6" t="str">
        <f t="shared" si="9"/>
        <v/>
      </c>
      <c r="F276" s="11"/>
      <c r="G276" s="25" t="str">
        <f>IF(A276="","",IFERROR(SUMIFS($F$4:$F276,$A$4:$A276,A276),0))</f>
        <v/>
      </c>
      <c r="H276" s="11"/>
      <c r="I276" s="11"/>
      <c r="J276" s="11"/>
    </row>
    <row r="277" spans="1:10" ht="15.75" customHeight="1" x14ac:dyDescent="0.25">
      <c r="A277" s="11"/>
      <c r="B277" s="4" t="str">
        <f>IF(A277="","",IFERROR(VLOOKUP(A277,Members!A$4:B$103,2,0),""))</f>
        <v/>
      </c>
      <c r="C277" s="6">
        <f t="shared" si="8"/>
        <v>0</v>
      </c>
      <c r="D277" s="11"/>
      <c r="E277" s="6" t="str">
        <f t="shared" si="9"/>
        <v/>
      </c>
      <c r="F277" s="11"/>
      <c r="G277" s="25" t="str">
        <f>IF(A277="","",IFERROR(SUMIFS($F$4:$F277,$A$4:$A277,A277),0))</f>
        <v/>
      </c>
      <c r="H277" s="11"/>
      <c r="I277" s="11"/>
      <c r="J277" s="11"/>
    </row>
    <row r="278" spans="1:10" ht="15.75" customHeight="1" x14ac:dyDescent="0.25">
      <c r="A278" s="11"/>
      <c r="B278" s="4" t="str">
        <f>IF(A278="","",IFERROR(VLOOKUP(A278,Members!A$4:B$103,2,0),""))</f>
        <v/>
      </c>
      <c r="C278" s="6">
        <f t="shared" si="8"/>
        <v>0</v>
      </c>
      <c r="D278" s="11"/>
      <c r="E278" s="6" t="str">
        <f t="shared" si="9"/>
        <v/>
      </c>
      <c r="F278" s="11"/>
      <c r="G278" s="25" t="str">
        <f>IF(A278="","",IFERROR(SUMIFS($F$4:$F278,$A$4:$A278,A278),0))</f>
        <v/>
      </c>
      <c r="H278" s="11"/>
      <c r="I278" s="11"/>
      <c r="J278" s="11"/>
    </row>
    <row r="279" spans="1:10" ht="15.75" customHeight="1" x14ac:dyDescent="0.25">
      <c r="A279" s="11"/>
      <c r="B279" s="4" t="str">
        <f>IF(A279="","",IFERROR(VLOOKUP(A279,Members!A$4:B$103,2,0),""))</f>
        <v/>
      </c>
      <c r="C279" s="6">
        <f t="shared" si="8"/>
        <v>0</v>
      </c>
      <c r="D279" s="11"/>
      <c r="E279" s="6" t="str">
        <f t="shared" si="9"/>
        <v/>
      </c>
      <c r="F279" s="11"/>
      <c r="G279" s="25" t="str">
        <f>IF(A279="","",IFERROR(SUMIFS($F$4:$F279,$A$4:$A279,A279),0))</f>
        <v/>
      </c>
      <c r="H279" s="11"/>
      <c r="I279" s="11"/>
      <c r="J279" s="11"/>
    </row>
    <row r="280" spans="1:10" ht="15.75" customHeight="1" x14ac:dyDescent="0.25">
      <c r="A280" s="11"/>
      <c r="B280" s="4" t="str">
        <f>IF(A280="","",IFERROR(VLOOKUP(A280,Members!A$4:B$103,2,0),""))</f>
        <v/>
      </c>
      <c r="C280" s="6">
        <f t="shared" si="8"/>
        <v>0</v>
      </c>
      <c r="D280" s="11"/>
      <c r="E280" s="6" t="str">
        <f t="shared" si="9"/>
        <v/>
      </c>
      <c r="F280" s="11"/>
      <c r="G280" s="25" t="str">
        <f>IF(A280="","",IFERROR(SUMIFS($F$4:$F280,$A$4:$A280,A280),0))</f>
        <v/>
      </c>
      <c r="H280" s="11"/>
      <c r="I280" s="11"/>
      <c r="J280" s="11"/>
    </row>
    <row r="281" spans="1:10" ht="15.75" customHeight="1" x14ac:dyDescent="0.25">
      <c r="A281" s="11"/>
      <c r="B281" s="4" t="str">
        <f>IF(A281="","",IFERROR(VLOOKUP(A281,Members!A$4:B$103,2,0),""))</f>
        <v/>
      </c>
      <c r="C281" s="6">
        <f t="shared" si="8"/>
        <v>0</v>
      </c>
      <c r="D281" s="11"/>
      <c r="E281" s="6" t="str">
        <f t="shared" si="9"/>
        <v/>
      </c>
      <c r="F281" s="11"/>
      <c r="G281" s="25" t="str">
        <f>IF(A281="","",IFERROR(SUMIFS($F$4:$F281,$A$4:$A281,A281),0))</f>
        <v/>
      </c>
      <c r="H281" s="11"/>
      <c r="I281" s="11"/>
      <c r="J281" s="11"/>
    </row>
    <row r="282" spans="1:10" ht="15.75" customHeight="1" x14ac:dyDescent="0.25">
      <c r="A282" s="11"/>
      <c r="B282" s="4" t="str">
        <f>IF(A282="","",IFERROR(VLOOKUP(A282,Members!A$4:B$103,2,0),""))</f>
        <v/>
      </c>
      <c r="C282" s="6">
        <f t="shared" si="8"/>
        <v>0</v>
      </c>
      <c r="D282" s="11"/>
      <c r="E282" s="6" t="str">
        <f t="shared" si="9"/>
        <v/>
      </c>
      <c r="F282" s="11"/>
      <c r="G282" s="25" t="str">
        <f>IF(A282="","",IFERROR(SUMIFS($F$4:$F282,$A$4:$A282,A282),0))</f>
        <v/>
      </c>
      <c r="H282" s="11"/>
      <c r="I282" s="11"/>
      <c r="J282" s="11"/>
    </row>
    <row r="283" spans="1:10" ht="15.75" customHeight="1" x14ac:dyDescent="0.25">
      <c r="A283" s="11"/>
      <c r="B283" s="4" t="str">
        <f>IF(A283="","",IFERROR(VLOOKUP(A283,Members!A$4:B$103,2,0),""))</f>
        <v/>
      </c>
      <c r="C283" s="6">
        <f t="shared" si="8"/>
        <v>0</v>
      </c>
      <c r="D283" s="11"/>
      <c r="E283" s="6" t="str">
        <f t="shared" si="9"/>
        <v/>
      </c>
      <c r="F283" s="11"/>
      <c r="G283" s="25" t="str">
        <f>IF(A283="","",IFERROR(SUMIFS($F$4:$F283,$A$4:$A283,A283),0))</f>
        <v/>
      </c>
      <c r="H283" s="11"/>
      <c r="I283" s="11"/>
      <c r="J283" s="11"/>
    </row>
    <row r="284" spans="1:10" ht="15.75" customHeight="1" x14ac:dyDescent="0.25">
      <c r="A284" s="11"/>
      <c r="B284" s="4" t="str">
        <f>IF(A284="","",IFERROR(VLOOKUP(A284,Members!A$4:B$103,2,0),""))</f>
        <v/>
      </c>
      <c r="C284" s="6">
        <f t="shared" si="8"/>
        <v>0</v>
      </c>
      <c r="D284" s="11"/>
      <c r="E284" s="6" t="str">
        <f t="shared" si="9"/>
        <v/>
      </c>
      <c r="F284" s="11"/>
      <c r="G284" s="25" t="str">
        <f>IF(A284="","",IFERROR(SUMIFS($F$4:$F284,$A$4:$A284,A284),0))</f>
        <v/>
      </c>
      <c r="H284" s="11"/>
      <c r="I284" s="11"/>
      <c r="J284" s="11"/>
    </row>
    <row r="285" spans="1:10" ht="15.75" customHeight="1" x14ac:dyDescent="0.25">
      <c r="A285" s="11"/>
      <c r="B285" s="4" t="str">
        <f>IF(A285="","",IFERROR(VLOOKUP(A285,Members!A$4:B$103,2,0),""))</f>
        <v/>
      </c>
      <c r="C285" s="6">
        <f t="shared" si="8"/>
        <v>0</v>
      </c>
      <c r="D285" s="11"/>
      <c r="E285" s="6" t="str">
        <f t="shared" si="9"/>
        <v/>
      </c>
      <c r="F285" s="11"/>
      <c r="G285" s="25" t="str">
        <f>IF(A285="","",IFERROR(SUMIFS($F$4:$F285,$A$4:$A285,A285),0))</f>
        <v/>
      </c>
      <c r="H285" s="11"/>
      <c r="I285" s="11"/>
      <c r="J285" s="11"/>
    </row>
    <row r="286" spans="1:10" ht="15.75" customHeight="1" x14ac:dyDescent="0.25">
      <c r="A286" s="11"/>
      <c r="B286" s="4" t="str">
        <f>IF(A286="","",IFERROR(VLOOKUP(A286,Members!A$4:B$103,2,0),""))</f>
        <v/>
      </c>
      <c r="C286" s="6">
        <f t="shared" si="8"/>
        <v>0</v>
      </c>
      <c r="D286" s="11"/>
      <c r="E286" s="6" t="str">
        <f t="shared" si="9"/>
        <v/>
      </c>
      <c r="F286" s="11"/>
      <c r="G286" s="25" t="str">
        <f>IF(A286="","",IFERROR(SUMIFS($F$4:$F286,$A$4:$A286,A286),0))</f>
        <v/>
      </c>
      <c r="H286" s="11"/>
      <c r="I286" s="11"/>
      <c r="J286" s="11"/>
    </row>
    <row r="287" spans="1:10" ht="15.75" customHeight="1" x14ac:dyDescent="0.25">
      <c r="A287" s="11"/>
      <c r="B287" s="4" t="str">
        <f>IF(A287="","",IFERROR(VLOOKUP(A287,Members!A$4:B$103,2,0),""))</f>
        <v/>
      </c>
      <c r="C287" s="6">
        <f t="shared" si="8"/>
        <v>0</v>
      </c>
      <c r="D287" s="11"/>
      <c r="E287" s="6" t="str">
        <f t="shared" si="9"/>
        <v/>
      </c>
      <c r="F287" s="11"/>
      <c r="G287" s="25" t="str">
        <f>IF(A287="","",IFERROR(SUMIFS($F$4:$F287,$A$4:$A287,A287),0))</f>
        <v/>
      </c>
      <c r="H287" s="11"/>
      <c r="I287" s="11"/>
      <c r="J287" s="11"/>
    </row>
    <row r="288" spans="1:10" ht="15.75" customHeight="1" x14ac:dyDescent="0.25">
      <c r="A288" s="11"/>
      <c r="B288" s="4" t="str">
        <f>IF(A288="","",IFERROR(VLOOKUP(A288,Members!A$4:B$103,2,0),""))</f>
        <v/>
      </c>
      <c r="C288" s="6">
        <f t="shared" si="8"/>
        <v>0</v>
      </c>
      <c r="D288" s="11"/>
      <c r="E288" s="6" t="str">
        <f t="shared" si="9"/>
        <v/>
      </c>
      <c r="F288" s="11"/>
      <c r="G288" s="25" t="str">
        <f>IF(A288="","",IFERROR(SUMIFS($F$4:$F288,$A$4:$A288,A288),0))</f>
        <v/>
      </c>
      <c r="H288" s="11"/>
      <c r="I288" s="11"/>
      <c r="J288" s="11"/>
    </row>
    <row r="289" spans="1:10" ht="15.75" customHeight="1" x14ac:dyDescent="0.25">
      <c r="A289" s="11"/>
      <c r="B289" s="4" t="str">
        <f>IF(A289="","",IFERROR(VLOOKUP(A289,Members!A$4:B$103,2,0),""))</f>
        <v/>
      </c>
      <c r="C289" s="6">
        <f t="shared" si="8"/>
        <v>0</v>
      </c>
      <c r="D289" s="11"/>
      <c r="E289" s="6" t="str">
        <f t="shared" si="9"/>
        <v/>
      </c>
      <c r="F289" s="11"/>
      <c r="G289" s="25" t="str">
        <f>IF(A289="","",IFERROR(SUMIFS($F$4:$F289,$A$4:$A289,A289),0))</f>
        <v/>
      </c>
      <c r="H289" s="11"/>
      <c r="I289" s="11"/>
      <c r="J289" s="11"/>
    </row>
    <row r="290" spans="1:10" ht="15.75" customHeight="1" x14ac:dyDescent="0.25">
      <c r="A290" s="11"/>
      <c r="B290" s="4" t="str">
        <f>IF(A290="","",IFERROR(VLOOKUP(A290,Members!A$4:B$103,2,0),""))</f>
        <v/>
      </c>
      <c r="C290" s="6">
        <f t="shared" si="8"/>
        <v>0</v>
      </c>
      <c r="D290" s="11"/>
      <c r="E290" s="6" t="str">
        <f t="shared" si="9"/>
        <v/>
      </c>
      <c r="F290" s="11"/>
      <c r="G290" s="25" t="str">
        <f>IF(A290="","",IFERROR(SUMIFS($F$4:$F290,$A$4:$A290,A290),0))</f>
        <v/>
      </c>
      <c r="H290" s="11"/>
      <c r="I290" s="11"/>
      <c r="J290" s="11"/>
    </row>
    <row r="291" spans="1:10" ht="15.75" customHeight="1" x14ac:dyDescent="0.25">
      <c r="A291" s="11"/>
      <c r="B291" s="4" t="str">
        <f>IF(A291="","",IFERROR(VLOOKUP(A291,Members!A$4:B$103,2,0),""))</f>
        <v/>
      </c>
      <c r="C291" s="6">
        <f t="shared" si="8"/>
        <v>0</v>
      </c>
      <c r="D291" s="11"/>
      <c r="E291" s="6" t="str">
        <f t="shared" si="9"/>
        <v/>
      </c>
      <c r="F291" s="11"/>
      <c r="G291" s="25" t="str">
        <f>IF(A291="","",IFERROR(SUMIFS($F$4:$F291,$A$4:$A291,A291),0))</f>
        <v/>
      </c>
      <c r="H291" s="11"/>
      <c r="I291" s="11"/>
      <c r="J291" s="11"/>
    </row>
    <row r="292" spans="1:10" ht="15.75" customHeight="1" x14ac:dyDescent="0.25">
      <c r="A292" s="11"/>
      <c r="B292" s="4" t="str">
        <f>IF(A292="","",IFERROR(VLOOKUP(A292,Members!A$4:B$103,2,0),""))</f>
        <v/>
      </c>
      <c r="C292" s="6">
        <f t="shared" si="8"/>
        <v>0</v>
      </c>
      <c r="D292" s="11"/>
      <c r="E292" s="6" t="str">
        <f t="shared" si="9"/>
        <v/>
      </c>
      <c r="F292" s="11"/>
      <c r="G292" s="25" t="str">
        <f>IF(A292="","",IFERROR(SUMIFS($F$4:$F292,$A$4:$A292,A292),0))</f>
        <v/>
      </c>
      <c r="H292" s="11"/>
      <c r="I292" s="11"/>
      <c r="J292" s="11"/>
    </row>
    <row r="293" spans="1:10" ht="15.75" customHeight="1" x14ac:dyDescent="0.25">
      <c r="A293" s="11"/>
      <c r="B293" s="4" t="str">
        <f>IF(A293="","",IFERROR(VLOOKUP(A293,Members!A$4:B$103,2,0),""))</f>
        <v/>
      </c>
      <c r="C293" s="6">
        <f t="shared" si="8"/>
        <v>0</v>
      </c>
      <c r="D293" s="11"/>
      <c r="E293" s="6" t="str">
        <f t="shared" si="9"/>
        <v/>
      </c>
      <c r="F293" s="11"/>
      <c r="G293" s="25" t="str">
        <f>IF(A293="","",IFERROR(SUMIFS($F$4:$F293,$A$4:$A293,A293),0))</f>
        <v/>
      </c>
      <c r="H293" s="11"/>
      <c r="I293" s="11"/>
      <c r="J293" s="11"/>
    </row>
    <row r="294" spans="1:10" ht="15.75" customHeight="1" x14ac:dyDescent="0.25">
      <c r="A294" s="11"/>
      <c r="B294" s="4" t="str">
        <f>IF(A294="","",IFERROR(VLOOKUP(A294,Members!A$4:B$103,2,0),""))</f>
        <v/>
      </c>
      <c r="C294" s="6">
        <f t="shared" si="8"/>
        <v>0</v>
      </c>
      <c r="D294" s="11"/>
      <c r="E294" s="6" t="str">
        <f t="shared" si="9"/>
        <v/>
      </c>
      <c r="F294" s="11"/>
      <c r="G294" s="25" t="str">
        <f>IF(A294="","",IFERROR(SUMIFS($F$4:$F294,$A$4:$A294,A294),0))</f>
        <v/>
      </c>
      <c r="H294" s="11"/>
      <c r="I294" s="11"/>
      <c r="J294" s="11"/>
    </row>
    <row r="295" spans="1:10" ht="15.75" customHeight="1" x14ac:dyDescent="0.25">
      <c r="A295" s="11"/>
      <c r="B295" s="4" t="str">
        <f>IF(A295="","",IFERROR(VLOOKUP(A295,Members!A$4:B$103,2,0),""))</f>
        <v/>
      </c>
      <c r="C295" s="6">
        <f t="shared" si="8"/>
        <v>0</v>
      </c>
      <c r="D295" s="11"/>
      <c r="E295" s="6" t="str">
        <f t="shared" si="9"/>
        <v/>
      </c>
      <c r="F295" s="11"/>
      <c r="G295" s="25" t="str">
        <f>IF(A295="","",IFERROR(SUMIFS($F$4:$F295,$A$4:$A295,A295),0))</f>
        <v/>
      </c>
      <c r="H295" s="11"/>
      <c r="I295" s="11"/>
      <c r="J295" s="11"/>
    </row>
    <row r="296" spans="1:10" ht="15.75" customHeight="1" x14ac:dyDescent="0.25">
      <c r="A296" s="11"/>
      <c r="B296" s="4" t="str">
        <f>IF(A296="","",IFERROR(VLOOKUP(A296,Members!A$4:B$103,2,0),""))</f>
        <v/>
      </c>
      <c r="C296" s="6">
        <f t="shared" si="8"/>
        <v>0</v>
      </c>
      <c r="D296" s="11"/>
      <c r="E296" s="6" t="str">
        <f t="shared" si="9"/>
        <v/>
      </c>
      <c r="F296" s="11"/>
      <c r="G296" s="25" t="str">
        <f>IF(A296="","",IFERROR(SUMIFS($F$4:$F296,$A$4:$A296,A296),0))</f>
        <v/>
      </c>
      <c r="H296" s="11"/>
      <c r="I296" s="11"/>
      <c r="J296" s="11"/>
    </row>
    <row r="297" spans="1:10" ht="15.75" customHeight="1" x14ac:dyDescent="0.25">
      <c r="A297" s="11"/>
      <c r="B297" s="4" t="str">
        <f>IF(A297="","",IFERROR(VLOOKUP(A297,Members!A$4:B$103,2,0),""))</f>
        <v/>
      </c>
      <c r="C297" s="6">
        <f t="shared" si="8"/>
        <v>0</v>
      </c>
      <c r="D297" s="11"/>
      <c r="E297" s="6" t="str">
        <f t="shared" si="9"/>
        <v/>
      </c>
      <c r="F297" s="11"/>
      <c r="G297" s="25" t="str">
        <f>IF(A297="","",IFERROR(SUMIFS($F$4:$F297,$A$4:$A297,A297),0))</f>
        <v/>
      </c>
      <c r="H297" s="11"/>
      <c r="I297" s="11"/>
      <c r="J297" s="11"/>
    </row>
    <row r="298" spans="1:10" ht="15.75" customHeight="1" x14ac:dyDescent="0.25">
      <c r="A298" s="11"/>
      <c r="B298" s="4" t="str">
        <f>IF(A298="","",IFERROR(VLOOKUP(A298,Members!A$4:B$103,2,0),""))</f>
        <v/>
      </c>
      <c r="C298" s="6">
        <f t="shared" si="8"/>
        <v>0</v>
      </c>
      <c r="D298" s="11"/>
      <c r="E298" s="6" t="str">
        <f t="shared" si="9"/>
        <v/>
      </c>
      <c r="F298" s="11"/>
      <c r="G298" s="25" t="str">
        <f>IF(A298="","",IFERROR(SUMIFS($F$4:$F298,$A$4:$A298,A298),0))</f>
        <v/>
      </c>
      <c r="H298" s="11"/>
      <c r="I298" s="11"/>
      <c r="J298" s="11"/>
    </row>
    <row r="299" spans="1:10" ht="15.75" customHeight="1" x14ac:dyDescent="0.25">
      <c r="A299" s="11"/>
      <c r="B299" s="4" t="str">
        <f>IF(A299="","",IFERROR(VLOOKUP(A299,Members!A$4:B$103,2,0),""))</f>
        <v/>
      </c>
      <c r="C299" s="6">
        <f t="shared" si="8"/>
        <v>0</v>
      </c>
      <c r="D299" s="11"/>
      <c r="E299" s="6" t="str">
        <f t="shared" si="9"/>
        <v/>
      </c>
      <c r="F299" s="11"/>
      <c r="G299" s="25" t="str">
        <f>IF(A299="","",IFERROR(SUMIFS($F$4:$F299,$A$4:$A299,A299),0))</f>
        <v/>
      </c>
      <c r="H299" s="11"/>
      <c r="I299" s="11"/>
      <c r="J299" s="11"/>
    </row>
    <row r="300" spans="1:10" ht="15.75" customHeight="1" x14ac:dyDescent="0.25">
      <c r="A300" s="11"/>
      <c r="B300" s="4" t="str">
        <f>IF(A300="","",IFERROR(VLOOKUP(A300,Members!A$4:B$103,2,0),""))</f>
        <v/>
      </c>
      <c r="C300" s="6">
        <f t="shared" si="8"/>
        <v>0</v>
      </c>
      <c r="D300" s="11"/>
      <c r="E300" s="6" t="str">
        <f t="shared" si="9"/>
        <v/>
      </c>
      <c r="F300" s="11"/>
      <c r="G300" s="25" t="str">
        <f>IF(A300="","",IFERROR(SUMIFS($F$4:$F300,$A$4:$A300,A300),0))</f>
        <v/>
      </c>
      <c r="H300" s="11"/>
      <c r="I300" s="11"/>
      <c r="J300" s="11"/>
    </row>
    <row r="301" spans="1:10" ht="15.75" customHeight="1" x14ac:dyDescent="0.25">
      <c r="A301" s="11"/>
      <c r="B301" s="4" t="str">
        <f>IF(A301="","",IFERROR(VLOOKUP(A301,Members!A$4:B$103,2,0),""))</f>
        <v/>
      </c>
      <c r="C301" s="6">
        <f t="shared" si="8"/>
        <v>0</v>
      </c>
      <c r="D301" s="11"/>
      <c r="E301" s="6" t="str">
        <f t="shared" si="9"/>
        <v/>
      </c>
      <c r="F301" s="11"/>
      <c r="G301" s="25" t="str">
        <f>IF(A301="","",IFERROR(SUMIFS($F$4:$F301,$A$4:$A301,A301),0))</f>
        <v/>
      </c>
      <c r="H301" s="11"/>
      <c r="I301" s="11"/>
      <c r="J301" s="11"/>
    </row>
    <row r="302" spans="1:10" ht="15.75" customHeight="1" x14ac:dyDescent="0.25">
      <c r="A302" s="11"/>
      <c r="B302" s="4" t="str">
        <f>IF(A302="","",IFERROR(VLOOKUP(A302,Members!A$4:B$103,2,0),""))</f>
        <v/>
      </c>
      <c r="C302" s="6">
        <f t="shared" si="8"/>
        <v>0</v>
      </c>
      <c r="D302" s="11"/>
      <c r="E302" s="6" t="str">
        <f t="shared" si="9"/>
        <v/>
      </c>
      <c r="F302" s="11"/>
      <c r="G302" s="25" t="str">
        <f>IF(A302="","",IFERROR(SUMIFS($F$4:$F302,$A$4:$A302,A302),0))</f>
        <v/>
      </c>
      <c r="H302" s="11"/>
      <c r="I302" s="11"/>
      <c r="J302" s="11"/>
    </row>
    <row r="303" spans="1:10" ht="15.75" customHeight="1" x14ac:dyDescent="0.25">
      <c r="A303" s="11"/>
      <c r="B303" s="4" t="str">
        <f>IF(A303="","",IFERROR(VLOOKUP(A303,Members!A$4:B$103,2,0),""))</f>
        <v/>
      </c>
      <c r="C303" s="6">
        <f t="shared" si="8"/>
        <v>0</v>
      </c>
      <c r="D303" s="11"/>
      <c r="E303" s="6" t="str">
        <f t="shared" si="9"/>
        <v/>
      </c>
      <c r="F303" s="11"/>
      <c r="G303" s="25" t="str">
        <f>IF(A303="","",IFERROR(SUMIFS($F$4:$F303,$A$4:$A303,A303),0))</f>
        <v/>
      </c>
      <c r="H303" s="11"/>
      <c r="I303" s="11"/>
      <c r="J303" s="11"/>
    </row>
    <row r="304" spans="1:10" ht="15.75" customHeight="1" x14ac:dyDescent="0.25">
      <c r="A304" s="11"/>
      <c r="B304" s="4" t="str">
        <f>IF(A304="","",IFERROR(VLOOKUP(A304,Members!A$4:B$103,2,0),""))</f>
        <v/>
      </c>
      <c r="C304" s="6">
        <f t="shared" si="8"/>
        <v>0</v>
      </c>
      <c r="D304" s="11"/>
      <c r="E304" s="6" t="str">
        <f t="shared" si="9"/>
        <v/>
      </c>
      <c r="F304" s="11"/>
      <c r="G304" s="25" t="str">
        <f>IF(A304="","",IFERROR(SUMIFS($F$4:$F304,$A$4:$A304,A304),0))</f>
        <v/>
      </c>
      <c r="H304" s="11"/>
      <c r="I304" s="11"/>
      <c r="J304" s="11"/>
    </row>
    <row r="305" spans="1:10" ht="15.75" customHeight="1" x14ac:dyDescent="0.25">
      <c r="A305" s="11"/>
      <c r="B305" s="4" t="str">
        <f>IF(A305="","",IFERROR(VLOOKUP(A305,Members!A$4:B$103,2,0),""))</f>
        <v/>
      </c>
      <c r="C305" s="6">
        <f t="shared" si="8"/>
        <v>0</v>
      </c>
      <c r="D305" s="11"/>
      <c r="E305" s="6" t="str">
        <f t="shared" si="9"/>
        <v/>
      </c>
      <c r="F305" s="11"/>
      <c r="G305" s="25" t="str">
        <f>IF(A305="","",IFERROR(SUMIFS($F$4:$F305,$A$4:$A305,A305),0))</f>
        <v/>
      </c>
      <c r="H305" s="11"/>
      <c r="I305" s="11"/>
      <c r="J305" s="11"/>
    </row>
    <row r="306" spans="1:10" ht="15.75" customHeight="1" x14ac:dyDescent="0.25">
      <c r="A306" s="11"/>
      <c r="B306" s="4" t="str">
        <f>IF(A306="","",IFERROR(VLOOKUP(A306,Members!A$4:B$103,2,0),""))</f>
        <v/>
      </c>
      <c r="C306" s="6">
        <f t="shared" si="8"/>
        <v>0</v>
      </c>
      <c r="D306" s="11"/>
      <c r="E306" s="6" t="str">
        <f t="shared" si="9"/>
        <v/>
      </c>
      <c r="F306" s="11"/>
      <c r="G306" s="25" t="str">
        <f>IF(A306="","",IFERROR(SUMIFS($F$4:$F306,$A$4:$A306,A306),0))</f>
        <v/>
      </c>
      <c r="H306" s="11"/>
      <c r="I306" s="11"/>
      <c r="J306" s="11"/>
    </row>
    <row r="307" spans="1:10" ht="15.75" customHeight="1" x14ac:dyDescent="0.25">
      <c r="A307" s="11"/>
      <c r="B307" s="4" t="str">
        <f>IF(A307="","",IFERROR(VLOOKUP(A307,Members!A$4:B$103,2,0),""))</f>
        <v/>
      </c>
      <c r="C307" s="6">
        <f t="shared" si="8"/>
        <v>0</v>
      </c>
      <c r="D307" s="11"/>
      <c r="E307" s="6" t="str">
        <f t="shared" si="9"/>
        <v/>
      </c>
      <c r="F307" s="11"/>
      <c r="G307" s="25" t="str">
        <f>IF(A307="","",IFERROR(SUMIFS($F$4:$F307,$A$4:$A307,A307),0))</f>
        <v/>
      </c>
      <c r="H307" s="11"/>
      <c r="I307" s="11"/>
      <c r="J307" s="11"/>
    </row>
    <row r="308" spans="1:10" ht="15.75" customHeight="1" x14ac:dyDescent="0.25">
      <c r="A308" s="11"/>
      <c r="B308" s="4" t="str">
        <f>IF(A308="","",IFERROR(VLOOKUP(A308,Members!A$4:B$103,2,0),""))</f>
        <v/>
      </c>
      <c r="C308" s="6">
        <f t="shared" si="8"/>
        <v>0</v>
      </c>
      <c r="D308" s="11"/>
      <c r="E308" s="6" t="str">
        <f t="shared" si="9"/>
        <v/>
      </c>
      <c r="F308" s="11"/>
      <c r="G308" s="25" t="str">
        <f>IF(A308="","",IFERROR(SUMIFS($F$4:$F308,$A$4:$A308,A308),0))</f>
        <v/>
      </c>
      <c r="H308" s="11"/>
      <c r="I308" s="11"/>
      <c r="J308" s="11"/>
    </row>
    <row r="309" spans="1:10" ht="15.75" customHeight="1" x14ac:dyDescent="0.25">
      <c r="A309" s="11"/>
      <c r="B309" s="4" t="str">
        <f>IF(A309="","",IFERROR(VLOOKUP(A309,Members!A$4:B$103,2,0),""))</f>
        <v/>
      </c>
      <c r="C309" s="6">
        <f t="shared" si="8"/>
        <v>0</v>
      </c>
      <c r="D309" s="11"/>
      <c r="E309" s="6" t="str">
        <f t="shared" si="9"/>
        <v/>
      </c>
      <c r="F309" s="11"/>
      <c r="G309" s="25" t="str">
        <f>IF(A309="","",IFERROR(SUMIFS($F$4:$F309,$A$4:$A309,A309),0))</f>
        <v/>
      </c>
      <c r="H309" s="11"/>
      <c r="I309" s="11"/>
      <c r="J309" s="11"/>
    </row>
    <row r="310" spans="1:10" ht="15.75" customHeight="1" x14ac:dyDescent="0.25">
      <c r="A310" s="11"/>
      <c r="B310" s="4" t="str">
        <f>IF(A310="","",IFERROR(VLOOKUP(A310,Members!A$4:B$103,2,0),""))</f>
        <v/>
      </c>
      <c r="C310" s="6">
        <f t="shared" si="8"/>
        <v>0</v>
      </c>
      <c r="D310" s="11"/>
      <c r="E310" s="6" t="str">
        <f t="shared" si="9"/>
        <v/>
      </c>
      <c r="F310" s="11"/>
      <c r="G310" s="25" t="str">
        <f>IF(A310="","",IFERROR(SUMIFS($F$4:$F310,$A$4:$A310,A310),0))</f>
        <v/>
      </c>
      <c r="H310" s="11"/>
      <c r="I310" s="11"/>
      <c r="J310" s="11"/>
    </row>
    <row r="311" spans="1:10" ht="15.75" customHeight="1" x14ac:dyDescent="0.25">
      <c r="A311" s="11"/>
      <c r="B311" s="4" t="str">
        <f>IF(A311="","",IFERROR(VLOOKUP(A311,Members!A$4:B$103,2,0),""))</f>
        <v/>
      </c>
      <c r="C311" s="6">
        <f t="shared" si="8"/>
        <v>0</v>
      </c>
      <c r="D311" s="11"/>
      <c r="E311" s="6" t="str">
        <f t="shared" si="9"/>
        <v/>
      </c>
      <c r="F311" s="11"/>
      <c r="G311" s="25" t="str">
        <f>IF(A311="","",IFERROR(SUMIFS($F$4:$F311,$A$4:$A311,A311),0))</f>
        <v/>
      </c>
      <c r="H311" s="11"/>
      <c r="I311" s="11"/>
      <c r="J311" s="11"/>
    </row>
    <row r="312" spans="1:10" ht="15.75" customHeight="1" x14ac:dyDescent="0.25">
      <c r="A312" s="11"/>
      <c r="B312" s="4" t="str">
        <f>IF(A312="","",IFERROR(VLOOKUP(A312,Members!A$4:B$103,2,0),""))</f>
        <v/>
      </c>
      <c r="C312" s="6">
        <f t="shared" si="8"/>
        <v>0</v>
      </c>
      <c r="D312" s="11"/>
      <c r="E312" s="6" t="str">
        <f t="shared" si="9"/>
        <v/>
      </c>
      <c r="F312" s="11"/>
      <c r="G312" s="25" t="str">
        <f>IF(A312="","",IFERROR(SUMIFS($F$4:$F312,$A$4:$A312,A312),0))</f>
        <v/>
      </c>
      <c r="H312" s="11"/>
      <c r="I312" s="11"/>
      <c r="J312" s="11"/>
    </row>
    <row r="313" spans="1:10" ht="15.75" customHeight="1" x14ac:dyDescent="0.25">
      <c r="A313" s="11"/>
      <c r="B313" s="4" t="str">
        <f>IF(A313="","",IFERROR(VLOOKUP(A313,Members!A$4:B$103,2,0),""))</f>
        <v/>
      </c>
      <c r="C313" s="6">
        <f t="shared" si="8"/>
        <v>0</v>
      </c>
      <c r="D313" s="11"/>
      <c r="E313" s="6" t="str">
        <f t="shared" si="9"/>
        <v/>
      </c>
      <c r="F313" s="11"/>
      <c r="G313" s="25" t="str">
        <f>IF(A313="","",IFERROR(SUMIFS($F$4:$F313,$A$4:$A313,A313),0))</f>
        <v/>
      </c>
      <c r="H313" s="11"/>
      <c r="I313" s="11"/>
      <c r="J313" s="11"/>
    </row>
    <row r="314" spans="1:10" ht="15.75" customHeight="1" x14ac:dyDescent="0.25">
      <c r="A314" s="11"/>
      <c r="B314" s="4" t="str">
        <f>IF(A314="","",IFERROR(VLOOKUP(A314,Members!A$4:B$103,2,0),""))</f>
        <v/>
      </c>
      <c r="C314" s="6">
        <f t="shared" si="8"/>
        <v>0</v>
      </c>
      <c r="D314" s="11"/>
      <c r="E314" s="6" t="str">
        <f t="shared" si="9"/>
        <v/>
      </c>
      <c r="F314" s="11"/>
      <c r="G314" s="25" t="str">
        <f>IF(A314="","",IFERROR(SUMIFS($F$4:$F314,$A$4:$A314,A314),0))</f>
        <v/>
      </c>
      <c r="H314" s="11"/>
      <c r="I314" s="11"/>
      <c r="J314" s="11"/>
    </row>
    <row r="315" spans="1:10" ht="15.75" customHeight="1" x14ac:dyDescent="0.25">
      <c r="A315" s="11"/>
      <c r="B315" s="4" t="str">
        <f>IF(A315="","",IFERROR(VLOOKUP(A315,Members!A$4:B$103,2,0),""))</f>
        <v/>
      </c>
      <c r="C315" s="6">
        <f t="shared" si="8"/>
        <v>0</v>
      </c>
      <c r="D315" s="11"/>
      <c r="E315" s="6" t="str">
        <f t="shared" si="9"/>
        <v/>
      </c>
      <c r="F315" s="11"/>
      <c r="G315" s="25" t="str">
        <f>IF(A315="","",IFERROR(SUMIFS($F$4:$F315,$A$4:$A315,A315),0))</f>
        <v/>
      </c>
      <c r="H315" s="11"/>
      <c r="I315" s="11"/>
      <c r="J315" s="11"/>
    </row>
    <row r="316" spans="1:10" ht="15.75" customHeight="1" x14ac:dyDescent="0.25">
      <c r="A316" s="11"/>
      <c r="B316" s="4" t="str">
        <f>IF(A316="","",IFERROR(VLOOKUP(A316,Members!A$4:B$103,2,0),""))</f>
        <v/>
      </c>
      <c r="C316" s="6">
        <f t="shared" si="8"/>
        <v>0</v>
      </c>
      <c r="D316" s="11"/>
      <c r="E316" s="6" t="str">
        <f t="shared" si="9"/>
        <v/>
      </c>
      <c r="F316" s="11"/>
      <c r="G316" s="25" t="str">
        <f>IF(A316="","",IFERROR(SUMIFS($F$4:$F316,$A$4:$A316,A316),0))</f>
        <v/>
      </c>
      <c r="H316" s="11"/>
      <c r="I316" s="11"/>
      <c r="J316" s="11"/>
    </row>
    <row r="317" spans="1:10" ht="15.75" customHeight="1" x14ac:dyDescent="0.25">
      <c r="A317" s="11"/>
      <c r="B317" s="4" t="str">
        <f>IF(A317="","",IFERROR(VLOOKUP(A317,Members!A$4:B$103,2,0),""))</f>
        <v/>
      </c>
      <c r="C317" s="6">
        <f t="shared" si="8"/>
        <v>0</v>
      </c>
      <c r="D317" s="11"/>
      <c r="E317" s="6" t="str">
        <f t="shared" si="9"/>
        <v/>
      </c>
      <c r="F317" s="11"/>
      <c r="G317" s="25" t="str">
        <f>IF(A317="","",IFERROR(SUMIFS($F$4:$F317,$A$4:$A317,A317),0))</f>
        <v/>
      </c>
      <c r="H317" s="11"/>
      <c r="I317" s="11"/>
      <c r="J317" s="11"/>
    </row>
    <row r="318" spans="1:10" ht="15.75" customHeight="1" x14ac:dyDescent="0.25">
      <c r="A318" s="11"/>
      <c r="B318" s="4" t="str">
        <f>IF(A318="","",IFERROR(VLOOKUP(A318,Members!A$4:B$103,2,0),""))</f>
        <v/>
      </c>
      <c r="C318" s="6">
        <f t="shared" si="8"/>
        <v>0</v>
      </c>
      <c r="D318" s="11"/>
      <c r="E318" s="6" t="str">
        <f t="shared" si="9"/>
        <v/>
      </c>
      <c r="F318" s="11"/>
      <c r="G318" s="25" t="str">
        <f>IF(A318="","",IFERROR(SUMIFS($F$4:$F318,$A$4:$A318,A318),0))</f>
        <v/>
      </c>
      <c r="H318" s="11"/>
      <c r="I318" s="11"/>
      <c r="J318" s="11"/>
    </row>
    <row r="319" spans="1:10" ht="15.75" customHeight="1" x14ac:dyDescent="0.25">
      <c r="A319" s="11"/>
      <c r="B319" s="4" t="str">
        <f>IF(A319="","",IFERROR(VLOOKUP(A319,Members!A$4:B$103,2,0),""))</f>
        <v/>
      </c>
      <c r="C319" s="6">
        <f t="shared" si="8"/>
        <v>0</v>
      </c>
      <c r="D319" s="11"/>
      <c r="E319" s="6" t="str">
        <f t="shared" si="9"/>
        <v/>
      </c>
      <c r="F319" s="11"/>
      <c r="G319" s="25" t="str">
        <f>IF(A319="","",IFERROR(SUMIFS($F$4:$F319,$A$4:$A319,A319),0))</f>
        <v/>
      </c>
      <c r="H319" s="11"/>
      <c r="I319" s="11"/>
      <c r="J319" s="11"/>
    </row>
    <row r="320" spans="1:10" ht="15.75" customHeight="1" x14ac:dyDescent="0.25">
      <c r="A320" s="11"/>
      <c r="B320" s="4" t="str">
        <f>IF(A320="","",IFERROR(VLOOKUP(A320,Members!A$4:B$103,2,0),""))</f>
        <v/>
      </c>
      <c r="C320" s="6">
        <f t="shared" si="8"/>
        <v>0</v>
      </c>
      <c r="D320" s="11"/>
      <c r="E320" s="6" t="str">
        <f t="shared" si="9"/>
        <v/>
      </c>
      <c r="F320" s="11"/>
      <c r="G320" s="25" t="str">
        <f>IF(A320="","",IFERROR(SUMIFS($F$4:$F320,$A$4:$A320,A320),0))</f>
        <v/>
      </c>
      <c r="H320" s="11"/>
      <c r="I320" s="11"/>
      <c r="J320" s="11"/>
    </row>
    <row r="321" spans="1:10" ht="15.75" customHeight="1" x14ac:dyDescent="0.25">
      <c r="A321" s="11"/>
      <c r="B321" s="4" t="str">
        <f>IF(A321="","",IFERROR(VLOOKUP(A321,Members!A$4:B$103,2,0),""))</f>
        <v/>
      </c>
      <c r="C321" s="6">
        <f t="shared" si="8"/>
        <v>0</v>
      </c>
      <c r="D321" s="11"/>
      <c r="E321" s="6" t="str">
        <f t="shared" si="9"/>
        <v/>
      </c>
      <c r="F321" s="11"/>
      <c r="G321" s="25" t="str">
        <f>IF(A321="","",IFERROR(SUMIFS($F$4:$F321,$A$4:$A321,A321),0))</f>
        <v/>
      </c>
      <c r="H321" s="11"/>
      <c r="I321" s="11"/>
      <c r="J321" s="11"/>
    </row>
    <row r="322" spans="1:10" ht="15.75" customHeight="1" x14ac:dyDescent="0.25">
      <c r="A322" s="11"/>
      <c r="B322" s="4" t="str">
        <f>IF(A322="","",IFERROR(VLOOKUP(A322,Members!A$4:B$103,2,0),""))</f>
        <v/>
      </c>
      <c r="C322" s="6">
        <f t="shared" si="8"/>
        <v>0</v>
      </c>
      <c r="D322" s="11"/>
      <c r="E322" s="6" t="str">
        <f t="shared" si="9"/>
        <v/>
      </c>
      <c r="F322" s="11"/>
      <c r="G322" s="25" t="str">
        <f>IF(A322="","",IFERROR(SUMIFS($F$4:$F322,$A$4:$A322,A322),0))</f>
        <v/>
      </c>
      <c r="H322" s="11"/>
      <c r="I322" s="11"/>
      <c r="J322" s="11"/>
    </row>
    <row r="323" spans="1:10" ht="15.75" customHeight="1" x14ac:dyDescent="0.25">
      <c r="A323" s="11"/>
      <c r="B323" s="4" t="str">
        <f>IF(A323="","",IFERROR(VLOOKUP(A323,Members!A$4:B$103,2,0),""))</f>
        <v/>
      </c>
      <c r="C323" s="6">
        <f t="shared" si="8"/>
        <v>0</v>
      </c>
      <c r="D323" s="11"/>
      <c r="E323" s="6" t="str">
        <f t="shared" si="9"/>
        <v/>
      </c>
      <c r="F323" s="11"/>
      <c r="G323" s="25" t="str">
        <f>IF(A323="","",IFERROR(SUMIFS($F$4:$F323,$A$4:$A323,A323),0))</f>
        <v/>
      </c>
      <c r="H323" s="11"/>
      <c r="I323" s="11"/>
      <c r="J323" s="11"/>
    </row>
    <row r="324" spans="1:10" ht="15.75" customHeight="1" x14ac:dyDescent="0.25">
      <c r="A324" s="11"/>
      <c r="B324" s="4" t="str">
        <f>IF(A324="","",IFERROR(VLOOKUP(A324,Members!A$4:B$103,2,0),""))</f>
        <v/>
      </c>
      <c r="C324" s="6">
        <f t="shared" ref="C324:C387" si="10">A324</f>
        <v>0</v>
      </c>
      <c r="D324" s="11"/>
      <c r="E324" s="6" t="str">
        <f t="shared" ref="E324:E387" si="11">IF(D324="","",TEXT(DATE(2024,D324,1),"MMMM"))</f>
        <v/>
      </c>
      <c r="F324" s="11"/>
      <c r="G324" s="25" t="str">
        <f>IF(A324="","",IFERROR(SUMIFS($F$4:$F324,$A$4:$A324,A324),0))</f>
        <v/>
      </c>
      <c r="H324" s="11"/>
      <c r="I324" s="11"/>
      <c r="J324" s="11"/>
    </row>
    <row r="325" spans="1:10" ht="15.75" customHeight="1" x14ac:dyDescent="0.25">
      <c r="A325" s="11"/>
      <c r="B325" s="4" t="str">
        <f>IF(A325="","",IFERROR(VLOOKUP(A325,Members!A$4:B$103,2,0),""))</f>
        <v/>
      </c>
      <c r="C325" s="6">
        <f t="shared" si="10"/>
        <v>0</v>
      </c>
      <c r="D325" s="11"/>
      <c r="E325" s="6" t="str">
        <f t="shared" si="11"/>
        <v/>
      </c>
      <c r="F325" s="11"/>
      <c r="G325" s="25" t="str">
        <f>IF(A325="","",IFERROR(SUMIFS($F$4:$F325,$A$4:$A325,A325),0))</f>
        <v/>
      </c>
      <c r="H325" s="11"/>
      <c r="I325" s="11"/>
      <c r="J325" s="11"/>
    </row>
    <row r="326" spans="1:10" ht="15.75" customHeight="1" x14ac:dyDescent="0.25">
      <c r="A326" s="11"/>
      <c r="B326" s="4" t="str">
        <f>IF(A326="","",IFERROR(VLOOKUP(A326,Members!A$4:B$103,2,0),""))</f>
        <v/>
      </c>
      <c r="C326" s="6">
        <f t="shared" si="10"/>
        <v>0</v>
      </c>
      <c r="D326" s="11"/>
      <c r="E326" s="6" t="str">
        <f t="shared" si="11"/>
        <v/>
      </c>
      <c r="F326" s="11"/>
      <c r="G326" s="25" t="str">
        <f>IF(A326="","",IFERROR(SUMIFS($F$4:$F326,$A$4:$A326,A326),0))</f>
        <v/>
      </c>
      <c r="H326" s="11"/>
      <c r="I326" s="11"/>
      <c r="J326" s="11"/>
    </row>
    <row r="327" spans="1:10" ht="15.75" customHeight="1" x14ac:dyDescent="0.25">
      <c r="A327" s="11"/>
      <c r="B327" s="4" t="str">
        <f>IF(A327="","",IFERROR(VLOOKUP(A327,Members!A$4:B$103,2,0),""))</f>
        <v/>
      </c>
      <c r="C327" s="6">
        <f t="shared" si="10"/>
        <v>0</v>
      </c>
      <c r="D327" s="11"/>
      <c r="E327" s="6" t="str">
        <f t="shared" si="11"/>
        <v/>
      </c>
      <c r="F327" s="11"/>
      <c r="G327" s="25" t="str">
        <f>IF(A327="","",IFERROR(SUMIFS($F$4:$F327,$A$4:$A327,A327),0))</f>
        <v/>
      </c>
      <c r="H327" s="11"/>
      <c r="I327" s="11"/>
      <c r="J327" s="11"/>
    </row>
    <row r="328" spans="1:10" ht="15.75" customHeight="1" x14ac:dyDescent="0.25">
      <c r="A328" s="11"/>
      <c r="B328" s="4" t="str">
        <f>IF(A328="","",IFERROR(VLOOKUP(A328,Members!A$4:B$103,2,0),""))</f>
        <v/>
      </c>
      <c r="C328" s="6">
        <f t="shared" si="10"/>
        <v>0</v>
      </c>
      <c r="D328" s="11"/>
      <c r="E328" s="6" t="str">
        <f t="shared" si="11"/>
        <v/>
      </c>
      <c r="F328" s="11"/>
      <c r="G328" s="25" t="str">
        <f>IF(A328="","",IFERROR(SUMIFS($F$4:$F328,$A$4:$A328,A328),0))</f>
        <v/>
      </c>
      <c r="H328" s="11"/>
      <c r="I328" s="11"/>
      <c r="J328" s="11"/>
    </row>
    <row r="329" spans="1:10" ht="15.75" customHeight="1" x14ac:dyDescent="0.25">
      <c r="A329" s="11"/>
      <c r="B329" s="4" t="str">
        <f>IF(A329="","",IFERROR(VLOOKUP(A329,Members!A$4:B$103,2,0),""))</f>
        <v/>
      </c>
      <c r="C329" s="6">
        <f t="shared" si="10"/>
        <v>0</v>
      </c>
      <c r="D329" s="11"/>
      <c r="E329" s="6" t="str">
        <f t="shared" si="11"/>
        <v/>
      </c>
      <c r="F329" s="11"/>
      <c r="G329" s="25" t="str">
        <f>IF(A329="","",IFERROR(SUMIFS($F$4:$F329,$A$4:$A329,A329),0))</f>
        <v/>
      </c>
      <c r="H329" s="11"/>
      <c r="I329" s="11"/>
      <c r="J329" s="11"/>
    </row>
    <row r="330" spans="1:10" ht="15.75" customHeight="1" x14ac:dyDescent="0.25">
      <c r="A330" s="11"/>
      <c r="B330" s="4" t="str">
        <f>IF(A330="","",IFERROR(VLOOKUP(A330,Members!A$4:B$103,2,0),""))</f>
        <v/>
      </c>
      <c r="C330" s="6">
        <f t="shared" si="10"/>
        <v>0</v>
      </c>
      <c r="D330" s="11"/>
      <c r="E330" s="6" t="str">
        <f t="shared" si="11"/>
        <v/>
      </c>
      <c r="F330" s="11"/>
      <c r="G330" s="25" t="str">
        <f>IF(A330="","",IFERROR(SUMIFS($F$4:$F330,$A$4:$A330,A330),0))</f>
        <v/>
      </c>
      <c r="H330" s="11"/>
      <c r="I330" s="11"/>
      <c r="J330" s="11"/>
    </row>
    <row r="331" spans="1:10" ht="15.75" customHeight="1" x14ac:dyDescent="0.25">
      <c r="A331" s="11"/>
      <c r="B331" s="4" t="str">
        <f>IF(A331="","",IFERROR(VLOOKUP(A331,Members!A$4:B$103,2,0),""))</f>
        <v/>
      </c>
      <c r="C331" s="6">
        <f t="shared" si="10"/>
        <v>0</v>
      </c>
      <c r="D331" s="11"/>
      <c r="E331" s="6" t="str">
        <f t="shared" si="11"/>
        <v/>
      </c>
      <c r="F331" s="11"/>
      <c r="G331" s="25" t="str">
        <f>IF(A331="","",IFERROR(SUMIFS($F$4:$F331,$A$4:$A331,A331),0))</f>
        <v/>
      </c>
      <c r="H331" s="11"/>
      <c r="I331" s="11"/>
      <c r="J331" s="11"/>
    </row>
    <row r="332" spans="1:10" ht="15.75" customHeight="1" x14ac:dyDescent="0.25">
      <c r="A332" s="11"/>
      <c r="B332" s="4" t="str">
        <f>IF(A332="","",IFERROR(VLOOKUP(A332,Members!A$4:B$103,2,0),""))</f>
        <v/>
      </c>
      <c r="C332" s="6">
        <f t="shared" si="10"/>
        <v>0</v>
      </c>
      <c r="D332" s="11"/>
      <c r="E332" s="6" t="str">
        <f t="shared" si="11"/>
        <v/>
      </c>
      <c r="F332" s="11"/>
      <c r="G332" s="25" t="str">
        <f>IF(A332="","",IFERROR(SUMIFS($F$4:$F332,$A$4:$A332,A332),0))</f>
        <v/>
      </c>
      <c r="H332" s="11"/>
      <c r="I332" s="11"/>
      <c r="J332" s="11"/>
    </row>
    <row r="333" spans="1:10" ht="15.75" customHeight="1" x14ac:dyDescent="0.25">
      <c r="A333" s="11"/>
      <c r="B333" s="4" t="str">
        <f>IF(A333="","",IFERROR(VLOOKUP(A333,Members!A$4:B$103,2,0),""))</f>
        <v/>
      </c>
      <c r="C333" s="6">
        <f t="shared" si="10"/>
        <v>0</v>
      </c>
      <c r="D333" s="11"/>
      <c r="E333" s="6" t="str">
        <f t="shared" si="11"/>
        <v/>
      </c>
      <c r="F333" s="11"/>
      <c r="G333" s="25" t="str">
        <f>IF(A333="","",IFERROR(SUMIFS($F$4:$F333,$A$4:$A333,A333),0))</f>
        <v/>
      </c>
      <c r="H333" s="11"/>
      <c r="I333" s="11"/>
      <c r="J333" s="11"/>
    </row>
    <row r="334" spans="1:10" ht="15.75" customHeight="1" x14ac:dyDescent="0.25">
      <c r="A334" s="11"/>
      <c r="B334" s="4" t="str">
        <f>IF(A334="","",IFERROR(VLOOKUP(A334,Members!A$4:B$103,2,0),""))</f>
        <v/>
      </c>
      <c r="C334" s="6">
        <f t="shared" si="10"/>
        <v>0</v>
      </c>
      <c r="D334" s="11"/>
      <c r="E334" s="6" t="str">
        <f t="shared" si="11"/>
        <v/>
      </c>
      <c r="F334" s="11"/>
      <c r="G334" s="25" t="str">
        <f>IF(A334="","",IFERROR(SUMIFS($F$4:$F334,$A$4:$A334,A334),0))</f>
        <v/>
      </c>
      <c r="H334" s="11"/>
      <c r="I334" s="11"/>
      <c r="J334" s="11"/>
    </row>
    <row r="335" spans="1:10" ht="15.75" customHeight="1" x14ac:dyDescent="0.25">
      <c r="A335" s="11"/>
      <c r="B335" s="4" t="str">
        <f>IF(A335="","",IFERROR(VLOOKUP(A335,Members!A$4:B$103,2,0),""))</f>
        <v/>
      </c>
      <c r="C335" s="6">
        <f t="shared" si="10"/>
        <v>0</v>
      </c>
      <c r="D335" s="11"/>
      <c r="E335" s="6" t="str">
        <f t="shared" si="11"/>
        <v/>
      </c>
      <c r="F335" s="11"/>
      <c r="G335" s="25" t="str">
        <f>IF(A335="","",IFERROR(SUMIFS($F$4:$F335,$A$4:$A335,A335),0))</f>
        <v/>
      </c>
      <c r="H335" s="11"/>
      <c r="I335" s="11"/>
      <c r="J335" s="11"/>
    </row>
    <row r="336" spans="1:10" ht="15.75" customHeight="1" x14ac:dyDescent="0.25">
      <c r="A336" s="11"/>
      <c r="B336" s="4" t="str">
        <f>IF(A336="","",IFERROR(VLOOKUP(A336,Members!A$4:B$103,2,0),""))</f>
        <v/>
      </c>
      <c r="C336" s="6">
        <f t="shared" si="10"/>
        <v>0</v>
      </c>
      <c r="D336" s="11"/>
      <c r="E336" s="6" t="str">
        <f t="shared" si="11"/>
        <v/>
      </c>
      <c r="F336" s="11"/>
      <c r="G336" s="25" t="str">
        <f>IF(A336="","",IFERROR(SUMIFS($F$4:$F336,$A$4:$A336,A336),0))</f>
        <v/>
      </c>
      <c r="H336" s="11"/>
      <c r="I336" s="11"/>
      <c r="J336" s="11"/>
    </row>
    <row r="337" spans="1:10" ht="15.75" customHeight="1" x14ac:dyDescent="0.25">
      <c r="A337" s="11"/>
      <c r="B337" s="4" t="str">
        <f>IF(A337="","",IFERROR(VLOOKUP(A337,Members!A$4:B$103,2,0),""))</f>
        <v/>
      </c>
      <c r="C337" s="6">
        <f t="shared" si="10"/>
        <v>0</v>
      </c>
      <c r="D337" s="11"/>
      <c r="E337" s="6" t="str">
        <f t="shared" si="11"/>
        <v/>
      </c>
      <c r="F337" s="11"/>
      <c r="G337" s="25" t="str">
        <f>IF(A337="","",IFERROR(SUMIFS($F$4:$F337,$A$4:$A337,A337),0))</f>
        <v/>
      </c>
      <c r="H337" s="11"/>
      <c r="I337" s="11"/>
      <c r="J337" s="11"/>
    </row>
    <row r="338" spans="1:10" ht="15.75" customHeight="1" x14ac:dyDescent="0.25">
      <c r="A338" s="11"/>
      <c r="B338" s="4" t="str">
        <f>IF(A338="","",IFERROR(VLOOKUP(A338,Members!A$4:B$103,2,0),""))</f>
        <v/>
      </c>
      <c r="C338" s="6">
        <f t="shared" si="10"/>
        <v>0</v>
      </c>
      <c r="D338" s="11"/>
      <c r="E338" s="6" t="str">
        <f t="shared" si="11"/>
        <v/>
      </c>
      <c r="F338" s="11"/>
      <c r="G338" s="25" t="str">
        <f>IF(A338="","",IFERROR(SUMIFS($F$4:$F338,$A$4:$A338,A338),0))</f>
        <v/>
      </c>
      <c r="H338" s="11"/>
      <c r="I338" s="11"/>
      <c r="J338" s="11"/>
    </row>
    <row r="339" spans="1:10" ht="15.75" customHeight="1" x14ac:dyDescent="0.25">
      <c r="A339" s="11"/>
      <c r="B339" s="4" t="str">
        <f>IF(A339="","",IFERROR(VLOOKUP(A339,Members!A$4:B$103,2,0),""))</f>
        <v/>
      </c>
      <c r="C339" s="6">
        <f t="shared" si="10"/>
        <v>0</v>
      </c>
      <c r="D339" s="11"/>
      <c r="E339" s="6" t="str">
        <f t="shared" si="11"/>
        <v/>
      </c>
      <c r="F339" s="11"/>
      <c r="G339" s="25" t="str">
        <f>IF(A339="","",IFERROR(SUMIFS($F$4:$F339,$A$4:$A339,A339),0))</f>
        <v/>
      </c>
      <c r="H339" s="11"/>
      <c r="I339" s="11"/>
      <c r="J339" s="11"/>
    </row>
    <row r="340" spans="1:10" ht="15.75" customHeight="1" x14ac:dyDescent="0.25">
      <c r="A340" s="11"/>
      <c r="B340" s="4" t="str">
        <f>IF(A340="","",IFERROR(VLOOKUP(A340,Members!A$4:B$103,2,0),""))</f>
        <v/>
      </c>
      <c r="C340" s="6">
        <f t="shared" si="10"/>
        <v>0</v>
      </c>
      <c r="D340" s="11"/>
      <c r="E340" s="6" t="str">
        <f t="shared" si="11"/>
        <v/>
      </c>
      <c r="F340" s="11"/>
      <c r="G340" s="25" t="str">
        <f>IF(A340="","",IFERROR(SUMIFS($F$4:$F340,$A$4:$A340,A340),0))</f>
        <v/>
      </c>
      <c r="H340" s="11"/>
      <c r="I340" s="11"/>
      <c r="J340" s="11"/>
    </row>
    <row r="341" spans="1:10" ht="15.75" customHeight="1" x14ac:dyDescent="0.25">
      <c r="A341" s="11"/>
      <c r="B341" s="4" t="str">
        <f>IF(A341="","",IFERROR(VLOOKUP(A341,Members!A$4:B$103,2,0),""))</f>
        <v/>
      </c>
      <c r="C341" s="6">
        <f t="shared" si="10"/>
        <v>0</v>
      </c>
      <c r="D341" s="11"/>
      <c r="E341" s="6" t="str">
        <f t="shared" si="11"/>
        <v/>
      </c>
      <c r="F341" s="11"/>
      <c r="G341" s="25" t="str">
        <f>IF(A341="","",IFERROR(SUMIFS($F$4:$F341,$A$4:$A341,A341),0))</f>
        <v/>
      </c>
      <c r="H341" s="11"/>
      <c r="I341" s="11"/>
      <c r="J341" s="11"/>
    </row>
    <row r="342" spans="1:10" ht="15.75" customHeight="1" x14ac:dyDescent="0.25">
      <c r="A342" s="11"/>
      <c r="B342" s="4" t="str">
        <f>IF(A342="","",IFERROR(VLOOKUP(A342,Members!A$4:B$103,2,0),""))</f>
        <v/>
      </c>
      <c r="C342" s="6">
        <f t="shared" si="10"/>
        <v>0</v>
      </c>
      <c r="D342" s="11"/>
      <c r="E342" s="6" t="str">
        <f t="shared" si="11"/>
        <v/>
      </c>
      <c r="F342" s="11"/>
      <c r="G342" s="25" t="str">
        <f>IF(A342="","",IFERROR(SUMIFS($F$4:$F342,$A$4:$A342,A342),0))</f>
        <v/>
      </c>
      <c r="H342" s="11"/>
      <c r="I342" s="11"/>
      <c r="J342" s="11"/>
    </row>
    <row r="343" spans="1:10" ht="15.75" customHeight="1" x14ac:dyDescent="0.25">
      <c r="A343" s="11"/>
      <c r="B343" s="4" t="str">
        <f>IF(A343="","",IFERROR(VLOOKUP(A343,Members!A$4:B$103,2,0),""))</f>
        <v/>
      </c>
      <c r="C343" s="6">
        <f t="shared" si="10"/>
        <v>0</v>
      </c>
      <c r="D343" s="11"/>
      <c r="E343" s="6" t="str">
        <f t="shared" si="11"/>
        <v/>
      </c>
      <c r="F343" s="11"/>
      <c r="G343" s="25" t="str">
        <f>IF(A343="","",IFERROR(SUMIFS($F$4:$F343,$A$4:$A343,A343),0))</f>
        <v/>
      </c>
      <c r="H343" s="11"/>
      <c r="I343" s="11"/>
      <c r="J343" s="11"/>
    </row>
    <row r="344" spans="1:10" ht="15.75" customHeight="1" x14ac:dyDescent="0.25">
      <c r="A344" s="11"/>
      <c r="B344" s="4" t="str">
        <f>IF(A344="","",IFERROR(VLOOKUP(A344,Members!A$4:B$103,2,0),""))</f>
        <v/>
      </c>
      <c r="C344" s="6">
        <f t="shared" si="10"/>
        <v>0</v>
      </c>
      <c r="D344" s="11"/>
      <c r="E344" s="6" t="str">
        <f t="shared" si="11"/>
        <v/>
      </c>
      <c r="F344" s="11"/>
      <c r="G344" s="25" t="str">
        <f>IF(A344="","",IFERROR(SUMIFS($F$4:$F344,$A$4:$A344,A344),0))</f>
        <v/>
      </c>
      <c r="H344" s="11"/>
      <c r="I344" s="11"/>
      <c r="J344" s="11"/>
    </row>
    <row r="345" spans="1:10" ht="15.75" customHeight="1" x14ac:dyDescent="0.25">
      <c r="A345" s="11"/>
      <c r="B345" s="4" t="str">
        <f>IF(A345="","",IFERROR(VLOOKUP(A345,Members!A$4:B$103,2,0),""))</f>
        <v/>
      </c>
      <c r="C345" s="6">
        <f t="shared" si="10"/>
        <v>0</v>
      </c>
      <c r="D345" s="11"/>
      <c r="E345" s="6" t="str">
        <f t="shared" si="11"/>
        <v/>
      </c>
      <c r="F345" s="11"/>
      <c r="G345" s="25" t="str">
        <f>IF(A345="","",IFERROR(SUMIFS($F$4:$F345,$A$4:$A345,A345),0))</f>
        <v/>
      </c>
      <c r="H345" s="11"/>
      <c r="I345" s="11"/>
      <c r="J345" s="11"/>
    </row>
    <row r="346" spans="1:10" ht="15.75" customHeight="1" x14ac:dyDescent="0.25">
      <c r="A346" s="11"/>
      <c r="B346" s="4" t="str">
        <f>IF(A346="","",IFERROR(VLOOKUP(A346,Members!A$4:B$103,2,0),""))</f>
        <v/>
      </c>
      <c r="C346" s="6">
        <f t="shared" si="10"/>
        <v>0</v>
      </c>
      <c r="D346" s="11"/>
      <c r="E346" s="6" t="str">
        <f t="shared" si="11"/>
        <v/>
      </c>
      <c r="F346" s="11"/>
      <c r="G346" s="25" t="str">
        <f>IF(A346="","",IFERROR(SUMIFS($F$4:$F346,$A$4:$A346,A346),0))</f>
        <v/>
      </c>
      <c r="H346" s="11"/>
      <c r="I346" s="11"/>
      <c r="J346" s="11"/>
    </row>
    <row r="347" spans="1:10" ht="15.75" customHeight="1" x14ac:dyDescent="0.25">
      <c r="A347" s="11"/>
      <c r="B347" s="4" t="str">
        <f>IF(A347="","",IFERROR(VLOOKUP(A347,Members!A$4:B$103,2,0),""))</f>
        <v/>
      </c>
      <c r="C347" s="6">
        <f t="shared" si="10"/>
        <v>0</v>
      </c>
      <c r="D347" s="11"/>
      <c r="E347" s="6" t="str">
        <f t="shared" si="11"/>
        <v/>
      </c>
      <c r="F347" s="11"/>
      <c r="G347" s="25" t="str">
        <f>IF(A347="","",IFERROR(SUMIFS($F$4:$F347,$A$4:$A347,A347),0))</f>
        <v/>
      </c>
      <c r="H347" s="11"/>
      <c r="I347" s="11"/>
      <c r="J347" s="11"/>
    </row>
    <row r="348" spans="1:10" ht="15.75" customHeight="1" x14ac:dyDescent="0.25">
      <c r="A348" s="11"/>
      <c r="B348" s="4" t="str">
        <f>IF(A348="","",IFERROR(VLOOKUP(A348,Members!A$4:B$103,2,0),""))</f>
        <v/>
      </c>
      <c r="C348" s="6">
        <f t="shared" si="10"/>
        <v>0</v>
      </c>
      <c r="D348" s="11"/>
      <c r="E348" s="6" t="str">
        <f t="shared" si="11"/>
        <v/>
      </c>
      <c r="F348" s="11"/>
      <c r="G348" s="25" t="str">
        <f>IF(A348="","",IFERROR(SUMIFS($F$4:$F348,$A$4:$A348,A348),0))</f>
        <v/>
      </c>
      <c r="H348" s="11"/>
      <c r="I348" s="11"/>
      <c r="J348" s="11"/>
    </row>
    <row r="349" spans="1:10" ht="15.75" customHeight="1" x14ac:dyDescent="0.25">
      <c r="A349" s="11"/>
      <c r="B349" s="4" t="str">
        <f>IF(A349="","",IFERROR(VLOOKUP(A349,Members!A$4:B$103,2,0),""))</f>
        <v/>
      </c>
      <c r="C349" s="6">
        <f t="shared" si="10"/>
        <v>0</v>
      </c>
      <c r="D349" s="11"/>
      <c r="E349" s="6" t="str">
        <f t="shared" si="11"/>
        <v/>
      </c>
      <c r="F349" s="11"/>
      <c r="G349" s="25" t="str">
        <f>IF(A349="","",IFERROR(SUMIFS($F$4:$F349,$A$4:$A349,A349),0))</f>
        <v/>
      </c>
      <c r="H349" s="11"/>
      <c r="I349" s="11"/>
      <c r="J349" s="11"/>
    </row>
    <row r="350" spans="1:10" ht="15.75" customHeight="1" x14ac:dyDescent="0.25">
      <c r="A350" s="11"/>
      <c r="B350" s="4" t="str">
        <f>IF(A350="","",IFERROR(VLOOKUP(A350,Members!A$4:B$103,2,0),""))</f>
        <v/>
      </c>
      <c r="C350" s="6">
        <f t="shared" si="10"/>
        <v>0</v>
      </c>
      <c r="D350" s="11"/>
      <c r="E350" s="6" t="str">
        <f t="shared" si="11"/>
        <v/>
      </c>
      <c r="F350" s="11"/>
      <c r="G350" s="25" t="str">
        <f>IF(A350="","",IFERROR(SUMIFS($F$4:$F350,$A$4:$A350,A350),0))</f>
        <v/>
      </c>
      <c r="H350" s="11"/>
      <c r="I350" s="11"/>
      <c r="J350" s="11"/>
    </row>
    <row r="351" spans="1:10" ht="15.75" customHeight="1" x14ac:dyDescent="0.25">
      <c r="A351" s="11"/>
      <c r="B351" s="4" t="str">
        <f>IF(A351="","",IFERROR(VLOOKUP(A351,Members!A$4:B$103,2,0),""))</f>
        <v/>
      </c>
      <c r="C351" s="6">
        <f t="shared" si="10"/>
        <v>0</v>
      </c>
      <c r="D351" s="11"/>
      <c r="E351" s="6" t="str">
        <f t="shared" si="11"/>
        <v/>
      </c>
      <c r="F351" s="11"/>
      <c r="G351" s="25" t="str">
        <f>IF(A351="","",IFERROR(SUMIFS($F$4:$F351,$A$4:$A351,A351),0))</f>
        <v/>
      </c>
      <c r="H351" s="11"/>
      <c r="I351" s="11"/>
      <c r="J351" s="11"/>
    </row>
    <row r="352" spans="1:10" ht="15.75" customHeight="1" x14ac:dyDescent="0.25">
      <c r="A352" s="11"/>
      <c r="B352" s="4" t="str">
        <f>IF(A352="","",IFERROR(VLOOKUP(A352,Members!A$4:B$103,2,0),""))</f>
        <v/>
      </c>
      <c r="C352" s="6">
        <f t="shared" si="10"/>
        <v>0</v>
      </c>
      <c r="D352" s="11"/>
      <c r="E352" s="6" t="str">
        <f t="shared" si="11"/>
        <v/>
      </c>
      <c r="F352" s="11"/>
      <c r="G352" s="25" t="str">
        <f>IF(A352="","",IFERROR(SUMIFS($F$4:$F352,$A$4:$A352,A352),0))</f>
        <v/>
      </c>
      <c r="H352" s="11"/>
      <c r="I352" s="11"/>
      <c r="J352" s="11"/>
    </row>
    <row r="353" spans="1:10" ht="15.75" customHeight="1" x14ac:dyDescent="0.25">
      <c r="A353" s="11"/>
      <c r="B353" s="4" t="str">
        <f>IF(A353="","",IFERROR(VLOOKUP(A353,Members!A$4:B$103,2,0),""))</f>
        <v/>
      </c>
      <c r="C353" s="6">
        <f t="shared" si="10"/>
        <v>0</v>
      </c>
      <c r="D353" s="11"/>
      <c r="E353" s="6" t="str">
        <f t="shared" si="11"/>
        <v/>
      </c>
      <c r="F353" s="11"/>
      <c r="G353" s="25" t="str">
        <f>IF(A353="","",IFERROR(SUMIFS($F$4:$F353,$A$4:$A353,A353),0))</f>
        <v/>
      </c>
      <c r="H353" s="11"/>
      <c r="I353" s="11"/>
      <c r="J353" s="11"/>
    </row>
    <row r="354" spans="1:10" ht="15.75" customHeight="1" x14ac:dyDescent="0.25">
      <c r="A354" s="11"/>
      <c r="B354" s="4" t="str">
        <f>IF(A354="","",IFERROR(VLOOKUP(A354,Members!A$4:B$103,2,0),""))</f>
        <v/>
      </c>
      <c r="C354" s="6">
        <f t="shared" si="10"/>
        <v>0</v>
      </c>
      <c r="D354" s="11"/>
      <c r="E354" s="6" t="str">
        <f t="shared" si="11"/>
        <v/>
      </c>
      <c r="F354" s="11"/>
      <c r="G354" s="25" t="str">
        <f>IF(A354="","",IFERROR(SUMIFS($F$4:$F354,$A$4:$A354,A354),0))</f>
        <v/>
      </c>
      <c r="H354" s="11"/>
      <c r="I354" s="11"/>
      <c r="J354" s="11"/>
    </row>
    <row r="355" spans="1:10" ht="15.75" customHeight="1" x14ac:dyDescent="0.25">
      <c r="A355" s="11"/>
      <c r="B355" s="4" t="str">
        <f>IF(A355="","",IFERROR(VLOOKUP(A355,Members!A$4:B$103,2,0),""))</f>
        <v/>
      </c>
      <c r="C355" s="6">
        <f t="shared" si="10"/>
        <v>0</v>
      </c>
      <c r="D355" s="11"/>
      <c r="E355" s="6" t="str">
        <f t="shared" si="11"/>
        <v/>
      </c>
      <c r="F355" s="11"/>
      <c r="G355" s="25" t="str">
        <f>IF(A355="","",IFERROR(SUMIFS($F$4:$F355,$A$4:$A355,A355),0))</f>
        <v/>
      </c>
      <c r="H355" s="11"/>
      <c r="I355" s="11"/>
      <c r="J355" s="11"/>
    </row>
    <row r="356" spans="1:10" ht="15.75" customHeight="1" x14ac:dyDescent="0.25">
      <c r="A356" s="11"/>
      <c r="B356" s="4" t="str">
        <f>IF(A356="","",IFERROR(VLOOKUP(A356,Members!A$4:B$103,2,0),""))</f>
        <v/>
      </c>
      <c r="C356" s="6">
        <f t="shared" si="10"/>
        <v>0</v>
      </c>
      <c r="D356" s="11"/>
      <c r="E356" s="6" t="str">
        <f t="shared" si="11"/>
        <v/>
      </c>
      <c r="F356" s="11"/>
      <c r="G356" s="25" t="str">
        <f>IF(A356="","",IFERROR(SUMIFS($F$4:$F356,$A$4:$A356,A356),0))</f>
        <v/>
      </c>
      <c r="H356" s="11"/>
      <c r="I356" s="11"/>
      <c r="J356" s="11"/>
    </row>
    <row r="357" spans="1:10" ht="15.75" customHeight="1" x14ac:dyDescent="0.25">
      <c r="A357" s="11"/>
      <c r="B357" s="4" t="str">
        <f>IF(A357="","",IFERROR(VLOOKUP(A357,Members!A$4:B$103,2,0),""))</f>
        <v/>
      </c>
      <c r="C357" s="6">
        <f t="shared" si="10"/>
        <v>0</v>
      </c>
      <c r="D357" s="11"/>
      <c r="E357" s="6" t="str">
        <f t="shared" si="11"/>
        <v/>
      </c>
      <c r="F357" s="11"/>
      <c r="G357" s="25" t="str">
        <f>IF(A357="","",IFERROR(SUMIFS($F$4:$F357,$A$4:$A357,A357),0))</f>
        <v/>
      </c>
      <c r="H357" s="11"/>
      <c r="I357" s="11"/>
      <c r="J357" s="11"/>
    </row>
    <row r="358" spans="1:10" ht="15.75" customHeight="1" x14ac:dyDescent="0.25">
      <c r="A358" s="11"/>
      <c r="B358" s="4" t="str">
        <f>IF(A358="","",IFERROR(VLOOKUP(A358,Members!A$4:B$103,2,0),""))</f>
        <v/>
      </c>
      <c r="C358" s="6">
        <f t="shared" si="10"/>
        <v>0</v>
      </c>
      <c r="D358" s="11"/>
      <c r="E358" s="6" t="str">
        <f t="shared" si="11"/>
        <v/>
      </c>
      <c r="F358" s="11"/>
      <c r="G358" s="25" t="str">
        <f>IF(A358="","",IFERROR(SUMIFS($F$4:$F358,$A$4:$A358,A358),0))</f>
        <v/>
      </c>
      <c r="H358" s="11"/>
      <c r="I358" s="11"/>
      <c r="J358" s="11"/>
    </row>
    <row r="359" spans="1:10" ht="15.75" customHeight="1" x14ac:dyDescent="0.25">
      <c r="A359" s="11"/>
      <c r="B359" s="4" t="str">
        <f>IF(A359="","",IFERROR(VLOOKUP(A359,Members!A$4:B$103,2,0),""))</f>
        <v/>
      </c>
      <c r="C359" s="6">
        <f t="shared" si="10"/>
        <v>0</v>
      </c>
      <c r="D359" s="11"/>
      <c r="E359" s="6" t="str">
        <f t="shared" si="11"/>
        <v/>
      </c>
      <c r="F359" s="11"/>
      <c r="G359" s="25" t="str">
        <f>IF(A359="","",IFERROR(SUMIFS($F$4:$F359,$A$4:$A359,A359),0))</f>
        <v/>
      </c>
      <c r="H359" s="11"/>
      <c r="I359" s="11"/>
      <c r="J359" s="11"/>
    </row>
    <row r="360" spans="1:10" ht="15.75" customHeight="1" x14ac:dyDescent="0.25">
      <c r="A360" s="11"/>
      <c r="B360" s="4" t="str">
        <f>IF(A360="","",IFERROR(VLOOKUP(A360,Members!A$4:B$103,2,0),""))</f>
        <v/>
      </c>
      <c r="C360" s="6">
        <f t="shared" si="10"/>
        <v>0</v>
      </c>
      <c r="D360" s="11"/>
      <c r="E360" s="6" t="str">
        <f t="shared" si="11"/>
        <v/>
      </c>
      <c r="F360" s="11"/>
      <c r="G360" s="25" t="str">
        <f>IF(A360="","",IFERROR(SUMIFS($F$4:$F360,$A$4:$A360,A360),0))</f>
        <v/>
      </c>
      <c r="H360" s="11"/>
      <c r="I360" s="11"/>
      <c r="J360" s="11"/>
    </row>
    <row r="361" spans="1:10" ht="15.75" customHeight="1" x14ac:dyDescent="0.25">
      <c r="A361" s="11"/>
      <c r="B361" s="4" t="str">
        <f>IF(A361="","",IFERROR(VLOOKUP(A361,Members!A$4:B$103,2,0),""))</f>
        <v/>
      </c>
      <c r="C361" s="6">
        <f t="shared" si="10"/>
        <v>0</v>
      </c>
      <c r="D361" s="11"/>
      <c r="E361" s="6" t="str">
        <f t="shared" si="11"/>
        <v/>
      </c>
      <c r="F361" s="11"/>
      <c r="G361" s="25" t="str">
        <f>IF(A361="","",IFERROR(SUMIFS($F$4:$F361,$A$4:$A361,A361),0))</f>
        <v/>
      </c>
      <c r="H361" s="11"/>
      <c r="I361" s="11"/>
      <c r="J361" s="11"/>
    </row>
    <row r="362" spans="1:10" ht="15.75" customHeight="1" x14ac:dyDescent="0.25">
      <c r="A362" s="11"/>
      <c r="B362" s="4" t="str">
        <f>IF(A362="","",IFERROR(VLOOKUP(A362,Members!A$4:B$103,2,0),""))</f>
        <v/>
      </c>
      <c r="C362" s="6">
        <f t="shared" si="10"/>
        <v>0</v>
      </c>
      <c r="D362" s="11"/>
      <c r="E362" s="6" t="str">
        <f t="shared" si="11"/>
        <v/>
      </c>
      <c r="F362" s="11"/>
      <c r="G362" s="25" t="str">
        <f>IF(A362="","",IFERROR(SUMIFS($F$4:$F362,$A$4:$A362,A362),0))</f>
        <v/>
      </c>
      <c r="H362" s="11"/>
      <c r="I362" s="11"/>
      <c r="J362" s="11"/>
    </row>
    <row r="363" spans="1:10" ht="15.75" customHeight="1" x14ac:dyDescent="0.25">
      <c r="A363" s="11"/>
      <c r="B363" s="4" t="str">
        <f>IF(A363="","",IFERROR(VLOOKUP(A363,Members!A$4:B$103,2,0),""))</f>
        <v/>
      </c>
      <c r="C363" s="6">
        <f t="shared" si="10"/>
        <v>0</v>
      </c>
      <c r="D363" s="11"/>
      <c r="E363" s="6" t="str">
        <f t="shared" si="11"/>
        <v/>
      </c>
      <c r="F363" s="11"/>
      <c r="G363" s="25" t="str">
        <f>IF(A363="","",IFERROR(SUMIFS($F$4:$F363,$A$4:$A363,A363),0))</f>
        <v/>
      </c>
      <c r="H363" s="11"/>
      <c r="I363" s="11"/>
      <c r="J363" s="11"/>
    </row>
    <row r="364" spans="1:10" ht="15.75" customHeight="1" x14ac:dyDescent="0.25">
      <c r="A364" s="11"/>
      <c r="B364" s="4" t="str">
        <f>IF(A364="","",IFERROR(VLOOKUP(A364,Members!A$4:B$103,2,0),""))</f>
        <v/>
      </c>
      <c r="C364" s="6">
        <f t="shared" si="10"/>
        <v>0</v>
      </c>
      <c r="D364" s="11"/>
      <c r="E364" s="6" t="str">
        <f t="shared" si="11"/>
        <v/>
      </c>
      <c r="F364" s="11"/>
      <c r="G364" s="25" t="str">
        <f>IF(A364="","",IFERROR(SUMIFS($F$4:$F364,$A$4:$A364,A364),0))</f>
        <v/>
      </c>
      <c r="H364" s="11"/>
      <c r="I364" s="11"/>
      <c r="J364" s="11"/>
    </row>
    <row r="365" spans="1:10" ht="15.75" customHeight="1" x14ac:dyDescent="0.25">
      <c r="A365" s="11"/>
      <c r="B365" s="4" t="str">
        <f>IF(A365="","",IFERROR(VLOOKUP(A365,Members!A$4:B$103,2,0),""))</f>
        <v/>
      </c>
      <c r="C365" s="6">
        <f t="shared" si="10"/>
        <v>0</v>
      </c>
      <c r="D365" s="11"/>
      <c r="E365" s="6" t="str">
        <f t="shared" si="11"/>
        <v/>
      </c>
      <c r="F365" s="11"/>
      <c r="G365" s="25" t="str">
        <f>IF(A365="","",IFERROR(SUMIFS($F$4:$F365,$A$4:$A365,A365),0))</f>
        <v/>
      </c>
      <c r="H365" s="11"/>
      <c r="I365" s="11"/>
      <c r="J365" s="11"/>
    </row>
    <row r="366" spans="1:10" ht="15.75" customHeight="1" x14ac:dyDescent="0.25">
      <c r="A366" s="11"/>
      <c r="B366" s="4" t="str">
        <f>IF(A366="","",IFERROR(VLOOKUP(A366,Members!A$4:B$103,2,0),""))</f>
        <v/>
      </c>
      <c r="C366" s="6">
        <f t="shared" si="10"/>
        <v>0</v>
      </c>
      <c r="D366" s="11"/>
      <c r="E366" s="6" t="str">
        <f t="shared" si="11"/>
        <v/>
      </c>
      <c r="F366" s="11"/>
      <c r="G366" s="25" t="str">
        <f>IF(A366="","",IFERROR(SUMIFS($F$4:$F366,$A$4:$A366,A366),0))</f>
        <v/>
      </c>
      <c r="H366" s="11"/>
      <c r="I366" s="11"/>
      <c r="J366" s="11"/>
    </row>
    <row r="367" spans="1:10" ht="15.75" customHeight="1" x14ac:dyDescent="0.25">
      <c r="A367" s="11"/>
      <c r="B367" s="4" t="str">
        <f>IF(A367="","",IFERROR(VLOOKUP(A367,Members!A$4:B$103,2,0),""))</f>
        <v/>
      </c>
      <c r="C367" s="6">
        <f t="shared" si="10"/>
        <v>0</v>
      </c>
      <c r="D367" s="11"/>
      <c r="E367" s="6" t="str">
        <f t="shared" si="11"/>
        <v/>
      </c>
      <c r="F367" s="11"/>
      <c r="G367" s="25" t="str">
        <f>IF(A367="","",IFERROR(SUMIFS($F$4:$F367,$A$4:$A367,A367),0))</f>
        <v/>
      </c>
      <c r="H367" s="11"/>
      <c r="I367" s="11"/>
      <c r="J367" s="11"/>
    </row>
    <row r="368" spans="1:10" ht="15.75" customHeight="1" x14ac:dyDescent="0.25">
      <c r="A368" s="11"/>
      <c r="B368" s="4" t="str">
        <f>IF(A368="","",IFERROR(VLOOKUP(A368,Members!A$4:B$103,2,0),""))</f>
        <v/>
      </c>
      <c r="C368" s="6">
        <f t="shared" si="10"/>
        <v>0</v>
      </c>
      <c r="D368" s="11"/>
      <c r="E368" s="6" t="str">
        <f t="shared" si="11"/>
        <v/>
      </c>
      <c r="F368" s="11"/>
      <c r="G368" s="25" t="str">
        <f>IF(A368="","",IFERROR(SUMIFS($F$4:$F368,$A$4:$A368,A368),0))</f>
        <v/>
      </c>
      <c r="H368" s="11"/>
      <c r="I368" s="11"/>
      <c r="J368" s="11"/>
    </row>
    <row r="369" spans="1:10" ht="15.75" customHeight="1" x14ac:dyDescent="0.25">
      <c r="A369" s="11"/>
      <c r="B369" s="4" t="str">
        <f>IF(A369="","",IFERROR(VLOOKUP(A369,Members!A$4:B$103,2,0),""))</f>
        <v/>
      </c>
      <c r="C369" s="6">
        <f t="shared" si="10"/>
        <v>0</v>
      </c>
      <c r="D369" s="11"/>
      <c r="E369" s="6" t="str">
        <f t="shared" si="11"/>
        <v/>
      </c>
      <c r="F369" s="11"/>
      <c r="G369" s="25" t="str">
        <f>IF(A369="","",IFERROR(SUMIFS($F$4:$F369,$A$4:$A369,A369),0))</f>
        <v/>
      </c>
      <c r="H369" s="11"/>
      <c r="I369" s="11"/>
      <c r="J369" s="11"/>
    </row>
    <row r="370" spans="1:10" ht="15.75" customHeight="1" x14ac:dyDescent="0.25">
      <c r="A370" s="11"/>
      <c r="B370" s="4" t="str">
        <f>IF(A370="","",IFERROR(VLOOKUP(A370,Members!A$4:B$103,2,0),""))</f>
        <v/>
      </c>
      <c r="C370" s="6">
        <f t="shared" si="10"/>
        <v>0</v>
      </c>
      <c r="D370" s="11"/>
      <c r="E370" s="6" t="str">
        <f t="shared" si="11"/>
        <v/>
      </c>
      <c r="F370" s="11"/>
      <c r="G370" s="25" t="str">
        <f>IF(A370="","",IFERROR(SUMIFS($F$4:$F370,$A$4:$A370,A370),0))</f>
        <v/>
      </c>
      <c r="H370" s="11"/>
      <c r="I370" s="11"/>
      <c r="J370" s="11"/>
    </row>
    <row r="371" spans="1:10" ht="15.75" customHeight="1" x14ac:dyDescent="0.25">
      <c r="A371" s="11"/>
      <c r="B371" s="4" t="str">
        <f>IF(A371="","",IFERROR(VLOOKUP(A371,Members!A$4:B$103,2,0),""))</f>
        <v/>
      </c>
      <c r="C371" s="6">
        <f t="shared" si="10"/>
        <v>0</v>
      </c>
      <c r="D371" s="11"/>
      <c r="E371" s="6" t="str">
        <f t="shared" si="11"/>
        <v/>
      </c>
      <c r="F371" s="11"/>
      <c r="G371" s="25" t="str">
        <f>IF(A371="","",IFERROR(SUMIFS($F$4:$F371,$A$4:$A371,A371),0))</f>
        <v/>
      </c>
      <c r="H371" s="11"/>
      <c r="I371" s="11"/>
      <c r="J371" s="11"/>
    </row>
    <row r="372" spans="1:10" ht="15.75" customHeight="1" x14ac:dyDescent="0.25">
      <c r="A372" s="11"/>
      <c r="B372" s="4" t="str">
        <f>IF(A372="","",IFERROR(VLOOKUP(A372,Members!A$4:B$103,2,0),""))</f>
        <v/>
      </c>
      <c r="C372" s="6">
        <f t="shared" si="10"/>
        <v>0</v>
      </c>
      <c r="D372" s="11"/>
      <c r="E372" s="6" t="str">
        <f t="shared" si="11"/>
        <v/>
      </c>
      <c r="F372" s="11"/>
      <c r="G372" s="25" t="str">
        <f>IF(A372="","",IFERROR(SUMIFS($F$4:$F372,$A$4:$A372,A372),0))</f>
        <v/>
      </c>
      <c r="H372" s="11"/>
      <c r="I372" s="11"/>
      <c r="J372" s="11"/>
    </row>
    <row r="373" spans="1:10" ht="15.75" customHeight="1" x14ac:dyDescent="0.25">
      <c r="A373" s="11"/>
      <c r="B373" s="4" t="str">
        <f>IF(A373="","",IFERROR(VLOOKUP(A373,Members!A$4:B$103,2,0),""))</f>
        <v/>
      </c>
      <c r="C373" s="6">
        <f t="shared" si="10"/>
        <v>0</v>
      </c>
      <c r="D373" s="11"/>
      <c r="E373" s="6" t="str">
        <f t="shared" si="11"/>
        <v/>
      </c>
      <c r="F373" s="11"/>
      <c r="G373" s="25" t="str">
        <f>IF(A373="","",IFERROR(SUMIFS($F$4:$F373,$A$4:$A373,A373),0))</f>
        <v/>
      </c>
      <c r="H373" s="11"/>
      <c r="I373" s="11"/>
      <c r="J373" s="11"/>
    </row>
    <row r="374" spans="1:10" ht="15.75" customHeight="1" x14ac:dyDescent="0.25">
      <c r="A374" s="11"/>
      <c r="B374" s="4" t="str">
        <f>IF(A374="","",IFERROR(VLOOKUP(A374,Members!A$4:B$103,2,0),""))</f>
        <v/>
      </c>
      <c r="C374" s="6">
        <f t="shared" si="10"/>
        <v>0</v>
      </c>
      <c r="D374" s="11"/>
      <c r="E374" s="6" t="str">
        <f t="shared" si="11"/>
        <v/>
      </c>
      <c r="F374" s="11"/>
      <c r="G374" s="25" t="str">
        <f>IF(A374="","",IFERROR(SUMIFS($F$4:$F374,$A$4:$A374,A374),0))</f>
        <v/>
      </c>
      <c r="H374" s="11"/>
      <c r="I374" s="11"/>
      <c r="J374" s="11"/>
    </row>
    <row r="375" spans="1:10" ht="15.75" customHeight="1" x14ac:dyDescent="0.25">
      <c r="A375" s="11"/>
      <c r="B375" s="4" t="str">
        <f>IF(A375="","",IFERROR(VLOOKUP(A375,Members!A$4:B$103,2,0),""))</f>
        <v/>
      </c>
      <c r="C375" s="6">
        <f t="shared" si="10"/>
        <v>0</v>
      </c>
      <c r="D375" s="11"/>
      <c r="E375" s="6" t="str">
        <f t="shared" si="11"/>
        <v/>
      </c>
      <c r="F375" s="11"/>
      <c r="G375" s="25" t="str">
        <f>IF(A375="","",IFERROR(SUMIFS($F$4:$F375,$A$4:$A375,A375),0))</f>
        <v/>
      </c>
      <c r="H375" s="11"/>
      <c r="I375" s="11"/>
      <c r="J375" s="11"/>
    </row>
    <row r="376" spans="1:10" ht="15.75" customHeight="1" x14ac:dyDescent="0.25">
      <c r="A376" s="11"/>
      <c r="B376" s="4" t="str">
        <f>IF(A376="","",IFERROR(VLOOKUP(A376,Members!A$4:B$103,2,0),""))</f>
        <v/>
      </c>
      <c r="C376" s="6">
        <f t="shared" si="10"/>
        <v>0</v>
      </c>
      <c r="D376" s="11"/>
      <c r="E376" s="6" t="str">
        <f t="shared" si="11"/>
        <v/>
      </c>
      <c r="F376" s="11"/>
      <c r="G376" s="25" t="str">
        <f>IF(A376="","",IFERROR(SUMIFS($F$4:$F376,$A$4:$A376,A376),0))</f>
        <v/>
      </c>
      <c r="H376" s="11"/>
      <c r="I376" s="11"/>
      <c r="J376" s="11"/>
    </row>
    <row r="377" spans="1:10" ht="15.75" customHeight="1" x14ac:dyDescent="0.25">
      <c r="A377" s="11"/>
      <c r="B377" s="4" t="str">
        <f>IF(A377="","",IFERROR(VLOOKUP(A377,Members!A$4:B$103,2,0),""))</f>
        <v/>
      </c>
      <c r="C377" s="6">
        <f t="shared" si="10"/>
        <v>0</v>
      </c>
      <c r="D377" s="11"/>
      <c r="E377" s="6" t="str">
        <f t="shared" si="11"/>
        <v/>
      </c>
      <c r="F377" s="11"/>
      <c r="G377" s="25" t="str">
        <f>IF(A377="","",IFERROR(SUMIFS($F$4:$F377,$A$4:$A377,A377),0))</f>
        <v/>
      </c>
      <c r="H377" s="11"/>
      <c r="I377" s="11"/>
      <c r="J377" s="11"/>
    </row>
    <row r="378" spans="1:10" ht="15.75" customHeight="1" x14ac:dyDescent="0.25">
      <c r="A378" s="11"/>
      <c r="B378" s="4" t="str">
        <f>IF(A378="","",IFERROR(VLOOKUP(A378,Members!A$4:B$103,2,0),""))</f>
        <v/>
      </c>
      <c r="C378" s="6">
        <f t="shared" si="10"/>
        <v>0</v>
      </c>
      <c r="D378" s="11"/>
      <c r="E378" s="6" t="str">
        <f t="shared" si="11"/>
        <v/>
      </c>
      <c r="F378" s="11"/>
      <c r="G378" s="25" t="str">
        <f>IF(A378="","",IFERROR(SUMIFS($F$4:$F378,$A$4:$A378,A378),0))</f>
        <v/>
      </c>
      <c r="H378" s="11"/>
      <c r="I378" s="11"/>
      <c r="J378" s="11"/>
    </row>
    <row r="379" spans="1:10" ht="15.75" customHeight="1" x14ac:dyDescent="0.25">
      <c r="A379" s="11"/>
      <c r="B379" s="4" t="str">
        <f>IF(A379="","",IFERROR(VLOOKUP(A379,Members!A$4:B$103,2,0),""))</f>
        <v/>
      </c>
      <c r="C379" s="6">
        <f t="shared" si="10"/>
        <v>0</v>
      </c>
      <c r="D379" s="11"/>
      <c r="E379" s="6" t="str">
        <f t="shared" si="11"/>
        <v/>
      </c>
      <c r="F379" s="11"/>
      <c r="G379" s="25" t="str">
        <f>IF(A379="","",IFERROR(SUMIFS($F$4:$F379,$A$4:$A379,A379),0))</f>
        <v/>
      </c>
      <c r="H379" s="11"/>
      <c r="I379" s="11"/>
      <c r="J379" s="11"/>
    </row>
    <row r="380" spans="1:10" ht="15.75" customHeight="1" x14ac:dyDescent="0.25">
      <c r="A380" s="11"/>
      <c r="B380" s="4" t="str">
        <f>IF(A380="","",IFERROR(VLOOKUP(A380,Members!A$4:B$103,2,0),""))</f>
        <v/>
      </c>
      <c r="C380" s="6">
        <f t="shared" si="10"/>
        <v>0</v>
      </c>
      <c r="D380" s="11"/>
      <c r="E380" s="6" t="str">
        <f t="shared" si="11"/>
        <v/>
      </c>
      <c r="F380" s="11"/>
      <c r="G380" s="25" t="str">
        <f>IF(A380="","",IFERROR(SUMIFS($F$4:$F380,$A$4:$A380,A380),0))</f>
        <v/>
      </c>
      <c r="H380" s="11"/>
      <c r="I380" s="11"/>
      <c r="J380" s="11"/>
    </row>
    <row r="381" spans="1:10" ht="15.75" customHeight="1" x14ac:dyDescent="0.25">
      <c r="A381" s="11"/>
      <c r="B381" s="4" t="str">
        <f>IF(A381="","",IFERROR(VLOOKUP(A381,Members!A$4:B$103,2,0),""))</f>
        <v/>
      </c>
      <c r="C381" s="6">
        <f t="shared" si="10"/>
        <v>0</v>
      </c>
      <c r="D381" s="11"/>
      <c r="E381" s="6" t="str">
        <f t="shared" si="11"/>
        <v/>
      </c>
      <c r="F381" s="11"/>
      <c r="G381" s="25" t="str">
        <f>IF(A381="","",IFERROR(SUMIFS($F$4:$F381,$A$4:$A381,A381),0))</f>
        <v/>
      </c>
      <c r="H381" s="11"/>
      <c r="I381" s="11"/>
      <c r="J381" s="11"/>
    </row>
    <row r="382" spans="1:10" ht="15.75" customHeight="1" x14ac:dyDescent="0.25">
      <c r="A382" s="11"/>
      <c r="B382" s="4" t="str">
        <f>IF(A382="","",IFERROR(VLOOKUP(A382,Members!A$4:B$103,2,0),""))</f>
        <v/>
      </c>
      <c r="C382" s="6">
        <f t="shared" si="10"/>
        <v>0</v>
      </c>
      <c r="D382" s="11"/>
      <c r="E382" s="6" t="str">
        <f t="shared" si="11"/>
        <v/>
      </c>
      <c r="F382" s="11"/>
      <c r="G382" s="25" t="str">
        <f>IF(A382="","",IFERROR(SUMIFS($F$4:$F382,$A$4:$A382,A382),0))</f>
        <v/>
      </c>
      <c r="H382" s="11"/>
      <c r="I382" s="11"/>
      <c r="J382" s="11"/>
    </row>
    <row r="383" spans="1:10" ht="15.75" customHeight="1" x14ac:dyDescent="0.25">
      <c r="A383" s="11"/>
      <c r="B383" s="4" t="str">
        <f>IF(A383="","",IFERROR(VLOOKUP(A383,Members!A$4:B$103,2,0),""))</f>
        <v/>
      </c>
      <c r="C383" s="6">
        <f t="shared" si="10"/>
        <v>0</v>
      </c>
      <c r="D383" s="11"/>
      <c r="E383" s="6" t="str">
        <f t="shared" si="11"/>
        <v/>
      </c>
      <c r="F383" s="11"/>
      <c r="G383" s="25" t="str">
        <f>IF(A383="","",IFERROR(SUMIFS($F$4:$F383,$A$4:$A383,A383),0))</f>
        <v/>
      </c>
      <c r="H383" s="11"/>
      <c r="I383" s="11"/>
      <c r="J383" s="11"/>
    </row>
    <row r="384" spans="1:10" ht="15.75" customHeight="1" x14ac:dyDescent="0.25">
      <c r="A384" s="11"/>
      <c r="B384" s="4" t="str">
        <f>IF(A384="","",IFERROR(VLOOKUP(A384,Members!A$4:B$103,2,0),""))</f>
        <v/>
      </c>
      <c r="C384" s="6">
        <f t="shared" si="10"/>
        <v>0</v>
      </c>
      <c r="D384" s="11"/>
      <c r="E384" s="6" t="str">
        <f t="shared" si="11"/>
        <v/>
      </c>
      <c r="F384" s="11"/>
      <c r="G384" s="25" t="str">
        <f>IF(A384="","",IFERROR(SUMIFS($F$4:$F384,$A$4:$A384,A384),0))</f>
        <v/>
      </c>
      <c r="H384" s="11"/>
      <c r="I384" s="11"/>
      <c r="J384" s="11"/>
    </row>
    <row r="385" spans="1:10" ht="15.75" customHeight="1" x14ac:dyDescent="0.25">
      <c r="A385" s="11"/>
      <c r="B385" s="4" t="str">
        <f>IF(A385="","",IFERROR(VLOOKUP(A385,Members!A$4:B$103,2,0),""))</f>
        <v/>
      </c>
      <c r="C385" s="6">
        <f t="shared" si="10"/>
        <v>0</v>
      </c>
      <c r="D385" s="11"/>
      <c r="E385" s="6" t="str">
        <f t="shared" si="11"/>
        <v/>
      </c>
      <c r="F385" s="11"/>
      <c r="G385" s="25" t="str">
        <f>IF(A385="","",IFERROR(SUMIFS($F$4:$F385,$A$4:$A385,A385),0))</f>
        <v/>
      </c>
      <c r="H385" s="11"/>
      <c r="I385" s="11"/>
      <c r="J385" s="11"/>
    </row>
    <row r="386" spans="1:10" ht="15.75" customHeight="1" x14ac:dyDescent="0.25">
      <c r="A386" s="11"/>
      <c r="B386" s="4" t="str">
        <f>IF(A386="","",IFERROR(VLOOKUP(A386,Members!A$4:B$103,2,0),""))</f>
        <v/>
      </c>
      <c r="C386" s="6">
        <f t="shared" si="10"/>
        <v>0</v>
      </c>
      <c r="D386" s="11"/>
      <c r="E386" s="6" t="str">
        <f t="shared" si="11"/>
        <v/>
      </c>
      <c r="F386" s="11"/>
      <c r="G386" s="25" t="str">
        <f>IF(A386="","",IFERROR(SUMIFS($F$4:$F386,$A$4:$A386,A386),0))</f>
        <v/>
      </c>
      <c r="H386" s="11"/>
      <c r="I386" s="11"/>
      <c r="J386" s="11"/>
    </row>
    <row r="387" spans="1:10" ht="15.75" customHeight="1" x14ac:dyDescent="0.25">
      <c r="A387" s="11"/>
      <c r="B387" s="4" t="str">
        <f>IF(A387="","",IFERROR(VLOOKUP(A387,Members!A$4:B$103,2,0),""))</f>
        <v/>
      </c>
      <c r="C387" s="6">
        <f t="shared" si="10"/>
        <v>0</v>
      </c>
      <c r="D387" s="11"/>
      <c r="E387" s="6" t="str">
        <f t="shared" si="11"/>
        <v/>
      </c>
      <c r="F387" s="11"/>
      <c r="G387" s="25" t="str">
        <f>IF(A387="","",IFERROR(SUMIFS($F$4:$F387,$A$4:$A387,A387),0))</f>
        <v/>
      </c>
      <c r="H387" s="11"/>
      <c r="I387" s="11"/>
      <c r="J387" s="11"/>
    </row>
    <row r="388" spans="1:10" ht="15.75" customHeight="1" x14ac:dyDescent="0.25">
      <c r="A388" s="11"/>
      <c r="B388" s="4" t="str">
        <f>IF(A388="","",IFERROR(VLOOKUP(A388,Members!A$4:B$103,2,0),""))</f>
        <v/>
      </c>
      <c r="C388" s="6">
        <f t="shared" ref="C388:C451" si="12">A388</f>
        <v>0</v>
      </c>
      <c r="D388" s="11"/>
      <c r="E388" s="6" t="str">
        <f t="shared" ref="E388:E451" si="13">IF(D388="","",TEXT(DATE(2024,D388,1),"MMMM"))</f>
        <v/>
      </c>
      <c r="F388" s="11"/>
      <c r="G388" s="25" t="str">
        <f>IF(A388="","",IFERROR(SUMIFS($F$4:$F388,$A$4:$A388,A388),0))</f>
        <v/>
      </c>
      <c r="H388" s="11"/>
      <c r="I388" s="11"/>
      <c r="J388" s="11"/>
    </row>
    <row r="389" spans="1:10" ht="15.75" customHeight="1" x14ac:dyDescent="0.25">
      <c r="A389" s="11"/>
      <c r="B389" s="4" t="str">
        <f>IF(A389="","",IFERROR(VLOOKUP(A389,Members!A$4:B$103,2,0),""))</f>
        <v/>
      </c>
      <c r="C389" s="6">
        <f t="shared" si="12"/>
        <v>0</v>
      </c>
      <c r="D389" s="11"/>
      <c r="E389" s="6" t="str">
        <f t="shared" si="13"/>
        <v/>
      </c>
      <c r="F389" s="11"/>
      <c r="G389" s="25" t="str">
        <f>IF(A389="","",IFERROR(SUMIFS($F$4:$F389,$A$4:$A389,A389),0))</f>
        <v/>
      </c>
      <c r="H389" s="11"/>
      <c r="I389" s="11"/>
      <c r="J389" s="11"/>
    </row>
    <row r="390" spans="1:10" ht="15.75" customHeight="1" x14ac:dyDescent="0.25">
      <c r="A390" s="11"/>
      <c r="B390" s="4" t="str">
        <f>IF(A390="","",IFERROR(VLOOKUP(A390,Members!A$4:B$103,2,0),""))</f>
        <v/>
      </c>
      <c r="C390" s="6">
        <f t="shared" si="12"/>
        <v>0</v>
      </c>
      <c r="D390" s="11"/>
      <c r="E390" s="6" t="str">
        <f t="shared" si="13"/>
        <v/>
      </c>
      <c r="F390" s="11"/>
      <c r="G390" s="25" t="str">
        <f>IF(A390="","",IFERROR(SUMIFS($F$4:$F390,$A$4:$A390,A390),0))</f>
        <v/>
      </c>
      <c r="H390" s="11"/>
      <c r="I390" s="11"/>
      <c r="J390" s="11"/>
    </row>
    <row r="391" spans="1:10" ht="15.75" customHeight="1" x14ac:dyDescent="0.25">
      <c r="A391" s="11"/>
      <c r="B391" s="4" t="str">
        <f>IF(A391="","",IFERROR(VLOOKUP(A391,Members!A$4:B$103,2,0),""))</f>
        <v/>
      </c>
      <c r="C391" s="6">
        <f t="shared" si="12"/>
        <v>0</v>
      </c>
      <c r="D391" s="11"/>
      <c r="E391" s="6" t="str">
        <f t="shared" si="13"/>
        <v/>
      </c>
      <c r="F391" s="11"/>
      <c r="G391" s="25" t="str">
        <f>IF(A391="","",IFERROR(SUMIFS($F$4:$F391,$A$4:$A391,A391),0))</f>
        <v/>
      </c>
      <c r="H391" s="11"/>
      <c r="I391" s="11"/>
      <c r="J391" s="11"/>
    </row>
    <row r="392" spans="1:10" ht="15.75" customHeight="1" x14ac:dyDescent="0.25">
      <c r="A392" s="11"/>
      <c r="B392" s="4" t="str">
        <f>IF(A392="","",IFERROR(VLOOKUP(A392,Members!A$4:B$103,2,0),""))</f>
        <v/>
      </c>
      <c r="C392" s="6">
        <f t="shared" si="12"/>
        <v>0</v>
      </c>
      <c r="D392" s="11"/>
      <c r="E392" s="6" t="str">
        <f t="shared" si="13"/>
        <v/>
      </c>
      <c r="F392" s="11"/>
      <c r="G392" s="25" t="str">
        <f>IF(A392="","",IFERROR(SUMIFS($F$4:$F392,$A$4:$A392,A392),0))</f>
        <v/>
      </c>
      <c r="H392" s="11"/>
      <c r="I392" s="11"/>
      <c r="J392" s="11"/>
    </row>
    <row r="393" spans="1:10" ht="15.75" customHeight="1" x14ac:dyDescent="0.25">
      <c r="A393" s="11"/>
      <c r="B393" s="4" t="str">
        <f>IF(A393="","",IFERROR(VLOOKUP(A393,Members!A$4:B$103,2,0),""))</f>
        <v/>
      </c>
      <c r="C393" s="6">
        <f t="shared" si="12"/>
        <v>0</v>
      </c>
      <c r="D393" s="11"/>
      <c r="E393" s="6" t="str">
        <f t="shared" si="13"/>
        <v/>
      </c>
      <c r="F393" s="11"/>
      <c r="G393" s="25" t="str">
        <f>IF(A393="","",IFERROR(SUMIFS($F$4:$F393,$A$4:$A393,A393),0))</f>
        <v/>
      </c>
      <c r="H393" s="11"/>
      <c r="I393" s="11"/>
      <c r="J393" s="11"/>
    </row>
    <row r="394" spans="1:10" ht="15.75" customHeight="1" x14ac:dyDescent="0.25">
      <c r="A394" s="11"/>
      <c r="B394" s="4" t="str">
        <f>IF(A394="","",IFERROR(VLOOKUP(A394,Members!A$4:B$103,2,0),""))</f>
        <v/>
      </c>
      <c r="C394" s="6">
        <f t="shared" si="12"/>
        <v>0</v>
      </c>
      <c r="D394" s="11"/>
      <c r="E394" s="6" t="str">
        <f t="shared" si="13"/>
        <v/>
      </c>
      <c r="F394" s="11"/>
      <c r="G394" s="25" t="str">
        <f>IF(A394="","",IFERROR(SUMIFS($F$4:$F394,$A$4:$A394,A394),0))</f>
        <v/>
      </c>
      <c r="H394" s="11"/>
      <c r="I394" s="11"/>
      <c r="J394" s="11"/>
    </row>
    <row r="395" spans="1:10" ht="15.75" customHeight="1" x14ac:dyDescent="0.25">
      <c r="A395" s="11"/>
      <c r="B395" s="4" t="str">
        <f>IF(A395="","",IFERROR(VLOOKUP(A395,Members!A$4:B$103,2,0),""))</f>
        <v/>
      </c>
      <c r="C395" s="6">
        <f t="shared" si="12"/>
        <v>0</v>
      </c>
      <c r="D395" s="11"/>
      <c r="E395" s="6" t="str">
        <f t="shared" si="13"/>
        <v/>
      </c>
      <c r="F395" s="11"/>
      <c r="G395" s="25" t="str">
        <f>IF(A395="","",IFERROR(SUMIFS($F$4:$F395,$A$4:$A395,A395),0))</f>
        <v/>
      </c>
      <c r="H395" s="11"/>
      <c r="I395" s="11"/>
      <c r="J395" s="11"/>
    </row>
    <row r="396" spans="1:10" ht="15.75" customHeight="1" x14ac:dyDescent="0.25">
      <c r="A396" s="11"/>
      <c r="B396" s="4" t="str">
        <f>IF(A396="","",IFERROR(VLOOKUP(A396,Members!A$4:B$103,2,0),""))</f>
        <v/>
      </c>
      <c r="C396" s="6">
        <f t="shared" si="12"/>
        <v>0</v>
      </c>
      <c r="D396" s="11"/>
      <c r="E396" s="6" t="str">
        <f t="shared" si="13"/>
        <v/>
      </c>
      <c r="F396" s="11"/>
      <c r="G396" s="25" t="str">
        <f>IF(A396="","",IFERROR(SUMIFS($F$4:$F396,$A$4:$A396,A396),0))</f>
        <v/>
      </c>
      <c r="H396" s="11"/>
      <c r="I396" s="11"/>
      <c r="J396" s="11"/>
    </row>
    <row r="397" spans="1:10" ht="15.75" customHeight="1" x14ac:dyDescent="0.25">
      <c r="A397" s="11"/>
      <c r="B397" s="4" t="str">
        <f>IF(A397="","",IFERROR(VLOOKUP(A397,Members!A$4:B$103,2,0),""))</f>
        <v/>
      </c>
      <c r="C397" s="6">
        <f t="shared" si="12"/>
        <v>0</v>
      </c>
      <c r="D397" s="11"/>
      <c r="E397" s="6" t="str">
        <f t="shared" si="13"/>
        <v/>
      </c>
      <c r="F397" s="11"/>
      <c r="G397" s="25" t="str">
        <f>IF(A397="","",IFERROR(SUMIFS($F$4:$F397,$A$4:$A397,A397),0))</f>
        <v/>
      </c>
      <c r="H397" s="11"/>
      <c r="I397" s="11"/>
      <c r="J397" s="11"/>
    </row>
    <row r="398" spans="1:10" ht="15.75" customHeight="1" x14ac:dyDescent="0.25">
      <c r="A398" s="11"/>
      <c r="B398" s="4" t="str">
        <f>IF(A398="","",IFERROR(VLOOKUP(A398,Members!A$4:B$103,2,0),""))</f>
        <v/>
      </c>
      <c r="C398" s="6">
        <f t="shared" si="12"/>
        <v>0</v>
      </c>
      <c r="D398" s="11"/>
      <c r="E398" s="6" t="str">
        <f t="shared" si="13"/>
        <v/>
      </c>
      <c r="F398" s="11"/>
      <c r="G398" s="25" t="str">
        <f>IF(A398="","",IFERROR(SUMIFS($F$4:$F398,$A$4:$A398,A398),0))</f>
        <v/>
      </c>
      <c r="H398" s="11"/>
      <c r="I398" s="11"/>
      <c r="J398" s="11"/>
    </row>
    <row r="399" spans="1:10" ht="15.75" customHeight="1" x14ac:dyDescent="0.25">
      <c r="A399" s="11"/>
      <c r="B399" s="4" t="str">
        <f>IF(A399="","",IFERROR(VLOOKUP(A399,Members!A$4:B$103,2,0),""))</f>
        <v/>
      </c>
      <c r="C399" s="6">
        <f t="shared" si="12"/>
        <v>0</v>
      </c>
      <c r="D399" s="11"/>
      <c r="E399" s="6" t="str">
        <f t="shared" si="13"/>
        <v/>
      </c>
      <c r="F399" s="11"/>
      <c r="G399" s="25" t="str">
        <f>IF(A399="","",IFERROR(SUMIFS($F$4:$F399,$A$4:$A399,A399),0))</f>
        <v/>
      </c>
      <c r="H399" s="11"/>
      <c r="I399" s="11"/>
      <c r="J399" s="11"/>
    </row>
    <row r="400" spans="1:10" ht="15.75" customHeight="1" x14ac:dyDescent="0.25">
      <c r="A400" s="11"/>
      <c r="B400" s="4" t="str">
        <f>IF(A400="","",IFERROR(VLOOKUP(A400,Members!A$4:B$103,2,0),""))</f>
        <v/>
      </c>
      <c r="C400" s="6">
        <f t="shared" si="12"/>
        <v>0</v>
      </c>
      <c r="D400" s="11"/>
      <c r="E400" s="6" t="str">
        <f t="shared" si="13"/>
        <v/>
      </c>
      <c r="F400" s="11"/>
      <c r="G400" s="25" t="str">
        <f>IF(A400="","",IFERROR(SUMIFS($F$4:$F400,$A$4:$A400,A400),0))</f>
        <v/>
      </c>
      <c r="H400" s="11"/>
      <c r="I400" s="11"/>
      <c r="J400" s="11"/>
    </row>
    <row r="401" spans="1:10" ht="15.75" customHeight="1" x14ac:dyDescent="0.25">
      <c r="A401" s="11"/>
      <c r="B401" s="4" t="str">
        <f>IF(A401="","",IFERROR(VLOOKUP(A401,Members!A$4:B$103,2,0),""))</f>
        <v/>
      </c>
      <c r="C401" s="6">
        <f t="shared" si="12"/>
        <v>0</v>
      </c>
      <c r="D401" s="11"/>
      <c r="E401" s="6" t="str">
        <f t="shared" si="13"/>
        <v/>
      </c>
      <c r="F401" s="11"/>
      <c r="G401" s="25" t="str">
        <f>IF(A401="","",IFERROR(SUMIFS($F$4:$F401,$A$4:$A401,A401),0))</f>
        <v/>
      </c>
      <c r="H401" s="11"/>
      <c r="I401" s="11"/>
      <c r="J401" s="11"/>
    </row>
    <row r="402" spans="1:10" ht="15.75" customHeight="1" x14ac:dyDescent="0.25">
      <c r="A402" s="11"/>
      <c r="B402" s="4" t="str">
        <f>IF(A402="","",IFERROR(VLOOKUP(A402,Members!A$4:B$103,2,0),""))</f>
        <v/>
      </c>
      <c r="C402" s="6">
        <f t="shared" si="12"/>
        <v>0</v>
      </c>
      <c r="D402" s="11"/>
      <c r="E402" s="6" t="str">
        <f t="shared" si="13"/>
        <v/>
      </c>
      <c r="F402" s="11"/>
      <c r="G402" s="25" t="str">
        <f>IF(A402="","",IFERROR(SUMIFS($F$4:$F402,$A$4:$A402,A402),0))</f>
        <v/>
      </c>
      <c r="H402" s="11"/>
      <c r="I402" s="11"/>
      <c r="J402" s="11"/>
    </row>
    <row r="403" spans="1:10" ht="15.75" customHeight="1" x14ac:dyDescent="0.25">
      <c r="A403" s="11"/>
      <c r="B403" s="4" t="str">
        <f>IF(A403="","",IFERROR(VLOOKUP(A403,Members!A$4:B$103,2,0),""))</f>
        <v/>
      </c>
      <c r="C403" s="6">
        <f t="shared" si="12"/>
        <v>0</v>
      </c>
      <c r="D403" s="11"/>
      <c r="E403" s="6" t="str">
        <f t="shared" si="13"/>
        <v/>
      </c>
      <c r="F403" s="11"/>
      <c r="G403" s="25" t="str">
        <f>IF(A403="","",IFERROR(SUMIFS($F$4:$F403,$A$4:$A403,A403),0))</f>
        <v/>
      </c>
      <c r="H403" s="11"/>
      <c r="I403" s="11"/>
      <c r="J403" s="11"/>
    </row>
    <row r="404" spans="1:10" ht="15.75" customHeight="1" x14ac:dyDescent="0.25">
      <c r="A404" s="11"/>
      <c r="B404" s="4" t="str">
        <f>IF(A404="","",IFERROR(VLOOKUP(A404,Members!A$4:B$103,2,0),""))</f>
        <v/>
      </c>
      <c r="C404" s="6">
        <f t="shared" si="12"/>
        <v>0</v>
      </c>
      <c r="D404" s="11"/>
      <c r="E404" s="6" t="str">
        <f t="shared" si="13"/>
        <v/>
      </c>
      <c r="F404" s="11"/>
      <c r="G404" s="25" t="str">
        <f>IF(A404="","",IFERROR(SUMIFS($F$4:$F404,$A$4:$A404,A404),0))</f>
        <v/>
      </c>
      <c r="H404" s="11"/>
      <c r="I404" s="11"/>
      <c r="J404" s="11"/>
    </row>
    <row r="405" spans="1:10" ht="15.75" customHeight="1" x14ac:dyDescent="0.25">
      <c r="A405" s="11"/>
      <c r="B405" s="4" t="str">
        <f>IF(A405="","",IFERROR(VLOOKUP(A405,Members!A$4:B$103,2,0),""))</f>
        <v/>
      </c>
      <c r="C405" s="6">
        <f t="shared" si="12"/>
        <v>0</v>
      </c>
      <c r="D405" s="11"/>
      <c r="E405" s="6" t="str">
        <f t="shared" si="13"/>
        <v/>
      </c>
      <c r="F405" s="11"/>
      <c r="G405" s="25" t="str">
        <f>IF(A405="","",IFERROR(SUMIFS($F$4:$F405,$A$4:$A405,A405),0))</f>
        <v/>
      </c>
      <c r="H405" s="11"/>
      <c r="I405" s="11"/>
      <c r="J405" s="11"/>
    </row>
    <row r="406" spans="1:10" ht="15.75" customHeight="1" x14ac:dyDescent="0.25">
      <c r="A406" s="11"/>
      <c r="B406" s="4" t="str">
        <f>IF(A406="","",IFERROR(VLOOKUP(A406,Members!A$4:B$103,2,0),""))</f>
        <v/>
      </c>
      <c r="C406" s="6">
        <f t="shared" si="12"/>
        <v>0</v>
      </c>
      <c r="D406" s="11"/>
      <c r="E406" s="6" t="str">
        <f t="shared" si="13"/>
        <v/>
      </c>
      <c r="F406" s="11"/>
      <c r="G406" s="25" t="str">
        <f>IF(A406="","",IFERROR(SUMIFS($F$4:$F406,$A$4:$A406,A406),0))</f>
        <v/>
      </c>
      <c r="H406" s="11"/>
      <c r="I406" s="11"/>
      <c r="J406" s="11"/>
    </row>
    <row r="407" spans="1:10" ht="15.75" customHeight="1" x14ac:dyDescent="0.25">
      <c r="A407" s="11"/>
      <c r="B407" s="4" t="str">
        <f>IF(A407="","",IFERROR(VLOOKUP(A407,Members!A$4:B$103,2,0),""))</f>
        <v/>
      </c>
      <c r="C407" s="6">
        <f t="shared" si="12"/>
        <v>0</v>
      </c>
      <c r="D407" s="11"/>
      <c r="E407" s="6" t="str">
        <f t="shared" si="13"/>
        <v/>
      </c>
      <c r="F407" s="11"/>
      <c r="G407" s="25" t="str">
        <f>IF(A407="","",IFERROR(SUMIFS($F$4:$F407,$A$4:$A407,A407),0))</f>
        <v/>
      </c>
      <c r="H407" s="11"/>
      <c r="I407" s="11"/>
      <c r="J407" s="11"/>
    </row>
    <row r="408" spans="1:10" ht="15.75" customHeight="1" x14ac:dyDescent="0.25">
      <c r="A408" s="11"/>
      <c r="B408" s="4" t="str">
        <f>IF(A408="","",IFERROR(VLOOKUP(A408,Members!A$4:B$103,2,0),""))</f>
        <v/>
      </c>
      <c r="C408" s="6">
        <f t="shared" si="12"/>
        <v>0</v>
      </c>
      <c r="D408" s="11"/>
      <c r="E408" s="6" t="str">
        <f t="shared" si="13"/>
        <v/>
      </c>
      <c r="F408" s="11"/>
      <c r="G408" s="25" t="str">
        <f>IF(A408="","",IFERROR(SUMIFS($F$4:$F408,$A$4:$A408,A408),0))</f>
        <v/>
      </c>
      <c r="H408" s="11"/>
      <c r="I408" s="11"/>
      <c r="J408" s="11"/>
    </row>
    <row r="409" spans="1:10" ht="15.75" customHeight="1" x14ac:dyDescent="0.25">
      <c r="A409" s="11"/>
      <c r="B409" s="4" t="str">
        <f>IF(A409="","",IFERROR(VLOOKUP(A409,Members!A$4:B$103,2,0),""))</f>
        <v/>
      </c>
      <c r="C409" s="6">
        <f t="shared" si="12"/>
        <v>0</v>
      </c>
      <c r="D409" s="11"/>
      <c r="E409" s="6" t="str">
        <f t="shared" si="13"/>
        <v/>
      </c>
      <c r="F409" s="11"/>
      <c r="G409" s="25" t="str">
        <f>IF(A409="","",IFERROR(SUMIFS($F$4:$F409,$A$4:$A409,A409),0))</f>
        <v/>
      </c>
      <c r="H409" s="11"/>
      <c r="I409" s="11"/>
      <c r="J409" s="11"/>
    </row>
    <row r="410" spans="1:10" ht="15.75" customHeight="1" x14ac:dyDescent="0.25">
      <c r="A410" s="11"/>
      <c r="B410" s="4" t="str">
        <f>IF(A410="","",IFERROR(VLOOKUP(A410,Members!A$4:B$103,2,0),""))</f>
        <v/>
      </c>
      <c r="C410" s="6">
        <f t="shared" si="12"/>
        <v>0</v>
      </c>
      <c r="D410" s="11"/>
      <c r="E410" s="6" t="str">
        <f t="shared" si="13"/>
        <v/>
      </c>
      <c r="F410" s="11"/>
      <c r="G410" s="25" t="str">
        <f>IF(A410="","",IFERROR(SUMIFS($F$4:$F410,$A$4:$A410,A410),0))</f>
        <v/>
      </c>
      <c r="H410" s="11"/>
      <c r="I410" s="11"/>
      <c r="J410" s="11"/>
    </row>
    <row r="411" spans="1:10" ht="15.75" customHeight="1" x14ac:dyDescent="0.25">
      <c r="A411" s="11"/>
      <c r="B411" s="4" t="str">
        <f>IF(A411="","",IFERROR(VLOOKUP(A411,Members!A$4:B$103,2,0),""))</f>
        <v/>
      </c>
      <c r="C411" s="6">
        <f t="shared" si="12"/>
        <v>0</v>
      </c>
      <c r="D411" s="11"/>
      <c r="E411" s="6" t="str">
        <f t="shared" si="13"/>
        <v/>
      </c>
      <c r="F411" s="11"/>
      <c r="G411" s="25" t="str">
        <f>IF(A411="","",IFERROR(SUMIFS($F$4:$F411,$A$4:$A411,A411),0))</f>
        <v/>
      </c>
      <c r="H411" s="11"/>
      <c r="I411" s="11"/>
      <c r="J411" s="11"/>
    </row>
    <row r="412" spans="1:10" ht="15.75" customHeight="1" x14ac:dyDescent="0.25">
      <c r="A412" s="11"/>
      <c r="B412" s="4" t="str">
        <f>IF(A412="","",IFERROR(VLOOKUP(A412,Members!A$4:B$103,2,0),""))</f>
        <v/>
      </c>
      <c r="C412" s="6">
        <f t="shared" si="12"/>
        <v>0</v>
      </c>
      <c r="D412" s="11"/>
      <c r="E412" s="6" t="str">
        <f t="shared" si="13"/>
        <v/>
      </c>
      <c r="F412" s="11"/>
      <c r="G412" s="25" t="str">
        <f>IF(A412="","",IFERROR(SUMIFS($F$4:$F412,$A$4:$A412,A412),0))</f>
        <v/>
      </c>
      <c r="H412" s="11"/>
      <c r="I412" s="11"/>
      <c r="J412" s="11"/>
    </row>
    <row r="413" spans="1:10" ht="15.75" customHeight="1" x14ac:dyDescent="0.25">
      <c r="A413" s="11"/>
      <c r="B413" s="4" t="str">
        <f>IF(A413="","",IFERROR(VLOOKUP(A413,Members!A$4:B$103,2,0),""))</f>
        <v/>
      </c>
      <c r="C413" s="6">
        <f t="shared" si="12"/>
        <v>0</v>
      </c>
      <c r="D413" s="11"/>
      <c r="E413" s="6" t="str">
        <f t="shared" si="13"/>
        <v/>
      </c>
      <c r="F413" s="11"/>
      <c r="G413" s="25" t="str">
        <f>IF(A413="","",IFERROR(SUMIFS($F$4:$F413,$A$4:$A413,A413),0))</f>
        <v/>
      </c>
      <c r="H413" s="11"/>
      <c r="I413" s="11"/>
      <c r="J413" s="11"/>
    </row>
    <row r="414" spans="1:10" ht="15.75" customHeight="1" x14ac:dyDescent="0.25">
      <c r="A414" s="11"/>
      <c r="B414" s="4" t="str">
        <f>IF(A414="","",IFERROR(VLOOKUP(A414,Members!A$4:B$103,2,0),""))</f>
        <v/>
      </c>
      <c r="C414" s="6">
        <f t="shared" si="12"/>
        <v>0</v>
      </c>
      <c r="D414" s="11"/>
      <c r="E414" s="6" t="str">
        <f t="shared" si="13"/>
        <v/>
      </c>
      <c r="F414" s="11"/>
      <c r="G414" s="25" t="str">
        <f>IF(A414="","",IFERROR(SUMIFS($F$4:$F414,$A$4:$A414,A414),0))</f>
        <v/>
      </c>
      <c r="H414" s="11"/>
      <c r="I414" s="11"/>
      <c r="J414" s="11"/>
    </row>
    <row r="415" spans="1:10" ht="15.75" customHeight="1" x14ac:dyDescent="0.25">
      <c r="A415" s="11"/>
      <c r="B415" s="4" t="str">
        <f>IF(A415="","",IFERROR(VLOOKUP(A415,Members!A$4:B$103,2,0),""))</f>
        <v/>
      </c>
      <c r="C415" s="6">
        <f t="shared" si="12"/>
        <v>0</v>
      </c>
      <c r="D415" s="11"/>
      <c r="E415" s="6" t="str">
        <f t="shared" si="13"/>
        <v/>
      </c>
      <c r="F415" s="11"/>
      <c r="G415" s="25" t="str">
        <f>IF(A415="","",IFERROR(SUMIFS($F$4:$F415,$A$4:$A415,A415),0))</f>
        <v/>
      </c>
      <c r="H415" s="11"/>
      <c r="I415" s="11"/>
      <c r="J415" s="11"/>
    </row>
    <row r="416" spans="1:10" ht="15.75" customHeight="1" x14ac:dyDescent="0.25">
      <c r="A416" s="11"/>
      <c r="B416" s="4" t="str">
        <f>IF(A416="","",IFERROR(VLOOKUP(A416,Members!A$4:B$103,2,0),""))</f>
        <v/>
      </c>
      <c r="C416" s="6">
        <f t="shared" si="12"/>
        <v>0</v>
      </c>
      <c r="D416" s="11"/>
      <c r="E416" s="6" t="str">
        <f t="shared" si="13"/>
        <v/>
      </c>
      <c r="F416" s="11"/>
      <c r="G416" s="25" t="str">
        <f>IF(A416="","",IFERROR(SUMIFS($F$4:$F416,$A$4:$A416,A416),0))</f>
        <v/>
      </c>
      <c r="H416" s="11"/>
      <c r="I416" s="11"/>
      <c r="J416" s="11"/>
    </row>
    <row r="417" spans="1:10" ht="15.75" customHeight="1" x14ac:dyDescent="0.25">
      <c r="A417" s="11"/>
      <c r="B417" s="4" t="str">
        <f>IF(A417="","",IFERROR(VLOOKUP(A417,Members!A$4:B$103,2,0),""))</f>
        <v/>
      </c>
      <c r="C417" s="6">
        <f t="shared" si="12"/>
        <v>0</v>
      </c>
      <c r="D417" s="11"/>
      <c r="E417" s="6" t="str">
        <f t="shared" si="13"/>
        <v/>
      </c>
      <c r="F417" s="11"/>
      <c r="G417" s="25" t="str">
        <f>IF(A417="","",IFERROR(SUMIFS($F$4:$F417,$A$4:$A417,A417),0))</f>
        <v/>
      </c>
      <c r="H417" s="11"/>
      <c r="I417" s="11"/>
      <c r="J417" s="11"/>
    </row>
    <row r="418" spans="1:10" ht="15.75" customHeight="1" x14ac:dyDescent="0.25">
      <c r="A418" s="11"/>
      <c r="B418" s="4" t="str">
        <f>IF(A418="","",IFERROR(VLOOKUP(A418,Members!A$4:B$103,2,0),""))</f>
        <v/>
      </c>
      <c r="C418" s="6">
        <f t="shared" si="12"/>
        <v>0</v>
      </c>
      <c r="D418" s="11"/>
      <c r="E418" s="6" t="str">
        <f t="shared" si="13"/>
        <v/>
      </c>
      <c r="F418" s="11"/>
      <c r="G418" s="25" t="str">
        <f>IF(A418="","",IFERROR(SUMIFS($F$4:$F418,$A$4:$A418,A418),0))</f>
        <v/>
      </c>
      <c r="H418" s="11"/>
      <c r="I418" s="11"/>
      <c r="J418" s="11"/>
    </row>
    <row r="419" spans="1:10" ht="15.75" customHeight="1" x14ac:dyDescent="0.25">
      <c r="A419" s="11"/>
      <c r="B419" s="4" t="str">
        <f>IF(A419="","",IFERROR(VLOOKUP(A419,Members!A$4:B$103,2,0),""))</f>
        <v/>
      </c>
      <c r="C419" s="6">
        <f t="shared" si="12"/>
        <v>0</v>
      </c>
      <c r="D419" s="11"/>
      <c r="E419" s="6" t="str">
        <f t="shared" si="13"/>
        <v/>
      </c>
      <c r="F419" s="11"/>
      <c r="G419" s="25" t="str">
        <f>IF(A419="","",IFERROR(SUMIFS($F$4:$F419,$A$4:$A419,A419),0))</f>
        <v/>
      </c>
      <c r="H419" s="11"/>
      <c r="I419" s="11"/>
      <c r="J419" s="11"/>
    </row>
    <row r="420" spans="1:10" ht="15.75" customHeight="1" x14ac:dyDescent="0.25">
      <c r="A420" s="11"/>
      <c r="B420" s="4" t="str">
        <f>IF(A420="","",IFERROR(VLOOKUP(A420,Members!A$4:B$103,2,0),""))</f>
        <v/>
      </c>
      <c r="C420" s="6">
        <f t="shared" si="12"/>
        <v>0</v>
      </c>
      <c r="D420" s="11"/>
      <c r="E420" s="6" t="str">
        <f t="shared" si="13"/>
        <v/>
      </c>
      <c r="F420" s="11"/>
      <c r="G420" s="25" t="str">
        <f>IF(A420="","",IFERROR(SUMIFS($F$4:$F420,$A$4:$A420,A420),0))</f>
        <v/>
      </c>
      <c r="H420" s="11"/>
      <c r="I420" s="11"/>
      <c r="J420" s="11"/>
    </row>
    <row r="421" spans="1:10" ht="15.75" customHeight="1" x14ac:dyDescent="0.25">
      <c r="A421" s="11"/>
      <c r="B421" s="4" t="str">
        <f>IF(A421="","",IFERROR(VLOOKUP(A421,Members!A$4:B$103,2,0),""))</f>
        <v/>
      </c>
      <c r="C421" s="6">
        <f t="shared" si="12"/>
        <v>0</v>
      </c>
      <c r="D421" s="11"/>
      <c r="E421" s="6" t="str">
        <f t="shared" si="13"/>
        <v/>
      </c>
      <c r="F421" s="11"/>
      <c r="G421" s="25" t="str">
        <f>IF(A421="","",IFERROR(SUMIFS($F$4:$F421,$A$4:$A421,A421),0))</f>
        <v/>
      </c>
      <c r="H421" s="11"/>
      <c r="I421" s="11"/>
      <c r="J421" s="11"/>
    </row>
    <row r="422" spans="1:10" ht="15.75" customHeight="1" x14ac:dyDescent="0.25">
      <c r="A422" s="11"/>
      <c r="B422" s="4" t="str">
        <f>IF(A422="","",IFERROR(VLOOKUP(A422,Members!A$4:B$103,2,0),""))</f>
        <v/>
      </c>
      <c r="C422" s="6">
        <f t="shared" si="12"/>
        <v>0</v>
      </c>
      <c r="D422" s="11"/>
      <c r="E422" s="6" t="str">
        <f t="shared" si="13"/>
        <v/>
      </c>
      <c r="F422" s="11"/>
      <c r="G422" s="25" t="str">
        <f>IF(A422="","",IFERROR(SUMIFS($F$4:$F422,$A$4:$A422,A422),0))</f>
        <v/>
      </c>
      <c r="H422" s="11"/>
      <c r="I422" s="11"/>
      <c r="J422" s="11"/>
    </row>
    <row r="423" spans="1:10" ht="15.75" customHeight="1" x14ac:dyDescent="0.25">
      <c r="A423" s="11"/>
      <c r="B423" s="4" t="str">
        <f>IF(A423="","",IFERROR(VLOOKUP(A423,Members!A$4:B$103,2,0),""))</f>
        <v/>
      </c>
      <c r="C423" s="6">
        <f t="shared" si="12"/>
        <v>0</v>
      </c>
      <c r="D423" s="11"/>
      <c r="E423" s="6" t="str">
        <f t="shared" si="13"/>
        <v/>
      </c>
      <c r="F423" s="11"/>
      <c r="G423" s="25" t="str">
        <f>IF(A423="","",IFERROR(SUMIFS($F$4:$F423,$A$4:$A423,A423),0))</f>
        <v/>
      </c>
      <c r="H423" s="11"/>
      <c r="I423" s="11"/>
      <c r="J423" s="11"/>
    </row>
    <row r="424" spans="1:10" ht="15.75" customHeight="1" x14ac:dyDescent="0.25">
      <c r="A424" s="11"/>
      <c r="B424" s="4" t="str">
        <f>IF(A424="","",IFERROR(VLOOKUP(A424,Members!A$4:B$103,2,0),""))</f>
        <v/>
      </c>
      <c r="C424" s="6">
        <f t="shared" si="12"/>
        <v>0</v>
      </c>
      <c r="D424" s="11"/>
      <c r="E424" s="6" t="str">
        <f t="shared" si="13"/>
        <v/>
      </c>
      <c r="F424" s="11"/>
      <c r="G424" s="25" t="str">
        <f>IF(A424="","",IFERROR(SUMIFS($F$4:$F424,$A$4:$A424,A424),0))</f>
        <v/>
      </c>
      <c r="H424" s="11"/>
      <c r="I424" s="11"/>
      <c r="J424" s="11"/>
    </row>
    <row r="425" spans="1:10" ht="15.75" customHeight="1" x14ac:dyDescent="0.25">
      <c r="A425" s="11"/>
      <c r="B425" s="4" t="str">
        <f>IF(A425="","",IFERROR(VLOOKUP(A425,Members!A$4:B$103,2,0),""))</f>
        <v/>
      </c>
      <c r="C425" s="6">
        <f t="shared" si="12"/>
        <v>0</v>
      </c>
      <c r="D425" s="11"/>
      <c r="E425" s="6" t="str">
        <f t="shared" si="13"/>
        <v/>
      </c>
      <c r="F425" s="11"/>
      <c r="G425" s="25" t="str">
        <f>IF(A425="","",IFERROR(SUMIFS($F$4:$F425,$A$4:$A425,A425),0))</f>
        <v/>
      </c>
      <c r="H425" s="11"/>
      <c r="I425" s="11"/>
      <c r="J425" s="11"/>
    </row>
    <row r="426" spans="1:10" ht="15.75" customHeight="1" x14ac:dyDescent="0.25">
      <c r="A426" s="11"/>
      <c r="B426" s="4" t="str">
        <f>IF(A426="","",IFERROR(VLOOKUP(A426,Members!A$4:B$103,2,0),""))</f>
        <v/>
      </c>
      <c r="C426" s="6">
        <f t="shared" si="12"/>
        <v>0</v>
      </c>
      <c r="D426" s="11"/>
      <c r="E426" s="6" t="str">
        <f t="shared" si="13"/>
        <v/>
      </c>
      <c r="F426" s="11"/>
      <c r="G426" s="25" t="str">
        <f>IF(A426="","",IFERROR(SUMIFS($F$4:$F426,$A$4:$A426,A426),0))</f>
        <v/>
      </c>
      <c r="H426" s="11"/>
      <c r="I426" s="11"/>
      <c r="J426" s="11"/>
    </row>
    <row r="427" spans="1:10" ht="15.75" customHeight="1" x14ac:dyDescent="0.25">
      <c r="A427" s="11"/>
      <c r="B427" s="4" t="str">
        <f>IF(A427="","",IFERROR(VLOOKUP(A427,Members!A$4:B$103,2,0),""))</f>
        <v/>
      </c>
      <c r="C427" s="6">
        <f t="shared" si="12"/>
        <v>0</v>
      </c>
      <c r="D427" s="11"/>
      <c r="E427" s="6" t="str">
        <f t="shared" si="13"/>
        <v/>
      </c>
      <c r="F427" s="11"/>
      <c r="G427" s="25" t="str">
        <f>IF(A427="","",IFERROR(SUMIFS($F$4:$F427,$A$4:$A427,A427),0))</f>
        <v/>
      </c>
      <c r="H427" s="11"/>
      <c r="I427" s="11"/>
      <c r="J427" s="11"/>
    </row>
    <row r="428" spans="1:10" ht="15.75" customHeight="1" x14ac:dyDescent="0.25">
      <c r="A428" s="11"/>
      <c r="B428" s="4" t="str">
        <f>IF(A428="","",IFERROR(VLOOKUP(A428,Members!A$4:B$103,2,0),""))</f>
        <v/>
      </c>
      <c r="C428" s="6">
        <f t="shared" si="12"/>
        <v>0</v>
      </c>
      <c r="D428" s="11"/>
      <c r="E428" s="6" t="str">
        <f t="shared" si="13"/>
        <v/>
      </c>
      <c r="F428" s="11"/>
      <c r="G428" s="25" t="str">
        <f>IF(A428="","",IFERROR(SUMIFS($F$4:$F428,$A$4:$A428,A428),0))</f>
        <v/>
      </c>
      <c r="H428" s="11"/>
      <c r="I428" s="11"/>
      <c r="J428" s="11"/>
    </row>
    <row r="429" spans="1:10" ht="15.75" customHeight="1" x14ac:dyDescent="0.25">
      <c r="A429" s="11"/>
      <c r="B429" s="4" t="str">
        <f>IF(A429="","",IFERROR(VLOOKUP(A429,Members!A$4:B$103,2,0),""))</f>
        <v/>
      </c>
      <c r="C429" s="6">
        <f t="shared" si="12"/>
        <v>0</v>
      </c>
      <c r="D429" s="11"/>
      <c r="E429" s="6" t="str">
        <f t="shared" si="13"/>
        <v/>
      </c>
      <c r="F429" s="11"/>
      <c r="G429" s="25" t="str">
        <f>IF(A429="","",IFERROR(SUMIFS($F$4:$F429,$A$4:$A429,A429),0))</f>
        <v/>
      </c>
      <c r="H429" s="11"/>
      <c r="I429" s="11"/>
      <c r="J429" s="11"/>
    </row>
    <row r="430" spans="1:10" ht="15.75" customHeight="1" x14ac:dyDescent="0.25">
      <c r="A430" s="11"/>
      <c r="B430" s="4" t="str">
        <f>IF(A430="","",IFERROR(VLOOKUP(A430,Members!A$4:B$103,2,0),""))</f>
        <v/>
      </c>
      <c r="C430" s="6">
        <f t="shared" si="12"/>
        <v>0</v>
      </c>
      <c r="D430" s="11"/>
      <c r="E430" s="6" t="str">
        <f t="shared" si="13"/>
        <v/>
      </c>
      <c r="F430" s="11"/>
      <c r="G430" s="25" t="str">
        <f>IF(A430="","",IFERROR(SUMIFS($F$4:$F430,$A$4:$A430,A430),0))</f>
        <v/>
      </c>
      <c r="H430" s="11"/>
      <c r="I430" s="11"/>
      <c r="J430" s="11"/>
    </row>
    <row r="431" spans="1:10" ht="15.75" customHeight="1" x14ac:dyDescent="0.25">
      <c r="A431" s="11"/>
      <c r="B431" s="4" t="str">
        <f>IF(A431="","",IFERROR(VLOOKUP(A431,Members!A$4:B$103,2,0),""))</f>
        <v/>
      </c>
      <c r="C431" s="6">
        <f t="shared" si="12"/>
        <v>0</v>
      </c>
      <c r="D431" s="11"/>
      <c r="E431" s="6" t="str">
        <f t="shared" si="13"/>
        <v/>
      </c>
      <c r="F431" s="11"/>
      <c r="G431" s="25" t="str">
        <f>IF(A431="","",IFERROR(SUMIFS($F$4:$F431,$A$4:$A431,A431),0))</f>
        <v/>
      </c>
      <c r="H431" s="11"/>
      <c r="I431" s="11"/>
      <c r="J431" s="11"/>
    </row>
    <row r="432" spans="1:10" ht="15.75" customHeight="1" x14ac:dyDescent="0.25">
      <c r="A432" s="11"/>
      <c r="B432" s="4" t="str">
        <f>IF(A432="","",IFERROR(VLOOKUP(A432,Members!A$4:B$103,2,0),""))</f>
        <v/>
      </c>
      <c r="C432" s="6">
        <f t="shared" si="12"/>
        <v>0</v>
      </c>
      <c r="D432" s="11"/>
      <c r="E432" s="6" t="str">
        <f t="shared" si="13"/>
        <v/>
      </c>
      <c r="F432" s="11"/>
      <c r="G432" s="25" t="str">
        <f>IF(A432="","",IFERROR(SUMIFS($F$4:$F432,$A$4:$A432,A432),0))</f>
        <v/>
      </c>
      <c r="H432" s="11"/>
      <c r="I432" s="11"/>
      <c r="J432" s="11"/>
    </row>
    <row r="433" spans="1:10" ht="15.75" customHeight="1" x14ac:dyDescent="0.25">
      <c r="A433" s="11"/>
      <c r="B433" s="4" t="str">
        <f>IF(A433="","",IFERROR(VLOOKUP(A433,Members!A$4:B$103,2,0),""))</f>
        <v/>
      </c>
      <c r="C433" s="6">
        <f t="shared" si="12"/>
        <v>0</v>
      </c>
      <c r="D433" s="11"/>
      <c r="E433" s="6" t="str">
        <f t="shared" si="13"/>
        <v/>
      </c>
      <c r="F433" s="11"/>
      <c r="G433" s="25" t="str">
        <f>IF(A433="","",IFERROR(SUMIFS($F$4:$F433,$A$4:$A433,A433),0))</f>
        <v/>
      </c>
      <c r="H433" s="11"/>
      <c r="I433" s="11"/>
      <c r="J433" s="11"/>
    </row>
    <row r="434" spans="1:10" ht="15.75" customHeight="1" x14ac:dyDescent="0.25">
      <c r="A434" s="11"/>
      <c r="B434" s="4" t="str">
        <f>IF(A434="","",IFERROR(VLOOKUP(A434,Members!A$4:B$103,2,0),""))</f>
        <v/>
      </c>
      <c r="C434" s="6">
        <f t="shared" si="12"/>
        <v>0</v>
      </c>
      <c r="D434" s="11"/>
      <c r="E434" s="6" t="str">
        <f t="shared" si="13"/>
        <v/>
      </c>
      <c r="F434" s="11"/>
      <c r="G434" s="25" t="str">
        <f>IF(A434="","",IFERROR(SUMIFS($F$4:$F434,$A$4:$A434,A434),0))</f>
        <v/>
      </c>
      <c r="H434" s="11"/>
      <c r="I434" s="11"/>
      <c r="J434" s="11"/>
    </row>
    <row r="435" spans="1:10" ht="15.75" customHeight="1" x14ac:dyDescent="0.25">
      <c r="A435" s="11"/>
      <c r="B435" s="4" t="str">
        <f>IF(A435="","",IFERROR(VLOOKUP(A435,Members!A$4:B$103,2,0),""))</f>
        <v/>
      </c>
      <c r="C435" s="6">
        <f t="shared" si="12"/>
        <v>0</v>
      </c>
      <c r="D435" s="11"/>
      <c r="E435" s="6" t="str">
        <f t="shared" si="13"/>
        <v/>
      </c>
      <c r="F435" s="11"/>
      <c r="G435" s="25" t="str">
        <f>IF(A435="","",IFERROR(SUMIFS($F$4:$F435,$A$4:$A435,A435),0))</f>
        <v/>
      </c>
      <c r="H435" s="11"/>
      <c r="I435" s="11"/>
      <c r="J435" s="11"/>
    </row>
    <row r="436" spans="1:10" ht="15.75" customHeight="1" x14ac:dyDescent="0.25">
      <c r="A436" s="11"/>
      <c r="B436" s="4" t="str">
        <f>IF(A436="","",IFERROR(VLOOKUP(A436,Members!A$4:B$103,2,0),""))</f>
        <v/>
      </c>
      <c r="C436" s="6">
        <f t="shared" si="12"/>
        <v>0</v>
      </c>
      <c r="D436" s="11"/>
      <c r="E436" s="6" t="str">
        <f t="shared" si="13"/>
        <v/>
      </c>
      <c r="F436" s="11"/>
      <c r="G436" s="25" t="str">
        <f>IF(A436="","",IFERROR(SUMIFS($F$4:$F436,$A$4:$A436,A436),0))</f>
        <v/>
      </c>
      <c r="H436" s="11"/>
      <c r="I436" s="11"/>
      <c r="J436" s="11"/>
    </row>
    <row r="437" spans="1:10" ht="15.75" customHeight="1" x14ac:dyDescent="0.25">
      <c r="A437" s="11"/>
      <c r="B437" s="4" t="str">
        <f>IF(A437="","",IFERROR(VLOOKUP(A437,Members!A$4:B$103,2,0),""))</f>
        <v/>
      </c>
      <c r="C437" s="6">
        <f t="shared" si="12"/>
        <v>0</v>
      </c>
      <c r="D437" s="11"/>
      <c r="E437" s="6" t="str">
        <f t="shared" si="13"/>
        <v/>
      </c>
      <c r="F437" s="11"/>
      <c r="G437" s="25" t="str">
        <f>IF(A437="","",IFERROR(SUMIFS($F$4:$F437,$A$4:$A437,A437),0))</f>
        <v/>
      </c>
      <c r="H437" s="11"/>
      <c r="I437" s="11"/>
      <c r="J437" s="11"/>
    </row>
    <row r="438" spans="1:10" ht="15.75" customHeight="1" x14ac:dyDescent="0.25">
      <c r="A438" s="11"/>
      <c r="B438" s="4" t="str">
        <f>IF(A438="","",IFERROR(VLOOKUP(A438,Members!A$4:B$103,2,0),""))</f>
        <v/>
      </c>
      <c r="C438" s="6">
        <f t="shared" si="12"/>
        <v>0</v>
      </c>
      <c r="D438" s="11"/>
      <c r="E438" s="6" t="str">
        <f t="shared" si="13"/>
        <v/>
      </c>
      <c r="F438" s="11"/>
      <c r="G438" s="25" t="str">
        <f>IF(A438="","",IFERROR(SUMIFS($F$4:$F438,$A$4:$A438,A438),0))</f>
        <v/>
      </c>
      <c r="H438" s="11"/>
      <c r="I438" s="11"/>
      <c r="J438" s="11"/>
    </row>
    <row r="439" spans="1:10" ht="15.75" customHeight="1" x14ac:dyDescent="0.25">
      <c r="A439" s="11"/>
      <c r="B439" s="4" t="str">
        <f>IF(A439="","",IFERROR(VLOOKUP(A439,Members!A$4:B$103,2,0),""))</f>
        <v/>
      </c>
      <c r="C439" s="6">
        <f t="shared" si="12"/>
        <v>0</v>
      </c>
      <c r="D439" s="11"/>
      <c r="E439" s="6" t="str">
        <f t="shared" si="13"/>
        <v/>
      </c>
      <c r="F439" s="11"/>
      <c r="G439" s="25" t="str">
        <f>IF(A439="","",IFERROR(SUMIFS($F$4:$F439,$A$4:$A439,A439),0))</f>
        <v/>
      </c>
      <c r="H439" s="11"/>
      <c r="I439" s="11"/>
      <c r="J439" s="11"/>
    </row>
    <row r="440" spans="1:10" ht="15.75" customHeight="1" x14ac:dyDescent="0.25">
      <c r="A440" s="11"/>
      <c r="B440" s="4" t="str">
        <f>IF(A440="","",IFERROR(VLOOKUP(A440,Members!A$4:B$103,2,0),""))</f>
        <v/>
      </c>
      <c r="C440" s="6">
        <f t="shared" si="12"/>
        <v>0</v>
      </c>
      <c r="D440" s="11"/>
      <c r="E440" s="6" t="str">
        <f t="shared" si="13"/>
        <v/>
      </c>
      <c r="F440" s="11"/>
      <c r="G440" s="25" t="str">
        <f>IF(A440="","",IFERROR(SUMIFS($F$4:$F440,$A$4:$A440,A440),0))</f>
        <v/>
      </c>
      <c r="H440" s="11"/>
      <c r="I440" s="11"/>
      <c r="J440" s="11"/>
    </row>
    <row r="441" spans="1:10" ht="15.75" customHeight="1" x14ac:dyDescent="0.25">
      <c r="A441" s="11"/>
      <c r="B441" s="4" t="str">
        <f>IF(A441="","",IFERROR(VLOOKUP(A441,Members!A$4:B$103,2,0),""))</f>
        <v/>
      </c>
      <c r="C441" s="6">
        <f t="shared" si="12"/>
        <v>0</v>
      </c>
      <c r="D441" s="11"/>
      <c r="E441" s="6" t="str">
        <f t="shared" si="13"/>
        <v/>
      </c>
      <c r="F441" s="11"/>
      <c r="G441" s="25" t="str">
        <f>IF(A441="","",IFERROR(SUMIFS($F$4:$F441,$A$4:$A441,A441),0))</f>
        <v/>
      </c>
      <c r="H441" s="11"/>
      <c r="I441" s="11"/>
      <c r="J441" s="11"/>
    </row>
    <row r="442" spans="1:10" ht="15.75" customHeight="1" x14ac:dyDescent="0.25">
      <c r="A442" s="11"/>
      <c r="B442" s="4" t="str">
        <f>IF(A442="","",IFERROR(VLOOKUP(A442,Members!A$4:B$103,2,0),""))</f>
        <v/>
      </c>
      <c r="C442" s="6">
        <f t="shared" si="12"/>
        <v>0</v>
      </c>
      <c r="D442" s="11"/>
      <c r="E442" s="6" t="str">
        <f t="shared" si="13"/>
        <v/>
      </c>
      <c r="F442" s="11"/>
      <c r="G442" s="25" t="str">
        <f>IF(A442="","",IFERROR(SUMIFS($F$4:$F442,$A$4:$A442,A442),0))</f>
        <v/>
      </c>
      <c r="H442" s="11"/>
      <c r="I442" s="11"/>
      <c r="J442" s="11"/>
    </row>
    <row r="443" spans="1:10" ht="15.75" customHeight="1" x14ac:dyDescent="0.25">
      <c r="A443" s="11"/>
      <c r="B443" s="4" t="str">
        <f>IF(A443="","",IFERROR(VLOOKUP(A443,Members!A$4:B$103,2,0),""))</f>
        <v/>
      </c>
      <c r="C443" s="6">
        <f t="shared" si="12"/>
        <v>0</v>
      </c>
      <c r="D443" s="11"/>
      <c r="E443" s="6" t="str">
        <f t="shared" si="13"/>
        <v/>
      </c>
      <c r="F443" s="11"/>
      <c r="G443" s="25" t="str">
        <f>IF(A443="","",IFERROR(SUMIFS($F$4:$F443,$A$4:$A443,A443),0))</f>
        <v/>
      </c>
      <c r="H443" s="11"/>
      <c r="I443" s="11"/>
      <c r="J443" s="11"/>
    </row>
    <row r="444" spans="1:10" ht="15.75" customHeight="1" x14ac:dyDescent="0.25">
      <c r="A444" s="11"/>
      <c r="B444" s="4" t="str">
        <f>IF(A444="","",IFERROR(VLOOKUP(A444,Members!A$4:B$103,2,0),""))</f>
        <v/>
      </c>
      <c r="C444" s="6">
        <f t="shared" si="12"/>
        <v>0</v>
      </c>
      <c r="D444" s="11"/>
      <c r="E444" s="6" t="str">
        <f t="shared" si="13"/>
        <v/>
      </c>
      <c r="F444" s="11"/>
      <c r="G444" s="25" t="str">
        <f>IF(A444="","",IFERROR(SUMIFS($F$4:$F444,$A$4:$A444,A444),0))</f>
        <v/>
      </c>
      <c r="H444" s="11"/>
      <c r="I444" s="11"/>
      <c r="J444" s="11"/>
    </row>
    <row r="445" spans="1:10" ht="15.75" customHeight="1" x14ac:dyDescent="0.25">
      <c r="A445" s="11"/>
      <c r="B445" s="4" t="str">
        <f>IF(A445="","",IFERROR(VLOOKUP(A445,Members!A$4:B$103,2,0),""))</f>
        <v/>
      </c>
      <c r="C445" s="6">
        <f t="shared" si="12"/>
        <v>0</v>
      </c>
      <c r="D445" s="11"/>
      <c r="E445" s="6" t="str">
        <f t="shared" si="13"/>
        <v/>
      </c>
      <c r="F445" s="11"/>
      <c r="G445" s="25" t="str">
        <f>IF(A445="","",IFERROR(SUMIFS($F$4:$F445,$A$4:$A445,A445),0))</f>
        <v/>
      </c>
      <c r="H445" s="11"/>
      <c r="I445" s="11"/>
      <c r="J445" s="11"/>
    </row>
    <row r="446" spans="1:10" ht="15.75" customHeight="1" x14ac:dyDescent="0.25">
      <c r="A446" s="11"/>
      <c r="B446" s="4" t="str">
        <f>IF(A446="","",IFERROR(VLOOKUP(A446,Members!A$4:B$103,2,0),""))</f>
        <v/>
      </c>
      <c r="C446" s="6">
        <f t="shared" si="12"/>
        <v>0</v>
      </c>
      <c r="D446" s="11"/>
      <c r="E446" s="6" t="str">
        <f t="shared" si="13"/>
        <v/>
      </c>
      <c r="F446" s="11"/>
      <c r="G446" s="25" t="str">
        <f>IF(A446="","",IFERROR(SUMIFS($F$4:$F446,$A$4:$A446,A446),0))</f>
        <v/>
      </c>
      <c r="H446" s="11"/>
      <c r="I446" s="11"/>
      <c r="J446" s="11"/>
    </row>
    <row r="447" spans="1:10" ht="15.75" customHeight="1" x14ac:dyDescent="0.25">
      <c r="A447" s="11"/>
      <c r="B447" s="4" t="str">
        <f>IF(A447="","",IFERROR(VLOOKUP(A447,Members!A$4:B$103,2,0),""))</f>
        <v/>
      </c>
      <c r="C447" s="6">
        <f t="shared" si="12"/>
        <v>0</v>
      </c>
      <c r="D447" s="11"/>
      <c r="E447" s="6" t="str">
        <f t="shared" si="13"/>
        <v/>
      </c>
      <c r="F447" s="11"/>
      <c r="G447" s="25" t="str">
        <f>IF(A447="","",IFERROR(SUMIFS($F$4:$F447,$A$4:$A447,A447),0))</f>
        <v/>
      </c>
      <c r="H447" s="11"/>
      <c r="I447" s="11"/>
      <c r="J447" s="11"/>
    </row>
    <row r="448" spans="1:10" ht="15.75" customHeight="1" x14ac:dyDescent="0.25">
      <c r="A448" s="11"/>
      <c r="B448" s="4" t="str">
        <f>IF(A448="","",IFERROR(VLOOKUP(A448,Members!A$4:B$103,2,0),""))</f>
        <v/>
      </c>
      <c r="C448" s="6">
        <f t="shared" si="12"/>
        <v>0</v>
      </c>
      <c r="D448" s="11"/>
      <c r="E448" s="6" t="str">
        <f t="shared" si="13"/>
        <v/>
      </c>
      <c r="F448" s="11"/>
      <c r="G448" s="25" t="str">
        <f>IF(A448="","",IFERROR(SUMIFS($F$4:$F448,$A$4:$A448,A448),0))</f>
        <v/>
      </c>
      <c r="H448" s="11"/>
      <c r="I448" s="11"/>
      <c r="J448" s="11"/>
    </row>
    <row r="449" spans="1:10" ht="15.75" customHeight="1" x14ac:dyDescent="0.25">
      <c r="A449" s="11"/>
      <c r="B449" s="4" t="str">
        <f>IF(A449="","",IFERROR(VLOOKUP(A449,Members!A$4:B$103,2,0),""))</f>
        <v/>
      </c>
      <c r="C449" s="6">
        <f t="shared" si="12"/>
        <v>0</v>
      </c>
      <c r="D449" s="11"/>
      <c r="E449" s="6" t="str">
        <f t="shared" si="13"/>
        <v/>
      </c>
      <c r="F449" s="11"/>
      <c r="G449" s="25" t="str">
        <f>IF(A449="","",IFERROR(SUMIFS($F$4:$F449,$A$4:$A449,A449),0))</f>
        <v/>
      </c>
      <c r="H449" s="11"/>
      <c r="I449" s="11"/>
      <c r="J449" s="11"/>
    </row>
    <row r="450" spans="1:10" ht="15.75" customHeight="1" x14ac:dyDescent="0.25">
      <c r="A450" s="11"/>
      <c r="B450" s="4" t="str">
        <f>IF(A450="","",IFERROR(VLOOKUP(A450,Members!A$4:B$103,2,0),""))</f>
        <v/>
      </c>
      <c r="C450" s="6">
        <f t="shared" si="12"/>
        <v>0</v>
      </c>
      <c r="D450" s="11"/>
      <c r="E450" s="6" t="str">
        <f t="shared" si="13"/>
        <v/>
      </c>
      <c r="F450" s="11"/>
      <c r="G450" s="25" t="str">
        <f>IF(A450="","",IFERROR(SUMIFS($F$4:$F450,$A$4:$A450,A450),0))</f>
        <v/>
      </c>
      <c r="H450" s="11"/>
      <c r="I450" s="11"/>
      <c r="J450" s="11"/>
    </row>
    <row r="451" spans="1:10" ht="15.75" customHeight="1" x14ac:dyDescent="0.25">
      <c r="A451" s="11"/>
      <c r="B451" s="4" t="str">
        <f>IF(A451="","",IFERROR(VLOOKUP(A451,Members!A$4:B$103,2,0),""))</f>
        <v/>
      </c>
      <c r="C451" s="6">
        <f t="shared" si="12"/>
        <v>0</v>
      </c>
      <c r="D451" s="11"/>
      <c r="E451" s="6" t="str">
        <f t="shared" si="13"/>
        <v/>
      </c>
      <c r="F451" s="11"/>
      <c r="G451" s="25" t="str">
        <f>IF(A451="","",IFERROR(SUMIFS($F$4:$F451,$A$4:$A451,A451),0))</f>
        <v/>
      </c>
      <c r="H451" s="11"/>
      <c r="I451" s="11"/>
      <c r="J451" s="11"/>
    </row>
    <row r="452" spans="1:10" ht="15.75" customHeight="1" x14ac:dyDescent="0.25">
      <c r="A452" s="11"/>
      <c r="B452" s="4" t="str">
        <f>IF(A452="","",IFERROR(VLOOKUP(A452,Members!A$4:B$103,2,0),""))</f>
        <v/>
      </c>
      <c r="C452" s="6">
        <f t="shared" ref="C452:C515" si="14">A452</f>
        <v>0</v>
      </c>
      <c r="D452" s="11"/>
      <c r="E452" s="6" t="str">
        <f t="shared" ref="E452:E515" si="15">IF(D452="","",TEXT(DATE(2024,D452,1),"MMMM"))</f>
        <v/>
      </c>
      <c r="F452" s="11"/>
      <c r="G452" s="25" t="str">
        <f>IF(A452="","",IFERROR(SUMIFS($F$4:$F452,$A$4:$A452,A452),0))</f>
        <v/>
      </c>
      <c r="H452" s="11"/>
      <c r="I452" s="11"/>
      <c r="J452" s="11"/>
    </row>
    <row r="453" spans="1:10" ht="15.75" customHeight="1" x14ac:dyDescent="0.25">
      <c r="A453" s="11"/>
      <c r="B453" s="4" t="str">
        <f>IF(A453="","",IFERROR(VLOOKUP(A453,Members!A$4:B$103,2,0),""))</f>
        <v/>
      </c>
      <c r="C453" s="6">
        <f t="shared" si="14"/>
        <v>0</v>
      </c>
      <c r="D453" s="11"/>
      <c r="E453" s="6" t="str">
        <f t="shared" si="15"/>
        <v/>
      </c>
      <c r="F453" s="11"/>
      <c r="G453" s="25" t="str">
        <f>IF(A453="","",IFERROR(SUMIFS($F$4:$F453,$A$4:$A453,A453),0))</f>
        <v/>
      </c>
      <c r="H453" s="11"/>
      <c r="I453" s="11"/>
      <c r="J453" s="11"/>
    </row>
    <row r="454" spans="1:10" ht="15.75" customHeight="1" x14ac:dyDescent="0.25">
      <c r="A454" s="11"/>
      <c r="B454" s="4" t="str">
        <f>IF(A454="","",IFERROR(VLOOKUP(A454,Members!A$4:B$103,2,0),""))</f>
        <v/>
      </c>
      <c r="C454" s="6">
        <f t="shared" si="14"/>
        <v>0</v>
      </c>
      <c r="D454" s="11"/>
      <c r="E454" s="6" t="str">
        <f t="shared" si="15"/>
        <v/>
      </c>
      <c r="F454" s="11"/>
      <c r="G454" s="25" t="str">
        <f>IF(A454="","",IFERROR(SUMIFS($F$4:$F454,$A$4:$A454,A454),0))</f>
        <v/>
      </c>
      <c r="H454" s="11"/>
      <c r="I454" s="11"/>
      <c r="J454" s="11"/>
    </row>
    <row r="455" spans="1:10" ht="15.75" customHeight="1" x14ac:dyDescent="0.25">
      <c r="A455" s="11"/>
      <c r="B455" s="4" t="str">
        <f>IF(A455="","",IFERROR(VLOOKUP(A455,Members!A$4:B$103,2,0),""))</f>
        <v/>
      </c>
      <c r="C455" s="6">
        <f t="shared" si="14"/>
        <v>0</v>
      </c>
      <c r="D455" s="11"/>
      <c r="E455" s="6" t="str">
        <f t="shared" si="15"/>
        <v/>
      </c>
      <c r="F455" s="11"/>
      <c r="G455" s="25" t="str">
        <f>IF(A455="","",IFERROR(SUMIFS($F$4:$F455,$A$4:$A455,A455),0))</f>
        <v/>
      </c>
      <c r="H455" s="11"/>
      <c r="I455" s="11"/>
      <c r="J455" s="11"/>
    </row>
    <row r="456" spans="1:10" ht="15.75" customHeight="1" x14ac:dyDescent="0.25">
      <c r="A456" s="11"/>
      <c r="B456" s="4" t="str">
        <f>IF(A456="","",IFERROR(VLOOKUP(A456,Members!A$4:B$103,2,0),""))</f>
        <v/>
      </c>
      <c r="C456" s="6">
        <f t="shared" si="14"/>
        <v>0</v>
      </c>
      <c r="D456" s="11"/>
      <c r="E456" s="6" t="str">
        <f t="shared" si="15"/>
        <v/>
      </c>
      <c r="F456" s="11"/>
      <c r="G456" s="25" t="str">
        <f>IF(A456="","",IFERROR(SUMIFS($F$4:$F456,$A$4:$A456,A456),0))</f>
        <v/>
      </c>
      <c r="H456" s="11"/>
      <c r="I456" s="11"/>
      <c r="J456" s="11"/>
    </row>
    <row r="457" spans="1:10" ht="15.75" customHeight="1" x14ac:dyDescent="0.25">
      <c r="A457" s="11"/>
      <c r="B457" s="4" t="str">
        <f>IF(A457="","",IFERROR(VLOOKUP(A457,Members!A$4:B$103,2,0),""))</f>
        <v/>
      </c>
      <c r="C457" s="6">
        <f t="shared" si="14"/>
        <v>0</v>
      </c>
      <c r="D457" s="11"/>
      <c r="E457" s="6" t="str">
        <f t="shared" si="15"/>
        <v/>
      </c>
      <c r="F457" s="11"/>
      <c r="G457" s="25" t="str">
        <f>IF(A457="","",IFERROR(SUMIFS($F$4:$F457,$A$4:$A457,A457),0))</f>
        <v/>
      </c>
      <c r="H457" s="11"/>
      <c r="I457" s="11"/>
      <c r="J457" s="11"/>
    </row>
    <row r="458" spans="1:10" ht="15.75" customHeight="1" x14ac:dyDescent="0.25">
      <c r="A458" s="11"/>
      <c r="B458" s="4" t="str">
        <f>IF(A458="","",IFERROR(VLOOKUP(A458,Members!A$4:B$103,2,0),""))</f>
        <v/>
      </c>
      <c r="C458" s="6">
        <f t="shared" si="14"/>
        <v>0</v>
      </c>
      <c r="D458" s="11"/>
      <c r="E458" s="6" t="str">
        <f t="shared" si="15"/>
        <v/>
      </c>
      <c r="F458" s="11"/>
      <c r="G458" s="25" t="str">
        <f>IF(A458="","",IFERROR(SUMIFS($F$4:$F458,$A$4:$A458,A458),0))</f>
        <v/>
      </c>
      <c r="H458" s="11"/>
      <c r="I458" s="11"/>
      <c r="J458" s="11"/>
    </row>
    <row r="459" spans="1:10" ht="15.75" customHeight="1" x14ac:dyDescent="0.25">
      <c r="A459" s="11"/>
      <c r="B459" s="4" t="str">
        <f>IF(A459="","",IFERROR(VLOOKUP(A459,Members!A$4:B$103,2,0),""))</f>
        <v/>
      </c>
      <c r="C459" s="6">
        <f t="shared" si="14"/>
        <v>0</v>
      </c>
      <c r="D459" s="11"/>
      <c r="E459" s="6" t="str">
        <f t="shared" si="15"/>
        <v/>
      </c>
      <c r="F459" s="11"/>
      <c r="G459" s="25" t="str">
        <f>IF(A459="","",IFERROR(SUMIFS($F$4:$F459,$A$4:$A459,A459),0))</f>
        <v/>
      </c>
      <c r="H459" s="11"/>
      <c r="I459" s="11"/>
      <c r="J459" s="11"/>
    </row>
    <row r="460" spans="1:10" ht="15.75" customHeight="1" x14ac:dyDescent="0.25">
      <c r="A460" s="11"/>
      <c r="B460" s="4" t="str">
        <f>IF(A460="","",IFERROR(VLOOKUP(A460,Members!A$4:B$103,2,0),""))</f>
        <v/>
      </c>
      <c r="C460" s="6">
        <f t="shared" si="14"/>
        <v>0</v>
      </c>
      <c r="D460" s="11"/>
      <c r="E460" s="6" t="str">
        <f t="shared" si="15"/>
        <v/>
      </c>
      <c r="F460" s="11"/>
      <c r="G460" s="25" t="str">
        <f>IF(A460="","",IFERROR(SUMIFS($F$4:$F460,$A$4:$A460,A460),0))</f>
        <v/>
      </c>
      <c r="H460" s="11"/>
      <c r="I460" s="11"/>
      <c r="J460" s="11"/>
    </row>
    <row r="461" spans="1:10" ht="15.75" customHeight="1" x14ac:dyDescent="0.25">
      <c r="A461" s="11"/>
      <c r="B461" s="4" t="str">
        <f>IF(A461="","",IFERROR(VLOOKUP(A461,Members!A$4:B$103,2,0),""))</f>
        <v/>
      </c>
      <c r="C461" s="6">
        <f t="shared" si="14"/>
        <v>0</v>
      </c>
      <c r="D461" s="11"/>
      <c r="E461" s="6" t="str">
        <f t="shared" si="15"/>
        <v/>
      </c>
      <c r="F461" s="11"/>
      <c r="G461" s="25" t="str">
        <f>IF(A461="","",IFERROR(SUMIFS($F$4:$F461,$A$4:$A461,A461),0))</f>
        <v/>
      </c>
      <c r="H461" s="11"/>
      <c r="I461" s="11"/>
      <c r="J461" s="11"/>
    </row>
    <row r="462" spans="1:10" ht="15.75" customHeight="1" x14ac:dyDescent="0.25">
      <c r="A462" s="11"/>
      <c r="B462" s="4" t="str">
        <f>IF(A462="","",IFERROR(VLOOKUP(A462,Members!A$4:B$103,2,0),""))</f>
        <v/>
      </c>
      <c r="C462" s="6">
        <f t="shared" si="14"/>
        <v>0</v>
      </c>
      <c r="D462" s="11"/>
      <c r="E462" s="6" t="str">
        <f t="shared" si="15"/>
        <v/>
      </c>
      <c r="F462" s="11"/>
      <c r="G462" s="25" t="str">
        <f>IF(A462="","",IFERROR(SUMIFS($F$4:$F462,$A$4:$A462,A462),0))</f>
        <v/>
      </c>
      <c r="H462" s="11"/>
      <c r="I462" s="11"/>
      <c r="J462" s="11"/>
    </row>
    <row r="463" spans="1:10" ht="15.75" customHeight="1" x14ac:dyDescent="0.25">
      <c r="A463" s="11"/>
      <c r="B463" s="4" t="str">
        <f>IF(A463="","",IFERROR(VLOOKUP(A463,Members!A$4:B$103,2,0),""))</f>
        <v/>
      </c>
      <c r="C463" s="6">
        <f t="shared" si="14"/>
        <v>0</v>
      </c>
      <c r="D463" s="11"/>
      <c r="E463" s="6" t="str">
        <f t="shared" si="15"/>
        <v/>
      </c>
      <c r="F463" s="11"/>
      <c r="G463" s="25" t="str">
        <f>IF(A463="","",IFERROR(SUMIFS($F$4:$F463,$A$4:$A463,A463),0))</f>
        <v/>
      </c>
      <c r="H463" s="11"/>
      <c r="I463" s="11"/>
      <c r="J463" s="11"/>
    </row>
    <row r="464" spans="1:10" ht="15.75" customHeight="1" x14ac:dyDescent="0.25">
      <c r="A464" s="11"/>
      <c r="B464" s="4" t="str">
        <f>IF(A464="","",IFERROR(VLOOKUP(A464,Members!A$4:B$103,2,0),""))</f>
        <v/>
      </c>
      <c r="C464" s="6">
        <f t="shared" si="14"/>
        <v>0</v>
      </c>
      <c r="D464" s="11"/>
      <c r="E464" s="6" t="str">
        <f t="shared" si="15"/>
        <v/>
      </c>
      <c r="F464" s="11"/>
      <c r="G464" s="25" t="str">
        <f>IF(A464="","",IFERROR(SUMIFS($F$4:$F464,$A$4:$A464,A464),0))</f>
        <v/>
      </c>
      <c r="H464" s="11"/>
      <c r="I464" s="11"/>
      <c r="J464" s="11"/>
    </row>
    <row r="465" spans="1:10" ht="15.75" customHeight="1" x14ac:dyDescent="0.25">
      <c r="A465" s="11"/>
      <c r="B465" s="4" t="str">
        <f>IF(A465="","",IFERROR(VLOOKUP(A465,Members!A$4:B$103,2,0),""))</f>
        <v/>
      </c>
      <c r="C465" s="6">
        <f t="shared" si="14"/>
        <v>0</v>
      </c>
      <c r="D465" s="11"/>
      <c r="E465" s="6" t="str">
        <f t="shared" si="15"/>
        <v/>
      </c>
      <c r="F465" s="11"/>
      <c r="G465" s="25" t="str">
        <f>IF(A465="","",IFERROR(SUMIFS($F$4:$F465,$A$4:$A465,A465),0))</f>
        <v/>
      </c>
      <c r="H465" s="11"/>
      <c r="I465" s="11"/>
      <c r="J465" s="11"/>
    </row>
    <row r="466" spans="1:10" ht="15.75" customHeight="1" x14ac:dyDescent="0.25">
      <c r="A466" s="11"/>
      <c r="B466" s="4" t="str">
        <f>IF(A466="","",IFERROR(VLOOKUP(A466,Members!A$4:B$103,2,0),""))</f>
        <v/>
      </c>
      <c r="C466" s="6">
        <f t="shared" si="14"/>
        <v>0</v>
      </c>
      <c r="D466" s="11"/>
      <c r="E466" s="6" t="str">
        <f t="shared" si="15"/>
        <v/>
      </c>
      <c r="F466" s="11"/>
      <c r="G466" s="25" t="str">
        <f>IF(A466="","",IFERROR(SUMIFS($F$4:$F466,$A$4:$A466,A466),0))</f>
        <v/>
      </c>
      <c r="H466" s="11"/>
      <c r="I466" s="11"/>
      <c r="J466" s="11"/>
    </row>
    <row r="467" spans="1:10" ht="15.75" customHeight="1" x14ac:dyDescent="0.25">
      <c r="A467" s="11"/>
      <c r="B467" s="4" t="str">
        <f>IF(A467="","",IFERROR(VLOOKUP(A467,Members!A$4:B$103,2,0),""))</f>
        <v/>
      </c>
      <c r="C467" s="6">
        <f t="shared" si="14"/>
        <v>0</v>
      </c>
      <c r="D467" s="11"/>
      <c r="E467" s="6" t="str">
        <f t="shared" si="15"/>
        <v/>
      </c>
      <c r="F467" s="11"/>
      <c r="G467" s="25" t="str">
        <f>IF(A467="","",IFERROR(SUMIFS($F$4:$F467,$A$4:$A467,A467),0))</f>
        <v/>
      </c>
      <c r="H467" s="11"/>
      <c r="I467" s="11"/>
      <c r="J467" s="11"/>
    </row>
    <row r="468" spans="1:10" ht="15.75" customHeight="1" x14ac:dyDescent="0.25">
      <c r="A468" s="11"/>
      <c r="B468" s="4" t="str">
        <f>IF(A468="","",IFERROR(VLOOKUP(A468,Members!A$4:B$103,2,0),""))</f>
        <v/>
      </c>
      <c r="C468" s="6">
        <f t="shared" si="14"/>
        <v>0</v>
      </c>
      <c r="D468" s="11"/>
      <c r="E468" s="6" t="str">
        <f t="shared" si="15"/>
        <v/>
      </c>
      <c r="F468" s="11"/>
      <c r="G468" s="25" t="str">
        <f>IF(A468="","",IFERROR(SUMIFS($F$4:$F468,$A$4:$A468,A468),0))</f>
        <v/>
      </c>
      <c r="H468" s="11"/>
      <c r="I468" s="11"/>
      <c r="J468" s="11"/>
    </row>
    <row r="469" spans="1:10" ht="15.75" customHeight="1" x14ac:dyDescent="0.25">
      <c r="A469" s="11"/>
      <c r="B469" s="4" t="str">
        <f>IF(A469="","",IFERROR(VLOOKUP(A469,Members!A$4:B$103,2,0),""))</f>
        <v/>
      </c>
      <c r="C469" s="6">
        <f t="shared" si="14"/>
        <v>0</v>
      </c>
      <c r="D469" s="11"/>
      <c r="E469" s="6" t="str">
        <f t="shared" si="15"/>
        <v/>
      </c>
      <c r="F469" s="11"/>
      <c r="G469" s="25" t="str">
        <f>IF(A469="","",IFERROR(SUMIFS($F$4:$F469,$A$4:$A469,A469),0))</f>
        <v/>
      </c>
      <c r="H469" s="11"/>
      <c r="I469" s="11"/>
      <c r="J469" s="11"/>
    </row>
    <row r="470" spans="1:10" ht="15.75" customHeight="1" x14ac:dyDescent="0.25">
      <c r="A470" s="11"/>
      <c r="B470" s="4" t="str">
        <f>IF(A470="","",IFERROR(VLOOKUP(A470,Members!A$4:B$103,2,0),""))</f>
        <v/>
      </c>
      <c r="C470" s="6">
        <f t="shared" si="14"/>
        <v>0</v>
      </c>
      <c r="D470" s="11"/>
      <c r="E470" s="6" t="str">
        <f t="shared" si="15"/>
        <v/>
      </c>
      <c r="F470" s="11"/>
      <c r="G470" s="25" t="str">
        <f>IF(A470="","",IFERROR(SUMIFS($F$4:$F470,$A$4:$A470,A470),0))</f>
        <v/>
      </c>
      <c r="H470" s="11"/>
      <c r="I470" s="11"/>
      <c r="J470" s="11"/>
    </row>
    <row r="471" spans="1:10" ht="15.75" customHeight="1" x14ac:dyDescent="0.25">
      <c r="A471" s="11"/>
      <c r="B471" s="4" t="str">
        <f>IF(A471="","",IFERROR(VLOOKUP(A471,Members!A$4:B$103,2,0),""))</f>
        <v/>
      </c>
      <c r="C471" s="6">
        <f t="shared" si="14"/>
        <v>0</v>
      </c>
      <c r="D471" s="11"/>
      <c r="E471" s="6" t="str">
        <f t="shared" si="15"/>
        <v/>
      </c>
      <c r="F471" s="11"/>
      <c r="G471" s="25" t="str">
        <f>IF(A471="","",IFERROR(SUMIFS($F$4:$F471,$A$4:$A471,A471),0))</f>
        <v/>
      </c>
      <c r="H471" s="11"/>
      <c r="I471" s="11"/>
      <c r="J471" s="11"/>
    </row>
    <row r="472" spans="1:10" ht="15.75" customHeight="1" x14ac:dyDescent="0.25">
      <c r="A472" s="11"/>
      <c r="B472" s="4" t="str">
        <f>IF(A472="","",IFERROR(VLOOKUP(A472,Members!A$4:B$103,2,0),""))</f>
        <v/>
      </c>
      <c r="C472" s="6">
        <f t="shared" si="14"/>
        <v>0</v>
      </c>
      <c r="D472" s="11"/>
      <c r="E472" s="6" t="str">
        <f t="shared" si="15"/>
        <v/>
      </c>
      <c r="F472" s="11"/>
      <c r="G472" s="25" t="str">
        <f>IF(A472="","",IFERROR(SUMIFS($F$4:$F472,$A$4:$A472,A472),0))</f>
        <v/>
      </c>
      <c r="H472" s="11"/>
      <c r="I472" s="11"/>
      <c r="J472" s="11"/>
    </row>
    <row r="473" spans="1:10" ht="15.75" customHeight="1" x14ac:dyDescent="0.25">
      <c r="A473" s="11"/>
      <c r="B473" s="4" t="str">
        <f>IF(A473="","",IFERROR(VLOOKUP(A473,Members!A$4:B$103,2,0),""))</f>
        <v/>
      </c>
      <c r="C473" s="6">
        <f t="shared" si="14"/>
        <v>0</v>
      </c>
      <c r="D473" s="11"/>
      <c r="E473" s="6" t="str">
        <f t="shared" si="15"/>
        <v/>
      </c>
      <c r="F473" s="11"/>
      <c r="G473" s="25" t="str">
        <f>IF(A473="","",IFERROR(SUMIFS($F$4:$F473,$A$4:$A473,A473),0))</f>
        <v/>
      </c>
      <c r="H473" s="11"/>
      <c r="I473" s="11"/>
      <c r="J473" s="11"/>
    </row>
    <row r="474" spans="1:10" ht="15.75" customHeight="1" x14ac:dyDescent="0.25">
      <c r="A474" s="11"/>
      <c r="B474" s="4" t="str">
        <f>IF(A474="","",IFERROR(VLOOKUP(A474,Members!A$4:B$103,2,0),""))</f>
        <v/>
      </c>
      <c r="C474" s="6">
        <f t="shared" si="14"/>
        <v>0</v>
      </c>
      <c r="D474" s="11"/>
      <c r="E474" s="6" t="str">
        <f t="shared" si="15"/>
        <v/>
      </c>
      <c r="F474" s="11"/>
      <c r="G474" s="25" t="str">
        <f>IF(A474="","",IFERROR(SUMIFS($F$4:$F474,$A$4:$A474,A474),0))</f>
        <v/>
      </c>
      <c r="H474" s="11"/>
      <c r="I474" s="11"/>
      <c r="J474" s="11"/>
    </row>
    <row r="475" spans="1:10" ht="15.75" customHeight="1" x14ac:dyDescent="0.25">
      <c r="A475" s="11"/>
      <c r="B475" s="4" t="str">
        <f>IF(A475="","",IFERROR(VLOOKUP(A475,Members!A$4:B$103,2,0),""))</f>
        <v/>
      </c>
      <c r="C475" s="6">
        <f t="shared" si="14"/>
        <v>0</v>
      </c>
      <c r="D475" s="11"/>
      <c r="E475" s="6" t="str">
        <f t="shared" si="15"/>
        <v/>
      </c>
      <c r="F475" s="11"/>
      <c r="G475" s="25" t="str">
        <f>IF(A475="","",IFERROR(SUMIFS($F$4:$F475,$A$4:$A475,A475),0))</f>
        <v/>
      </c>
      <c r="H475" s="11"/>
      <c r="I475" s="11"/>
      <c r="J475" s="11"/>
    </row>
    <row r="476" spans="1:10" ht="15.75" customHeight="1" x14ac:dyDescent="0.25">
      <c r="A476" s="11"/>
      <c r="B476" s="4" t="str">
        <f>IF(A476="","",IFERROR(VLOOKUP(A476,Members!A$4:B$103,2,0),""))</f>
        <v/>
      </c>
      <c r="C476" s="6">
        <f t="shared" si="14"/>
        <v>0</v>
      </c>
      <c r="D476" s="11"/>
      <c r="E476" s="6" t="str">
        <f t="shared" si="15"/>
        <v/>
      </c>
      <c r="F476" s="11"/>
      <c r="G476" s="25" t="str">
        <f>IF(A476="","",IFERROR(SUMIFS($F$4:$F476,$A$4:$A476,A476),0))</f>
        <v/>
      </c>
      <c r="H476" s="11"/>
      <c r="I476" s="11"/>
      <c r="J476" s="11"/>
    </row>
    <row r="477" spans="1:10" ht="15.75" customHeight="1" x14ac:dyDescent="0.25">
      <c r="A477" s="11"/>
      <c r="B477" s="4" t="str">
        <f>IF(A477="","",IFERROR(VLOOKUP(A477,Members!A$4:B$103,2,0),""))</f>
        <v/>
      </c>
      <c r="C477" s="6">
        <f t="shared" si="14"/>
        <v>0</v>
      </c>
      <c r="D477" s="11"/>
      <c r="E477" s="6" t="str">
        <f t="shared" si="15"/>
        <v/>
      </c>
      <c r="F477" s="11"/>
      <c r="G477" s="25" t="str">
        <f>IF(A477="","",IFERROR(SUMIFS($F$4:$F477,$A$4:$A477,A477),0))</f>
        <v/>
      </c>
      <c r="H477" s="11"/>
      <c r="I477" s="11"/>
      <c r="J477" s="11"/>
    </row>
    <row r="478" spans="1:10" ht="15.75" customHeight="1" x14ac:dyDescent="0.25">
      <c r="A478" s="11"/>
      <c r="B478" s="4" t="str">
        <f>IF(A478="","",IFERROR(VLOOKUP(A478,Members!A$4:B$103,2,0),""))</f>
        <v/>
      </c>
      <c r="C478" s="6">
        <f t="shared" si="14"/>
        <v>0</v>
      </c>
      <c r="D478" s="11"/>
      <c r="E478" s="6" t="str">
        <f t="shared" si="15"/>
        <v/>
      </c>
      <c r="F478" s="11"/>
      <c r="G478" s="25" t="str">
        <f>IF(A478="","",IFERROR(SUMIFS($F$4:$F478,$A$4:$A478,A478),0))</f>
        <v/>
      </c>
      <c r="H478" s="11"/>
      <c r="I478" s="11"/>
      <c r="J478" s="11"/>
    </row>
    <row r="479" spans="1:10" ht="15.75" customHeight="1" x14ac:dyDescent="0.25">
      <c r="A479" s="11"/>
      <c r="B479" s="4" t="str">
        <f>IF(A479="","",IFERROR(VLOOKUP(A479,Members!A$4:B$103,2,0),""))</f>
        <v/>
      </c>
      <c r="C479" s="6">
        <f t="shared" si="14"/>
        <v>0</v>
      </c>
      <c r="D479" s="11"/>
      <c r="E479" s="6" t="str">
        <f t="shared" si="15"/>
        <v/>
      </c>
      <c r="F479" s="11"/>
      <c r="G479" s="25" t="str">
        <f>IF(A479="","",IFERROR(SUMIFS($F$4:$F479,$A$4:$A479,A479),0))</f>
        <v/>
      </c>
      <c r="H479" s="11"/>
      <c r="I479" s="11"/>
      <c r="J479" s="11"/>
    </row>
    <row r="480" spans="1:10" ht="15.75" customHeight="1" x14ac:dyDescent="0.25">
      <c r="A480" s="11"/>
      <c r="B480" s="4" t="str">
        <f>IF(A480="","",IFERROR(VLOOKUP(A480,Members!A$4:B$103,2,0),""))</f>
        <v/>
      </c>
      <c r="C480" s="6">
        <f t="shared" si="14"/>
        <v>0</v>
      </c>
      <c r="D480" s="11"/>
      <c r="E480" s="6" t="str">
        <f t="shared" si="15"/>
        <v/>
      </c>
      <c r="F480" s="11"/>
      <c r="G480" s="25" t="str">
        <f>IF(A480="","",IFERROR(SUMIFS($F$4:$F480,$A$4:$A480,A480),0))</f>
        <v/>
      </c>
      <c r="H480" s="11"/>
      <c r="I480" s="11"/>
      <c r="J480" s="11"/>
    </row>
    <row r="481" spans="1:10" ht="15.75" customHeight="1" x14ac:dyDescent="0.25">
      <c r="A481" s="11"/>
      <c r="B481" s="4" t="str">
        <f>IF(A481="","",IFERROR(VLOOKUP(A481,Members!A$4:B$103,2,0),""))</f>
        <v/>
      </c>
      <c r="C481" s="6">
        <f t="shared" si="14"/>
        <v>0</v>
      </c>
      <c r="D481" s="11"/>
      <c r="E481" s="6" t="str">
        <f t="shared" si="15"/>
        <v/>
      </c>
      <c r="F481" s="11"/>
      <c r="G481" s="25" t="str">
        <f>IF(A481="","",IFERROR(SUMIFS($F$4:$F481,$A$4:$A481,A481),0))</f>
        <v/>
      </c>
      <c r="H481" s="11"/>
      <c r="I481" s="11"/>
      <c r="J481" s="11"/>
    </row>
    <row r="482" spans="1:10" ht="15.75" customHeight="1" x14ac:dyDescent="0.25">
      <c r="A482" s="11"/>
      <c r="B482" s="4" t="str">
        <f>IF(A482="","",IFERROR(VLOOKUP(A482,Members!A$4:B$103,2,0),""))</f>
        <v/>
      </c>
      <c r="C482" s="6">
        <f t="shared" si="14"/>
        <v>0</v>
      </c>
      <c r="D482" s="11"/>
      <c r="E482" s="6" t="str">
        <f t="shared" si="15"/>
        <v/>
      </c>
      <c r="F482" s="11"/>
      <c r="G482" s="25" t="str">
        <f>IF(A482="","",IFERROR(SUMIFS($F$4:$F482,$A$4:$A482,A482),0))</f>
        <v/>
      </c>
      <c r="H482" s="11"/>
      <c r="I482" s="11"/>
      <c r="J482" s="11"/>
    </row>
    <row r="483" spans="1:10" ht="15.75" customHeight="1" x14ac:dyDescent="0.25">
      <c r="A483" s="11"/>
      <c r="B483" s="4" t="str">
        <f>IF(A483="","",IFERROR(VLOOKUP(A483,Members!A$4:B$103,2,0),""))</f>
        <v/>
      </c>
      <c r="C483" s="6">
        <f t="shared" si="14"/>
        <v>0</v>
      </c>
      <c r="D483" s="11"/>
      <c r="E483" s="6" t="str">
        <f t="shared" si="15"/>
        <v/>
      </c>
      <c r="F483" s="11"/>
      <c r="G483" s="25" t="str">
        <f>IF(A483="","",IFERROR(SUMIFS($F$4:$F483,$A$4:$A483,A483),0))</f>
        <v/>
      </c>
      <c r="H483" s="11"/>
      <c r="I483" s="11"/>
      <c r="J483" s="11"/>
    </row>
    <row r="484" spans="1:10" ht="15.75" customHeight="1" x14ac:dyDescent="0.25">
      <c r="A484" s="11"/>
      <c r="B484" s="4" t="str">
        <f>IF(A484="","",IFERROR(VLOOKUP(A484,Members!A$4:B$103,2,0),""))</f>
        <v/>
      </c>
      <c r="C484" s="6">
        <f t="shared" si="14"/>
        <v>0</v>
      </c>
      <c r="D484" s="11"/>
      <c r="E484" s="6" t="str">
        <f t="shared" si="15"/>
        <v/>
      </c>
      <c r="F484" s="11"/>
      <c r="G484" s="25" t="str">
        <f>IF(A484="","",IFERROR(SUMIFS($F$4:$F484,$A$4:$A484,A484),0))</f>
        <v/>
      </c>
      <c r="H484" s="11"/>
      <c r="I484" s="11"/>
      <c r="J484" s="11"/>
    </row>
    <row r="485" spans="1:10" ht="15.75" customHeight="1" x14ac:dyDescent="0.25">
      <c r="A485" s="11"/>
      <c r="B485" s="4" t="str">
        <f>IF(A485="","",IFERROR(VLOOKUP(A485,Members!A$4:B$103,2,0),""))</f>
        <v/>
      </c>
      <c r="C485" s="6">
        <f t="shared" si="14"/>
        <v>0</v>
      </c>
      <c r="D485" s="11"/>
      <c r="E485" s="6" t="str">
        <f t="shared" si="15"/>
        <v/>
      </c>
      <c r="F485" s="11"/>
      <c r="G485" s="25" t="str">
        <f>IF(A485="","",IFERROR(SUMIFS($F$4:$F485,$A$4:$A485,A485),0))</f>
        <v/>
      </c>
      <c r="H485" s="11"/>
      <c r="I485" s="11"/>
      <c r="J485" s="11"/>
    </row>
    <row r="486" spans="1:10" ht="15.75" customHeight="1" x14ac:dyDescent="0.25">
      <c r="A486" s="11"/>
      <c r="B486" s="4" t="str">
        <f>IF(A486="","",IFERROR(VLOOKUP(A486,Members!A$4:B$103,2,0),""))</f>
        <v/>
      </c>
      <c r="C486" s="6">
        <f t="shared" si="14"/>
        <v>0</v>
      </c>
      <c r="D486" s="11"/>
      <c r="E486" s="6" t="str">
        <f t="shared" si="15"/>
        <v/>
      </c>
      <c r="F486" s="11"/>
      <c r="G486" s="25" t="str">
        <f>IF(A486="","",IFERROR(SUMIFS($F$4:$F486,$A$4:$A486,A486),0))</f>
        <v/>
      </c>
      <c r="H486" s="11"/>
      <c r="I486" s="11"/>
      <c r="J486" s="11"/>
    </row>
    <row r="487" spans="1:10" ht="15.75" customHeight="1" x14ac:dyDescent="0.25">
      <c r="A487" s="11"/>
      <c r="B487" s="4" t="str">
        <f>IF(A487="","",IFERROR(VLOOKUP(A487,Members!A$4:B$103,2,0),""))</f>
        <v/>
      </c>
      <c r="C487" s="6">
        <f t="shared" si="14"/>
        <v>0</v>
      </c>
      <c r="D487" s="11"/>
      <c r="E487" s="6" t="str">
        <f t="shared" si="15"/>
        <v/>
      </c>
      <c r="F487" s="11"/>
      <c r="G487" s="25" t="str">
        <f>IF(A487="","",IFERROR(SUMIFS($F$4:$F487,$A$4:$A487,A487),0))</f>
        <v/>
      </c>
      <c r="H487" s="11"/>
      <c r="I487" s="11"/>
      <c r="J487" s="11"/>
    </row>
    <row r="488" spans="1:10" ht="15.75" customHeight="1" x14ac:dyDescent="0.25">
      <c r="A488" s="11"/>
      <c r="B488" s="4" t="str">
        <f>IF(A488="","",IFERROR(VLOOKUP(A488,Members!A$4:B$103,2,0),""))</f>
        <v/>
      </c>
      <c r="C488" s="6">
        <f t="shared" si="14"/>
        <v>0</v>
      </c>
      <c r="D488" s="11"/>
      <c r="E488" s="6" t="str">
        <f t="shared" si="15"/>
        <v/>
      </c>
      <c r="F488" s="11"/>
      <c r="G488" s="25" t="str">
        <f>IF(A488="","",IFERROR(SUMIFS($F$4:$F488,$A$4:$A488,A488),0))</f>
        <v/>
      </c>
      <c r="H488" s="11"/>
      <c r="I488" s="11"/>
      <c r="J488" s="11"/>
    </row>
    <row r="489" spans="1:10" ht="15.75" customHeight="1" x14ac:dyDescent="0.25">
      <c r="A489" s="11"/>
      <c r="B489" s="4" t="str">
        <f>IF(A489="","",IFERROR(VLOOKUP(A489,Members!A$4:B$103,2,0),""))</f>
        <v/>
      </c>
      <c r="C489" s="6">
        <f t="shared" si="14"/>
        <v>0</v>
      </c>
      <c r="D489" s="11"/>
      <c r="E489" s="6" t="str">
        <f t="shared" si="15"/>
        <v/>
      </c>
      <c r="F489" s="11"/>
      <c r="G489" s="25" t="str">
        <f>IF(A489="","",IFERROR(SUMIFS($F$4:$F489,$A$4:$A489,A489),0))</f>
        <v/>
      </c>
      <c r="H489" s="11"/>
      <c r="I489" s="11"/>
      <c r="J489" s="11"/>
    </row>
    <row r="490" spans="1:10" ht="15.75" customHeight="1" x14ac:dyDescent="0.25">
      <c r="A490" s="11"/>
      <c r="B490" s="4" t="str">
        <f>IF(A490="","",IFERROR(VLOOKUP(A490,Members!A$4:B$103,2,0),""))</f>
        <v/>
      </c>
      <c r="C490" s="6">
        <f t="shared" si="14"/>
        <v>0</v>
      </c>
      <c r="D490" s="11"/>
      <c r="E490" s="6" t="str">
        <f t="shared" si="15"/>
        <v/>
      </c>
      <c r="F490" s="11"/>
      <c r="G490" s="25" t="str">
        <f>IF(A490="","",IFERROR(SUMIFS($F$4:$F490,$A$4:$A490,A490),0))</f>
        <v/>
      </c>
      <c r="H490" s="11"/>
      <c r="I490" s="11"/>
      <c r="J490" s="11"/>
    </row>
    <row r="491" spans="1:10" ht="15.75" customHeight="1" x14ac:dyDescent="0.25">
      <c r="A491" s="11"/>
      <c r="B491" s="4" t="str">
        <f>IF(A491="","",IFERROR(VLOOKUP(A491,Members!A$4:B$103,2,0),""))</f>
        <v/>
      </c>
      <c r="C491" s="6">
        <f t="shared" si="14"/>
        <v>0</v>
      </c>
      <c r="D491" s="11"/>
      <c r="E491" s="6" t="str">
        <f t="shared" si="15"/>
        <v/>
      </c>
      <c r="F491" s="11"/>
      <c r="G491" s="25" t="str">
        <f>IF(A491="","",IFERROR(SUMIFS($F$4:$F491,$A$4:$A491,A491),0))</f>
        <v/>
      </c>
      <c r="H491" s="11"/>
      <c r="I491" s="11"/>
      <c r="J491" s="11"/>
    </row>
    <row r="492" spans="1:10" ht="15.75" customHeight="1" x14ac:dyDescent="0.25">
      <c r="A492" s="11"/>
      <c r="B492" s="4" t="str">
        <f>IF(A492="","",IFERROR(VLOOKUP(A492,Members!A$4:B$103,2,0),""))</f>
        <v/>
      </c>
      <c r="C492" s="6">
        <f t="shared" si="14"/>
        <v>0</v>
      </c>
      <c r="D492" s="11"/>
      <c r="E492" s="6" t="str">
        <f t="shared" si="15"/>
        <v/>
      </c>
      <c r="F492" s="11"/>
      <c r="G492" s="25" t="str">
        <f>IF(A492="","",IFERROR(SUMIFS($F$4:$F492,$A$4:$A492,A492),0))</f>
        <v/>
      </c>
      <c r="H492" s="11"/>
      <c r="I492" s="11"/>
      <c r="J492" s="11"/>
    </row>
    <row r="493" spans="1:10" ht="15.75" customHeight="1" x14ac:dyDescent="0.25">
      <c r="A493" s="11"/>
      <c r="B493" s="4" t="str">
        <f>IF(A493="","",IFERROR(VLOOKUP(A493,Members!A$4:B$103,2,0),""))</f>
        <v/>
      </c>
      <c r="C493" s="6">
        <f t="shared" si="14"/>
        <v>0</v>
      </c>
      <c r="D493" s="11"/>
      <c r="E493" s="6" t="str">
        <f t="shared" si="15"/>
        <v/>
      </c>
      <c r="F493" s="11"/>
      <c r="G493" s="25" t="str">
        <f>IF(A493="","",IFERROR(SUMIFS($F$4:$F493,$A$4:$A493,A493),0))</f>
        <v/>
      </c>
      <c r="H493" s="11"/>
      <c r="I493" s="11"/>
      <c r="J493" s="11"/>
    </row>
    <row r="494" spans="1:10" ht="15.75" customHeight="1" x14ac:dyDescent="0.25">
      <c r="A494" s="11"/>
      <c r="B494" s="4" t="str">
        <f>IF(A494="","",IFERROR(VLOOKUP(A494,Members!A$4:B$103,2,0),""))</f>
        <v/>
      </c>
      <c r="C494" s="6">
        <f t="shared" si="14"/>
        <v>0</v>
      </c>
      <c r="D494" s="11"/>
      <c r="E494" s="6" t="str">
        <f t="shared" si="15"/>
        <v/>
      </c>
      <c r="F494" s="11"/>
      <c r="G494" s="25" t="str">
        <f>IF(A494="","",IFERROR(SUMIFS($F$4:$F494,$A$4:$A494,A494),0))</f>
        <v/>
      </c>
      <c r="H494" s="11"/>
      <c r="I494" s="11"/>
      <c r="J494" s="11"/>
    </row>
    <row r="495" spans="1:10" ht="15.75" customHeight="1" x14ac:dyDescent="0.25">
      <c r="A495" s="11"/>
      <c r="B495" s="4" t="str">
        <f>IF(A495="","",IFERROR(VLOOKUP(A495,Members!A$4:B$103,2,0),""))</f>
        <v/>
      </c>
      <c r="C495" s="6">
        <f t="shared" si="14"/>
        <v>0</v>
      </c>
      <c r="D495" s="11"/>
      <c r="E495" s="6" t="str">
        <f t="shared" si="15"/>
        <v/>
      </c>
      <c r="F495" s="11"/>
      <c r="G495" s="25" t="str">
        <f>IF(A495="","",IFERROR(SUMIFS($F$4:$F495,$A$4:$A495,A495),0))</f>
        <v/>
      </c>
      <c r="H495" s="11"/>
      <c r="I495" s="11"/>
      <c r="J495" s="11"/>
    </row>
    <row r="496" spans="1:10" ht="15.75" customHeight="1" x14ac:dyDescent="0.25">
      <c r="A496" s="11"/>
      <c r="B496" s="4" t="str">
        <f>IF(A496="","",IFERROR(VLOOKUP(A496,Members!A$4:B$103,2,0),""))</f>
        <v/>
      </c>
      <c r="C496" s="6">
        <f t="shared" si="14"/>
        <v>0</v>
      </c>
      <c r="D496" s="11"/>
      <c r="E496" s="6" t="str">
        <f t="shared" si="15"/>
        <v/>
      </c>
      <c r="F496" s="11"/>
      <c r="G496" s="25" t="str">
        <f>IF(A496="","",IFERROR(SUMIFS($F$4:$F496,$A$4:$A496,A496),0))</f>
        <v/>
      </c>
      <c r="H496" s="11"/>
      <c r="I496" s="11"/>
      <c r="J496" s="11"/>
    </row>
    <row r="497" spans="1:10" ht="15.75" customHeight="1" x14ac:dyDescent="0.25">
      <c r="A497" s="11"/>
      <c r="B497" s="4" t="str">
        <f>IF(A497="","",IFERROR(VLOOKUP(A497,Members!A$4:B$103,2,0),""))</f>
        <v/>
      </c>
      <c r="C497" s="6">
        <f t="shared" si="14"/>
        <v>0</v>
      </c>
      <c r="D497" s="11"/>
      <c r="E497" s="6" t="str">
        <f t="shared" si="15"/>
        <v/>
      </c>
      <c r="F497" s="11"/>
      <c r="G497" s="25" t="str">
        <f>IF(A497="","",IFERROR(SUMIFS($F$4:$F497,$A$4:$A497,A497),0))</f>
        <v/>
      </c>
      <c r="H497" s="11"/>
      <c r="I497" s="11"/>
      <c r="J497" s="11"/>
    </row>
    <row r="498" spans="1:10" ht="15.75" customHeight="1" x14ac:dyDescent="0.25">
      <c r="A498" s="11"/>
      <c r="B498" s="4" t="str">
        <f>IF(A498="","",IFERROR(VLOOKUP(A498,Members!A$4:B$103,2,0),""))</f>
        <v/>
      </c>
      <c r="C498" s="6">
        <f t="shared" si="14"/>
        <v>0</v>
      </c>
      <c r="D498" s="11"/>
      <c r="E498" s="6" t="str">
        <f t="shared" si="15"/>
        <v/>
      </c>
      <c r="F498" s="11"/>
      <c r="G498" s="25" t="str">
        <f>IF(A498="","",IFERROR(SUMIFS($F$4:$F498,$A$4:$A498,A498),0))</f>
        <v/>
      </c>
      <c r="H498" s="11"/>
      <c r="I498" s="11"/>
      <c r="J498" s="11"/>
    </row>
    <row r="499" spans="1:10" ht="15.75" customHeight="1" x14ac:dyDescent="0.25">
      <c r="A499" s="11"/>
      <c r="B499" s="4" t="str">
        <f>IF(A499="","",IFERROR(VLOOKUP(A499,Members!A$4:B$103,2,0),""))</f>
        <v/>
      </c>
      <c r="C499" s="6">
        <f t="shared" si="14"/>
        <v>0</v>
      </c>
      <c r="D499" s="11"/>
      <c r="E499" s="6" t="str">
        <f t="shared" si="15"/>
        <v/>
      </c>
      <c r="F499" s="11"/>
      <c r="G499" s="25" t="str">
        <f>IF(A499="","",IFERROR(SUMIFS($F$4:$F499,$A$4:$A499,A499),0))</f>
        <v/>
      </c>
      <c r="H499" s="11"/>
      <c r="I499" s="11"/>
      <c r="J499" s="11"/>
    </row>
    <row r="500" spans="1:10" ht="15.75" customHeight="1" x14ac:dyDescent="0.25">
      <c r="A500" s="11"/>
      <c r="B500" s="4" t="str">
        <f>IF(A500="","",IFERROR(VLOOKUP(A500,Members!A$4:B$103,2,0),""))</f>
        <v/>
      </c>
      <c r="C500" s="6">
        <f t="shared" si="14"/>
        <v>0</v>
      </c>
      <c r="D500" s="11"/>
      <c r="E500" s="6" t="str">
        <f t="shared" si="15"/>
        <v/>
      </c>
      <c r="F500" s="11"/>
      <c r="G500" s="25" t="str">
        <f>IF(A500="","",IFERROR(SUMIFS($F$4:$F500,$A$4:$A500,A500),0))</f>
        <v/>
      </c>
      <c r="H500" s="11"/>
      <c r="I500" s="11"/>
      <c r="J500" s="11"/>
    </row>
    <row r="501" spans="1:10" ht="15.75" customHeight="1" x14ac:dyDescent="0.25">
      <c r="A501" s="11"/>
      <c r="B501" s="4" t="str">
        <f>IF(A501="","",IFERROR(VLOOKUP(A501,Members!A$4:B$103,2,0),""))</f>
        <v/>
      </c>
      <c r="C501" s="6">
        <f t="shared" si="14"/>
        <v>0</v>
      </c>
      <c r="D501" s="11"/>
      <c r="E501" s="6" t="str">
        <f t="shared" si="15"/>
        <v/>
      </c>
      <c r="F501" s="11"/>
      <c r="G501" s="25" t="str">
        <f>IF(A501="","",IFERROR(SUMIFS($F$4:$F501,$A$4:$A501,A501),0))</f>
        <v/>
      </c>
      <c r="H501" s="11"/>
      <c r="I501" s="11"/>
      <c r="J501" s="11"/>
    </row>
    <row r="502" spans="1:10" ht="15.75" customHeight="1" x14ac:dyDescent="0.25">
      <c r="A502" s="11"/>
      <c r="B502" s="4" t="str">
        <f>IF(A502="","",IFERROR(VLOOKUP(A502,Members!A$4:B$103,2,0),""))</f>
        <v/>
      </c>
      <c r="C502" s="6">
        <f t="shared" si="14"/>
        <v>0</v>
      </c>
      <c r="D502" s="11"/>
      <c r="E502" s="6" t="str">
        <f t="shared" si="15"/>
        <v/>
      </c>
      <c r="F502" s="11"/>
      <c r="G502" s="25" t="str">
        <f>IF(A502="","",IFERROR(SUMIFS($F$4:$F502,$A$4:$A502,A502),0))</f>
        <v/>
      </c>
      <c r="H502" s="11"/>
      <c r="I502" s="11"/>
      <c r="J502" s="11"/>
    </row>
    <row r="503" spans="1:10" ht="15.75" customHeight="1" x14ac:dyDescent="0.25">
      <c r="A503" s="11"/>
      <c r="B503" s="4" t="str">
        <f>IF(A503="","",IFERROR(VLOOKUP(A503,Members!A$4:B$103,2,0),""))</f>
        <v/>
      </c>
      <c r="C503" s="6">
        <f t="shared" si="14"/>
        <v>0</v>
      </c>
      <c r="D503" s="11"/>
      <c r="E503" s="6" t="str">
        <f t="shared" si="15"/>
        <v/>
      </c>
      <c r="F503" s="11"/>
      <c r="G503" s="25" t="str">
        <f>IF(A503="","",IFERROR(SUMIFS($F$4:$F503,$A$4:$A503,A503),0))</f>
        <v/>
      </c>
      <c r="H503" s="11"/>
      <c r="I503" s="11"/>
      <c r="J503" s="11"/>
    </row>
    <row r="504" spans="1:10" ht="15.75" customHeight="1" x14ac:dyDescent="0.25">
      <c r="A504" s="11"/>
      <c r="B504" s="4" t="str">
        <f>IF(A504="","",IFERROR(VLOOKUP(A504,Members!A$4:B$103,2,0),""))</f>
        <v/>
      </c>
      <c r="C504" s="6">
        <f t="shared" si="14"/>
        <v>0</v>
      </c>
      <c r="D504" s="11"/>
      <c r="E504" s="6" t="str">
        <f t="shared" si="15"/>
        <v/>
      </c>
      <c r="F504" s="11"/>
      <c r="G504" s="25" t="str">
        <f>IF(A504="","",IFERROR(SUMIFS($F$4:$F504,$A$4:$A504,A504),0))</f>
        <v/>
      </c>
      <c r="H504" s="11"/>
      <c r="I504" s="11"/>
      <c r="J504" s="11"/>
    </row>
    <row r="505" spans="1:10" ht="15.75" customHeight="1" x14ac:dyDescent="0.25">
      <c r="A505" s="11"/>
      <c r="B505" s="4" t="str">
        <f>IF(A505="","",IFERROR(VLOOKUP(A505,Members!A$4:B$103,2,0),""))</f>
        <v/>
      </c>
      <c r="C505" s="6">
        <f t="shared" si="14"/>
        <v>0</v>
      </c>
      <c r="D505" s="11"/>
      <c r="E505" s="6" t="str">
        <f t="shared" si="15"/>
        <v/>
      </c>
      <c r="F505" s="11"/>
      <c r="G505" s="25" t="str">
        <f>IF(A505="","",IFERROR(SUMIFS($F$4:$F505,$A$4:$A505,A505),0))</f>
        <v/>
      </c>
      <c r="H505" s="11"/>
      <c r="I505" s="11"/>
      <c r="J505" s="11"/>
    </row>
    <row r="506" spans="1:10" ht="15.75" customHeight="1" x14ac:dyDescent="0.25">
      <c r="A506" s="11"/>
      <c r="B506" s="4" t="str">
        <f>IF(A506="","",IFERROR(VLOOKUP(A506,Members!A$4:B$103,2,0),""))</f>
        <v/>
      </c>
      <c r="C506" s="6">
        <f t="shared" si="14"/>
        <v>0</v>
      </c>
      <c r="D506" s="11"/>
      <c r="E506" s="6" t="str">
        <f t="shared" si="15"/>
        <v/>
      </c>
      <c r="F506" s="11"/>
      <c r="G506" s="25" t="str">
        <f>IF(A506="","",IFERROR(SUMIFS($F$4:$F506,$A$4:$A506,A506),0))</f>
        <v/>
      </c>
      <c r="H506" s="11"/>
      <c r="I506" s="11"/>
      <c r="J506" s="11"/>
    </row>
    <row r="507" spans="1:10" ht="15.75" customHeight="1" x14ac:dyDescent="0.25">
      <c r="A507" s="11"/>
      <c r="B507" s="4" t="str">
        <f>IF(A507="","",IFERROR(VLOOKUP(A507,Members!A$4:B$103,2,0),""))</f>
        <v/>
      </c>
      <c r="C507" s="6">
        <f t="shared" si="14"/>
        <v>0</v>
      </c>
      <c r="D507" s="11"/>
      <c r="E507" s="6" t="str">
        <f t="shared" si="15"/>
        <v/>
      </c>
      <c r="F507" s="11"/>
      <c r="G507" s="25" t="str">
        <f>IF(A507="","",IFERROR(SUMIFS($F$4:$F507,$A$4:$A507,A507),0))</f>
        <v/>
      </c>
      <c r="H507" s="11"/>
      <c r="I507" s="11"/>
      <c r="J507" s="11"/>
    </row>
    <row r="508" spans="1:10" ht="15.75" customHeight="1" x14ac:dyDescent="0.25">
      <c r="A508" s="11"/>
      <c r="B508" s="4" t="str">
        <f>IF(A508="","",IFERROR(VLOOKUP(A508,Members!A$4:B$103,2,0),""))</f>
        <v/>
      </c>
      <c r="C508" s="6">
        <f t="shared" si="14"/>
        <v>0</v>
      </c>
      <c r="D508" s="11"/>
      <c r="E508" s="6" t="str">
        <f t="shared" si="15"/>
        <v/>
      </c>
      <c r="F508" s="11"/>
      <c r="G508" s="25" t="str">
        <f>IF(A508="","",IFERROR(SUMIFS($F$4:$F508,$A$4:$A508,A508),0))</f>
        <v/>
      </c>
      <c r="H508" s="11"/>
      <c r="I508" s="11"/>
      <c r="J508" s="11"/>
    </row>
    <row r="509" spans="1:10" ht="15.75" customHeight="1" x14ac:dyDescent="0.25">
      <c r="A509" s="11"/>
      <c r="B509" s="4" t="str">
        <f>IF(A509="","",IFERROR(VLOOKUP(A509,Members!A$4:B$103,2,0),""))</f>
        <v/>
      </c>
      <c r="C509" s="6">
        <f t="shared" si="14"/>
        <v>0</v>
      </c>
      <c r="D509" s="11"/>
      <c r="E509" s="6" t="str">
        <f t="shared" si="15"/>
        <v/>
      </c>
      <c r="F509" s="11"/>
      <c r="G509" s="25" t="str">
        <f>IF(A509="","",IFERROR(SUMIFS($F$4:$F509,$A$4:$A509,A509),0))</f>
        <v/>
      </c>
      <c r="H509" s="11"/>
      <c r="I509" s="11"/>
      <c r="J509" s="11"/>
    </row>
    <row r="510" spans="1:10" ht="15.75" customHeight="1" x14ac:dyDescent="0.25">
      <c r="A510" s="11"/>
      <c r="B510" s="4" t="str">
        <f>IF(A510="","",IFERROR(VLOOKUP(A510,Members!A$4:B$103,2,0),""))</f>
        <v/>
      </c>
      <c r="C510" s="6">
        <f t="shared" si="14"/>
        <v>0</v>
      </c>
      <c r="D510" s="11"/>
      <c r="E510" s="6" t="str">
        <f t="shared" si="15"/>
        <v/>
      </c>
      <c r="F510" s="11"/>
      <c r="G510" s="25" t="str">
        <f>IF(A510="","",IFERROR(SUMIFS($F$4:$F510,$A$4:$A510,A510),0))</f>
        <v/>
      </c>
      <c r="H510" s="11"/>
      <c r="I510" s="11"/>
      <c r="J510" s="11"/>
    </row>
    <row r="511" spans="1:10" ht="15.75" customHeight="1" x14ac:dyDescent="0.25">
      <c r="A511" s="11"/>
      <c r="B511" s="4" t="str">
        <f>IF(A511="","",IFERROR(VLOOKUP(A511,Members!A$4:B$103,2,0),""))</f>
        <v/>
      </c>
      <c r="C511" s="6">
        <f t="shared" si="14"/>
        <v>0</v>
      </c>
      <c r="D511" s="11"/>
      <c r="E511" s="6" t="str">
        <f t="shared" si="15"/>
        <v/>
      </c>
      <c r="F511" s="11"/>
      <c r="G511" s="25" t="str">
        <f>IF(A511="","",IFERROR(SUMIFS($F$4:$F511,$A$4:$A511,A511),0))</f>
        <v/>
      </c>
      <c r="H511" s="11"/>
      <c r="I511" s="11"/>
      <c r="J511" s="11"/>
    </row>
    <row r="512" spans="1:10" ht="15.75" customHeight="1" x14ac:dyDescent="0.25">
      <c r="A512" s="11"/>
      <c r="B512" s="4" t="str">
        <f>IF(A512="","",IFERROR(VLOOKUP(A512,Members!A$4:B$103,2,0),""))</f>
        <v/>
      </c>
      <c r="C512" s="6">
        <f t="shared" si="14"/>
        <v>0</v>
      </c>
      <c r="D512" s="11"/>
      <c r="E512" s="6" t="str">
        <f t="shared" si="15"/>
        <v/>
      </c>
      <c r="F512" s="11"/>
      <c r="G512" s="25" t="str">
        <f>IF(A512="","",IFERROR(SUMIFS($F$4:$F512,$A$4:$A512,A512),0))</f>
        <v/>
      </c>
      <c r="H512" s="11"/>
      <c r="I512" s="11"/>
      <c r="J512" s="11"/>
    </row>
    <row r="513" spans="1:10" ht="15.75" customHeight="1" x14ac:dyDescent="0.25">
      <c r="A513" s="11"/>
      <c r="B513" s="4" t="str">
        <f>IF(A513="","",IFERROR(VLOOKUP(A513,Members!A$4:B$103,2,0),""))</f>
        <v/>
      </c>
      <c r="C513" s="6">
        <f t="shared" si="14"/>
        <v>0</v>
      </c>
      <c r="D513" s="11"/>
      <c r="E513" s="6" t="str">
        <f t="shared" si="15"/>
        <v/>
      </c>
      <c r="F513" s="11"/>
      <c r="G513" s="25" t="str">
        <f>IF(A513="","",IFERROR(SUMIFS($F$4:$F513,$A$4:$A513,A513),0))</f>
        <v/>
      </c>
      <c r="H513" s="11"/>
      <c r="I513" s="11"/>
      <c r="J513" s="11"/>
    </row>
    <row r="514" spans="1:10" ht="15.75" customHeight="1" x14ac:dyDescent="0.25">
      <c r="A514" s="11"/>
      <c r="B514" s="4" t="str">
        <f>IF(A514="","",IFERROR(VLOOKUP(A514,Members!A$4:B$103,2,0),""))</f>
        <v/>
      </c>
      <c r="C514" s="6">
        <f t="shared" si="14"/>
        <v>0</v>
      </c>
      <c r="D514" s="11"/>
      <c r="E514" s="6" t="str">
        <f t="shared" si="15"/>
        <v/>
      </c>
      <c r="F514" s="11"/>
      <c r="G514" s="25" t="str">
        <f>IF(A514="","",IFERROR(SUMIFS($F$4:$F514,$A$4:$A514,A514),0))</f>
        <v/>
      </c>
      <c r="H514" s="11"/>
      <c r="I514" s="11"/>
      <c r="J514" s="11"/>
    </row>
    <row r="515" spans="1:10" ht="15.75" customHeight="1" x14ac:dyDescent="0.25">
      <c r="A515" s="11"/>
      <c r="B515" s="4" t="str">
        <f>IF(A515="","",IFERROR(VLOOKUP(A515,Members!A$4:B$103,2,0),""))</f>
        <v/>
      </c>
      <c r="C515" s="6">
        <f t="shared" si="14"/>
        <v>0</v>
      </c>
      <c r="D515" s="11"/>
      <c r="E515" s="6" t="str">
        <f t="shared" si="15"/>
        <v/>
      </c>
      <c r="F515" s="11"/>
      <c r="G515" s="25" t="str">
        <f>IF(A515="","",IFERROR(SUMIFS($F$4:$F515,$A$4:$A515,A515),0))</f>
        <v/>
      </c>
      <c r="H515" s="11"/>
      <c r="I515" s="11"/>
      <c r="J515" s="11"/>
    </row>
    <row r="516" spans="1:10" ht="15.75" customHeight="1" x14ac:dyDescent="0.25">
      <c r="A516" s="11"/>
      <c r="B516" s="4" t="str">
        <f>IF(A516="","",IFERROR(VLOOKUP(A516,Members!A$4:B$103,2,0),""))</f>
        <v/>
      </c>
      <c r="C516" s="6">
        <f t="shared" ref="C516:C579" si="16">A516</f>
        <v>0</v>
      </c>
      <c r="D516" s="11"/>
      <c r="E516" s="6" t="str">
        <f t="shared" ref="E516:E579" si="17">IF(D516="","",TEXT(DATE(2024,D516,1),"MMMM"))</f>
        <v/>
      </c>
      <c r="F516" s="11"/>
      <c r="G516" s="25" t="str">
        <f>IF(A516="","",IFERROR(SUMIFS($F$4:$F516,$A$4:$A516,A516),0))</f>
        <v/>
      </c>
      <c r="H516" s="11"/>
      <c r="I516" s="11"/>
      <c r="J516" s="11"/>
    </row>
    <row r="517" spans="1:10" ht="15.75" customHeight="1" x14ac:dyDescent="0.25">
      <c r="A517" s="11"/>
      <c r="B517" s="4" t="str">
        <f>IF(A517="","",IFERROR(VLOOKUP(A517,Members!A$4:B$103,2,0),""))</f>
        <v/>
      </c>
      <c r="C517" s="6">
        <f t="shared" si="16"/>
        <v>0</v>
      </c>
      <c r="D517" s="11"/>
      <c r="E517" s="6" t="str">
        <f t="shared" si="17"/>
        <v/>
      </c>
      <c r="F517" s="11"/>
      <c r="G517" s="25" t="str">
        <f>IF(A517="","",IFERROR(SUMIFS($F$4:$F517,$A$4:$A517,A517),0))</f>
        <v/>
      </c>
      <c r="H517" s="11"/>
      <c r="I517" s="11"/>
      <c r="J517" s="11"/>
    </row>
    <row r="518" spans="1:10" ht="15.75" customHeight="1" x14ac:dyDescent="0.25">
      <c r="A518" s="11"/>
      <c r="B518" s="4" t="str">
        <f>IF(A518="","",IFERROR(VLOOKUP(A518,Members!A$4:B$103,2,0),""))</f>
        <v/>
      </c>
      <c r="C518" s="6">
        <f t="shared" si="16"/>
        <v>0</v>
      </c>
      <c r="D518" s="11"/>
      <c r="E518" s="6" t="str">
        <f t="shared" si="17"/>
        <v/>
      </c>
      <c r="F518" s="11"/>
      <c r="G518" s="25" t="str">
        <f>IF(A518="","",IFERROR(SUMIFS($F$4:$F518,$A$4:$A518,A518),0))</f>
        <v/>
      </c>
      <c r="H518" s="11"/>
      <c r="I518" s="11"/>
      <c r="J518" s="11"/>
    </row>
    <row r="519" spans="1:10" ht="15.75" customHeight="1" x14ac:dyDescent="0.25">
      <c r="A519" s="11"/>
      <c r="B519" s="4" t="str">
        <f>IF(A519="","",IFERROR(VLOOKUP(A519,Members!A$4:B$103,2,0),""))</f>
        <v/>
      </c>
      <c r="C519" s="6">
        <f t="shared" si="16"/>
        <v>0</v>
      </c>
      <c r="D519" s="11"/>
      <c r="E519" s="6" t="str">
        <f t="shared" si="17"/>
        <v/>
      </c>
      <c r="F519" s="11"/>
      <c r="G519" s="25" t="str">
        <f>IF(A519="","",IFERROR(SUMIFS($F$4:$F519,$A$4:$A519,A519),0))</f>
        <v/>
      </c>
      <c r="H519" s="11"/>
      <c r="I519" s="11"/>
      <c r="J519" s="11"/>
    </row>
    <row r="520" spans="1:10" ht="15.75" customHeight="1" x14ac:dyDescent="0.25">
      <c r="A520" s="11"/>
      <c r="B520" s="4" t="str">
        <f>IF(A520="","",IFERROR(VLOOKUP(A520,Members!A$4:B$103,2,0),""))</f>
        <v/>
      </c>
      <c r="C520" s="6">
        <f t="shared" si="16"/>
        <v>0</v>
      </c>
      <c r="D520" s="11"/>
      <c r="E520" s="6" t="str">
        <f t="shared" si="17"/>
        <v/>
      </c>
      <c r="F520" s="11"/>
      <c r="G520" s="25" t="str">
        <f>IF(A520="","",IFERROR(SUMIFS($F$4:$F520,$A$4:$A520,A520),0))</f>
        <v/>
      </c>
      <c r="H520" s="11"/>
      <c r="I520" s="11"/>
      <c r="J520" s="11"/>
    </row>
    <row r="521" spans="1:10" ht="15.75" customHeight="1" x14ac:dyDescent="0.25">
      <c r="A521" s="11"/>
      <c r="B521" s="4" t="str">
        <f>IF(A521="","",IFERROR(VLOOKUP(A521,Members!A$4:B$103,2,0),""))</f>
        <v/>
      </c>
      <c r="C521" s="6">
        <f t="shared" si="16"/>
        <v>0</v>
      </c>
      <c r="D521" s="11"/>
      <c r="E521" s="6" t="str">
        <f t="shared" si="17"/>
        <v/>
      </c>
      <c r="F521" s="11"/>
      <c r="G521" s="25" t="str">
        <f>IF(A521="","",IFERROR(SUMIFS($F$4:$F521,$A$4:$A521,A521),0))</f>
        <v/>
      </c>
      <c r="H521" s="11"/>
      <c r="I521" s="11"/>
      <c r="J521" s="11"/>
    </row>
    <row r="522" spans="1:10" ht="15.75" customHeight="1" x14ac:dyDescent="0.25">
      <c r="A522" s="11"/>
      <c r="B522" s="4" t="str">
        <f>IF(A522="","",IFERROR(VLOOKUP(A522,Members!A$4:B$103,2,0),""))</f>
        <v/>
      </c>
      <c r="C522" s="6">
        <f t="shared" si="16"/>
        <v>0</v>
      </c>
      <c r="D522" s="11"/>
      <c r="E522" s="6" t="str">
        <f t="shared" si="17"/>
        <v/>
      </c>
      <c r="F522" s="11"/>
      <c r="G522" s="25" t="str">
        <f>IF(A522="","",IFERROR(SUMIFS($F$4:$F522,$A$4:$A522,A522),0))</f>
        <v/>
      </c>
      <c r="H522" s="11"/>
      <c r="I522" s="11"/>
      <c r="J522" s="11"/>
    </row>
    <row r="523" spans="1:10" ht="15.75" customHeight="1" x14ac:dyDescent="0.25">
      <c r="A523" s="11"/>
      <c r="B523" s="4" t="str">
        <f>IF(A523="","",IFERROR(VLOOKUP(A523,Members!A$4:B$103,2,0),""))</f>
        <v/>
      </c>
      <c r="C523" s="6">
        <f t="shared" si="16"/>
        <v>0</v>
      </c>
      <c r="D523" s="11"/>
      <c r="E523" s="6" t="str">
        <f t="shared" si="17"/>
        <v/>
      </c>
      <c r="F523" s="11"/>
      <c r="G523" s="25" t="str">
        <f>IF(A523="","",IFERROR(SUMIFS($F$4:$F523,$A$4:$A523,A523),0))</f>
        <v/>
      </c>
      <c r="H523" s="11"/>
      <c r="I523" s="11"/>
      <c r="J523" s="11"/>
    </row>
    <row r="524" spans="1:10" ht="15.75" customHeight="1" x14ac:dyDescent="0.25">
      <c r="A524" s="11"/>
      <c r="B524" s="4" t="str">
        <f>IF(A524="","",IFERROR(VLOOKUP(A524,Members!A$4:B$103,2,0),""))</f>
        <v/>
      </c>
      <c r="C524" s="6">
        <f t="shared" si="16"/>
        <v>0</v>
      </c>
      <c r="D524" s="11"/>
      <c r="E524" s="6" t="str">
        <f t="shared" si="17"/>
        <v/>
      </c>
      <c r="F524" s="11"/>
      <c r="G524" s="25" t="str">
        <f>IF(A524="","",IFERROR(SUMIFS($F$4:$F524,$A$4:$A524,A524),0))</f>
        <v/>
      </c>
      <c r="H524" s="11"/>
      <c r="I524" s="11"/>
      <c r="J524" s="11"/>
    </row>
    <row r="525" spans="1:10" ht="15.75" customHeight="1" x14ac:dyDescent="0.25">
      <c r="A525" s="11"/>
      <c r="B525" s="4" t="str">
        <f>IF(A525="","",IFERROR(VLOOKUP(A525,Members!A$4:B$103,2,0),""))</f>
        <v/>
      </c>
      <c r="C525" s="6">
        <f t="shared" si="16"/>
        <v>0</v>
      </c>
      <c r="D525" s="11"/>
      <c r="E525" s="6" t="str">
        <f t="shared" si="17"/>
        <v/>
      </c>
      <c r="F525" s="11"/>
      <c r="G525" s="25" t="str">
        <f>IF(A525="","",IFERROR(SUMIFS($F$4:$F525,$A$4:$A525,A525),0))</f>
        <v/>
      </c>
      <c r="H525" s="11"/>
      <c r="I525" s="11"/>
      <c r="J525" s="11"/>
    </row>
    <row r="526" spans="1:10" ht="15.75" customHeight="1" x14ac:dyDescent="0.25">
      <c r="A526" s="11"/>
      <c r="B526" s="4" t="str">
        <f>IF(A526="","",IFERROR(VLOOKUP(A526,Members!A$4:B$103,2,0),""))</f>
        <v/>
      </c>
      <c r="C526" s="6">
        <f t="shared" si="16"/>
        <v>0</v>
      </c>
      <c r="D526" s="11"/>
      <c r="E526" s="6" t="str">
        <f t="shared" si="17"/>
        <v/>
      </c>
      <c r="F526" s="11"/>
      <c r="G526" s="25" t="str">
        <f>IF(A526="","",IFERROR(SUMIFS($F$4:$F526,$A$4:$A526,A526),0))</f>
        <v/>
      </c>
      <c r="H526" s="11"/>
      <c r="I526" s="11"/>
      <c r="J526" s="11"/>
    </row>
    <row r="527" spans="1:10" ht="15.75" customHeight="1" x14ac:dyDescent="0.25">
      <c r="A527" s="11"/>
      <c r="B527" s="4" t="str">
        <f>IF(A527="","",IFERROR(VLOOKUP(A527,Members!A$4:B$103,2,0),""))</f>
        <v/>
      </c>
      <c r="C527" s="6">
        <f t="shared" si="16"/>
        <v>0</v>
      </c>
      <c r="D527" s="11"/>
      <c r="E527" s="6" t="str">
        <f t="shared" si="17"/>
        <v/>
      </c>
      <c r="F527" s="11"/>
      <c r="G527" s="25" t="str">
        <f>IF(A527="","",IFERROR(SUMIFS($F$4:$F527,$A$4:$A527,A527),0))</f>
        <v/>
      </c>
      <c r="H527" s="11"/>
      <c r="I527" s="11"/>
      <c r="J527" s="11"/>
    </row>
    <row r="528" spans="1:10" ht="15.75" customHeight="1" x14ac:dyDescent="0.25">
      <c r="A528" s="11"/>
      <c r="B528" s="4" t="str">
        <f>IF(A528="","",IFERROR(VLOOKUP(A528,Members!A$4:B$103,2,0),""))</f>
        <v/>
      </c>
      <c r="C528" s="6">
        <f t="shared" si="16"/>
        <v>0</v>
      </c>
      <c r="D528" s="11"/>
      <c r="E528" s="6" t="str">
        <f t="shared" si="17"/>
        <v/>
      </c>
      <c r="F528" s="11"/>
      <c r="G528" s="25" t="str">
        <f>IF(A528="","",IFERROR(SUMIFS($F$4:$F528,$A$4:$A528,A528),0))</f>
        <v/>
      </c>
      <c r="H528" s="11"/>
      <c r="I528" s="11"/>
      <c r="J528" s="11"/>
    </row>
    <row r="529" spans="1:10" ht="15.75" customHeight="1" x14ac:dyDescent="0.25">
      <c r="A529" s="11"/>
      <c r="B529" s="4" t="str">
        <f>IF(A529="","",IFERROR(VLOOKUP(A529,Members!A$4:B$103,2,0),""))</f>
        <v/>
      </c>
      <c r="C529" s="6">
        <f t="shared" si="16"/>
        <v>0</v>
      </c>
      <c r="D529" s="11"/>
      <c r="E529" s="6" t="str">
        <f t="shared" si="17"/>
        <v/>
      </c>
      <c r="F529" s="11"/>
      <c r="G529" s="25" t="str">
        <f>IF(A529="","",IFERROR(SUMIFS($F$4:$F529,$A$4:$A529,A529),0))</f>
        <v/>
      </c>
      <c r="H529" s="11"/>
      <c r="I529" s="11"/>
      <c r="J529" s="11"/>
    </row>
    <row r="530" spans="1:10" ht="15.75" customHeight="1" x14ac:dyDescent="0.25">
      <c r="A530" s="11"/>
      <c r="B530" s="4" t="str">
        <f>IF(A530="","",IFERROR(VLOOKUP(A530,Members!A$4:B$103,2,0),""))</f>
        <v/>
      </c>
      <c r="C530" s="6">
        <f t="shared" si="16"/>
        <v>0</v>
      </c>
      <c r="D530" s="11"/>
      <c r="E530" s="6" t="str">
        <f t="shared" si="17"/>
        <v/>
      </c>
      <c r="F530" s="11"/>
      <c r="G530" s="25" t="str">
        <f>IF(A530="","",IFERROR(SUMIFS($F$4:$F530,$A$4:$A530,A530),0))</f>
        <v/>
      </c>
      <c r="H530" s="11"/>
      <c r="I530" s="11"/>
      <c r="J530" s="11"/>
    </row>
    <row r="531" spans="1:10" ht="15.75" customHeight="1" x14ac:dyDescent="0.25">
      <c r="A531" s="11"/>
      <c r="B531" s="4" t="str">
        <f>IF(A531="","",IFERROR(VLOOKUP(A531,Members!A$4:B$103,2,0),""))</f>
        <v/>
      </c>
      <c r="C531" s="6">
        <f t="shared" si="16"/>
        <v>0</v>
      </c>
      <c r="D531" s="11"/>
      <c r="E531" s="6" t="str">
        <f t="shared" si="17"/>
        <v/>
      </c>
      <c r="F531" s="11"/>
      <c r="G531" s="25" t="str">
        <f>IF(A531="","",IFERROR(SUMIFS($F$4:$F531,$A$4:$A531,A531),0))</f>
        <v/>
      </c>
      <c r="H531" s="11"/>
      <c r="I531" s="11"/>
      <c r="J531" s="11"/>
    </row>
    <row r="532" spans="1:10" ht="15.75" customHeight="1" x14ac:dyDescent="0.25">
      <c r="A532" s="11"/>
      <c r="B532" s="4" t="str">
        <f>IF(A532="","",IFERROR(VLOOKUP(A532,Members!A$4:B$103,2,0),""))</f>
        <v/>
      </c>
      <c r="C532" s="6">
        <f t="shared" si="16"/>
        <v>0</v>
      </c>
      <c r="D532" s="11"/>
      <c r="E532" s="6" t="str">
        <f t="shared" si="17"/>
        <v/>
      </c>
      <c r="F532" s="11"/>
      <c r="G532" s="25" t="str">
        <f>IF(A532="","",IFERROR(SUMIFS($F$4:$F532,$A$4:$A532,A532),0))</f>
        <v/>
      </c>
      <c r="H532" s="11"/>
      <c r="I532" s="11"/>
      <c r="J532" s="11"/>
    </row>
    <row r="533" spans="1:10" ht="15.75" customHeight="1" x14ac:dyDescent="0.25">
      <c r="A533" s="11"/>
      <c r="B533" s="4" t="str">
        <f>IF(A533="","",IFERROR(VLOOKUP(A533,Members!A$4:B$103,2,0),""))</f>
        <v/>
      </c>
      <c r="C533" s="6">
        <f t="shared" si="16"/>
        <v>0</v>
      </c>
      <c r="D533" s="11"/>
      <c r="E533" s="6" t="str">
        <f t="shared" si="17"/>
        <v/>
      </c>
      <c r="F533" s="11"/>
      <c r="G533" s="25" t="str">
        <f>IF(A533="","",IFERROR(SUMIFS($F$4:$F533,$A$4:$A533,A533),0))</f>
        <v/>
      </c>
      <c r="H533" s="11"/>
      <c r="I533" s="11"/>
      <c r="J533" s="11"/>
    </row>
    <row r="534" spans="1:10" ht="15.75" customHeight="1" x14ac:dyDescent="0.25">
      <c r="A534" s="11"/>
      <c r="B534" s="4" t="str">
        <f>IF(A534="","",IFERROR(VLOOKUP(A534,Members!A$4:B$103,2,0),""))</f>
        <v/>
      </c>
      <c r="C534" s="6">
        <f t="shared" si="16"/>
        <v>0</v>
      </c>
      <c r="D534" s="11"/>
      <c r="E534" s="6" t="str">
        <f t="shared" si="17"/>
        <v/>
      </c>
      <c r="F534" s="11"/>
      <c r="G534" s="25" t="str">
        <f>IF(A534="","",IFERROR(SUMIFS($F$4:$F534,$A$4:$A534,A534),0))</f>
        <v/>
      </c>
      <c r="H534" s="11"/>
      <c r="I534" s="11"/>
      <c r="J534" s="11"/>
    </row>
    <row r="535" spans="1:10" ht="15.75" customHeight="1" x14ac:dyDescent="0.25">
      <c r="A535" s="11"/>
      <c r="B535" s="4" t="str">
        <f>IF(A535="","",IFERROR(VLOOKUP(A535,Members!A$4:B$103,2,0),""))</f>
        <v/>
      </c>
      <c r="C535" s="6">
        <f t="shared" si="16"/>
        <v>0</v>
      </c>
      <c r="D535" s="11"/>
      <c r="E535" s="6" t="str">
        <f t="shared" si="17"/>
        <v/>
      </c>
      <c r="F535" s="11"/>
      <c r="G535" s="25" t="str">
        <f>IF(A535="","",IFERROR(SUMIFS($F$4:$F535,$A$4:$A535,A535),0))</f>
        <v/>
      </c>
      <c r="H535" s="11"/>
      <c r="I535" s="11"/>
      <c r="J535" s="11"/>
    </row>
    <row r="536" spans="1:10" ht="15.75" customHeight="1" x14ac:dyDescent="0.25">
      <c r="A536" s="11"/>
      <c r="B536" s="4" t="str">
        <f>IF(A536="","",IFERROR(VLOOKUP(A536,Members!A$4:B$103,2,0),""))</f>
        <v/>
      </c>
      <c r="C536" s="6">
        <f t="shared" si="16"/>
        <v>0</v>
      </c>
      <c r="D536" s="11"/>
      <c r="E536" s="6" t="str">
        <f t="shared" si="17"/>
        <v/>
      </c>
      <c r="F536" s="11"/>
      <c r="G536" s="25" t="str">
        <f>IF(A536="","",IFERROR(SUMIFS($F$4:$F536,$A$4:$A536,A536),0))</f>
        <v/>
      </c>
      <c r="H536" s="11"/>
      <c r="I536" s="11"/>
      <c r="J536" s="11"/>
    </row>
    <row r="537" spans="1:10" ht="15.75" customHeight="1" x14ac:dyDescent="0.25">
      <c r="A537" s="11"/>
      <c r="B537" s="4" t="str">
        <f>IF(A537="","",IFERROR(VLOOKUP(A537,Members!A$4:B$103,2,0),""))</f>
        <v/>
      </c>
      <c r="C537" s="6">
        <f t="shared" si="16"/>
        <v>0</v>
      </c>
      <c r="D537" s="11"/>
      <c r="E537" s="6" t="str">
        <f t="shared" si="17"/>
        <v/>
      </c>
      <c r="F537" s="11"/>
      <c r="G537" s="25" t="str">
        <f>IF(A537="","",IFERROR(SUMIFS($F$4:$F537,$A$4:$A537,A537),0))</f>
        <v/>
      </c>
      <c r="H537" s="11"/>
      <c r="I537" s="11"/>
      <c r="J537" s="11"/>
    </row>
    <row r="538" spans="1:10" ht="15.75" customHeight="1" x14ac:dyDescent="0.25">
      <c r="A538" s="11"/>
      <c r="B538" s="4" t="str">
        <f>IF(A538="","",IFERROR(VLOOKUP(A538,Members!A$4:B$103,2,0),""))</f>
        <v/>
      </c>
      <c r="C538" s="6">
        <f t="shared" si="16"/>
        <v>0</v>
      </c>
      <c r="D538" s="11"/>
      <c r="E538" s="6" t="str">
        <f t="shared" si="17"/>
        <v/>
      </c>
      <c r="F538" s="11"/>
      <c r="G538" s="25" t="str">
        <f>IF(A538="","",IFERROR(SUMIFS($F$4:$F538,$A$4:$A538,A538),0))</f>
        <v/>
      </c>
      <c r="H538" s="11"/>
      <c r="I538" s="11"/>
      <c r="J538" s="11"/>
    </row>
    <row r="539" spans="1:10" ht="15.75" customHeight="1" x14ac:dyDescent="0.25">
      <c r="A539" s="11"/>
      <c r="B539" s="4" t="str">
        <f>IF(A539="","",IFERROR(VLOOKUP(A539,Members!A$4:B$103,2,0),""))</f>
        <v/>
      </c>
      <c r="C539" s="6">
        <f t="shared" si="16"/>
        <v>0</v>
      </c>
      <c r="D539" s="11"/>
      <c r="E539" s="6" t="str">
        <f t="shared" si="17"/>
        <v/>
      </c>
      <c r="F539" s="11"/>
      <c r="G539" s="25" t="str">
        <f>IF(A539="","",IFERROR(SUMIFS($F$4:$F539,$A$4:$A539,A539),0))</f>
        <v/>
      </c>
      <c r="H539" s="11"/>
      <c r="I539" s="11"/>
      <c r="J539" s="11"/>
    </row>
    <row r="540" spans="1:10" ht="15.75" customHeight="1" x14ac:dyDescent="0.25">
      <c r="A540" s="11"/>
      <c r="B540" s="4" t="str">
        <f>IF(A540="","",IFERROR(VLOOKUP(A540,Members!A$4:B$103,2,0),""))</f>
        <v/>
      </c>
      <c r="C540" s="6">
        <f t="shared" si="16"/>
        <v>0</v>
      </c>
      <c r="D540" s="11"/>
      <c r="E540" s="6" t="str">
        <f t="shared" si="17"/>
        <v/>
      </c>
      <c r="F540" s="11"/>
      <c r="G540" s="25" t="str">
        <f>IF(A540="","",IFERROR(SUMIFS($F$4:$F540,$A$4:$A540,A540),0))</f>
        <v/>
      </c>
      <c r="H540" s="11"/>
      <c r="I540" s="11"/>
      <c r="J540" s="11"/>
    </row>
    <row r="541" spans="1:10" ht="15.75" customHeight="1" x14ac:dyDescent="0.25">
      <c r="A541" s="11"/>
      <c r="B541" s="4" t="str">
        <f>IF(A541="","",IFERROR(VLOOKUP(A541,Members!A$4:B$103,2,0),""))</f>
        <v/>
      </c>
      <c r="C541" s="6">
        <f t="shared" si="16"/>
        <v>0</v>
      </c>
      <c r="D541" s="11"/>
      <c r="E541" s="6" t="str">
        <f t="shared" si="17"/>
        <v/>
      </c>
      <c r="F541" s="11"/>
      <c r="G541" s="25" t="str">
        <f>IF(A541="","",IFERROR(SUMIFS($F$4:$F541,$A$4:$A541,A541),0))</f>
        <v/>
      </c>
      <c r="H541" s="11"/>
      <c r="I541" s="11"/>
      <c r="J541" s="11"/>
    </row>
    <row r="542" spans="1:10" ht="15.75" customHeight="1" x14ac:dyDescent="0.25">
      <c r="A542" s="11"/>
      <c r="B542" s="4" t="str">
        <f>IF(A542="","",IFERROR(VLOOKUP(A542,Members!A$4:B$103,2,0),""))</f>
        <v/>
      </c>
      <c r="C542" s="6">
        <f t="shared" si="16"/>
        <v>0</v>
      </c>
      <c r="D542" s="11"/>
      <c r="E542" s="6" t="str">
        <f t="shared" si="17"/>
        <v/>
      </c>
      <c r="F542" s="11"/>
      <c r="G542" s="25" t="str">
        <f>IF(A542="","",IFERROR(SUMIFS($F$4:$F542,$A$4:$A542,A542),0))</f>
        <v/>
      </c>
      <c r="H542" s="11"/>
      <c r="I542" s="11"/>
      <c r="J542" s="11"/>
    </row>
    <row r="543" spans="1:10" ht="15.75" customHeight="1" x14ac:dyDescent="0.25">
      <c r="A543" s="11"/>
      <c r="B543" s="4" t="str">
        <f>IF(A543="","",IFERROR(VLOOKUP(A543,Members!A$4:B$103,2,0),""))</f>
        <v/>
      </c>
      <c r="C543" s="6">
        <f t="shared" si="16"/>
        <v>0</v>
      </c>
      <c r="D543" s="11"/>
      <c r="E543" s="6" t="str">
        <f t="shared" si="17"/>
        <v/>
      </c>
      <c r="F543" s="11"/>
      <c r="G543" s="25" t="str">
        <f>IF(A543="","",IFERROR(SUMIFS($F$4:$F543,$A$4:$A543,A543),0))</f>
        <v/>
      </c>
      <c r="H543" s="11"/>
      <c r="I543" s="11"/>
      <c r="J543" s="11"/>
    </row>
    <row r="544" spans="1:10" ht="15.75" customHeight="1" x14ac:dyDescent="0.25">
      <c r="A544" s="11"/>
      <c r="B544" s="4" t="str">
        <f>IF(A544="","",IFERROR(VLOOKUP(A544,Members!A$4:B$103,2,0),""))</f>
        <v/>
      </c>
      <c r="C544" s="6">
        <f t="shared" si="16"/>
        <v>0</v>
      </c>
      <c r="D544" s="11"/>
      <c r="E544" s="6" t="str">
        <f t="shared" si="17"/>
        <v/>
      </c>
      <c r="F544" s="11"/>
      <c r="G544" s="25" t="str">
        <f>IF(A544="","",IFERROR(SUMIFS($F$4:$F544,$A$4:$A544,A544),0))</f>
        <v/>
      </c>
      <c r="H544" s="11"/>
      <c r="I544" s="11"/>
      <c r="J544" s="11"/>
    </row>
    <row r="545" spans="1:10" ht="15.75" customHeight="1" x14ac:dyDescent="0.25">
      <c r="A545" s="11"/>
      <c r="B545" s="4" t="str">
        <f>IF(A545="","",IFERROR(VLOOKUP(A545,Members!A$4:B$103,2,0),""))</f>
        <v/>
      </c>
      <c r="C545" s="6">
        <f t="shared" si="16"/>
        <v>0</v>
      </c>
      <c r="D545" s="11"/>
      <c r="E545" s="6" t="str">
        <f t="shared" si="17"/>
        <v/>
      </c>
      <c r="F545" s="11"/>
      <c r="G545" s="25" t="str">
        <f>IF(A545="","",IFERROR(SUMIFS($F$4:$F545,$A$4:$A545,A545),0))</f>
        <v/>
      </c>
      <c r="H545" s="11"/>
      <c r="I545" s="11"/>
      <c r="J545" s="11"/>
    </row>
    <row r="546" spans="1:10" ht="15.75" customHeight="1" x14ac:dyDescent="0.25">
      <c r="A546" s="11"/>
      <c r="B546" s="4" t="str">
        <f>IF(A546="","",IFERROR(VLOOKUP(A546,Members!A$4:B$103,2,0),""))</f>
        <v/>
      </c>
      <c r="C546" s="6">
        <f t="shared" si="16"/>
        <v>0</v>
      </c>
      <c r="D546" s="11"/>
      <c r="E546" s="6" t="str">
        <f t="shared" si="17"/>
        <v/>
      </c>
      <c r="F546" s="11"/>
      <c r="G546" s="25" t="str">
        <f>IF(A546="","",IFERROR(SUMIFS($F$4:$F546,$A$4:$A546,A546),0))</f>
        <v/>
      </c>
      <c r="H546" s="11"/>
      <c r="I546" s="11"/>
      <c r="J546" s="11"/>
    </row>
    <row r="547" spans="1:10" ht="15.75" customHeight="1" x14ac:dyDescent="0.25">
      <c r="A547" s="11"/>
      <c r="B547" s="4" t="str">
        <f>IF(A547="","",IFERROR(VLOOKUP(A547,Members!A$4:B$103,2,0),""))</f>
        <v/>
      </c>
      <c r="C547" s="6">
        <f t="shared" si="16"/>
        <v>0</v>
      </c>
      <c r="D547" s="11"/>
      <c r="E547" s="6" t="str">
        <f t="shared" si="17"/>
        <v/>
      </c>
      <c r="F547" s="11"/>
      <c r="G547" s="25" t="str">
        <f>IF(A547="","",IFERROR(SUMIFS($F$4:$F547,$A$4:$A547,A547),0))</f>
        <v/>
      </c>
      <c r="H547" s="11"/>
      <c r="I547" s="11"/>
      <c r="J547" s="11"/>
    </row>
    <row r="548" spans="1:10" ht="15.75" customHeight="1" x14ac:dyDescent="0.25">
      <c r="A548" s="11"/>
      <c r="B548" s="4" t="str">
        <f>IF(A548="","",IFERROR(VLOOKUP(A548,Members!A$4:B$103,2,0),""))</f>
        <v/>
      </c>
      <c r="C548" s="6">
        <f t="shared" si="16"/>
        <v>0</v>
      </c>
      <c r="D548" s="11"/>
      <c r="E548" s="6" t="str">
        <f t="shared" si="17"/>
        <v/>
      </c>
      <c r="F548" s="11"/>
      <c r="G548" s="25" t="str">
        <f>IF(A548="","",IFERROR(SUMIFS($F$4:$F548,$A$4:$A548,A548),0))</f>
        <v/>
      </c>
      <c r="H548" s="11"/>
      <c r="I548" s="11"/>
      <c r="J548" s="11"/>
    </row>
    <row r="549" spans="1:10" ht="15.75" customHeight="1" x14ac:dyDescent="0.25">
      <c r="A549" s="11"/>
      <c r="B549" s="4" t="str">
        <f>IF(A549="","",IFERROR(VLOOKUP(A549,Members!A$4:B$103,2,0),""))</f>
        <v/>
      </c>
      <c r="C549" s="6">
        <f t="shared" si="16"/>
        <v>0</v>
      </c>
      <c r="D549" s="11"/>
      <c r="E549" s="6" t="str">
        <f t="shared" si="17"/>
        <v/>
      </c>
      <c r="F549" s="11"/>
      <c r="G549" s="25" t="str">
        <f>IF(A549="","",IFERROR(SUMIFS($F$4:$F549,$A$4:$A549,A549),0))</f>
        <v/>
      </c>
      <c r="H549" s="11"/>
      <c r="I549" s="11"/>
      <c r="J549" s="11"/>
    </row>
    <row r="550" spans="1:10" ht="15.75" customHeight="1" x14ac:dyDescent="0.25">
      <c r="A550" s="11"/>
      <c r="B550" s="4" t="str">
        <f>IF(A550="","",IFERROR(VLOOKUP(A550,Members!A$4:B$103,2,0),""))</f>
        <v/>
      </c>
      <c r="C550" s="6">
        <f t="shared" si="16"/>
        <v>0</v>
      </c>
      <c r="D550" s="11"/>
      <c r="E550" s="6" t="str">
        <f t="shared" si="17"/>
        <v/>
      </c>
      <c r="F550" s="11"/>
      <c r="G550" s="25" t="str">
        <f>IF(A550="","",IFERROR(SUMIFS($F$4:$F550,$A$4:$A550,A550),0))</f>
        <v/>
      </c>
      <c r="H550" s="11"/>
      <c r="I550" s="11"/>
      <c r="J550" s="11"/>
    </row>
    <row r="551" spans="1:10" ht="15.75" customHeight="1" x14ac:dyDescent="0.25">
      <c r="A551" s="11"/>
      <c r="B551" s="4" t="str">
        <f>IF(A551="","",IFERROR(VLOOKUP(A551,Members!A$4:B$103,2,0),""))</f>
        <v/>
      </c>
      <c r="C551" s="6">
        <f t="shared" si="16"/>
        <v>0</v>
      </c>
      <c r="D551" s="11"/>
      <c r="E551" s="6" t="str">
        <f t="shared" si="17"/>
        <v/>
      </c>
      <c r="F551" s="11"/>
      <c r="G551" s="25" t="str">
        <f>IF(A551="","",IFERROR(SUMIFS($F$4:$F551,$A$4:$A551,A551),0))</f>
        <v/>
      </c>
      <c r="H551" s="11"/>
      <c r="I551" s="11"/>
      <c r="J551" s="11"/>
    </row>
    <row r="552" spans="1:10" ht="15.75" customHeight="1" x14ac:dyDescent="0.25">
      <c r="A552" s="11"/>
      <c r="B552" s="4" t="str">
        <f>IF(A552="","",IFERROR(VLOOKUP(A552,Members!A$4:B$103,2,0),""))</f>
        <v/>
      </c>
      <c r="C552" s="6">
        <f t="shared" si="16"/>
        <v>0</v>
      </c>
      <c r="D552" s="11"/>
      <c r="E552" s="6" t="str">
        <f t="shared" si="17"/>
        <v/>
      </c>
      <c r="F552" s="11"/>
      <c r="G552" s="25" t="str">
        <f>IF(A552="","",IFERROR(SUMIFS($F$4:$F552,$A$4:$A552,A552),0))</f>
        <v/>
      </c>
      <c r="H552" s="11"/>
      <c r="I552" s="11"/>
      <c r="J552" s="11"/>
    </row>
    <row r="553" spans="1:10" ht="15.75" customHeight="1" x14ac:dyDescent="0.25">
      <c r="A553" s="11"/>
      <c r="B553" s="4" t="str">
        <f>IF(A553="","",IFERROR(VLOOKUP(A553,Members!A$4:B$103,2,0),""))</f>
        <v/>
      </c>
      <c r="C553" s="6">
        <f t="shared" si="16"/>
        <v>0</v>
      </c>
      <c r="D553" s="11"/>
      <c r="E553" s="6" t="str">
        <f t="shared" si="17"/>
        <v/>
      </c>
      <c r="F553" s="11"/>
      <c r="G553" s="25" t="str">
        <f>IF(A553="","",IFERROR(SUMIFS($F$4:$F553,$A$4:$A553,A553),0))</f>
        <v/>
      </c>
      <c r="H553" s="11"/>
      <c r="I553" s="11"/>
      <c r="J553" s="11"/>
    </row>
    <row r="554" spans="1:10" ht="15.75" customHeight="1" x14ac:dyDescent="0.25">
      <c r="A554" s="11"/>
      <c r="B554" s="4" t="str">
        <f>IF(A554="","",IFERROR(VLOOKUP(A554,Members!A$4:B$103,2,0),""))</f>
        <v/>
      </c>
      <c r="C554" s="6">
        <f t="shared" si="16"/>
        <v>0</v>
      </c>
      <c r="D554" s="11"/>
      <c r="E554" s="6" t="str">
        <f t="shared" si="17"/>
        <v/>
      </c>
      <c r="F554" s="11"/>
      <c r="G554" s="25" t="str">
        <f>IF(A554="","",IFERROR(SUMIFS($F$4:$F554,$A$4:$A554,A554),0))</f>
        <v/>
      </c>
      <c r="H554" s="11"/>
      <c r="I554" s="11"/>
      <c r="J554" s="11"/>
    </row>
    <row r="555" spans="1:10" ht="15.75" customHeight="1" x14ac:dyDescent="0.25">
      <c r="A555" s="11"/>
      <c r="B555" s="4" t="str">
        <f>IF(A555="","",IFERROR(VLOOKUP(A555,Members!A$4:B$103,2,0),""))</f>
        <v/>
      </c>
      <c r="C555" s="6">
        <f t="shared" si="16"/>
        <v>0</v>
      </c>
      <c r="D555" s="11"/>
      <c r="E555" s="6" t="str">
        <f t="shared" si="17"/>
        <v/>
      </c>
      <c r="F555" s="11"/>
      <c r="G555" s="25" t="str">
        <f>IF(A555="","",IFERROR(SUMIFS($F$4:$F555,$A$4:$A555,A555),0))</f>
        <v/>
      </c>
      <c r="H555" s="11"/>
      <c r="I555" s="11"/>
      <c r="J555" s="11"/>
    </row>
    <row r="556" spans="1:10" ht="15.75" customHeight="1" x14ac:dyDescent="0.25">
      <c r="A556" s="11"/>
      <c r="B556" s="4" t="str">
        <f>IF(A556="","",IFERROR(VLOOKUP(A556,Members!A$4:B$103,2,0),""))</f>
        <v/>
      </c>
      <c r="C556" s="6">
        <f t="shared" si="16"/>
        <v>0</v>
      </c>
      <c r="D556" s="11"/>
      <c r="E556" s="6" t="str">
        <f t="shared" si="17"/>
        <v/>
      </c>
      <c r="F556" s="11"/>
      <c r="G556" s="25" t="str">
        <f>IF(A556="","",IFERROR(SUMIFS($F$4:$F556,$A$4:$A556,A556),0))</f>
        <v/>
      </c>
      <c r="H556" s="11"/>
      <c r="I556" s="11"/>
      <c r="J556" s="11"/>
    </row>
    <row r="557" spans="1:10" ht="15.75" customHeight="1" x14ac:dyDescent="0.25">
      <c r="A557" s="11"/>
      <c r="B557" s="4" t="str">
        <f>IF(A557="","",IFERROR(VLOOKUP(A557,Members!A$4:B$103,2,0),""))</f>
        <v/>
      </c>
      <c r="C557" s="6">
        <f t="shared" si="16"/>
        <v>0</v>
      </c>
      <c r="D557" s="11"/>
      <c r="E557" s="6" t="str">
        <f t="shared" si="17"/>
        <v/>
      </c>
      <c r="F557" s="11"/>
      <c r="G557" s="25" t="str">
        <f>IF(A557="","",IFERROR(SUMIFS($F$4:$F557,$A$4:$A557,A557),0))</f>
        <v/>
      </c>
      <c r="H557" s="11"/>
      <c r="I557" s="11"/>
      <c r="J557" s="11"/>
    </row>
    <row r="558" spans="1:10" ht="15.75" customHeight="1" x14ac:dyDescent="0.25">
      <c r="A558" s="11"/>
      <c r="B558" s="4" t="str">
        <f>IF(A558="","",IFERROR(VLOOKUP(A558,Members!A$4:B$103,2,0),""))</f>
        <v/>
      </c>
      <c r="C558" s="6">
        <f t="shared" si="16"/>
        <v>0</v>
      </c>
      <c r="D558" s="11"/>
      <c r="E558" s="6" t="str">
        <f t="shared" si="17"/>
        <v/>
      </c>
      <c r="F558" s="11"/>
      <c r="G558" s="25" t="str">
        <f>IF(A558="","",IFERROR(SUMIFS($F$4:$F558,$A$4:$A558,A558),0))</f>
        <v/>
      </c>
      <c r="H558" s="11"/>
      <c r="I558" s="11"/>
      <c r="J558" s="11"/>
    </row>
    <row r="559" spans="1:10" ht="15.75" customHeight="1" x14ac:dyDescent="0.25">
      <c r="A559" s="11"/>
      <c r="B559" s="4" t="str">
        <f>IF(A559="","",IFERROR(VLOOKUP(A559,Members!A$4:B$103,2,0),""))</f>
        <v/>
      </c>
      <c r="C559" s="6">
        <f t="shared" si="16"/>
        <v>0</v>
      </c>
      <c r="D559" s="11"/>
      <c r="E559" s="6" t="str">
        <f t="shared" si="17"/>
        <v/>
      </c>
      <c r="F559" s="11"/>
      <c r="G559" s="25" t="str">
        <f>IF(A559="","",IFERROR(SUMIFS($F$4:$F559,$A$4:$A559,A559),0))</f>
        <v/>
      </c>
      <c r="H559" s="11"/>
      <c r="I559" s="11"/>
      <c r="J559" s="11"/>
    </row>
    <row r="560" spans="1:10" ht="15.75" customHeight="1" x14ac:dyDescent="0.25">
      <c r="A560" s="11"/>
      <c r="B560" s="4" t="str">
        <f>IF(A560="","",IFERROR(VLOOKUP(A560,Members!A$4:B$103,2,0),""))</f>
        <v/>
      </c>
      <c r="C560" s="6">
        <f t="shared" si="16"/>
        <v>0</v>
      </c>
      <c r="D560" s="11"/>
      <c r="E560" s="6" t="str">
        <f t="shared" si="17"/>
        <v/>
      </c>
      <c r="F560" s="11"/>
      <c r="G560" s="25" t="str">
        <f>IF(A560="","",IFERROR(SUMIFS($F$4:$F560,$A$4:$A560,A560),0))</f>
        <v/>
      </c>
      <c r="H560" s="11"/>
      <c r="I560" s="11"/>
      <c r="J560" s="11"/>
    </row>
    <row r="561" spans="1:10" ht="15.75" customHeight="1" x14ac:dyDescent="0.25">
      <c r="A561" s="11"/>
      <c r="B561" s="4" t="str">
        <f>IF(A561="","",IFERROR(VLOOKUP(A561,Members!A$4:B$103,2,0),""))</f>
        <v/>
      </c>
      <c r="C561" s="6">
        <f t="shared" si="16"/>
        <v>0</v>
      </c>
      <c r="D561" s="11"/>
      <c r="E561" s="6" t="str">
        <f t="shared" si="17"/>
        <v/>
      </c>
      <c r="F561" s="11"/>
      <c r="G561" s="25" t="str">
        <f>IF(A561="","",IFERROR(SUMIFS($F$4:$F561,$A$4:$A561,A561),0))</f>
        <v/>
      </c>
      <c r="H561" s="11"/>
      <c r="I561" s="11"/>
      <c r="J561" s="11"/>
    </row>
    <row r="562" spans="1:10" ht="15.75" customHeight="1" x14ac:dyDescent="0.25">
      <c r="A562" s="11"/>
      <c r="B562" s="4" t="str">
        <f>IF(A562="","",IFERROR(VLOOKUP(A562,Members!A$4:B$103,2,0),""))</f>
        <v/>
      </c>
      <c r="C562" s="6">
        <f t="shared" si="16"/>
        <v>0</v>
      </c>
      <c r="D562" s="11"/>
      <c r="E562" s="6" t="str">
        <f t="shared" si="17"/>
        <v/>
      </c>
      <c r="F562" s="11"/>
      <c r="G562" s="25" t="str">
        <f>IF(A562="","",IFERROR(SUMIFS($F$4:$F562,$A$4:$A562,A562),0))</f>
        <v/>
      </c>
      <c r="H562" s="11"/>
      <c r="I562" s="11"/>
      <c r="J562" s="11"/>
    </row>
    <row r="563" spans="1:10" ht="15.75" customHeight="1" x14ac:dyDescent="0.25">
      <c r="A563" s="11"/>
      <c r="B563" s="4" t="str">
        <f>IF(A563="","",IFERROR(VLOOKUP(A563,Members!A$4:B$103,2,0),""))</f>
        <v/>
      </c>
      <c r="C563" s="6">
        <f t="shared" si="16"/>
        <v>0</v>
      </c>
      <c r="D563" s="11"/>
      <c r="E563" s="6" t="str">
        <f t="shared" si="17"/>
        <v/>
      </c>
      <c r="F563" s="11"/>
      <c r="G563" s="25" t="str">
        <f>IF(A563="","",IFERROR(SUMIFS($F$4:$F563,$A$4:$A563,A563),0))</f>
        <v/>
      </c>
      <c r="H563" s="11"/>
      <c r="I563" s="11"/>
      <c r="J563" s="11"/>
    </row>
    <row r="564" spans="1:10" ht="15.75" customHeight="1" x14ac:dyDescent="0.25">
      <c r="A564" s="11"/>
      <c r="B564" s="4" t="str">
        <f>IF(A564="","",IFERROR(VLOOKUP(A564,Members!A$4:B$103,2,0),""))</f>
        <v/>
      </c>
      <c r="C564" s="6">
        <f t="shared" si="16"/>
        <v>0</v>
      </c>
      <c r="D564" s="11"/>
      <c r="E564" s="6" t="str">
        <f t="shared" si="17"/>
        <v/>
      </c>
      <c r="F564" s="11"/>
      <c r="G564" s="25" t="str">
        <f>IF(A564="","",IFERROR(SUMIFS($F$4:$F564,$A$4:$A564,A564),0))</f>
        <v/>
      </c>
      <c r="H564" s="11"/>
      <c r="I564" s="11"/>
      <c r="J564" s="11"/>
    </row>
    <row r="565" spans="1:10" ht="15.75" customHeight="1" x14ac:dyDescent="0.25">
      <c r="A565" s="11"/>
      <c r="B565" s="4" t="str">
        <f>IF(A565="","",IFERROR(VLOOKUP(A565,Members!A$4:B$103,2,0),""))</f>
        <v/>
      </c>
      <c r="C565" s="6">
        <f t="shared" si="16"/>
        <v>0</v>
      </c>
      <c r="D565" s="11"/>
      <c r="E565" s="6" t="str">
        <f t="shared" si="17"/>
        <v/>
      </c>
      <c r="F565" s="11"/>
      <c r="G565" s="25" t="str">
        <f>IF(A565="","",IFERROR(SUMIFS($F$4:$F565,$A$4:$A565,A565),0))</f>
        <v/>
      </c>
      <c r="H565" s="11"/>
      <c r="I565" s="11"/>
      <c r="J565" s="11"/>
    </row>
    <row r="566" spans="1:10" ht="15.75" customHeight="1" x14ac:dyDescent="0.25">
      <c r="A566" s="11"/>
      <c r="B566" s="4" t="str">
        <f>IF(A566="","",IFERROR(VLOOKUP(A566,Members!A$4:B$103,2,0),""))</f>
        <v/>
      </c>
      <c r="C566" s="6">
        <f t="shared" si="16"/>
        <v>0</v>
      </c>
      <c r="D566" s="11"/>
      <c r="E566" s="6" t="str">
        <f t="shared" si="17"/>
        <v/>
      </c>
      <c r="F566" s="11"/>
      <c r="G566" s="25" t="str">
        <f>IF(A566="","",IFERROR(SUMIFS($F$4:$F566,$A$4:$A566,A566),0))</f>
        <v/>
      </c>
      <c r="H566" s="11"/>
      <c r="I566" s="11"/>
      <c r="J566" s="11"/>
    </row>
    <row r="567" spans="1:10" ht="15.75" customHeight="1" x14ac:dyDescent="0.25">
      <c r="A567" s="11"/>
      <c r="B567" s="4" t="str">
        <f>IF(A567="","",IFERROR(VLOOKUP(A567,Members!A$4:B$103,2,0),""))</f>
        <v/>
      </c>
      <c r="C567" s="6">
        <f t="shared" si="16"/>
        <v>0</v>
      </c>
      <c r="D567" s="11"/>
      <c r="E567" s="6" t="str">
        <f t="shared" si="17"/>
        <v/>
      </c>
      <c r="F567" s="11"/>
      <c r="G567" s="25" t="str">
        <f>IF(A567="","",IFERROR(SUMIFS($F$4:$F567,$A$4:$A567,A567),0))</f>
        <v/>
      </c>
      <c r="H567" s="11"/>
      <c r="I567" s="11"/>
      <c r="J567" s="11"/>
    </row>
    <row r="568" spans="1:10" ht="15.75" customHeight="1" x14ac:dyDescent="0.25">
      <c r="A568" s="11"/>
      <c r="B568" s="4" t="str">
        <f>IF(A568="","",IFERROR(VLOOKUP(A568,Members!A$4:B$103,2,0),""))</f>
        <v/>
      </c>
      <c r="C568" s="6">
        <f t="shared" si="16"/>
        <v>0</v>
      </c>
      <c r="D568" s="11"/>
      <c r="E568" s="6" t="str">
        <f t="shared" si="17"/>
        <v/>
      </c>
      <c r="F568" s="11"/>
      <c r="G568" s="25" t="str">
        <f>IF(A568="","",IFERROR(SUMIFS($F$4:$F568,$A$4:$A568,A568),0))</f>
        <v/>
      </c>
      <c r="H568" s="11"/>
      <c r="I568" s="11"/>
      <c r="J568" s="11"/>
    </row>
    <row r="569" spans="1:10" ht="15.75" customHeight="1" x14ac:dyDescent="0.25">
      <c r="A569" s="11"/>
      <c r="B569" s="4" t="str">
        <f>IF(A569="","",IFERROR(VLOOKUP(A569,Members!A$4:B$103,2,0),""))</f>
        <v/>
      </c>
      <c r="C569" s="6">
        <f t="shared" si="16"/>
        <v>0</v>
      </c>
      <c r="D569" s="11"/>
      <c r="E569" s="6" t="str">
        <f t="shared" si="17"/>
        <v/>
      </c>
      <c r="F569" s="11"/>
      <c r="G569" s="25" t="str">
        <f>IF(A569="","",IFERROR(SUMIFS($F$4:$F569,$A$4:$A569,A569),0))</f>
        <v/>
      </c>
      <c r="H569" s="11"/>
      <c r="I569" s="11"/>
      <c r="J569" s="11"/>
    </row>
    <row r="570" spans="1:10" ht="15.75" customHeight="1" x14ac:dyDescent="0.25">
      <c r="A570" s="11"/>
      <c r="B570" s="4" t="str">
        <f>IF(A570="","",IFERROR(VLOOKUP(A570,Members!A$4:B$103,2,0),""))</f>
        <v/>
      </c>
      <c r="C570" s="6">
        <f t="shared" si="16"/>
        <v>0</v>
      </c>
      <c r="D570" s="11"/>
      <c r="E570" s="6" t="str">
        <f t="shared" si="17"/>
        <v/>
      </c>
      <c r="F570" s="11"/>
      <c r="G570" s="25" t="str">
        <f>IF(A570="","",IFERROR(SUMIFS($F$4:$F570,$A$4:$A570,A570),0))</f>
        <v/>
      </c>
      <c r="H570" s="11"/>
      <c r="I570" s="11"/>
      <c r="J570" s="11"/>
    </row>
    <row r="571" spans="1:10" ht="15.75" customHeight="1" x14ac:dyDescent="0.25">
      <c r="A571" s="11"/>
      <c r="B571" s="4" t="str">
        <f>IF(A571="","",IFERROR(VLOOKUP(A571,Members!A$4:B$103,2,0),""))</f>
        <v/>
      </c>
      <c r="C571" s="6">
        <f t="shared" si="16"/>
        <v>0</v>
      </c>
      <c r="D571" s="11"/>
      <c r="E571" s="6" t="str">
        <f t="shared" si="17"/>
        <v/>
      </c>
      <c r="F571" s="11"/>
      <c r="G571" s="25" t="str">
        <f>IF(A571="","",IFERROR(SUMIFS($F$4:$F571,$A$4:$A571,A571),0))</f>
        <v/>
      </c>
      <c r="H571" s="11"/>
      <c r="I571" s="11"/>
      <c r="J571" s="11"/>
    </row>
    <row r="572" spans="1:10" ht="15.75" customHeight="1" x14ac:dyDescent="0.25">
      <c r="A572" s="11"/>
      <c r="B572" s="4" t="str">
        <f>IF(A572="","",IFERROR(VLOOKUP(A572,Members!A$4:B$103,2,0),""))</f>
        <v/>
      </c>
      <c r="C572" s="6">
        <f t="shared" si="16"/>
        <v>0</v>
      </c>
      <c r="D572" s="11"/>
      <c r="E572" s="6" t="str">
        <f t="shared" si="17"/>
        <v/>
      </c>
      <c r="F572" s="11"/>
      <c r="G572" s="25" t="str">
        <f>IF(A572="","",IFERROR(SUMIFS($F$4:$F572,$A$4:$A572,A572),0))</f>
        <v/>
      </c>
      <c r="H572" s="11"/>
      <c r="I572" s="11"/>
      <c r="J572" s="11"/>
    </row>
    <row r="573" spans="1:10" ht="15.75" customHeight="1" x14ac:dyDescent="0.25">
      <c r="A573" s="11"/>
      <c r="B573" s="4" t="str">
        <f>IF(A573="","",IFERROR(VLOOKUP(A573,Members!A$4:B$103,2,0),""))</f>
        <v/>
      </c>
      <c r="C573" s="6">
        <f t="shared" si="16"/>
        <v>0</v>
      </c>
      <c r="D573" s="11"/>
      <c r="E573" s="6" t="str">
        <f t="shared" si="17"/>
        <v/>
      </c>
      <c r="F573" s="11"/>
      <c r="G573" s="25" t="str">
        <f>IF(A573="","",IFERROR(SUMIFS($F$4:$F573,$A$4:$A573,A573),0))</f>
        <v/>
      </c>
      <c r="H573" s="11"/>
      <c r="I573" s="11"/>
      <c r="J573" s="11"/>
    </row>
    <row r="574" spans="1:10" ht="15.75" customHeight="1" x14ac:dyDescent="0.25">
      <c r="A574" s="11"/>
      <c r="B574" s="4" t="str">
        <f>IF(A574="","",IFERROR(VLOOKUP(A574,Members!A$4:B$103,2,0),""))</f>
        <v/>
      </c>
      <c r="C574" s="6">
        <f t="shared" si="16"/>
        <v>0</v>
      </c>
      <c r="D574" s="11"/>
      <c r="E574" s="6" t="str">
        <f t="shared" si="17"/>
        <v/>
      </c>
      <c r="F574" s="11"/>
      <c r="G574" s="25" t="str">
        <f>IF(A574="","",IFERROR(SUMIFS($F$4:$F574,$A$4:$A574,A574),0))</f>
        <v/>
      </c>
      <c r="H574" s="11"/>
      <c r="I574" s="11"/>
      <c r="J574" s="11"/>
    </row>
    <row r="575" spans="1:10" ht="15.75" customHeight="1" x14ac:dyDescent="0.25">
      <c r="A575" s="11"/>
      <c r="B575" s="4" t="str">
        <f>IF(A575="","",IFERROR(VLOOKUP(A575,Members!A$4:B$103,2,0),""))</f>
        <v/>
      </c>
      <c r="C575" s="6">
        <f t="shared" si="16"/>
        <v>0</v>
      </c>
      <c r="D575" s="11"/>
      <c r="E575" s="6" t="str">
        <f t="shared" si="17"/>
        <v/>
      </c>
      <c r="F575" s="11"/>
      <c r="G575" s="25" t="str">
        <f>IF(A575="","",IFERROR(SUMIFS($F$4:$F575,$A$4:$A575,A575),0))</f>
        <v/>
      </c>
      <c r="H575" s="11"/>
      <c r="I575" s="11"/>
      <c r="J575" s="11"/>
    </row>
    <row r="576" spans="1:10" ht="15.75" customHeight="1" x14ac:dyDescent="0.25">
      <c r="A576" s="11"/>
      <c r="B576" s="4" t="str">
        <f>IF(A576="","",IFERROR(VLOOKUP(A576,Members!A$4:B$103,2,0),""))</f>
        <v/>
      </c>
      <c r="C576" s="6">
        <f t="shared" si="16"/>
        <v>0</v>
      </c>
      <c r="D576" s="11"/>
      <c r="E576" s="6" t="str">
        <f t="shared" si="17"/>
        <v/>
      </c>
      <c r="F576" s="11"/>
      <c r="G576" s="25" t="str">
        <f>IF(A576="","",IFERROR(SUMIFS($F$4:$F576,$A$4:$A576,A576),0))</f>
        <v/>
      </c>
      <c r="H576" s="11"/>
      <c r="I576" s="11"/>
      <c r="J576" s="11"/>
    </row>
    <row r="577" spans="1:10" ht="15.75" customHeight="1" x14ac:dyDescent="0.25">
      <c r="A577" s="11"/>
      <c r="B577" s="4" t="str">
        <f>IF(A577="","",IFERROR(VLOOKUP(A577,Members!A$4:B$103,2,0),""))</f>
        <v/>
      </c>
      <c r="C577" s="6">
        <f t="shared" si="16"/>
        <v>0</v>
      </c>
      <c r="D577" s="11"/>
      <c r="E577" s="6" t="str">
        <f t="shared" si="17"/>
        <v/>
      </c>
      <c r="F577" s="11"/>
      <c r="G577" s="25" t="str">
        <f>IF(A577="","",IFERROR(SUMIFS($F$4:$F577,$A$4:$A577,A577),0))</f>
        <v/>
      </c>
      <c r="H577" s="11"/>
      <c r="I577" s="11"/>
      <c r="J577" s="11"/>
    </row>
    <row r="578" spans="1:10" ht="15.75" customHeight="1" x14ac:dyDescent="0.25">
      <c r="A578" s="11"/>
      <c r="B578" s="4" t="str">
        <f>IF(A578="","",IFERROR(VLOOKUP(A578,Members!A$4:B$103,2,0),""))</f>
        <v/>
      </c>
      <c r="C578" s="6">
        <f t="shared" si="16"/>
        <v>0</v>
      </c>
      <c r="D578" s="11"/>
      <c r="E578" s="6" t="str">
        <f t="shared" si="17"/>
        <v/>
      </c>
      <c r="F578" s="11"/>
      <c r="G578" s="25" t="str">
        <f>IF(A578="","",IFERROR(SUMIFS($F$4:$F578,$A$4:$A578,A578),0))</f>
        <v/>
      </c>
      <c r="H578" s="11"/>
      <c r="I578" s="11"/>
      <c r="J578" s="11"/>
    </row>
    <row r="579" spans="1:10" ht="15.75" customHeight="1" x14ac:dyDescent="0.25">
      <c r="A579" s="11"/>
      <c r="B579" s="4" t="str">
        <f>IF(A579="","",IFERROR(VLOOKUP(A579,Members!A$4:B$103,2,0),""))</f>
        <v/>
      </c>
      <c r="C579" s="6">
        <f t="shared" si="16"/>
        <v>0</v>
      </c>
      <c r="D579" s="11"/>
      <c r="E579" s="6" t="str">
        <f t="shared" si="17"/>
        <v/>
      </c>
      <c r="F579" s="11"/>
      <c r="G579" s="25" t="str">
        <f>IF(A579="","",IFERROR(SUMIFS($F$4:$F579,$A$4:$A579,A579),0))</f>
        <v/>
      </c>
      <c r="H579" s="11"/>
      <c r="I579" s="11"/>
      <c r="J579" s="11"/>
    </row>
    <row r="580" spans="1:10" ht="15.75" customHeight="1" x14ac:dyDescent="0.25">
      <c r="A580" s="11"/>
      <c r="B580" s="4" t="str">
        <f>IF(A580="","",IFERROR(VLOOKUP(A580,Members!A$4:B$103,2,0),""))</f>
        <v/>
      </c>
      <c r="C580" s="6">
        <f t="shared" ref="C580:C643" si="18">A580</f>
        <v>0</v>
      </c>
      <c r="D580" s="11"/>
      <c r="E580" s="6" t="str">
        <f t="shared" ref="E580:E643" si="19">IF(D580="","",TEXT(DATE(2024,D580,1),"MMMM"))</f>
        <v/>
      </c>
      <c r="F580" s="11"/>
      <c r="G580" s="25" t="str">
        <f>IF(A580="","",IFERROR(SUMIFS($F$4:$F580,$A$4:$A580,A580),0))</f>
        <v/>
      </c>
      <c r="H580" s="11"/>
      <c r="I580" s="11"/>
      <c r="J580" s="11"/>
    </row>
    <row r="581" spans="1:10" ht="15.75" customHeight="1" x14ac:dyDescent="0.25">
      <c r="A581" s="11"/>
      <c r="B581" s="4" t="str">
        <f>IF(A581="","",IFERROR(VLOOKUP(A581,Members!A$4:B$103,2,0),""))</f>
        <v/>
      </c>
      <c r="C581" s="6">
        <f t="shared" si="18"/>
        <v>0</v>
      </c>
      <c r="D581" s="11"/>
      <c r="E581" s="6" t="str">
        <f t="shared" si="19"/>
        <v/>
      </c>
      <c r="F581" s="11"/>
      <c r="G581" s="25" t="str">
        <f>IF(A581="","",IFERROR(SUMIFS($F$4:$F581,$A$4:$A581,A581),0))</f>
        <v/>
      </c>
      <c r="H581" s="11"/>
      <c r="I581" s="11"/>
      <c r="J581" s="11"/>
    </row>
    <row r="582" spans="1:10" ht="15.75" customHeight="1" x14ac:dyDescent="0.25">
      <c r="A582" s="11"/>
      <c r="B582" s="4" t="str">
        <f>IF(A582="","",IFERROR(VLOOKUP(A582,Members!A$4:B$103,2,0),""))</f>
        <v/>
      </c>
      <c r="C582" s="6">
        <f t="shared" si="18"/>
        <v>0</v>
      </c>
      <c r="D582" s="11"/>
      <c r="E582" s="6" t="str">
        <f t="shared" si="19"/>
        <v/>
      </c>
      <c r="F582" s="11"/>
      <c r="G582" s="25" t="str">
        <f>IF(A582="","",IFERROR(SUMIFS($F$4:$F582,$A$4:$A582,A582),0))</f>
        <v/>
      </c>
      <c r="H582" s="11"/>
      <c r="I582" s="11"/>
      <c r="J582" s="11"/>
    </row>
    <row r="583" spans="1:10" ht="15.75" customHeight="1" x14ac:dyDescent="0.25">
      <c r="A583" s="11"/>
      <c r="B583" s="4" t="str">
        <f>IF(A583="","",IFERROR(VLOOKUP(A583,Members!A$4:B$103,2,0),""))</f>
        <v/>
      </c>
      <c r="C583" s="6">
        <f t="shared" si="18"/>
        <v>0</v>
      </c>
      <c r="D583" s="11"/>
      <c r="E583" s="6" t="str">
        <f t="shared" si="19"/>
        <v/>
      </c>
      <c r="F583" s="11"/>
      <c r="G583" s="25" t="str">
        <f>IF(A583="","",IFERROR(SUMIFS($F$4:$F583,$A$4:$A583,A583),0))</f>
        <v/>
      </c>
      <c r="H583" s="11"/>
      <c r="I583" s="11"/>
      <c r="J583" s="11"/>
    </row>
    <row r="584" spans="1:10" ht="15.75" customHeight="1" x14ac:dyDescent="0.25">
      <c r="A584" s="11"/>
      <c r="B584" s="4" t="str">
        <f>IF(A584="","",IFERROR(VLOOKUP(A584,Members!A$4:B$103,2,0),""))</f>
        <v/>
      </c>
      <c r="C584" s="6">
        <f t="shared" si="18"/>
        <v>0</v>
      </c>
      <c r="D584" s="11"/>
      <c r="E584" s="6" t="str">
        <f t="shared" si="19"/>
        <v/>
      </c>
      <c r="F584" s="11"/>
      <c r="G584" s="25" t="str">
        <f>IF(A584="","",IFERROR(SUMIFS($F$4:$F584,$A$4:$A584,A584),0))</f>
        <v/>
      </c>
      <c r="H584" s="11"/>
      <c r="I584" s="11"/>
      <c r="J584" s="11"/>
    </row>
    <row r="585" spans="1:10" ht="15.75" customHeight="1" x14ac:dyDescent="0.25">
      <c r="A585" s="11"/>
      <c r="B585" s="4" t="str">
        <f>IF(A585="","",IFERROR(VLOOKUP(A585,Members!A$4:B$103,2,0),""))</f>
        <v/>
      </c>
      <c r="C585" s="6">
        <f t="shared" si="18"/>
        <v>0</v>
      </c>
      <c r="D585" s="11"/>
      <c r="E585" s="6" t="str">
        <f t="shared" si="19"/>
        <v/>
      </c>
      <c r="F585" s="11"/>
      <c r="G585" s="25" t="str">
        <f>IF(A585="","",IFERROR(SUMIFS($F$4:$F585,$A$4:$A585,A585),0))</f>
        <v/>
      </c>
      <c r="H585" s="11"/>
      <c r="I585" s="11"/>
      <c r="J585" s="11"/>
    </row>
    <row r="586" spans="1:10" ht="15.75" customHeight="1" x14ac:dyDescent="0.25">
      <c r="A586" s="11"/>
      <c r="B586" s="4" t="str">
        <f>IF(A586="","",IFERROR(VLOOKUP(A586,Members!A$4:B$103,2,0),""))</f>
        <v/>
      </c>
      <c r="C586" s="6">
        <f t="shared" si="18"/>
        <v>0</v>
      </c>
      <c r="D586" s="11"/>
      <c r="E586" s="6" t="str">
        <f t="shared" si="19"/>
        <v/>
      </c>
      <c r="F586" s="11"/>
      <c r="G586" s="25" t="str">
        <f>IF(A586="","",IFERROR(SUMIFS($F$4:$F586,$A$4:$A586,A586),0))</f>
        <v/>
      </c>
      <c r="H586" s="11"/>
      <c r="I586" s="11"/>
      <c r="J586" s="11"/>
    </row>
    <row r="587" spans="1:10" ht="15.75" customHeight="1" x14ac:dyDescent="0.25">
      <c r="A587" s="11"/>
      <c r="B587" s="4" t="str">
        <f>IF(A587="","",IFERROR(VLOOKUP(A587,Members!A$4:B$103,2,0),""))</f>
        <v/>
      </c>
      <c r="C587" s="6">
        <f t="shared" si="18"/>
        <v>0</v>
      </c>
      <c r="D587" s="11"/>
      <c r="E587" s="6" t="str">
        <f t="shared" si="19"/>
        <v/>
      </c>
      <c r="F587" s="11"/>
      <c r="G587" s="25" t="str">
        <f>IF(A587="","",IFERROR(SUMIFS($F$4:$F587,$A$4:$A587,A587),0))</f>
        <v/>
      </c>
      <c r="H587" s="11"/>
      <c r="I587" s="11"/>
      <c r="J587" s="11"/>
    </row>
    <row r="588" spans="1:10" ht="15.75" customHeight="1" x14ac:dyDescent="0.25">
      <c r="A588" s="11"/>
      <c r="B588" s="4" t="str">
        <f>IF(A588="","",IFERROR(VLOOKUP(A588,Members!A$4:B$103,2,0),""))</f>
        <v/>
      </c>
      <c r="C588" s="6">
        <f t="shared" si="18"/>
        <v>0</v>
      </c>
      <c r="D588" s="11"/>
      <c r="E588" s="6" t="str">
        <f t="shared" si="19"/>
        <v/>
      </c>
      <c r="F588" s="11"/>
      <c r="G588" s="25" t="str">
        <f>IF(A588="","",IFERROR(SUMIFS($F$4:$F588,$A$4:$A588,A588),0))</f>
        <v/>
      </c>
      <c r="H588" s="11"/>
      <c r="I588" s="11"/>
      <c r="J588" s="11"/>
    </row>
    <row r="589" spans="1:10" ht="15.75" customHeight="1" x14ac:dyDescent="0.25">
      <c r="A589" s="11"/>
      <c r="B589" s="4" t="str">
        <f>IF(A589="","",IFERROR(VLOOKUP(A589,Members!A$4:B$103,2,0),""))</f>
        <v/>
      </c>
      <c r="C589" s="6">
        <f t="shared" si="18"/>
        <v>0</v>
      </c>
      <c r="D589" s="11"/>
      <c r="E589" s="6" t="str">
        <f t="shared" si="19"/>
        <v/>
      </c>
      <c r="F589" s="11"/>
      <c r="G589" s="25" t="str">
        <f>IF(A589="","",IFERROR(SUMIFS($F$4:$F589,$A$4:$A589,A589),0))</f>
        <v/>
      </c>
      <c r="H589" s="11"/>
      <c r="I589" s="11"/>
      <c r="J589" s="11"/>
    </row>
    <row r="590" spans="1:10" ht="15.75" customHeight="1" x14ac:dyDescent="0.25">
      <c r="A590" s="11"/>
      <c r="B590" s="4" t="str">
        <f>IF(A590="","",IFERROR(VLOOKUP(A590,Members!A$4:B$103,2,0),""))</f>
        <v/>
      </c>
      <c r="C590" s="6">
        <f t="shared" si="18"/>
        <v>0</v>
      </c>
      <c r="D590" s="11"/>
      <c r="E590" s="6" t="str">
        <f t="shared" si="19"/>
        <v/>
      </c>
      <c r="F590" s="11"/>
      <c r="G590" s="25" t="str">
        <f>IF(A590="","",IFERROR(SUMIFS($F$4:$F590,$A$4:$A590,A590),0))</f>
        <v/>
      </c>
      <c r="H590" s="11"/>
      <c r="I590" s="11"/>
      <c r="J590" s="11"/>
    </row>
    <row r="591" spans="1:10" ht="15.75" customHeight="1" x14ac:dyDescent="0.25">
      <c r="A591" s="11"/>
      <c r="B591" s="4" t="str">
        <f>IF(A591="","",IFERROR(VLOOKUP(A591,Members!A$4:B$103,2,0),""))</f>
        <v/>
      </c>
      <c r="C591" s="6">
        <f t="shared" si="18"/>
        <v>0</v>
      </c>
      <c r="D591" s="11"/>
      <c r="E591" s="6" t="str">
        <f t="shared" si="19"/>
        <v/>
      </c>
      <c r="F591" s="11"/>
      <c r="G591" s="25" t="str">
        <f>IF(A591="","",IFERROR(SUMIFS($F$4:$F591,$A$4:$A591,A591),0))</f>
        <v/>
      </c>
      <c r="H591" s="11"/>
      <c r="I591" s="11"/>
      <c r="J591" s="11"/>
    </row>
    <row r="592" spans="1:10" ht="15.75" customHeight="1" x14ac:dyDescent="0.25">
      <c r="A592" s="11"/>
      <c r="B592" s="4" t="str">
        <f>IF(A592="","",IFERROR(VLOOKUP(A592,Members!A$4:B$103,2,0),""))</f>
        <v/>
      </c>
      <c r="C592" s="6">
        <f t="shared" si="18"/>
        <v>0</v>
      </c>
      <c r="D592" s="11"/>
      <c r="E592" s="6" t="str">
        <f t="shared" si="19"/>
        <v/>
      </c>
      <c r="F592" s="11"/>
      <c r="G592" s="25" t="str">
        <f>IF(A592="","",IFERROR(SUMIFS($F$4:$F592,$A$4:$A592,A592),0))</f>
        <v/>
      </c>
      <c r="H592" s="11"/>
      <c r="I592" s="11"/>
      <c r="J592" s="11"/>
    </row>
    <row r="593" spans="1:10" ht="15.75" customHeight="1" x14ac:dyDescent="0.25">
      <c r="A593" s="11"/>
      <c r="B593" s="4" t="str">
        <f>IF(A593="","",IFERROR(VLOOKUP(A593,Members!A$4:B$103,2,0),""))</f>
        <v/>
      </c>
      <c r="C593" s="6">
        <f t="shared" si="18"/>
        <v>0</v>
      </c>
      <c r="D593" s="11"/>
      <c r="E593" s="6" t="str">
        <f t="shared" si="19"/>
        <v/>
      </c>
      <c r="F593" s="11"/>
      <c r="G593" s="25" t="str">
        <f>IF(A593="","",IFERROR(SUMIFS($F$4:$F593,$A$4:$A593,A593),0))</f>
        <v/>
      </c>
      <c r="H593" s="11"/>
      <c r="I593" s="11"/>
      <c r="J593" s="11"/>
    </row>
    <row r="594" spans="1:10" ht="15.75" customHeight="1" x14ac:dyDescent="0.25">
      <c r="A594" s="11"/>
      <c r="B594" s="4" t="str">
        <f>IF(A594="","",IFERROR(VLOOKUP(A594,Members!A$4:B$103,2,0),""))</f>
        <v/>
      </c>
      <c r="C594" s="6">
        <f t="shared" si="18"/>
        <v>0</v>
      </c>
      <c r="D594" s="11"/>
      <c r="E594" s="6" t="str">
        <f t="shared" si="19"/>
        <v/>
      </c>
      <c r="F594" s="11"/>
      <c r="G594" s="25" t="str">
        <f>IF(A594="","",IFERROR(SUMIFS($F$4:$F594,$A$4:$A594,A594),0))</f>
        <v/>
      </c>
      <c r="H594" s="11"/>
      <c r="I594" s="11"/>
      <c r="J594" s="11"/>
    </row>
    <row r="595" spans="1:10" ht="15.75" customHeight="1" x14ac:dyDescent="0.25">
      <c r="A595" s="11"/>
      <c r="B595" s="4" t="str">
        <f>IF(A595="","",IFERROR(VLOOKUP(A595,Members!A$4:B$103,2,0),""))</f>
        <v/>
      </c>
      <c r="C595" s="6">
        <f t="shared" si="18"/>
        <v>0</v>
      </c>
      <c r="D595" s="11"/>
      <c r="E595" s="6" t="str">
        <f t="shared" si="19"/>
        <v/>
      </c>
      <c r="F595" s="11"/>
      <c r="G595" s="25" t="str">
        <f>IF(A595="","",IFERROR(SUMIFS($F$4:$F595,$A$4:$A595,A595),0))</f>
        <v/>
      </c>
      <c r="H595" s="11"/>
      <c r="I595" s="11"/>
      <c r="J595" s="11"/>
    </row>
    <row r="596" spans="1:10" ht="15.75" customHeight="1" x14ac:dyDescent="0.25">
      <c r="A596" s="11"/>
      <c r="B596" s="4" t="str">
        <f>IF(A596="","",IFERROR(VLOOKUP(A596,Members!A$4:B$103,2,0),""))</f>
        <v/>
      </c>
      <c r="C596" s="6">
        <f t="shared" si="18"/>
        <v>0</v>
      </c>
      <c r="D596" s="11"/>
      <c r="E596" s="6" t="str">
        <f t="shared" si="19"/>
        <v/>
      </c>
      <c r="F596" s="11"/>
      <c r="G596" s="25" t="str">
        <f>IF(A596="","",IFERROR(SUMIFS($F$4:$F596,$A$4:$A596,A596),0))</f>
        <v/>
      </c>
      <c r="H596" s="11"/>
      <c r="I596" s="11"/>
      <c r="J596" s="11"/>
    </row>
    <row r="597" spans="1:10" ht="15.75" customHeight="1" x14ac:dyDescent="0.25">
      <c r="A597" s="11"/>
      <c r="B597" s="4" t="str">
        <f>IF(A597="","",IFERROR(VLOOKUP(A597,Members!A$4:B$103,2,0),""))</f>
        <v/>
      </c>
      <c r="C597" s="6">
        <f t="shared" si="18"/>
        <v>0</v>
      </c>
      <c r="D597" s="11"/>
      <c r="E597" s="6" t="str">
        <f t="shared" si="19"/>
        <v/>
      </c>
      <c r="F597" s="11"/>
      <c r="G597" s="25" t="str">
        <f>IF(A597="","",IFERROR(SUMIFS($F$4:$F597,$A$4:$A597,A597),0))</f>
        <v/>
      </c>
      <c r="H597" s="11"/>
      <c r="I597" s="11"/>
      <c r="J597" s="11"/>
    </row>
    <row r="598" spans="1:10" ht="15.75" customHeight="1" x14ac:dyDescent="0.25">
      <c r="A598" s="11"/>
      <c r="B598" s="4" t="str">
        <f>IF(A598="","",IFERROR(VLOOKUP(A598,Members!A$4:B$103,2,0),""))</f>
        <v/>
      </c>
      <c r="C598" s="6">
        <f t="shared" si="18"/>
        <v>0</v>
      </c>
      <c r="D598" s="11"/>
      <c r="E598" s="6" t="str">
        <f t="shared" si="19"/>
        <v/>
      </c>
      <c r="F598" s="11"/>
      <c r="G598" s="25" t="str">
        <f>IF(A598="","",IFERROR(SUMIFS($F$4:$F598,$A$4:$A598,A598),0))</f>
        <v/>
      </c>
      <c r="H598" s="11"/>
      <c r="I598" s="11"/>
      <c r="J598" s="11"/>
    </row>
    <row r="599" spans="1:10" ht="15.75" customHeight="1" x14ac:dyDescent="0.25">
      <c r="A599" s="11"/>
      <c r="B599" s="4" t="str">
        <f>IF(A599="","",IFERROR(VLOOKUP(A599,Members!A$4:B$103,2,0),""))</f>
        <v/>
      </c>
      <c r="C599" s="6">
        <f t="shared" si="18"/>
        <v>0</v>
      </c>
      <c r="D599" s="11"/>
      <c r="E599" s="6" t="str">
        <f t="shared" si="19"/>
        <v/>
      </c>
      <c r="F599" s="11"/>
      <c r="G599" s="25" t="str">
        <f>IF(A599="","",IFERROR(SUMIFS($F$4:$F599,$A$4:$A599,A599),0))</f>
        <v/>
      </c>
      <c r="H599" s="11"/>
      <c r="I599" s="11"/>
      <c r="J599" s="11"/>
    </row>
    <row r="600" spans="1:10" ht="15.75" customHeight="1" x14ac:dyDescent="0.25">
      <c r="A600" s="11"/>
      <c r="B600" s="4" t="str">
        <f>IF(A600="","",IFERROR(VLOOKUP(A600,Members!A$4:B$103,2,0),""))</f>
        <v/>
      </c>
      <c r="C600" s="6">
        <f t="shared" si="18"/>
        <v>0</v>
      </c>
      <c r="D600" s="11"/>
      <c r="E600" s="6" t="str">
        <f t="shared" si="19"/>
        <v/>
      </c>
      <c r="F600" s="11"/>
      <c r="G600" s="25" t="str">
        <f>IF(A600="","",IFERROR(SUMIFS($F$4:$F600,$A$4:$A600,A600),0))</f>
        <v/>
      </c>
      <c r="H600" s="11"/>
      <c r="I600" s="11"/>
      <c r="J600" s="11"/>
    </row>
    <row r="601" spans="1:10" ht="15.75" customHeight="1" x14ac:dyDescent="0.25">
      <c r="A601" s="11"/>
      <c r="B601" s="4" t="str">
        <f>IF(A601="","",IFERROR(VLOOKUP(A601,Members!A$4:B$103,2,0),""))</f>
        <v/>
      </c>
      <c r="C601" s="6">
        <f t="shared" si="18"/>
        <v>0</v>
      </c>
      <c r="D601" s="11"/>
      <c r="E601" s="6" t="str">
        <f t="shared" si="19"/>
        <v/>
      </c>
      <c r="F601" s="11"/>
      <c r="G601" s="25" t="str">
        <f>IF(A601="","",IFERROR(SUMIFS($F$4:$F601,$A$4:$A601,A601),0))</f>
        <v/>
      </c>
      <c r="H601" s="11"/>
      <c r="I601" s="11"/>
      <c r="J601" s="11"/>
    </row>
    <row r="602" spans="1:10" ht="15.75" customHeight="1" x14ac:dyDescent="0.25">
      <c r="A602" s="11"/>
      <c r="B602" s="4" t="str">
        <f>IF(A602="","",IFERROR(VLOOKUP(A602,Members!A$4:B$103,2,0),""))</f>
        <v/>
      </c>
      <c r="C602" s="6">
        <f t="shared" si="18"/>
        <v>0</v>
      </c>
      <c r="D602" s="11"/>
      <c r="E602" s="6" t="str">
        <f t="shared" si="19"/>
        <v/>
      </c>
      <c r="F602" s="11"/>
      <c r="G602" s="25" t="str">
        <f>IF(A602="","",IFERROR(SUMIFS($F$4:$F602,$A$4:$A602,A602),0))</f>
        <v/>
      </c>
      <c r="H602" s="11"/>
      <c r="I602" s="11"/>
      <c r="J602" s="11"/>
    </row>
    <row r="603" spans="1:10" ht="15.75" customHeight="1" x14ac:dyDescent="0.25">
      <c r="A603" s="11"/>
      <c r="B603" s="4" t="str">
        <f>IF(A603="","",IFERROR(VLOOKUP(A603,Members!A$4:B$103,2,0),""))</f>
        <v/>
      </c>
      <c r="C603" s="6">
        <f t="shared" si="18"/>
        <v>0</v>
      </c>
      <c r="D603" s="11"/>
      <c r="E603" s="6" t="str">
        <f t="shared" si="19"/>
        <v/>
      </c>
      <c r="F603" s="11"/>
      <c r="G603" s="25" t="str">
        <f>IF(A603="","",IFERROR(SUMIFS($F$4:$F603,$A$4:$A603,A603),0))</f>
        <v/>
      </c>
      <c r="H603" s="11"/>
      <c r="I603" s="11"/>
      <c r="J603" s="11"/>
    </row>
    <row r="604" spans="1:10" ht="15.75" customHeight="1" x14ac:dyDescent="0.25">
      <c r="A604" s="11"/>
      <c r="B604" s="4" t="str">
        <f>IF(A604="","",IFERROR(VLOOKUP(A604,Members!A$4:B$103,2,0),""))</f>
        <v/>
      </c>
      <c r="C604" s="6">
        <f t="shared" si="18"/>
        <v>0</v>
      </c>
      <c r="D604" s="11"/>
      <c r="E604" s="6" t="str">
        <f t="shared" si="19"/>
        <v/>
      </c>
      <c r="F604" s="11"/>
      <c r="G604" s="25" t="str">
        <f>IF(A604="","",IFERROR(SUMIFS($F$4:$F604,$A$4:$A604,A604),0))</f>
        <v/>
      </c>
      <c r="H604" s="11"/>
      <c r="I604" s="11"/>
      <c r="J604" s="11"/>
    </row>
    <row r="605" spans="1:10" ht="15.75" customHeight="1" x14ac:dyDescent="0.25">
      <c r="A605" s="11"/>
      <c r="B605" s="4" t="str">
        <f>IF(A605="","",IFERROR(VLOOKUP(A605,Members!A$4:B$103,2,0),""))</f>
        <v/>
      </c>
      <c r="C605" s="6">
        <f t="shared" si="18"/>
        <v>0</v>
      </c>
      <c r="D605" s="11"/>
      <c r="E605" s="6" t="str">
        <f t="shared" si="19"/>
        <v/>
      </c>
      <c r="F605" s="11"/>
      <c r="G605" s="25" t="str">
        <f>IF(A605="","",IFERROR(SUMIFS($F$4:$F605,$A$4:$A605,A605),0))</f>
        <v/>
      </c>
      <c r="H605" s="11"/>
      <c r="I605" s="11"/>
      <c r="J605" s="11"/>
    </row>
    <row r="606" spans="1:10" ht="15.75" customHeight="1" x14ac:dyDescent="0.25">
      <c r="A606" s="11"/>
      <c r="B606" s="4" t="str">
        <f>IF(A606="","",IFERROR(VLOOKUP(A606,Members!A$4:B$103,2,0),""))</f>
        <v/>
      </c>
      <c r="C606" s="6">
        <f t="shared" si="18"/>
        <v>0</v>
      </c>
      <c r="D606" s="11"/>
      <c r="E606" s="6" t="str">
        <f t="shared" si="19"/>
        <v/>
      </c>
      <c r="F606" s="11"/>
      <c r="G606" s="25" t="str">
        <f>IF(A606="","",IFERROR(SUMIFS($F$4:$F606,$A$4:$A606,A606),0))</f>
        <v/>
      </c>
      <c r="H606" s="11"/>
      <c r="I606" s="11"/>
      <c r="J606" s="11"/>
    </row>
    <row r="607" spans="1:10" ht="15.75" customHeight="1" x14ac:dyDescent="0.25">
      <c r="A607" s="11"/>
      <c r="B607" s="4" t="str">
        <f>IF(A607="","",IFERROR(VLOOKUP(A607,Members!A$4:B$103,2,0),""))</f>
        <v/>
      </c>
      <c r="C607" s="6">
        <f t="shared" si="18"/>
        <v>0</v>
      </c>
      <c r="D607" s="11"/>
      <c r="E607" s="6" t="str">
        <f t="shared" si="19"/>
        <v/>
      </c>
      <c r="F607" s="11"/>
      <c r="G607" s="25" t="str">
        <f>IF(A607="","",IFERROR(SUMIFS($F$4:$F607,$A$4:$A607,A607),0))</f>
        <v/>
      </c>
      <c r="H607" s="11"/>
      <c r="I607" s="11"/>
      <c r="J607" s="11"/>
    </row>
    <row r="608" spans="1:10" ht="15.75" customHeight="1" x14ac:dyDescent="0.25">
      <c r="A608" s="11"/>
      <c r="B608" s="4" t="str">
        <f>IF(A608="","",IFERROR(VLOOKUP(A608,Members!A$4:B$103,2,0),""))</f>
        <v/>
      </c>
      <c r="C608" s="6">
        <f t="shared" si="18"/>
        <v>0</v>
      </c>
      <c r="D608" s="11"/>
      <c r="E608" s="6" t="str">
        <f t="shared" si="19"/>
        <v/>
      </c>
      <c r="F608" s="11"/>
      <c r="G608" s="25" t="str">
        <f>IF(A608="","",IFERROR(SUMIFS($F$4:$F608,$A$4:$A608,A608),0))</f>
        <v/>
      </c>
      <c r="H608" s="11"/>
      <c r="I608" s="11"/>
      <c r="J608" s="11"/>
    </row>
    <row r="609" spans="1:10" ht="15.75" customHeight="1" x14ac:dyDescent="0.25">
      <c r="A609" s="11"/>
      <c r="B609" s="4" t="str">
        <f>IF(A609="","",IFERROR(VLOOKUP(A609,Members!A$4:B$103,2,0),""))</f>
        <v/>
      </c>
      <c r="C609" s="6">
        <f t="shared" si="18"/>
        <v>0</v>
      </c>
      <c r="D609" s="11"/>
      <c r="E609" s="6" t="str">
        <f t="shared" si="19"/>
        <v/>
      </c>
      <c r="F609" s="11"/>
      <c r="G609" s="25" t="str">
        <f>IF(A609="","",IFERROR(SUMIFS($F$4:$F609,$A$4:$A609,A609),0))</f>
        <v/>
      </c>
      <c r="H609" s="11"/>
      <c r="I609" s="11"/>
      <c r="J609" s="11"/>
    </row>
    <row r="610" spans="1:10" ht="15.75" customHeight="1" x14ac:dyDescent="0.25">
      <c r="A610" s="11"/>
      <c r="B610" s="4" t="str">
        <f>IF(A610="","",IFERROR(VLOOKUP(A610,Members!A$4:B$103,2,0),""))</f>
        <v/>
      </c>
      <c r="C610" s="6">
        <f t="shared" si="18"/>
        <v>0</v>
      </c>
      <c r="D610" s="11"/>
      <c r="E610" s="6" t="str">
        <f t="shared" si="19"/>
        <v/>
      </c>
      <c r="F610" s="11"/>
      <c r="G610" s="25" t="str">
        <f>IF(A610="","",IFERROR(SUMIFS($F$4:$F610,$A$4:$A610,A610),0))</f>
        <v/>
      </c>
      <c r="H610" s="11"/>
      <c r="I610" s="11"/>
      <c r="J610" s="11"/>
    </row>
    <row r="611" spans="1:10" ht="15.75" customHeight="1" x14ac:dyDescent="0.25">
      <c r="A611" s="11"/>
      <c r="B611" s="4" t="str">
        <f>IF(A611="","",IFERROR(VLOOKUP(A611,Members!A$4:B$103,2,0),""))</f>
        <v/>
      </c>
      <c r="C611" s="6">
        <f t="shared" si="18"/>
        <v>0</v>
      </c>
      <c r="D611" s="11"/>
      <c r="E611" s="6" t="str">
        <f t="shared" si="19"/>
        <v/>
      </c>
      <c r="F611" s="11"/>
      <c r="G611" s="25" t="str">
        <f>IF(A611="","",IFERROR(SUMIFS($F$4:$F611,$A$4:$A611,A611),0))</f>
        <v/>
      </c>
      <c r="H611" s="11"/>
      <c r="I611" s="11"/>
      <c r="J611" s="11"/>
    </row>
    <row r="612" spans="1:10" ht="15.75" customHeight="1" x14ac:dyDescent="0.25">
      <c r="A612" s="11"/>
      <c r="B612" s="4" t="str">
        <f>IF(A612="","",IFERROR(VLOOKUP(A612,Members!A$4:B$103,2,0),""))</f>
        <v/>
      </c>
      <c r="C612" s="6">
        <f t="shared" si="18"/>
        <v>0</v>
      </c>
      <c r="D612" s="11"/>
      <c r="E612" s="6" t="str">
        <f t="shared" si="19"/>
        <v/>
      </c>
      <c r="F612" s="11"/>
      <c r="G612" s="25" t="str">
        <f>IF(A612="","",IFERROR(SUMIFS($F$4:$F612,$A$4:$A612,A612),0))</f>
        <v/>
      </c>
      <c r="H612" s="11"/>
      <c r="I612" s="11"/>
      <c r="J612" s="11"/>
    </row>
    <row r="613" spans="1:10" ht="15.75" customHeight="1" x14ac:dyDescent="0.25">
      <c r="A613" s="11"/>
      <c r="B613" s="4" t="str">
        <f>IF(A613="","",IFERROR(VLOOKUP(A613,Members!A$4:B$103,2,0),""))</f>
        <v/>
      </c>
      <c r="C613" s="6">
        <f t="shared" si="18"/>
        <v>0</v>
      </c>
      <c r="D613" s="11"/>
      <c r="E613" s="6" t="str">
        <f t="shared" si="19"/>
        <v/>
      </c>
      <c r="F613" s="11"/>
      <c r="G613" s="25" t="str">
        <f>IF(A613="","",IFERROR(SUMIFS($F$4:$F613,$A$4:$A613,A613),0))</f>
        <v/>
      </c>
      <c r="H613" s="11"/>
      <c r="I613" s="11"/>
      <c r="J613" s="11"/>
    </row>
    <row r="614" spans="1:10" ht="15.75" customHeight="1" x14ac:dyDescent="0.25">
      <c r="A614" s="11"/>
      <c r="B614" s="4" t="str">
        <f>IF(A614="","",IFERROR(VLOOKUP(A614,Members!A$4:B$103,2,0),""))</f>
        <v/>
      </c>
      <c r="C614" s="6">
        <f t="shared" si="18"/>
        <v>0</v>
      </c>
      <c r="D614" s="11"/>
      <c r="E614" s="6" t="str">
        <f t="shared" si="19"/>
        <v/>
      </c>
      <c r="F614" s="11"/>
      <c r="G614" s="25" t="str">
        <f>IF(A614="","",IFERROR(SUMIFS($F$4:$F614,$A$4:$A614,A614),0))</f>
        <v/>
      </c>
      <c r="H614" s="11"/>
      <c r="I614" s="11"/>
      <c r="J614" s="11"/>
    </row>
    <row r="615" spans="1:10" ht="15.75" customHeight="1" x14ac:dyDescent="0.25">
      <c r="A615" s="11"/>
      <c r="B615" s="4" t="str">
        <f>IF(A615="","",IFERROR(VLOOKUP(A615,Members!A$4:B$103,2,0),""))</f>
        <v/>
      </c>
      <c r="C615" s="6">
        <f t="shared" si="18"/>
        <v>0</v>
      </c>
      <c r="D615" s="11"/>
      <c r="E615" s="6" t="str">
        <f t="shared" si="19"/>
        <v/>
      </c>
      <c r="F615" s="11"/>
      <c r="G615" s="25" t="str">
        <f>IF(A615="","",IFERROR(SUMIFS($F$4:$F615,$A$4:$A615,A615),0))</f>
        <v/>
      </c>
      <c r="H615" s="11"/>
      <c r="I615" s="11"/>
      <c r="J615" s="11"/>
    </row>
    <row r="616" spans="1:10" ht="15.75" customHeight="1" x14ac:dyDescent="0.25">
      <c r="A616" s="11"/>
      <c r="B616" s="4" t="str">
        <f>IF(A616="","",IFERROR(VLOOKUP(A616,Members!A$4:B$103,2,0),""))</f>
        <v/>
      </c>
      <c r="C616" s="6">
        <f t="shared" si="18"/>
        <v>0</v>
      </c>
      <c r="D616" s="11"/>
      <c r="E616" s="6" t="str">
        <f t="shared" si="19"/>
        <v/>
      </c>
      <c r="F616" s="11"/>
      <c r="G616" s="25" t="str">
        <f>IF(A616="","",IFERROR(SUMIFS($F$4:$F616,$A$4:$A616,A616),0))</f>
        <v/>
      </c>
      <c r="H616" s="11"/>
      <c r="I616" s="11"/>
      <c r="J616" s="11"/>
    </row>
    <row r="617" spans="1:10" ht="15.75" customHeight="1" x14ac:dyDescent="0.25">
      <c r="A617" s="11"/>
      <c r="B617" s="4" t="str">
        <f>IF(A617="","",IFERROR(VLOOKUP(A617,Members!A$4:B$103,2,0),""))</f>
        <v/>
      </c>
      <c r="C617" s="6">
        <f t="shared" si="18"/>
        <v>0</v>
      </c>
      <c r="D617" s="11"/>
      <c r="E617" s="6" t="str">
        <f t="shared" si="19"/>
        <v/>
      </c>
      <c r="F617" s="11"/>
      <c r="G617" s="25" t="str">
        <f>IF(A617="","",IFERROR(SUMIFS($F$4:$F617,$A$4:$A617,A617),0))</f>
        <v/>
      </c>
      <c r="H617" s="11"/>
      <c r="I617" s="11"/>
      <c r="J617" s="11"/>
    </row>
    <row r="618" spans="1:10" ht="15.75" customHeight="1" x14ac:dyDescent="0.25">
      <c r="A618" s="11"/>
      <c r="B618" s="4" t="str">
        <f>IF(A618="","",IFERROR(VLOOKUP(A618,Members!A$4:B$103,2,0),""))</f>
        <v/>
      </c>
      <c r="C618" s="6">
        <f t="shared" si="18"/>
        <v>0</v>
      </c>
      <c r="D618" s="11"/>
      <c r="E618" s="6" t="str">
        <f t="shared" si="19"/>
        <v/>
      </c>
      <c r="F618" s="11"/>
      <c r="G618" s="25" t="str">
        <f>IF(A618="","",IFERROR(SUMIFS($F$4:$F618,$A$4:$A618,A618),0))</f>
        <v/>
      </c>
      <c r="H618" s="11"/>
      <c r="I618" s="11"/>
      <c r="J618" s="11"/>
    </row>
    <row r="619" spans="1:10" ht="15.75" customHeight="1" x14ac:dyDescent="0.25">
      <c r="A619" s="11"/>
      <c r="B619" s="4" t="str">
        <f>IF(A619="","",IFERROR(VLOOKUP(A619,Members!A$4:B$103,2,0),""))</f>
        <v/>
      </c>
      <c r="C619" s="6">
        <f t="shared" si="18"/>
        <v>0</v>
      </c>
      <c r="D619" s="11"/>
      <c r="E619" s="6" t="str">
        <f t="shared" si="19"/>
        <v/>
      </c>
      <c r="F619" s="11"/>
      <c r="G619" s="25" t="str">
        <f>IF(A619="","",IFERROR(SUMIFS($F$4:$F619,$A$4:$A619,A619),0))</f>
        <v/>
      </c>
      <c r="H619" s="11"/>
      <c r="I619" s="11"/>
      <c r="J619" s="11"/>
    </row>
    <row r="620" spans="1:10" ht="15.75" customHeight="1" x14ac:dyDescent="0.25">
      <c r="A620" s="11"/>
      <c r="B620" s="4" t="str">
        <f>IF(A620="","",IFERROR(VLOOKUP(A620,Members!A$4:B$103,2,0),""))</f>
        <v/>
      </c>
      <c r="C620" s="6">
        <f t="shared" si="18"/>
        <v>0</v>
      </c>
      <c r="D620" s="11"/>
      <c r="E620" s="6" t="str">
        <f t="shared" si="19"/>
        <v/>
      </c>
      <c r="F620" s="11"/>
      <c r="G620" s="25" t="str">
        <f>IF(A620="","",IFERROR(SUMIFS($F$4:$F620,$A$4:$A620,A620),0))</f>
        <v/>
      </c>
      <c r="H620" s="11"/>
      <c r="I620" s="11"/>
      <c r="J620" s="11"/>
    </row>
    <row r="621" spans="1:10" ht="15.75" customHeight="1" x14ac:dyDescent="0.25">
      <c r="A621" s="11"/>
      <c r="B621" s="4" t="str">
        <f>IF(A621="","",IFERROR(VLOOKUP(A621,Members!A$4:B$103,2,0),""))</f>
        <v/>
      </c>
      <c r="C621" s="6">
        <f t="shared" si="18"/>
        <v>0</v>
      </c>
      <c r="D621" s="11"/>
      <c r="E621" s="6" t="str">
        <f t="shared" si="19"/>
        <v/>
      </c>
      <c r="F621" s="11"/>
      <c r="G621" s="25" t="str">
        <f>IF(A621="","",IFERROR(SUMIFS($F$4:$F621,$A$4:$A621,A621),0))</f>
        <v/>
      </c>
      <c r="H621" s="11"/>
      <c r="I621" s="11"/>
      <c r="J621" s="11"/>
    </row>
    <row r="622" spans="1:10" ht="15.75" customHeight="1" x14ac:dyDescent="0.25">
      <c r="A622" s="11"/>
      <c r="B622" s="4" t="str">
        <f>IF(A622="","",IFERROR(VLOOKUP(A622,Members!A$4:B$103,2,0),""))</f>
        <v/>
      </c>
      <c r="C622" s="6">
        <f t="shared" si="18"/>
        <v>0</v>
      </c>
      <c r="D622" s="11"/>
      <c r="E622" s="6" t="str">
        <f t="shared" si="19"/>
        <v/>
      </c>
      <c r="F622" s="11"/>
      <c r="G622" s="25" t="str">
        <f>IF(A622="","",IFERROR(SUMIFS($F$4:$F622,$A$4:$A622,A622),0))</f>
        <v/>
      </c>
      <c r="H622" s="11"/>
      <c r="I622" s="11"/>
      <c r="J622" s="11"/>
    </row>
    <row r="623" spans="1:10" ht="15.75" customHeight="1" x14ac:dyDescent="0.25">
      <c r="A623" s="11"/>
      <c r="B623" s="4" t="str">
        <f>IF(A623="","",IFERROR(VLOOKUP(A623,Members!A$4:B$103,2,0),""))</f>
        <v/>
      </c>
      <c r="C623" s="6">
        <f t="shared" si="18"/>
        <v>0</v>
      </c>
      <c r="D623" s="11"/>
      <c r="E623" s="6" t="str">
        <f t="shared" si="19"/>
        <v/>
      </c>
      <c r="F623" s="11"/>
      <c r="G623" s="25" t="str">
        <f>IF(A623="","",IFERROR(SUMIFS($F$4:$F623,$A$4:$A623,A623),0))</f>
        <v/>
      </c>
      <c r="H623" s="11"/>
      <c r="I623" s="11"/>
      <c r="J623" s="11"/>
    </row>
    <row r="624" spans="1:10" ht="15.75" customHeight="1" x14ac:dyDescent="0.25">
      <c r="A624" s="11"/>
      <c r="B624" s="4" t="str">
        <f>IF(A624="","",IFERROR(VLOOKUP(A624,Members!A$4:B$103,2,0),""))</f>
        <v/>
      </c>
      <c r="C624" s="6">
        <f t="shared" si="18"/>
        <v>0</v>
      </c>
      <c r="D624" s="11"/>
      <c r="E624" s="6" t="str">
        <f t="shared" si="19"/>
        <v/>
      </c>
      <c r="F624" s="11"/>
      <c r="G624" s="25" t="str">
        <f>IF(A624="","",IFERROR(SUMIFS($F$4:$F624,$A$4:$A624,A624),0))</f>
        <v/>
      </c>
      <c r="H624" s="11"/>
      <c r="I624" s="11"/>
      <c r="J624" s="11"/>
    </row>
    <row r="625" spans="1:10" ht="15.75" customHeight="1" x14ac:dyDescent="0.25">
      <c r="A625" s="11"/>
      <c r="B625" s="4" t="str">
        <f>IF(A625="","",IFERROR(VLOOKUP(A625,Members!A$4:B$103,2,0),""))</f>
        <v/>
      </c>
      <c r="C625" s="6">
        <f t="shared" si="18"/>
        <v>0</v>
      </c>
      <c r="D625" s="11"/>
      <c r="E625" s="6" t="str">
        <f t="shared" si="19"/>
        <v/>
      </c>
      <c r="F625" s="11"/>
      <c r="G625" s="25" t="str">
        <f>IF(A625="","",IFERROR(SUMIFS($F$4:$F625,$A$4:$A625,A625),0))</f>
        <v/>
      </c>
      <c r="H625" s="11"/>
      <c r="I625" s="11"/>
      <c r="J625" s="11"/>
    </row>
    <row r="626" spans="1:10" ht="15.75" customHeight="1" x14ac:dyDescent="0.25">
      <c r="A626" s="11"/>
      <c r="B626" s="4" t="str">
        <f>IF(A626="","",IFERROR(VLOOKUP(A626,Members!A$4:B$103,2,0),""))</f>
        <v/>
      </c>
      <c r="C626" s="6">
        <f t="shared" si="18"/>
        <v>0</v>
      </c>
      <c r="D626" s="11"/>
      <c r="E626" s="6" t="str">
        <f t="shared" si="19"/>
        <v/>
      </c>
      <c r="F626" s="11"/>
      <c r="G626" s="25" t="str">
        <f>IF(A626="","",IFERROR(SUMIFS($F$4:$F626,$A$4:$A626,A626),0))</f>
        <v/>
      </c>
      <c r="H626" s="11"/>
      <c r="I626" s="11"/>
      <c r="J626" s="11"/>
    </row>
    <row r="627" spans="1:10" ht="15.75" customHeight="1" x14ac:dyDescent="0.25">
      <c r="A627" s="11"/>
      <c r="B627" s="4" t="str">
        <f>IF(A627="","",IFERROR(VLOOKUP(A627,Members!A$4:B$103,2,0),""))</f>
        <v/>
      </c>
      <c r="C627" s="6">
        <f t="shared" si="18"/>
        <v>0</v>
      </c>
      <c r="D627" s="11"/>
      <c r="E627" s="6" t="str">
        <f t="shared" si="19"/>
        <v/>
      </c>
      <c r="F627" s="11"/>
      <c r="G627" s="25" t="str">
        <f>IF(A627="","",IFERROR(SUMIFS($F$4:$F627,$A$4:$A627,A627),0))</f>
        <v/>
      </c>
      <c r="H627" s="11"/>
      <c r="I627" s="11"/>
      <c r="J627" s="11"/>
    </row>
    <row r="628" spans="1:10" ht="15.75" customHeight="1" x14ac:dyDescent="0.25">
      <c r="A628" s="11"/>
      <c r="B628" s="4" t="str">
        <f>IF(A628="","",IFERROR(VLOOKUP(A628,Members!A$4:B$103,2,0),""))</f>
        <v/>
      </c>
      <c r="C628" s="6">
        <f t="shared" si="18"/>
        <v>0</v>
      </c>
      <c r="D628" s="11"/>
      <c r="E628" s="6" t="str">
        <f t="shared" si="19"/>
        <v/>
      </c>
      <c r="F628" s="11"/>
      <c r="G628" s="25" t="str">
        <f>IF(A628="","",IFERROR(SUMIFS($F$4:$F628,$A$4:$A628,A628),0))</f>
        <v/>
      </c>
      <c r="H628" s="11"/>
      <c r="I628" s="11"/>
      <c r="J628" s="11"/>
    </row>
    <row r="629" spans="1:10" ht="15.75" customHeight="1" x14ac:dyDescent="0.25">
      <c r="A629" s="11"/>
      <c r="B629" s="4" t="str">
        <f>IF(A629="","",IFERROR(VLOOKUP(A629,Members!A$4:B$103,2,0),""))</f>
        <v/>
      </c>
      <c r="C629" s="6">
        <f t="shared" si="18"/>
        <v>0</v>
      </c>
      <c r="D629" s="11"/>
      <c r="E629" s="6" t="str">
        <f t="shared" si="19"/>
        <v/>
      </c>
      <c r="F629" s="11"/>
      <c r="G629" s="25" t="str">
        <f>IF(A629="","",IFERROR(SUMIFS($F$4:$F629,$A$4:$A629,A629),0))</f>
        <v/>
      </c>
      <c r="H629" s="11"/>
      <c r="I629" s="11"/>
      <c r="J629" s="11"/>
    </row>
    <row r="630" spans="1:10" ht="15.75" customHeight="1" x14ac:dyDescent="0.25">
      <c r="A630" s="11"/>
      <c r="B630" s="4" t="str">
        <f>IF(A630="","",IFERROR(VLOOKUP(A630,Members!A$4:B$103,2,0),""))</f>
        <v/>
      </c>
      <c r="C630" s="6">
        <f t="shared" si="18"/>
        <v>0</v>
      </c>
      <c r="D630" s="11"/>
      <c r="E630" s="6" t="str">
        <f t="shared" si="19"/>
        <v/>
      </c>
      <c r="F630" s="11"/>
      <c r="G630" s="25" t="str">
        <f>IF(A630="","",IFERROR(SUMIFS($F$4:$F630,$A$4:$A630,A630),0))</f>
        <v/>
      </c>
      <c r="H630" s="11"/>
      <c r="I630" s="11"/>
      <c r="J630" s="11"/>
    </row>
    <row r="631" spans="1:10" ht="15.75" customHeight="1" x14ac:dyDescent="0.25">
      <c r="A631" s="11"/>
      <c r="B631" s="4" t="str">
        <f>IF(A631="","",IFERROR(VLOOKUP(A631,Members!A$4:B$103,2,0),""))</f>
        <v/>
      </c>
      <c r="C631" s="6">
        <f t="shared" si="18"/>
        <v>0</v>
      </c>
      <c r="D631" s="11"/>
      <c r="E631" s="6" t="str">
        <f t="shared" si="19"/>
        <v/>
      </c>
      <c r="F631" s="11"/>
      <c r="G631" s="25" t="str">
        <f>IF(A631="","",IFERROR(SUMIFS($F$4:$F631,$A$4:$A631,A631),0))</f>
        <v/>
      </c>
      <c r="H631" s="11"/>
      <c r="I631" s="11"/>
      <c r="J631" s="11"/>
    </row>
    <row r="632" spans="1:10" ht="15.75" customHeight="1" x14ac:dyDescent="0.25">
      <c r="A632" s="11"/>
      <c r="B632" s="4" t="str">
        <f>IF(A632="","",IFERROR(VLOOKUP(A632,Members!A$4:B$103,2,0),""))</f>
        <v/>
      </c>
      <c r="C632" s="6">
        <f t="shared" si="18"/>
        <v>0</v>
      </c>
      <c r="D632" s="11"/>
      <c r="E632" s="6" t="str">
        <f t="shared" si="19"/>
        <v/>
      </c>
      <c r="F632" s="11"/>
      <c r="G632" s="25" t="str">
        <f>IF(A632="","",IFERROR(SUMIFS($F$4:$F632,$A$4:$A632,A632),0))</f>
        <v/>
      </c>
      <c r="H632" s="11"/>
      <c r="I632" s="11"/>
      <c r="J632" s="11"/>
    </row>
    <row r="633" spans="1:10" ht="15.75" customHeight="1" x14ac:dyDescent="0.25">
      <c r="A633" s="11"/>
      <c r="B633" s="4" t="str">
        <f>IF(A633="","",IFERROR(VLOOKUP(A633,Members!A$4:B$103,2,0),""))</f>
        <v/>
      </c>
      <c r="C633" s="6">
        <f t="shared" si="18"/>
        <v>0</v>
      </c>
      <c r="D633" s="11"/>
      <c r="E633" s="6" t="str">
        <f t="shared" si="19"/>
        <v/>
      </c>
      <c r="F633" s="11"/>
      <c r="G633" s="25" t="str">
        <f>IF(A633="","",IFERROR(SUMIFS($F$4:$F633,$A$4:$A633,A633),0))</f>
        <v/>
      </c>
      <c r="H633" s="11"/>
      <c r="I633" s="11"/>
      <c r="J633" s="11"/>
    </row>
    <row r="634" spans="1:10" ht="15.75" customHeight="1" x14ac:dyDescent="0.25">
      <c r="A634" s="11"/>
      <c r="B634" s="4" t="str">
        <f>IF(A634="","",IFERROR(VLOOKUP(A634,Members!A$4:B$103,2,0),""))</f>
        <v/>
      </c>
      <c r="C634" s="6">
        <f t="shared" si="18"/>
        <v>0</v>
      </c>
      <c r="D634" s="11"/>
      <c r="E634" s="6" t="str">
        <f t="shared" si="19"/>
        <v/>
      </c>
      <c r="F634" s="11"/>
      <c r="G634" s="25" t="str">
        <f>IF(A634="","",IFERROR(SUMIFS($F$4:$F634,$A$4:$A634,A634),0))</f>
        <v/>
      </c>
      <c r="H634" s="11"/>
      <c r="I634" s="11"/>
      <c r="J634" s="11"/>
    </row>
    <row r="635" spans="1:10" ht="15.75" customHeight="1" x14ac:dyDescent="0.25">
      <c r="A635" s="11"/>
      <c r="B635" s="4" t="str">
        <f>IF(A635="","",IFERROR(VLOOKUP(A635,Members!A$4:B$103,2,0),""))</f>
        <v/>
      </c>
      <c r="C635" s="6">
        <f t="shared" si="18"/>
        <v>0</v>
      </c>
      <c r="D635" s="11"/>
      <c r="E635" s="6" t="str">
        <f t="shared" si="19"/>
        <v/>
      </c>
      <c r="F635" s="11"/>
      <c r="G635" s="25" t="str">
        <f>IF(A635="","",IFERROR(SUMIFS($F$4:$F635,$A$4:$A635,A635),0))</f>
        <v/>
      </c>
      <c r="H635" s="11"/>
      <c r="I635" s="11"/>
      <c r="J635" s="11"/>
    </row>
    <row r="636" spans="1:10" ht="15.75" customHeight="1" x14ac:dyDescent="0.25">
      <c r="A636" s="11"/>
      <c r="B636" s="4" t="str">
        <f>IF(A636="","",IFERROR(VLOOKUP(A636,Members!A$4:B$103,2,0),""))</f>
        <v/>
      </c>
      <c r="C636" s="6">
        <f t="shared" si="18"/>
        <v>0</v>
      </c>
      <c r="D636" s="11"/>
      <c r="E636" s="6" t="str">
        <f t="shared" si="19"/>
        <v/>
      </c>
      <c r="F636" s="11"/>
      <c r="G636" s="25" t="str">
        <f>IF(A636="","",IFERROR(SUMIFS($F$4:$F636,$A$4:$A636,A636),0))</f>
        <v/>
      </c>
      <c r="H636" s="11"/>
      <c r="I636" s="11"/>
      <c r="J636" s="11"/>
    </row>
    <row r="637" spans="1:10" ht="15.75" customHeight="1" x14ac:dyDescent="0.25">
      <c r="A637" s="11"/>
      <c r="B637" s="4" t="str">
        <f>IF(A637="","",IFERROR(VLOOKUP(A637,Members!A$4:B$103,2,0),""))</f>
        <v/>
      </c>
      <c r="C637" s="6">
        <f t="shared" si="18"/>
        <v>0</v>
      </c>
      <c r="D637" s="11"/>
      <c r="E637" s="6" t="str">
        <f t="shared" si="19"/>
        <v/>
      </c>
      <c r="F637" s="11"/>
      <c r="G637" s="25" t="str">
        <f>IF(A637="","",IFERROR(SUMIFS($F$4:$F637,$A$4:$A637,A637),0))</f>
        <v/>
      </c>
      <c r="H637" s="11"/>
      <c r="I637" s="11"/>
      <c r="J637" s="11"/>
    </row>
    <row r="638" spans="1:10" ht="15.75" customHeight="1" x14ac:dyDescent="0.25">
      <c r="A638" s="11"/>
      <c r="B638" s="4" t="str">
        <f>IF(A638="","",IFERROR(VLOOKUP(A638,Members!A$4:B$103,2,0),""))</f>
        <v/>
      </c>
      <c r="C638" s="6">
        <f t="shared" si="18"/>
        <v>0</v>
      </c>
      <c r="D638" s="11"/>
      <c r="E638" s="6" t="str">
        <f t="shared" si="19"/>
        <v/>
      </c>
      <c r="F638" s="11"/>
      <c r="G638" s="25" t="str">
        <f>IF(A638="","",IFERROR(SUMIFS($F$4:$F638,$A$4:$A638,A638),0))</f>
        <v/>
      </c>
      <c r="H638" s="11"/>
      <c r="I638" s="11"/>
      <c r="J638" s="11"/>
    </row>
    <row r="639" spans="1:10" ht="15.75" customHeight="1" x14ac:dyDescent="0.25">
      <c r="A639" s="11"/>
      <c r="B639" s="4" t="str">
        <f>IF(A639="","",IFERROR(VLOOKUP(A639,Members!A$4:B$103,2,0),""))</f>
        <v/>
      </c>
      <c r="C639" s="6">
        <f t="shared" si="18"/>
        <v>0</v>
      </c>
      <c r="D639" s="11"/>
      <c r="E639" s="6" t="str">
        <f t="shared" si="19"/>
        <v/>
      </c>
      <c r="F639" s="11"/>
      <c r="G639" s="25" t="str">
        <f>IF(A639="","",IFERROR(SUMIFS($F$4:$F639,$A$4:$A639,A639),0))</f>
        <v/>
      </c>
      <c r="H639" s="11"/>
      <c r="I639" s="11"/>
      <c r="J639" s="11"/>
    </row>
    <row r="640" spans="1:10" ht="15.75" customHeight="1" x14ac:dyDescent="0.25">
      <c r="A640" s="11"/>
      <c r="B640" s="4" t="str">
        <f>IF(A640="","",IFERROR(VLOOKUP(A640,Members!A$4:B$103,2,0),""))</f>
        <v/>
      </c>
      <c r="C640" s="6">
        <f t="shared" si="18"/>
        <v>0</v>
      </c>
      <c r="D640" s="11"/>
      <c r="E640" s="6" t="str">
        <f t="shared" si="19"/>
        <v/>
      </c>
      <c r="F640" s="11"/>
      <c r="G640" s="25" t="str">
        <f>IF(A640="","",IFERROR(SUMIFS($F$4:$F640,$A$4:$A640,A640),0))</f>
        <v/>
      </c>
      <c r="H640" s="11"/>
      <c r="I640" s="11"/>
      <c r="J640" s="11"/>
    </row>
    <row r="641" spans="1:10" ht="15.75" customHeight="1" x14ac:dyDescent="0.25">
      <c r="A641" s="11"/>
      <c r="B641" s="4" t="str">
        <f>IF(A641="","",IFERROR(VLOOKUP(A641,Members!A$4:B$103,2,0),""))</f>
        <v/>
      </c>
      <c r="C641" s="6">
        <f t="shared" si="18"/>
        <v>0</v>
      </c>
      <c r="D641" s="11"/>
      <c r="E641" s="6" t="str">
        <f t="shared" si="19"/>
        <v/>
      </c>
      <c r="F641" s="11"/>
      <c r="G641" s="25" t="str">
        <f>IF(A641="","",IFERROR(SUMIFS($F$4:$F641,$A$4:$A641,A641),0))</f>
        <v/>
      </c>
      <c r="H641" s="11"/>
      <c r="I641" s="11"/>
      <c r="J641" s="11"/>
    </row>
    <row r="642" spans="1:10" ht="15.75" customHeight="1" x14ac:dyDescent="0.25">
      <c r="A642" s="11"/>
      <c r="B642" s="4" t="str">
        <f>IF(A642="","",IFERROR(VLOOKUP(A642,Members!A$4:B$103,2,0),""))</f>
        <v/>
      </c>
      <c r="C642" s="6">
        <f t="shared" si="18"/>
        <v>0</v>
      </c>
      <c r="D642" s="11"/>
      <c r="E642" s="6" t="str">
        <f t="shared" si="19"/>
        <v/>
      </c>
      <c r="F642" s="11"/>
      <c r="G642" s="25" t="str">
        <f>IF(A642="","",IFERROR(SUMIFS($F$4:$F642,$A$4:$A642,A642),0))</f>
        <v/>
      </c>
      <c r="H642" s="11"/>
      <c r="I642" s="11"/>
      <c r="J642" s="11"/>
    </row>
    <row r="643" spans="1:10" ht="15.75" customHeight="1" x14ac:dyDescent="0.25">
      <c r="A643" s="11"/>
      <c r="B643" s="4" t="str">
        <f>IF(A643="","",IFERROR(VLOOKUP(A643,Members!A$4:B$103,2,0),""))</f>
        <v/>
      </c>
      <c r="C643" s="6">
        <f t="shared" si="18"/>
        <v>0</v>
      </c>
      <c r="D643" s="11"/>
      <c r="E643" s="6" t="str">
        <f t="shared" si="19"/>
        <v/>
      </c>
      <c r="F643" s="11"/>
      <c r="G643" s="25" t="str">
        <f>IF(A643="","",IFERROR(SUMIFS($F$4:$F643,$A$4:$A643,A643),0))</f>
        <v/>
      </c>
      <c r="H643" s="11"/>
      <c r="I643" s="11"/>
      <c r="J643" s="11"/>
    </row>
    <row r="644" spans="1:10" ht="15.75" customHeight="1" x14ac:dyDescent="0.25">
      <c r="A644" s="11"/>
      <c r="B644" s="4" t="str">
        <f>IF(A644="","",IFERROR(VLOOKUP(A644,Members!A$4:B$103,2,0),""))</f>
        <v/>
      </c>
      <c r="C644" s="6">
        <f t="shared" ref="C644:C707" si="20">A644</f>
        <v>0</v>
      </c>
      <c r="D644" s="11"/>
      <c r="E644" s="6" t="str">
        <f t="shared" ref="E644:E707" si="21">IF(D644="","",TEXT(DATE(2024,D644,1),"MMMM"))</f>
        <v/>
      </c>
      <c r="F644" s="11"/>
      <c r="G644" s="25" t="str">
        <f>IF(A644="","",IFERROR(SUMIFS($F$4:$F644,$A$4:$A644,A644),0))</f>
        <v/>
      </c>
      <c r="H644" s="11"/>
      <c r="I644" s="11"/>
      <c r="J644" s="11"/>
    </row>
    <row r="645" spans="1:10" ht="15.75" customHeight="1" x14ac:dyDescent="0.25">
      <c r="A645" s="11"/>
      <c r="B645" s="4" t="str">
        <f>IF(A645="","",IFERROR(VLOOKUP(A645,Members!A$4:B$103,2,0),""))</f>
        <v/>
      </c>
      <c r="C645" s="6">
        <f t="shared" si="20"/>
        <v>0</v>
      </c>
      <c r="D645" s="11"/>
      <c r="E645" s="6" t="str">
        <f t="shared" si="21"/>
        <v/>
      </c>
      <c r="F645" s="11"/>
      <c r="G645" s="25" t="str">
        <f>IF(A645="","",IFERROR(SUMIFS($F$4:$F645,$A$4:$A645,A645),0))</f>
        <v/>
      </c>
      <c r="H645" s="11"/>
      <c r="I645" s="11"/>
      <c r="J645" s="11"/>
    </row>
    <row r="646" spans="1:10" ht="15.75" customHeight="1" x14ac:dyDescent="0.25">
      <c r="A646" s="11"/>
      <c r="B646" s="4" t="str">
        <f>IF(A646="","",IFERROR(VLOOKUP(A646,Members!A$4:B$103,2,0),""))</f>
        <v/>
      </c>
      <c r="C646" s="6">
        <f t="shared" si="20"/>
        <v>0</v>
      </c>
      <c r="D646" s="11"/>
      <c r="E646" s="6" t="str">
        <f t="shared" si="21"/>
        <v/>
      </c>
      <c r="F646" s="11"/>
      <c r="G646" s="25" t="str">
        <f>IF(A646="","",IFERROR(SUMIFS($F$4:$F646,$A$4:$A646,A646),0))</f>
        <v/>
      </c>
      <c r="H646" s="11"/>
      <c r="I646" s="11"/>
      <c r="J646" s="11"/>
    </row>
    <row r="647" spans="1:10" ht="15.75" customHeight="1" x14ac:dyDescent="0.25">
      <c r="A647" s="11"/>
      <c r="B647" s="4" t="str">
        <f>IF(A647="","",IFERROR(VLOOKUP(A647,Members!A$4:B$103,2,0),""))</f>
        <v/>
      </c>
      <c r="C647" s="6">
        <f t="shared" si="20"/>
        <v>0</v>
      </c>
      <c r="D647" s="11"/>
      <c r="E647" s="6" t="str">
        <f t="shared" si="21"/>
        <v/>
      </c>
      <c r="F647" s="11"/>
      <c r="G647" s="25" t="str">
        <f>IF(A647="","",IFERROR(SUMIFS($F$4:$F647,$A$4:$A647,A647),0))</f>
        <v/>
      </c>
      <c r="H647" s="11"/>
      <c r="I647" s="11"/>
      <c r="J647" s="11"/>
    </row>
    <row r="648" spans="1:10" ht="15.75" customHeight="1" x14ac:dyDescent="0.25">
      <c r="A648" s="11"/>
      <c r="B648" s="4" t="str">
        <f>IF(A648="","",IFERROR(VLOOKUP(A648,Members!A$4:B$103,2,0),""))</f>
        <v/>
      </c>
      <c r="C648" s="6">
        <f t="shared" si="20"/>
        <v>0</v>
      </c>
      <c r="D648" s="11"/>
      <c r="E648" s="6" t="str">
        <f t="shared" si="21"/>
        <v/>
      </c>
      <c r="F648" s="11"/>
      <c r="G648" s="25" t="str">
        <f>IF(A648="","",IFERROR(SUMIFS($F$4:$F648,$A$4:$A648,A648),0))</f>
        <v/>
      </c>
      <c r="H648" s="11"/>
      <c r="I648" s="11"/>
      <c r="J648" s="11"/>
    </row>
    <row r="649" spans="1:10" ht="15.75" customHeight="1" x14ac:dyDescent="0.25">
      <c r="A649" s="11"/>
      <c r="B649" s="4" t="str">
        <f>IF(A649="","",IFERROR(VLOOKUP(A649,Members!A$4:B$103,2,0),""))</f>
        <v/>
      </c>
      <c r="C649" s="6">
        <f t="shared" si="20"/>
        <v>0</v>
      </c>
      <c r="D649" s="11"/>
      <c r="E649" s="6" t="str">
        <f t="shared" si="21"/>
        <v/>
      </c>
      <c r="F649" s="11"/>
      <c r="G649" s="25" t="str">
        <f>IF(A649="","",IFERROR(SUMIFS($F$4:$F649,$A$4:$A649,A649),0))</f>
        <v/>
      </c>
      <c r="H649" s="11"/>
      <c r="I649" s="11"/>
      <c r="J649" s="11"/>
    </row>
    <row r="650" spans="1:10" ht="15.75" customHeight="1" x14ac:dyDescent="0.25">
      <c r="A650" s="11"/>
      <c r="B650" s="4" t="str">
        <f>IF(A650="","",IFERROR(VLOOKUP(A650,Members!A$4:B$103,2,0),""))</f>
        <v/>
      </c>
      <c r="C650" s="6">
        <f t="shared" si="20"/>
        <v>0</v>
      </c>
      <c r="D650" s="11"/>
      <c r="E650" s="6" t="str">
        <f t="shared" si="21"/>
        <v/>
      </c>
      <c r="F650" s="11"/>
      <c r="G650" s="25" t="str">
        <f>IF(A650="","",IFERROR(SUMIFS($F$4:$F650,$A$4:$A650,A650),0))</f>
        <v/>
      </c>
      <c r="H650" s="11"/>
      <c r="I650" s="11"/>
      <c r="J650" s="11"/>
    </row>
    <row r="651" spans="1:10" ht="15.75" customHeight="1" x14ac:dyDescent="0.25">
      <c r="A651" s="11"/>
      <c r="B651" s="4" t="str">
        <f>IF(A651="","",IFERROR(VLOOKUP(A651,Members!A$4:B$103,2,0),""))</f>
        <v/>
      </c>
      <c r="C651" s="6">
        <f t="shared" si="20"/>
        <v>0</v>
      </c>
      <c r="D651" s="11"/>
      <c r="E651" s="6" t="str">
        <f t="shared" si="21"/>
        <v/>
      </c>
      <c r="F651" s="11"/>
      <c r="G651" s="25" t="str">
        <f>IF(A651="","",IFERROR(SUMIFS($F$4:$F651,$A$4:$A651,A651),0))</f>
        <v/>
      </c>
      <c r="H651" s="11"/>
      <c r="I651" s="11"/>
      <c r="J651" s="11"/>
    </row>
    <row r="652" spans="1:10" ht="15.75" customHeight="1" x14ac:dyDescent="0.25">
      <c r="A652" s="11"/>
      <c r="B652" s="4" t="str">
        <f>IF(A652="","",IFERROR(VLOOKUP(A652,Members!A$4:B$103,2,0),""))</f>
        <v/>
      </c>
      <c r="C652" s="6">
        <f t="shared" si="20"/>
        <v>0</v>
      </c>
      <c r="D652" s="11"/>
      <c r="E652" s="6" t="str">
        <f t="shared" si="21"/>
        <v/>
      </c>
      <c r="F652" s="11"/>
      <c r="G652" s="25" t="str">
        <f>IF(A652="","",IFERROR(SUMIFS($F$4:$F652,$A$4:$A652,A652),0))</f>
        <v/>
      </c>
      <c r="H652" s="11"/>
      <c r="I652" s="11"/>
      <c r="J652" s="11"/>
    </row>
    <row r="653" spans="1:10" ht="15.75" customHeight="1" x14ac:dyDescent="0.25">
      <c r="A653" s="11"/>
      <c r="B653" s="4" t="str">
        <f>IF(A653="","",IFERROR(VLOOKUP(A653,Members!A$4:B$103,2,0),""))</f>
        <v/>
      </c>
      <c r="C653" s="6">
        <f t="shared" si="20"/>
        <v>0</v>
      </c>
      <c r="D653" s="11"/>
      <c r="E653" s="6" t="str">
        <f t="shared" si="21"/>
        <v/>
      </c>
      <c r="F653" s="11"/>
      <c r="G653" s="25" t="str">
        <f>IF(A653="","",IFERROR(SUMIFS($F$4:$F653,$A$4:$A653,A653),0))</f>
        <v/>
      </c>
      <c r="H653" s="11"/>
      <c r="I653" s="11"/>
      <c r="J653" s="11"/>
    </row>
    <row r="654" spans="1:10" ht="15.75" customHeight="1" x14ac:dyDescent="0.25">
      <c r="A654" s="11"/>
      <c r="B654" s="4" t="str">
        <f>IF(A654="","",IFERROR(VLOOKUP(A654,Members!A$4:B$103,2,0),""))</f>
        <v/>
      </c>
      <c r="C654" s="6">
        <f t="shared" si="20"/>
        <v>0</v>
      </c>
      <c r="D654" s="11"/>
      <c r="E654" s="6" t="str">
        <f t="shared" si="21"/>
        <v/>
      </c>
      <c r="F654" s="11"/>
      <c r="G654" s="25" t="str">
        <f>IF(A654="","",IFERROR(SUMIFS($F$4:$F654,$A$4:$A654,A654),0))</f>
        <v/>
      </c>
      <c r="H654" s="11"/>
      <c r="I654" s="11"/>
      <c r="J654" s="11"/>
    </row>
    <row r="655" spans="1:10" ht="15.75" customHeight="1" x14ac:dyDescent="0.25">
      <c r="A655" s="11"/>
      <c r="B655" s="4" t="str">
        <f>IF(A655="","",IFERROR(VLOOKUP(A655,Members!A$4:B$103,2,0),""))</f>
        <v/>
      </c>
      <c r="C655" s="6">
        <f t="shared" si="20"/>
        <v>0</v>
      </c>
      <c r="D655" s="11"/>
      <c r="E655" s="6" t="str">
        <f t="shared" si="21"/>
        <v/>
      </c>
      <c r="F655" s="11"/>
      <c r="G655" s="25" t="str">
        <f>IF(A655="","",IFERROR(SUMIFS($F$4:$F655,$A$4:$A655,A655),0))</f>
        <v/>
      </c>
      <c r="H655" s="11"/>
      <c r="I655" s="11"/>
      <c r="J655" s="11"/>
    </row>
    <row r="656" spans="1:10" ht="15.75" customHeight="1" x14ac:dyDescent="0.25">
      <c r="A656" s="11"/>
      <c r="B656" s="4" t="str">
        <f>IF(A656="","",IFERROR(VLOOKUP(A656,Members!A$4:B$103,2,0),""))</f>
        <v/>
      </c>
      <c r="C656" s="6">
        <f t="shared" si="20"/>
        <v>0</v>
      </c>
      <c r="D656" s="11"/>
      <c r="E656" s="6" t="str">
        <f t="shared" si="21"/>
        <v/>
      </c>
      <c r="F656" s="11"/>
      <c r="G656" s="25" t="str">
        <f>IF(A656="","",IFERROR(SUMIFS($F$4:$F656,$A$4:$A656,A656),0))</f>
        <v/>
      </c>
      <c r="H656" s="11"/>
      <c r="I656" s="11"/>
      <c r="J656" s="11"/>
    </row>
    <row r="657" spans="1:10" ht="15.75" customHeight="1" x14ac:dyDescent="0.25">
      <c r="A657" s="11"/>
      <c r="B657" s="4" t="str">
        <f>IF(A657="","",IFERROR(VLOOKUP(A657,Members!A$4:B$103,2,0),""))</f>
        <v/>
      </c>
      <c r="C657" s="6">
        <f t="shared" si="20"/>
        <v>0</v>
      </c>
      <c r="D657" s="11"/>
      <c r="E657" s="6" t="str">
        <f t="shared" si="21"/>
        <v/>
      </c>
      <c r="F657" s="11"/>
      <c r="G657" s="25" t="str">
        <f>IF(A657="","",IFERROR(SUMIFS($F$4:$F657,$A$4:$A657,A657),0))</f>
        <v/>
      </c>
      <c r="H657" s="11"/>
      <c r="I657" s="11"/>
      <c r="J657" s="11"/>
    </row>
    <row r="658" spans="1:10" ht="15.75" customHeight="1" x14ac:dyDescent="0.25">
      <c r="A658" s="11"/>
      <c r="B658" s="4" t="str">
        <f>IF(A658="","",IFERROR(VLOOKUP(A658,Members!A$4:B$103,2,0),""))</f>
        <v/>
      </c>
      <c r="C658" s="6">
        <f t="shared" si="20"/>
        <v>0</v>
      </c>
      <c r="D658" s="11"/>
      <c r="E658" s="6" t="str">
        <f t="shared" si="21"/>
        <v/>
      </c>
      <c r="F658" s="11"/>
      <c r="G658" s="25" t="str">
        <f>IF(A658="","",IFERROR(SUMIFS($F$4:$F658,$A$4:$A658,A658),0))</f>
        <v/>
      </c>
      <c r="H658" s="11"/>
      <c r="I658" s="11"/>
      <c r="J658" s="11"/>
    </row>
    <row r="659" spans="1:10" ht="15.75" customHeight="1" x14ac:dyDescent="0.25">
      <c r="A659" s="11"/>
      <c r="B659" s="4" t="str">
        <f>IF(A659="","",IFERROR(VLOOKUP(A659,Members!A$4:B$103,2,0),""))</f>
        <v/>
      </c>
      <c r="C659" s="6">
        <f t="shared" si="20"/>
        <v>0</v>
      </c>
      <c r="D659" s="11"/>
      <c r="E659" s="6" t="str">
        <f t="shared" si="21"/>
        <v/>
      </c>
      <c r="F659" s="11"/>
      <c r="G659" s="25" t="str">
        <f>IF(A659="","",IFERROR(SUMIFS($F$4:$F659,$A$4:$A659,A659),0))</f>
        <v/>
      </c>
      <c r="H659" s="11"/>
      <c r="I659" s="11"/>
      <c r="J659" s="11"/>
    </row>
    <row r="660" spans="1:10" ht="15.75" customHeight="1" x14ac:dyDescent="0.25">
      <c r="A660" s="11"/>
      <c r="B660" s="4" t="str">
        <f>IF(A660="","",IFERROR(VLOOKUP(A660,Members!A$4:B$103,2,0),""))</f>
        <v/>
      </c>
      <c r="C660" s="6">
        <f t="shared" si="20"/>
        <v>0</v>
      </c>
      <c r="D660" s="11"/>
      <c r="E660" s="6" t="str">
        <f t="shared" si="21"/>
        <v/>
      </c>
      <c r="F660" s="11"/>
      <c r="G660" s="25" t="str">
        <f>IF(A660="","",IFERROR(SUMIFS($F$4:$F660,$A$4:$A660,A660),0))</f>
        <v/>
      </c>
      <c r="H660" s="11"/>
      <c r="I660" s="11"/>
      <c r="J660" s="11"/>
    </row>
    <row r="661" spans="1:10" ht="15.75" customHeight="1" x14ac:dyDescent="0.25">
      <c r="A661" s="11"/>
      <c r="B661" s="4" t="str">
        <f>IF(A661="","",IFERROR(VLOOKUP(A661,Members!A$4:B$103,2,0),""))</f>
        <v/>
      </c>
      <c r="C661" s="6">
        <f t="shared" si="20"/>
        <v>0</v>
      </c>
      <c r="D661" s="11"/>
      <c r="E661" s="6" t="str">
        <f t="shared" si="21"/>
        <v/>
      </c>
      <c r="F661" s="11"/>
      <c r="G661" s="25" t="str">
        <f>IF(A661="","",IFERROR(SUMIFS($F$4:$F661,$A$4:$A661,A661),0))</f>
        <v/>
      </c>
      <c r="H661" s="11"/>
      <c r="I661" s="11"/>
      <c r="J661" s="11"/>
    </row>
    <row r="662" spans="1:10" ht="15.75" customHeight="1" x14ac:dyDescent="0.25">
      <c r="A662" s="11"/>
      <c r="B662" s="4" t="str">
        <f>IF(A662="","",IFERROR(VLOOKUP(A662,Members!A$4:B$103,2,0),""))</f>
        <v/>
      </c>
      <c r="C662" s="6">
        <f t="shared" si="20"/>
        <v>0</v>
      </c>
      <c r="D662" s="11"/>
      <c r="E662" s="6" t="str">
        <f t="shared" si="21"/>
        <v/>
      </c>
      <c r="F662" s="11"/>
      <c r="G662" s="25" t="str">
        <f>IF(A662="","",IFERROR(SUMIFS($F$4:$F662,$A$4:$A662,A662),0))</f>
        <v/>
      </c>
      <c r="H662" s="11"/>
      <c r="I662" s="11"/>
      <c r="J662" s="11"/>
    </row>
    <row r="663" spans="1:10" ht="15.75" customHeight="1" x14ac:dyDescent="0.25">
      <c r="A663" s="11"/>
      <c r="B663" s="4" t="str">
        <f>IF(A663="","",IFERROR(VLOOKUP(A663,Members!A$4:B$103,2,0),""))</f>
        <v/>
      </c>
      <c r="C663" s="6">
        <f t="shared" si="20"/>
        <v>0</v>
      </c>
      <c r="D663" s="11"/>
      <c r="E663" s="6" t="str">
        <f t="shared" si="21"/>
        <v/>
      </c>
      <c r="F663" s="11"/>
      <c r="G663" s="25" t="str">
        <f>IF(A663="","",IFERROR(SUMIFS($F$4:$F663,$A$4:$A663,A663),0))</f>
        <v/>
      </c>
      <c r="H663" s="11"/>
      <c r="I663" s="11"/>
      <c r="J663" s="11"/>
    </row>
    <row r="664" spans="1:10" ht="15.75" customHeight="1" x14ac:dyDescent="0.25">
      <c r="A664" s="11"/>
      <c r="B664" s="4" t="str">
        <f>IF(A664="","",IFERROR(VLOOKUP(A664,Members!A$4:B$103,2,0),""))</f>
        <v/>
      </c>
      <c r="C664" s="6">
        <f t="shared" si="20"/>
        <v>0</v>
      </c>
      <c r="D664" s="11"/>
      <c r="E664" s="6" t="str">
        <f t="shared" si="21"/>
        <v/>
      </c>
      <c r="F664" s="11"/>
      <c r="G664" s="25" t="str">
        <f>IF(A664="","",IFERROR(SUMIFS($F$4:$F664,$A$4:$A664,A664),0))</f>
        <v/>
      </c>
      <c r="H664" s="11"/>
      <c r="I664" s="11"/>
      <c r="J664" s="11"/>
    </row>
    <row r="665" spans="1:10" ht="15.75" customHeight="1" x14ac:dyDescent="0.25">
      <c r="A665" s="11"/>
      <c r="B665" s="4" t="str">
        <f>IF(A665="","",IFERROR(VLOOKUP(A665,Members!A$4:B$103,2,0),""))</f>
        <v/>
      </c>
      <c r="C665" s="6">
        <f t="shared" si="20"/>
        <v>0</v>
      </c>
      <c r="D665" s="11"/>
      <c r="E665" s="6" t="str">
        <f t="shared" si="21"/>
        <v/>
      </c>
      <c r="F665" s="11"/>
      <c r="G665" s="25" t="str">
        <f>IF(A665="","",IFERROR(SUMIFS($F$4:$F665,$A$4:$A665,A665),0))</f>
        <v/>
      </c>
      <c r="H665" s="11"/>
      <c r="I665" s="11"/>
      <c r="J665" s="11"/>
    </row>
    <row r="666" spans="1:10" ht="15.75" customHeight="1" x14ac:dyDescent="0.25">
      <c r="A666" s="11"/>
      <c r="B666" s="4" t="str">
        <f>IF(A666="","",IFERROR(VLOOKUP(A666,Members!A$4:B$103,2,0),""))</f>
        <v/>
      </c>
      <c r="C666" s="6">
        <f t="shared" si="20"/>
        <v>0</v>
      </c>
      <c r="D666" s="11"/>
      <c r="E666" s="6" t="str">
        <f t="shared" si="21"/>
        <v/>
      </c>
      <c r="F666" s="11"/>
      <c r="G666" s="25" t="str">
        <f>IF(A666="","",IFERROR(SUMIFS($F$4:$F666,$A$4:$A666,A666),0))</f>
        <v/>
      </c>
      <c r="H666" s="11"/>
      <c r="I666" s="11"/>
      <c r="J666" s="11"/>
    </row>
    <row r="667" spans="1:10" ht="15.75" customHeight="1" x14ac:dyDescent="0.25">
      <c r="A667" s="11"/>
      <c r="B667" s="4" t="str">
        <f>IF(A667="","",IFERROR(VLOOKUP(A667,Members!A$4:B$103,2,0),""))</f>
        <v/>
      </c>
      <c r="C667" s="6">
        <f t="shared" si="20"/>
        <v>0</v>
      </c>
      <c r="D667" s="11"/>
      <c r="E667" s="6" t="str">
        <f t="shared" si="21"/>
        <v/>
      </c>
      <c r="F667" s="11"/>
      <c r="G667" s="25" t="str">
        <f>IF(A667="","",IFERROR(SUMIFS($F$4:$F667,$A$4:$A667,A667),0))</f>
        <v/>
      </c>
      <c r="H667" s="11"/>
      <c r="I667" s="11"/>
      <c r="J667" s="11"/>
    </row>
    <row r="668" spans="1:10" ht="15.75" customHeight="1" x14ac:dyDescent="0.25">
      <c r="A668" s="11"/>
      <c r="B668" s="4" t="str">
        <f>IF(A668="","",IFERROR(VLOOKUP(A668,Members!A$4:B$103,2,0),""))</f>
        <v/>
      </c>
      <c r="C668" s="6">
        <f t="shared" si="20"/>
        <v>0</v>
      </c>
      <c r="D668" s="11"/>
      <c r="E668" s="6" t="str">
        <f t="shared" si="21"/>
        <v/>
      </c>
      <c r="F668" s="11"/>
      <c r="G668" s="25" t="str">
        <f>IF(A668="","",IFERROR(SUMIFS($F$4:$F668,$A$4:$A668,A668),0))</f>
        <v/>
      </c>
      <c r="H668" s="11"/>
      <c r="I668" s="11"/>
      <c r="J668" s="11"/>
    </row>
    <row r="669" spans="1:10" ht="15.75" customHeight="1" x14ac:dyDescent="0.25">
      <c r="A669" s="11"/>
      <c r="B669" s="4" t="str">
        <f>IF(A669="","",IFERROR(VLOOKUP(A669,Members!A$4:B$103,2,0),""))</f>
        <v/>
      </c>
      <c r="C669" s="6">
        <f t="shared" si="20"/>
        <v>0</v>
      </c>
      <c r="D669" s="11"/>
      <c r="E669" s="6" t="str">
        <f t="shared" si="21"/>
        <v/>
      </c>
      <c r="F669" s="11"/>
      <c r="G669" s="25" t="str">
        <f>IF(A669="","",IFERROR(SUMIFS($F$4:$F669,$A$4:$A669,A669),0))</f>
        <v/>
      </c>
      <c r="H669" s="11"/>
      <c r="I669" s="11"/>
      <c r="J669" s="11"/>
    </row>
    <row r="670" spans="1:10" ht="15.75" customHeight="1" x14ac:dyDescent="0.25">
      <c r="A670" s="11"/>
      <c r="B670" s="4" t="str">
        <f>IF(A670="","",IFERROR(VLOOKUP(A670,Members!A$4:B$103,2,0),""))</f>
        <v/>
      </c>
      <c r="C670" s="6">
        <f t="shared" si="20"/>
        <v>0</v>
      </c>
      <c r="D670" s="11"/>
      <c r="E670" s="6" t="str">
        <f t="shared" si="21"/>
        <v/>
      </c>
      <c r="F670" s="11"/>
      <c r="G670" s="25" t="str">
        <f>IF(A670="","",IFERROR(SUMIFS($F$4:$F670,$A$4:$A670,A670),0))</f>
        <v/>
      </c>
      <c r="H670" s="11"/>
      <c r="I670" s="11"/>
      <c r="J670" s="11"/>
    </row>
    <row r="671" spans="1:10" ht="15.75" customHeight="1" x14ac:dyDescent="0.25">
      <c r="A671" s="11"/>
      <c r="B671" s="4" t="str">
        <f>IF(A671="","",IFERROR(VLOOKUP(A671,Members!A$4:B$103,2,0),""))</f>
        <v/>
      </c>
      <c r="C671" s="6">
        <f t="shared" si="20"/>
        <v>0</v>
      </c>
      <c r="D671" s="11"/>
      <c r="E671" s="6" t="str">
        <f t="shared" si="21"/>
        <v/>
      </c>
      <c r="F671" s="11"/>
      <c r="G671" s="25" t="str">
        <f>IF(A671="","",IFERROR(SUMIFS($F$4:$F671,$A$4:$A671,A671),0))</f>
        <v/>
      </c>
      <c r="H671" s="11"/>
      <c r="I671" s="11"/>
      <c r="J671" s="11"/>
    </row>
    <row r="672" spans="1:10" ht="15.75" customHeight="1" x14ac:dyDescent="0.25">
      <c r="A672" s="11"/>
      <c r="B672" s="4" t="str">
        <f>IF(A672="","",IFERROR(VLOOKUP(A672,Members!A$4:B$103,2,0),""))</f>
        <v/>
      </c>
      <c r="C672" s="6">
        <f t="shared" si="20"/>
        <v>0</v>
      </c>
      <c r="D672" s="11"/>
      <c r="E672" s="6" t="str">
        <f t="shared" si="21"/>
        <v/>
      </c>
      <c r="F672" s="11"/>
      <c r="G672" s="25" t="str">
        <f>IF(A672="","",IFERROR(SUMIFS($F$4:$F672,$A$4:$A672,A672),0))</f>
        <v/>
      </c>
      <c r="H672" s="11"/>
      <c r="I672" s="11"/>
      <c r="J672" s="11"/>
    </row>
    <row r="673" spans="1:10" ht="15.75" customHeight="1" x14ac:dyDescent="0.25">
      <c r="A673" s="11"/>
      <c r="B673" s="4" t="str">
        <f>IF(A673="","",IFERROR(VLOOKUP(A673,Members!A$4:B$103,2,0),""))</f>
        <v/>
      </c>
      <c r="C673" s="6">
        <f t="shared" si="20"/>
        <v>0</v>
      </c>
      <c r="D673" s="11"/>
      <c r="E673" s="6" t="str">
        <f t="shared" si="21"/>
        <v/>
      </c>
      <c r="F673" s="11"/>
      <c r="G673" s="25" t="str">
        <f>IF(A673="","",IFERROR(SUMIFS($F$4:$F673,$A$4:$A673,A673),0))</f>
        <v/>
      </c>
      <c r="H673" s="11"/>
      <c r="I673" s="11"/>
      <c r="J673" s="11"/>
    </row>
    <row r="674" spans="1:10" ht="15.75" customHeight="1" x14ac:dyDescent="0.25">
      <c r="A674" s="11"/>
      <c r="B674" s="4" t="str">
        <f>IF(A674="","",IFERROR(VLOOKUP(A674,Members!A$4:B$103,2,0),""))</f>
        <v/>
      </c>
      <c r="C674" s="6">
        <f t="shared" si="20"/>
        <v>0</v>
      </c>
      <c r="D674" s="11"/>
      <c r="E674" s="6" t="str">
        <f t="shared" si="21"/>
        <v/>
      </c>
      <c r="F674" s="11"/>
      <c r="G674" s="25" t="str">
        <f>IF(A674="","",IFERROR(SUMIFS($F$4:$F674,$A$4:$A674,A674),0))</f>
        <v/>
      </c>
      <c r="H674" s="11"/>
      <c r="I674" s="11"/>
      <c r="J674" s="11"/>
    </row>
    <row r="675" spans="1:10" ht="15.75" customHeight="1" x14ac:dyDescent="0.25">
      <c r="A675" s="11"/>
      <c r="B675" s="4" t="str">
        <f>IF(A675="","",IFERROR(VLOOKUP(A675,Members!A$4:B$103,2,0),""))</f>
        <v/>
      </c>
      <c r="C675" s="6">
        <f t="shared" si="20"/>
        <v>0</v>
      </c>
      <c r="D675" s="11"/>
      <c r="E675" s="6" t="str">
        <f t="shared" si="21"/>
        <v/>
      </c>
      <c r="F675" s="11"/>
      <c r="G675" s="25" t="str">
        <f>IF(A675="","",IFERROR(SUMIFS($F$4:$F675,$A$4:$A675,A675),0))</f>
        <v/>
      </c>
      <c r="H675" s="11"/>
      <c r="I675" s="11"/>
      <c r="J675" s="11"/>
    </row>
    <row r="676" spans="1:10" ht="15.75" customHeight="1" x14ac:dyDescent="0.25">
      <c r="A676" s="11"/>
      <c r="B676" s="4" t="str">
        <f>IF(A676="","",IFERROR(VLOOKUP(A676,Members!A$4:B$103,2,0),""))</f>
        <v/>
      </c>
      <c r="C676" s="6">
        <f t="shared" si="20"/>
        <v>0</v>
      </c>
      <c r="D676" s="11"/>
      <c r="E676" s="6" t="str">
        <f t="shared" si="21"/>
        <v/>
      </c>
      <c r="F676" s="11"/>
      <c r="G676" s="25" t="str">
        <f>IF(A676="","",IFERROR(SUMIFS($F$4:$F676,$A$4:$A676,A676),0))</f>
        <v/>
      </c>
      <c r="H676" s="11"/>
      <c r="I676" s="11"/>
      <c r="J676" s="11"/>
    </row>
    <row r="677" spans="1:10" ht="15.75" customHeight="1" x14ac:dyDescent="0.25">
      <c r="A677" s="11"/>
      <c r="B677" s="4" t="str">
        <f>IF(A677="","",IFERROR(VLOOKUP(A677,Members!A$4:B$103,2,0),""))</f>
        <v/>
      </c>
      <c r="C677" s="6">
        <f t="shared" si="20"/>
        <v>0</v>
      </c>
      <c r="D677" s="11"/>
      <c r="E677" s="6" t="str">
        <f t="shared" si="21"/>
        <v/>
      </c>
      <c r="F677" s="11"/>
      <c r="G677" s="25" t="str">
        <f>IF(A677="","",IFERROR(SUMIFS($F$4:$F677,$A$4:$A677,A677),0))</f>
        <v/>
      </c>
      <c r="H677" s="11"/>
      <c r="I677" s="11"/>
      <c r="J677" s="11"/>
    </row>
    <row r="678" spans="1:10" ht="15.75" customHeight="1" x14ac:dyDescent="0.25">
      <c r="A678" s="11"/>
      <c r="B678" s="4" t="str">
        <f>IF(A678="","",IFERROR(VLOOKUP(A678,Members!A$4:B$103,2,0),""))</f>
        <v/>
      </c>
      <c r="C678" s="6">
        <f t="shared" si="20"/>
        <v>0</v>
      </c>
      <c r="D678" s="11"/>
      <c r="E678" s="6" t="str">
        <f t="shared" si="21"/>
        <v/>
      </c>
      <c r="F678" s="11"/>
      <c r="G678" s="25" t="str">
        <f>IF(A678="","",IFERROR(SUMIFS($F$4:$F678,$A$4:$A678,A678),0))</f>
        <v/>
      </c>
      <c r="H678" s="11"/>
      <c r="I678" s="11"/>
      <c r="J678" s="11"/>
    </row>
    <row r="679" spans="1:10" ht="15.75" customHeight="1" x14ac:dyDescent="0.25">
      <c r="A679" s="11"/>
      <c r="B679" s="4" t="str">
        <f>IF(A679="","",IFERROR(VLOOKUP(A679,Members!A$4:B$103,2,0),""))</f>
        <v/>
      </c>
      <c r="C679" s="6">
        <f t="shared" si="20"/>
        <v>0</v>
      </c>
      <c r="D679" s="11"/>
      <c r="E679" s="6" t="str">
        <f t="shared" si="21"/>
        <v/>
      </c>
      <c r="F679" s="11"/>
      <c r="G679" s="25" t="str">
        <f>IF(A679="","",IFERROR(SUMIFS($F$4:$F679,$A$4:$A679,A679),0))</f>
        <v/>
      </c>
      <c r="H679" s="11"/>
      <c r="I679" s="11"/>
      <c r="J679" s="11"/>
    </row>
    <row r="680" spans="1:10" ht="15.75" customHeight="1" x14ac:dyDescent="0.25">
      <c r="A680" s="11"/>
      <c r="B680" s="4" t="str">
        <f>IF(A680="","",IFERROR(VLOOKUP(A680,Members!A$4:B$103,2,0),""))</f>
        <v/>
      </c>
      <c r="C680" s="6">
        <f t="shared" si="20"/>
        <v>0</v>
      </c>
      <c r="D680" s="11"/>
      <c r="E680" s="6" t="str">
        <f t="shared" si="21"/>
        <v/>
      </c>
      <c r="F680" s="11"/>
      <c r="G680" s="25" t="str">
        <f>IF(A680="","",IFERROR(SUMIFS($F$4:$F680,$A$4:$A680,A680),0))</f>
        <v/>
      </c>
      <c r="H680" s="11"/>
      <c r="I680" s="11"/>
      <c r="J680" s="11"/>
    </row>
    <row r="681" spans="1:10" ht="15.75" customHeight="1" x14ac:dyDescent="0.25">
      <c r="A681" s="11"/>
      <c r="B681" s="4" t="str">
        <f>IF(A681="","",IFERROR(VLOOKUP(A681,Members!A$4:B$103,2,0),""))</f>
        <v/>
      </c>
      <c r="C681" s="6">
        <f t="shared" si="20"/>
        <v>0</v>
      </c>
      <c r="D681" s="11"/>
      <c r="E681" s="6" t="str">
        <f t="shared" si="21"/>
        <v/>
      </c>
      <c r="F681" s="11"/>
      <c r="G681" s="25" t="str">
        <f>IF(A681="","",IFERROR(SUMIFS($F$4:$F681,$A$4:$A681,A681),0))</f>
        <v/>
      </c>
      <c r="H681" s="11"/>
      <c r="I681" s="11"/>
      <c r="J681" s="11"/>
    </row>
    <row r="682" spans="1:10" ht="15.75" customHeight="1" x14ac:dyDescent="0.25">
      <c r="A682" s="11"/>
      <c r="B682" s="4" t="str">
        <f>IF(A682="","",IFERROR(VLOOKUP(A682,Members!A$4:B$103,2,0),""))</f>
        <v/>
      </c>
      <c r="C682" s="6">
        <f t="shared" si="20"/>
        <v>0</v>
      </c>
      <c r="D682" s="11"/>
      <c r="E682" s="6" t="str">
        <f t="shared" si="21"/>
        <v/>
      </c>
      <c r="F682" s="11"/>
      <c r="G682" s="25" t="str">
        <f>IF(A682="","",IFERROR(SUMIFS($F$4:$F682,$A$4:$A682,A682),0))</f>
        <v/>
      </c>
      <c r="H682" s="11"/>
      <c r="I682" s="11"/>
      <c r="J682" s="11"/>
    </row>
    <row r="683" spans="1:10" ht="15.75" customHeight="1" x14ac:dyDescent="0.25">
      <c r="A683" s="11"/>
      <c r="B683" s="4" t="str">
        <f>IF(A683="","",IFERROR(VLOOKUP(A683,Members!A$4:B$103,2,0),""))</f>
        <v/>
      </c>
      <c r="C683" s="6">
        <f t="shared" si="20"/>
        <v>0</v>
      </c>
      <c r="D683" s="11"/>
      <c r="E683" s="6" t="str">
        <f t="shared" si="21"/>
        <v/>
      </c>
      <c r="F683" s="11"/>
      <c r="G683" s="25" t="str">
        <f>IF(A683="","",IFERROR(SUMIFS($F$4:$F683,$A$4:$A683,A683),0))</f>
        <v/>
      </c>
      <c r="H683" s="11"/>
      <c r="I683" s="11"/>
      <c r="J683" s="11"/>
    </row>
    <row r="684" spans="1:10" ht="15.75" customHeight="1" x14ac:dyDescent="0.25">
      <c r="A684" s="11"/>
      <c r="B684" s="4" t="str">
        <f>IF(A684="","",IFERROR(VLOOKUP(A684,Members!A$4:B$103,2,0),""))</f>
        <v/>
      </c>
      <c r="C684" s="6">
        <f t="shared" si="20"/>
        <v>0</v>
      </c>
      <c r="D684" s="11"/>
      <c r="E684" s="6" t="str">
        <f t="shared" si="21"/>
        <v/>
      </c>
      <c r="F684" s="11"/>
      <c r="G684" s="25" t="str">
        <f>IF(A684="","",IFERROR(SUMIFS($F$4:$F684,$A$4:$A684,A684),0))</f>
        <v/>
      </c>
      <c r="H684" s="11"/>
      <c r="I684" s="11"/>
      <c r="J684" s="11"/>
    </row>
    <row r="685" spans="1:10" ht="15.75" customHeight="1" x14ac:dyDescent="0.25">
      <c r="A685" s="11"/>
      <c r="B685" s="4" t="str">
        <f>IF(A685="","",IFERROR(VLOOKUP(A685,Members!A$4:B$103,2,0),""))</f>
        <v/>
      </c>
      <c r="C685" s="6">
        <f t="shared" si="20"/>
        <v>0</v>
      </c>
      <c r="D685" s="11"/>
      <c r="E685" s="6" t="str">
        <f t="shared" si="21"/>
        <v/>
      </c>
      <c r="F685" s="11"/>
      <c r="G685" s="25" t="str">
        <f>IF(A685="","",IFERROR(SUMIFS($F$4:$F685,$A$4:$A685,A685),0))</f>
        <v/>
      </c>
      <c r="H685" s="11"/>
      <c r="I685" s="11"/>
      <c r="J685" s="11"/>
    </row>
    <row r="686" spans="1:10" ht="15.75" customHeight="1" x14ac:dyDescent="0.25">
      <c r="A686" s="11"/>
      <c r="B686" s="4" t="str">
        <f>IF(A686="","",IFERROR(VLOOKUP(A686,Members!A$4:B$103,2,0),""))</f>
        <v/>
      </c>
      <c r="C686" s="6">
        <f t="shared" si="20"/>
        <v>0</v>
      </c>
      <c r="D686" s="11"/>
      <c r="E686" s="6" t="str">
        <f t="shared" si="21"/>
        <v/>
      </c>
      <c r="F686" s="11"/>
      <c r="G686" s="25" t="str">
        <f>IF(A686="","",IFERROR(SUMIFS($F$4:$F686,$A$4:$A686,A686),0))</f>
        <v/>
      </c>
      <c r="H686" s="11"/>
      <c r="I686" s="11"/>
      <c r="J686" s="11"/>
    </row>
    <row r="687" spans="1:10" ht="15.75" customHeight="1" x14ac:dyDescent="0.25">
      <c r="A687" s="11"/>
      <c r="B687" s="4" t="str">
        <f>IF(A687="","",IFERROR(VLOOKUP(A687,Members!A$4:B$103,2,0),""))</f>
        <v/>
      </c>
      <c r="C687" s="6">
        <f t="shared" si="20"/>
        <v>0</v>
      </c>
      <c r="D687" s="11"/>
      <c r="E687" s="6" t="str">
        <f t="shared" si="21"/>
        <v/>
      </c>
      <c r="F687" s="11"/>
      <c r="G687" s="25" t="str">
        <f>IF(A687="","",IFERROR(SUMIFS($F$4:$F687,$A$4:$A687,A687),0))</f>
        <v/>
      </c>
      <c r="H687" s="11"/>
      <c r="I687" s="11"/>
      <c r="J687" s="11"/>
    </row>
    <row r="688" spans="1:10" ht="15.75" customHeight="1" x14ac:dyDescent="0.25">
      <c r="A688" s="11"/>
      <c r="B688" s="4" t="str">
        <f>IF(A688="","",IFERROR(VLOOKUP(A688,Members!A$4:B$103,2,0),""))</f>
        <v/>
      </c>
      <c r="C688" s="6">
        <f t="shared" si="20"/>
        <v>0</v>
      </c>
      <c r="D688" s="11"/>
      <c r="E688" s="6" t="str">
        <f t="shared" si="21"/>
        <v/>
      </c>
      <c r="F688" s="11"/>
      <c r="G688" s="25" t="str">
        <f>IF(A688="","",IFERROR(SUMIFS($F$4:$F688,$A$4:$A688,A688),0))</f>
        <v/>
      </c>
      <c r="H688" s="11"/>
      <c r="I688" s="11"/>
      <c r="J688" s="11"/>
    </row>
    <row r="689" spans="1:10" ht="15.75" customHeight="1" x14ac:dyDescent="0.25">
      <c r="A689" s="11"/>
      <c r="B689" s="4" t="str">
        <f>IF(A689="","",IFERROR(VLOOKUP(A689,Members!A$4:B$103,2,0),""))</f>
        <v/>
      </c>
      <c r="C689" s="6">
        <f t="shared" si="20"/>
        <v>0</v>
      </c>
      <c r="D689" s="11"/>
      <c r="E689" s="6" t="str">
        <f t="shared" si="21"/>
        <v/>
      </c>
      <c r="F689" s="11"/>
      <c r="G689" s="25" t="str">
        <f>IF(A689="","",IFERROR(SUMIFS($F$4:$F689,$A$4:$A689,A689),0))</f>
        <v/>
      </c>
      <c r="H689" s="11"/>
      <c r="I689" s="11"/>
      <c r="J689" s="11"/>
    </row>
    <row r="690" spans="1:10" ht="15.75" customHeight="1" x14ac:dyDescent="0.25">
      <c r="A690" s="11"/>
      <c r="B690" s="4" t="str">
        <f>IF(A690="","",IFERROR(VLOOKUP(A690,Members!A$4:B$103,2,0),""))</f>
        <v/>
      </c>
      <c r="C690" s="6">
        <f t="shared" si="20"/>
        <v>0</v>
      </c>
      <c r="D690" s="11"/>
      <c r="E690" s="6" t="str">
        <f t="shared" si="21"/>
        <v/>
      </c>
      <c r="F690" s="11"/>
      <c r="G690" s="25" t="str">
        <f>IF(A690="","",IFERROR(SUMIFS($F$4:$F690,$A$4:$A690,A690),0))</f>
        <v/>
      </c>
      <c r="H690" s="11"/>
      <c r="I690" s="11"/>
      <c r="J690" s="11"/>
    </row>
    <row r="691" spans="1:10" ht="15.75" customHeight="1" x14ac:dyDescent="0.25">
      <c r="A691" s="11"/>
      <c r="B691" s="4" t="str">
        <f>IF(A691="","",IFERROR(VLOOKUP(A691,Members!A$4:B$103,2,0),""))</f>
        <v/>
      </c>
      <c r="C691" s="6">
        <f t="shared" si="20"/>
        <v>0</v>
      </c>
      <c r="D691" s="11"/>
      <c r="E691" s="6" t="str">
        <f t="shared" si="21"/>
        <v/>
      </c>
      <c r="F691" s="11"/>
      <c r="G691" s="25" t="str">
        <f>IF(A691="","",IFERROR(SUMIFS($F$4:$F691,$A$4:$A691,A691),0))</f>
        <v/>
      </c>
      <c r="H691" s="11"/>
      <c r="I691" s="11"/>
      <c r="J691" s="11"/>
    </row>
    <row r="692" spans="1:10" ht="15.75" customHeight="1" x14ac:dyDescent="0.25">
      <c r="A692" s="11"/>
      <c r="B692" s="4" t="str">
        <f>IF(A692="","",IFERROR(VLOOKUP(A692,Members!A$4:B$103,2,0),""))</f>
        <v/>
      </c>
      <c r="C692" s="6">
        <f t="shared" si="20"/>
        <v>0</v>
      </c>
      <c r="D692" s="11"/>
      <c r="E692" s="6" t="str">
        <f t="shared" si="21"/>
        <v/>
      </c>
      <c r="F692" s="11"/>
      <c r="G692" s="25" t="str">
        <f>IF(A692="","",IFERROR(SUMIFS($F$4:$F692,$A$4:$A692,A692),0))</f>
        <v/>
      </c>
      <c r="H692" s="11"/>
      <c r="I692" s="11"/>
      <c r="J692" s="11"/>
    </row>
    <row r="693" spans="1:10" ht="15.75" customHeight="1" x14ac:dyDescent="0.25">
      <c r="A693" s="11"/>
      <c r="B693" s="4" t="str">
        <f>IF(A693="","",IFERROR(VLOOKUP(A693,Members!A$4:B$103,2,0),""))</f>
        <v/>
      </c>
      <c r="C693" s="6">
        <f t="shared" si="20"/>
        <v>0</v>
      </c>
      <c r="D693" s="11"/>
      <c r="E693" s="6" t="str">
        <f t="shared" si="21"/>
        <v/>
      </c>
      <c r="F693" s="11"/>
      <c r="G693" s="25" t="str">
        <f>IF(A693="","",IFERROR(SUMIFS($F$4:$F693,$A$4:$A693,A693),0))</f>
        <v/>
      </c>
      <c r="H693" s="11"/>
      <c r="I693" s="11"/>
      <c r="J693" s="11"/>
    </row>
    <row r="694" spans="1:10" ht="15.75" customHeight="1" x14ac:dyDescent="0.25">
      <c r="A694" s="11"/>
      <c r="B694" s="4" t="str">
        <f>IF(A694="","",IFERROR(VLOOKUP(A694,Members!A$4:B$103,2,0),""))</f>
        <v/>
      </c>
      <c r="C694" s="6">
        <f t="shared" si="20"/>
        <v>0</v>
      </c>
      <c r="D694" s="11"/>
      <c r="E694" s="6" t="str">
        <f t="shared" si="21"/>
        <v/>
      </c>
      <c r="F694" s="11"/>
      <c r="G694" s="25" t="str">
        <f>IF(A694="","",IFERROR(SUMIFS($F$4:$F694,$A$4:$A694,A694),0))</f>
        <v/>
      </c>
      <c r="H694" s="11"/>
      <c r="I694" s="11"/>
      <c r="J694" s="11"/>
    </row>
    <row r="695" spans="1:10" ht="15.75" customHeight="1" x14ac:dyDescent="0.25">
      <c r="A695" s="11"/>
      <c r="B695" s="4" t="str">
        <f>IF(A695="","",IFERROR(VLOOKUP(A695,Members!A$4:B$103,2,0),""))</f>
        <v/>
      </c>
      <c r="C695" s="6">
        <f t="shared" si="20"/>
        <v>0</v>
      </c>
      <c r="D695" s="11"/>
      <c r="E695" s="6" t="str">
        <f t="shared" si="21"/>
        <v/>
      </c>
      <c r="F695" s="11"/>
      <c r="G695" s="25" t="str">
        <f>IF(A695="","",IFERROR(SUMIFS($F$4:$F695,$A$4:$A695,A695),0))</f>
        <v/>
      </c>
      <c r="H695" s="11"/>
      <c r="I695" s="11"/>
      <c r="J695" s="11"/>
    </row>
    <row r="696" spans="1:10" ht="15.75" customHeight="1" x14ac:dyDescent="0.25">
      <c r="A696" s="11"/>
      <c r="B696" s="4" t="str">
        <f>IF(A696="","",IFERROR(VLOOKUP(A696,Members!A$4:B$103,2,0),""))</f>
        <v/>
      </c>
      <c r="C696" s="6">
        <f t="shared" si="20"/>
        <v>0</v>
      </c>
      <c r="D696" s="11"/>
      <c r="E696" s="6" t="str">
        <f t="shared" si="21"/>
        <v/>
      </c>
      <c r="F696" s="11"/>
      <c r="G696" s="25" t="str">
        <f>IF(A696="","",IFERROR(SUMIFS($F$4:$F696,$A$4:$A696,A696),0))</f>
        <v/>
      </c>
      <c r="H696" s="11"/>
      <c r="I696" s="11"/>
      <c r="J696" s="11"/>
    </row>
    <row r="697" spans="1:10" ht="15.75" customHeight="1" x14ac:dyDescent="0.25">
      <c r="A697" s="11"/>
      <c r="B697" s="4" t="str">
        <f>IF(A697="","",IFERROR(VLOOKUP(A697,Members!A$4:B$103,2,0),""))</f>
        <v/>
      </c>
      <c r="C697" s="6">
        <f t="shared" si="20"/>
        <v>0</v>
      </c>
      <c r="D697" s="11"/>
      <c r="E697" s="6" t="str">
        <f t="shared" si="21"/>
        <v/>
      </c>
      <c r="F697" s="11"/>
      <c r="G697" s="25" t="str">
        <f>IF(A697="","",IFERROR(SUMIFS($F$4:$F697,$A$4:$A697,A697),0))</f>
        <v/>
      </c>
      <c r="H697" s="11"/>
      <c r="I697" s="11"/>
      <c r="J697" s="11"/>
    </row>
    <row r="698" spans="1:10" ht="15.75" customHeight="1" x14ac:dyDescent="0.25">
      <c r="A698" s="11"/>
      <c r="B698" s="4" t="str">
        <f>IF(A698="","",IFERROR(VLOOKUP(A698,Members!A$4:B$103,2,0),""))</f>
        <v/>
      </c>
      <c r="C698" s="6">
        <f t="shared" si="20"/>
        <v>0</v>
      </c>
      <c r="D698" s="11"/>
      <c r="E698" s="6" t="str">
        <f t="shared" si="21"/>
        <v/>
      </c>
      <c r="F698" s="11"/>
      <c r="G698" s="25" t="str">
        <f>IF(A698="","",IFERROR(SUMIFS($F$4:$F698,$A$4:$A698,A698),0))</f>
        <v/>
      </c>
      <c r="H698" s="11"/>
      <c r="I698" s="11"/>
      <c r="J698" s="11"/>
    </row>
    <row r="699" spans="1:10" ht="15.75" customHeight="1" x14ac:dyDescent="0.25">
      <c r="A699" s="11"/>
      <c r="B699" s="4" t="str">
        <f>IF(A699="","",IFERROR(VLOOKUP(A699,Members!A$4:B$103,2,0),""))</f>
        <v/>
      </c>
      <c r="C699" s="6">
        <f t="shared" si="20"/>
        <v>0</v>
      </c>
      <c r="D699" s="11"/>
      <c r="E699" s="6" t="str">
        <f t="shared" si="21"/>
        <v/>
      </c>
      <c r="F699" s="11"/>
      <c r="G699" s="25" t="str">
        <f>IF(A699="","",IFERROR(SUMIFS($F$4:$F699,$A$4:$A699,A699),0))</f>
        <v/>
      </c>
      <c r="H699" s="11"/>
      <c r="I699" s="11"/>
      <c r="J699" s="11"/>
    </row>
    <row r="700" spans="1:10" ht="15.75" customHeight="1" x14ac:dyDescent="0.25">
      <c r="A700" s="11"/>
      <c r="B700" s="4" t="str">
        <f>IF(A700="","",IFERROR(VLOOKUP(A700,Members!A$4:B$103,2,0),""))</f>
        <v/>
      </c>
      <c r="C700" s="6">
        <f t="shared" si="20"/>
        <v>0</v>
      </c>
      <c r="D700" s="11"/>
      <c r="E700" s="6" t="str">
        <f t="shared" si="21"/>
        <v/>
      </c>
      <c r="F700" s="11"/>
      <c r="G700" s="25" t="str">
        <f>IF(A700="","",IFERROR(SUMIFS($F$4:$F700,$A$4:$A700,A700),0))</f>
        <v/>
      </c>
      <c r="H700" s="11"/>
      <c r="I700" s="11"/>
      <c r="J700" s="11"/>
    </row>
    <row r="701" spans="1:10" ht="15.75" customHeight="1" x14ac:dyDescent="0.25">
      <c r="A701" s="11"/>
      <c r="B701" s="4" t="str">
        <f>IF(A701="","",IFERROR(VLOOKUP(A701,Members!A$4:B$103,2,0),""))</f>
        <v/>
      </c>
      <c r="C701" s="6">
        <f t="shared" si="20"/>
        <v>0</v>
      </c>
      <c r="D701" s="11"/>
      <c r="E701" s="6" t="str">
        <f t="shared" si="21"/>
        <v/>
      </c>
      <c r="F701" s="11"/>
      <c r="G701" s="25" t="str">
        <f>IF(A701="","",IFERROR(SUMIFS($F$4:$F701,$A$4:$A701,A701),0))</f>
        <v/>
      </c>
      <c r="H701" s="11"/>
      <c r="I701" s="11"/>
      <c r="J701" s="11"/>
    </row>
    <row r="702" spans="1:10" ht="15.75" customHeight="1" x14ac:dyDescent="0.25">
      <c r="A702" s="11"/>
      <c r="B702" s="4" t="str">
        <f>IF(A702="","",IFERROR(VLOOKUP(A702,Members!A$4:B$103,2,0),""))</f>
        <v/>
      </c>
      <c r="C702" s="6">
        <f t="shared" si="20"/>
        <v>0</v>
      </c>
      <c r="D702" s="11"/>
      <c r="E702" s="6" t="str">
        <f t="shared" si="21"/>
        <v/>
      </c>
      <c r="F702" s="11"/>
      <c r="G702" s="25" t="str">
        <f>IF(A702="","",IFERROR(SUMIFS($F$4:$F702,$A$4:$A702,A702),0))</f>
        <v/>
      </c>
      <c r="H702" s="11"/>
      <c r="I702" s="11"/>
      <c r="J702" s="11"/>
    </row>
    <row r="703" spans="1:10" ht="15.75" customHeight="1" x14ac:dyDescent="0.25">
      <c r="A703" s="11"/>
      <c r="B703" s="4" t="str">
        <f>IF(A703="","",IFERROR(VLOOKUP(A703,Members!A$4:B$103,2,0),""))</f>
        <v/>
      </c>
      <c r="C703" s="6">
        <f t="shared" si="20"/>
        <v>0</v>
      </c>
      <c r="D703" s="11"/>
      <c r="E703" s="6" t="str">
        <f t="shared" si="21"/>
        <v/>
      </c>
      <c r="F703" s="11"/>
      <c r="G703" s="25" t="str">
        <f>IF(A703="","",IFERROR(SUMIFS($F$4:$F703,$A$4:$A703,A703),0))</f>
        <v/>
      </c>
      <c r="H703" s="11"/>
      <c r="I703" s="11"/>
      <c r="J703" s="11"/>
    </row>
    <row r="704" spans="1:10" ht="15.75" customHeight="1" x14ac:dyDescent="0.25">
      <c r="A704" s="11"/>
      <c r="B704" s="4" t="str">
        <f>IF(A704="","",IFERROR(VLOOKUP(A704,Members!A$4:B$103,2,0),""))</f>
        <v/>
      </c>
      <c r="C704" s="6">
        <f t="shared" si="20"/>
        <v>0</v>
      </c>
      <c r="D704" s="11"/>
      <c r="E704" s="6" t="str">
        <f t="shared" si="21"/>
        <v/>
      </c>
      <c r="F704" s="11"/>
      <c r="G704" s="25" t="str">
        <f>IF(A704="","",IFERROR(SUMIFS($F$4:$F704,$A$4:$A704,A704),0))</f>
        <v/>
      </c>
      <c r="H704" s="11"/>
      <c r="I704" s="11"/>
      <c r="J704" s="11"/>
    </row>
    <row r="705" spans="1:10" ht="15.75" customHeight="1" x14ac:dyDescent="0.25">
      <c r="A705" s="11"/>
      <c r="B705" s="4" t="str">
        <f>IF(A705="","",IFERROR(VLOOKUP(A705,Members!A$4:B$103,2,0),""))</f>
        <v/>
      </c>
      <c r="C705" s="6">
        <f t="shared" si="20"/>
        <v>0</v>
      </c>
      <c r="D705" s="11"/>
      <c r="E705" s="6" t="str">
        <f t="shared" si="21"/>
        <v/>
      </c>
      <c r="F705" s="11"/>
      <c r="G705" s="25" t="str">
        <f>IF(A705="","",IFERROR(SUMIFS($F$4:$F705,$A$4:$A705,A705),0))</f>
        <v/>
      </c>
      <c r="H705" s="11"/>
      <c r="I705" s="11"/>
      <c r="J705" s="11"/>
    </row>
    <row r="706" spans="1:10" ht="15.75" customHeight="1" x14ac:dyDescent="0.25">
      <c r="A706" s="11"/>
      <c r="B706" s="4" t="str">
        <f>IF(A706="","",IFERROR(VLOOKUP(A706,Members!A$4:B$103,2,0),""))</f>
        <v/>
      </c>
      <c r="C706" s="6">
        <f t="shared" si="20"/>
        <v>0</v>
      </c>
      <c r="D706" s="11"/>
      <c r="E706" s="6" t="str">
        <f t="shared" si="21"/>
        <v/>
      </c>
      <c r="F706" s="11"/>
      <c r="G706" s="25" t="str">
        <f>IF(A706="","",IFERROR(SUMIFS($F$4:$F706,$A$4:$A706,A706),0))</f>
        <v/>
      </c>
      <c r="H706" s="11"/>
      <c r="I706" s="11"/>
      <c r="J706" s="11"/>
    </row>
    <row r="707" spans="1:10" ht="15.75" customHeight="1" x14ac:dyDescent="0.25">
      <c r="A707" s="11"/>
      <c r="B707" s="4" t="str">
        <f>IF(A707="","",IFERROR(VLOOKUP(A707,Members!A$4:B$103,2,0),""))</f>
        <v/>
      </c>
      <c r="C707" s="6">
        <f t="shared" si="20"/>
        <v>0</v>
      </c>
      <c r="D707" s="11"/>
      <c r="E707" s="6" t="str">
        <f t="shared" si="21"/>
        <v/>
      </c>
      <c r="F707" s="11"/>
      <c r="G707" s="25" t="str">
        <f>IF(A707="","",IFERROR(SUMIFS($F$4:$F707,$A$4:$A707,A707),0))</f>
        <v/>
      </c>
      <c r="H707" s="11"/>
      <c r="I707" s="11"/>
      <c r="J707" s="11"/>
    </row>
    <row r="708" spans="1:10" ht="15.75" customHeight="1" x14ac:dyDescent="0.25">
      <c r="A708" s="11"/>
      <c r="B708" s="4" t="str">
        <f>IF(A708="","",IFERROR(VLOOKUP(A708,Members!A$4:B$103,2,0),""))</f>
        <v/>
      </c>
      <c r="C708" s="6">
        <f t="shared" ref="C708:C771" si="22">A708</f>
        <v>0</v>
      </c>
      <c r="D708" s="11"/>
      <c r="E708" s="6" t="str">
        <f t="shared" ref="E708:E771" si="23">IF(D708="","",TEXT(DATE(2024,D708,1),"MMMM"))</f>
        <v/>
      </c>
      <c r="F708" s="11"/>
      <c r="G708" s="25" t="str">
        <f>IF(A708="","",IFERROR(SUMIFS($F$4:$F708,$A$4:$A708,A708),0))</f>
        <v/>
      </c>
      <c r="H708" s="11"/>
      <c r="I708" s="11"/>
      <c r="J708" s="11"/>
    </row>
    <row r="709" spans="1:10" ht="15.75" customHeight="1" x14ac:dyDescent="0.25">
      <c r="A709" s="11"/>
      <c r="B709" s="4" t="str">
        <f>IF(A709="","",IFERROR(VLOOKUP(A709,Members!A$4:B$103,2,0),""))</f>
        <v/>
      </c>
      <c r="C709" s="6">
        <f t="shared" si="22"/>
        <v>0</v>
      </c>
      <c r="D709" s="11"/>
      <c r="E709" s="6" t="str">
        <f t="shared" si="23"/>
        <v/>
      </c>
      <c r="F709" s="11"/>
      <c r="G709" s="25" t="str">
        <f>IF(A709="","",IFERROR(SUMIFS($F$4:$F709,$A$4:$A709,A709),0))</f>
        <v/>
      </c>
      <c r="H709" s="11"/>
      <c r="I709" s="11"/>
      <c r="J709" s="11"/>
    </row>
    <row r="710" spans="1:10" ht="15.75" customHeight="1" x14ac:dyDescent="0.25">
      <c r="A710" s="11"/>
      <c r="B710" s="4" t="str">
        <f>IF(A710="","",IFERROR(VLOOKUP(A710,Members!A$4:B$103,2,0),""))</f>
        <v/>
      </c>
      <c r="C710" s="6">
        <f t="shared" si="22"/>
        <v>0</v>
      </c>
      <c r="D710" s="11"/>
      <c r="E710" s="6" t="str">
        <f t="shared" si="23"/>
        <v/>
      </c>
      <c r="F710" s="11"/>
      <c r="G710" s="25" t="str">
        <f>IF(A710="","",IFERROR(SUMIFS($F$4:$F710,$A$4:$A710,A710),0))</f>
        <v/>
      </c>
      <c r="H710" s="11"/>
      <c r="I710" s="11"/>
      <c r="J710" s="11"/>
    </row>
    <row r="711" spans="1:10" ht="15.75" customHeight="1" x14ac:dyDescent="0.25">
      <c r="A711" s="11"/>
      <c r="B711" s="4" t="str">
        <f>IF(A711="","",IFERROR(VLOOKUP(A711,Members!A$4:B$103,2,0),""))</f>
        <v/>
      </c>
      <c r="C711" s="6">
        <f t="shared" si="22"/>
        <v>0</v>
      </c>
      <c r="D711" s="11"/>
      <c r="E711" s="6" t="str">
        <f t="shared" si="23"/>
        <v/>
      </c>
      <c r="F711" s="11"/>
      <c r="G711" s="25" t="str">
        <f>IF(A711="","",IFERROR(SUMIFS($F$4:$F711,$A$4:$A711,A711),0))</f>
        <v/>
      </c>
      <c r="H711" s="11"/>
      <c r="I711" s="11"/>
      <c r="J711" s="11"/>
    </row>
    <row r="712" spans="1:10" ht="15.75" customHeight="1" x14ac:dyDescent="0.25">
      <c r="A712" s="11"/>
      <c r="B712" s="4" t="str">
        <f>IF(A712="","",IFERROR(VLOOKUP(A712,Members!A$4:B$103,2,0),""))</f>
        <v/>
      </c>
      <c r="C712" s="6">
        <f t="shared" si="22"/>
        <v>0</v>
      </c>
      <c r="D712" s="11"/>
      <c r="E712" s="6" t="str">
        <f t="shared" si="23"/>
        <v/>
      </c>
      <c r="F712" s="11"/>
      <c r="G712" s="25" t="str">
        <f>IF(A712="","",IFERROR(SUMIFS($F$4:$F712,$A$4:$A712,A712),0))</f>
        <v/>
      </c>
      <c r="H712" s="11"/>
      <c r="I712" s="11"/>
      <c r="J712" s="11"/>
    </row>
    <row r="713" spans="1:10" ht="15.75" customHeight="1" x14ac:dyDescent="0.25">
      <c r="A713" s="11"/>
      <c r="B713" s="4" t="str">
        <f>IF(A713="","",IFERROR(VLOOKUP(A713,Members!A$4:B$103,2,0),""))</f>
        <v/>
      </c>
      <c r="C713" s="6">
        <f t="shared" si="22"/>
        <v>0</v>
      </c>
      <c r="D713" s="11"/>
      <c r="E713" s="6" t="str">
        <f t="shared" si="23"/>
        <v/>
      </c>
      <c r="F713" s="11"/>
      <c r="G713" s="25" t="str">
        <f>IF(A713="","",IFERROR(SUMIFS($F$4:$F713,$A$4:$A713,A713),0))</f>
        <v/>
      </c>
      <c r="H713" s="11"/>
      <c r="I713" s="11"/>
      <c r="J713" s="11"/>
    </row>
    <row r="714" spans="1:10" ht="15.75" customHeight="1" x14ac:dyDescent="0.25">
      <c r="A714" s="11"/>
      <c r="B714" s="4" t="str">
        <f>IF(A714="","",IFERROR(VLOOKUP(A714,Members!A$4:B$103,2,0),""))</f>
        <v/>
      </c>
      <c r="C714" s="6">
        <f t="shared" si="22"/>
        <v>0</v>
      </c>
      <c r="D714" s="11"/>
      <c r="E714" s="6" t="str">
        <f t="shared" si="23"/>
        <v/>
      </c>
      <c r="F714" s="11"/>
      <c r="G714" s="25" t="str">
        <f>IF(A714="","",IFERROR(SUMIFS($F$4:$F714,$A$4:$A714,A714),0))</f>
        <v/>
      </c>
      <c r="H714" s="11"/>
      <c r="I714" s="11"/>
      <c r="J714" s="11"/>
    </row>
    <row r="715" spans="1:10" ht="15.75" customHeight="1" x14ac:dyDescent="0.25">
      <c r="A715" s="11"/>
      <c r="B715" s="4" t="str">
        <f>IF(A715="","",IFERROR(VLOOKUP(A715,Members!A$4:B$103,2,0),""))</f>
        <v/>
      </c>
      <c r="C715" s="6">
        <f t="shared" si="22"/>
        <v>0</v>
      </c>
      <c r="D715" s="11"/>
      <c r="E715" s="6" t="str">
        <f t="shared" si="23"/>
        <v/>
      </c>
      <c r="F715" s="11"/>
      <c r="G715" s="25" t="str">
        <f>IF(A715="","",IFERROR(SUMIFS($F$4:$F715,$A$4:$A715,A715),0))</f>
        <v/>
      </c>
      <c r="H715" s="11"/>
      <c r="I715" s="11"/>
      <c r="J715" s="11"/>
    </row>
    <row r="716" spans="1:10" ht="15.75" customHeight="1" x14ac:dyDescent="0.25">
      <c r="A716" s="11"/>
      <c r="B716" s="4" t="str">
        <f>IF(A716="","",IFERROR(VLOOKUP(A716,Members!A$4:B$103,2,0),""))</f>
        <v/>
      </c>
      <c r="C716" s="6">
        <f t="shared" si="22"/>
        <v>0</v>
      </c>
      <c r="D716" s="11"/>
      <c r="E716" s="6" t="str">
        <f t="shared" si="23"/>
        <v/>
      </c>
      <c r="F716" s="11"/>
      <c r="G716" s="25" t="str">
        <f>IF(A716="","",IFERROR(SUMIFS($F$4:$F716,$A$4:$A716,A716),0))</f>
        <v/>
      </c>
      <c r="H716" s="11"/>
      <c r="I716" s="11"/>
      <c r="J716" s="11"/>
    </row>
    <row r="717" spans="1:10" ht="15.75" customHeight="1" x14ac:dyDescent="0.25">
      <c r="A717" s="11"/>
      <c r="B717" s="4" t="str">
        <f>IF(A717="","",IFERROR(VLOOKUP(A717,Members!A$4:B$103,2,0),""))</f>
        <v/>
      </c>
      <c r="C717" s="6">
        <f t="shared" si="22"/>
        <v>0</v>
      </c>
      <c r="D717" s="11"/>
      <c r="E717" s="6" t="str">
        <f t="shared" si="23"/>
        <v/>
      </c>
      <c r="F717" s="11"/>
      <c r="G717" s="25" t="str">
        <f>IF(A717="","",IFERROR(SUMIFS($F$4:$F717,$A$4:$A717,A717),0))</f>
        <v/>
      </c>
      <c r="H717" s="11"/>
      <c r="I717" s="11"/>
      <c r="J717" s="11"/>
    </row>
    <row r="718" spans="1:10" ht="15.75" customHeight="1" x14ac:dyDescent="0.25">
      <c r="A718" s="11"/>
      <c r="B718" s="4" t="str">
        <f>IF(A718="","",IFERROR(VLOOKUP(A718,Members!A$4:B$103,2,0),""))</f>
        <v/>
      </c>
      <c r="C718" s="6">
        <f t="shared" si="22"/>
        <v>0</v>
      </c>
      <c r="D718" s="11"/>
      <c r="E718" s="6" t="str">
        <f t="shared" si="23"/>
        <v/>
      </c>
      <c r="F718" s="11"/>
      <c r="G718" s="25" t="str">
        <f>IF(A718="","",IFERROR(SUMIFS($F$4:$F718,$A$4:$A718,A718),0))</f>
        <v/>
      </c>
      <c r="H718" s="11"/>
      <c r="I718" s="11"/>
      <c r="J718" s="11"/>
    </row>
    <row r="719" spans="1:10" ht="15.75" customHeight="1" x14ac:dyDescent="0.25">
      <c r="A719" s="11"/>
      <c r="B719" s="4" t="str">
        <f>IF(A719="","",IFERROR(VLOOKUP(A719,Members!A$4:B$103,2,0),""))</f>
        <v/>
      </c>
      <c r="C719" s="6">
        <f t="shared" si="22"/>
        <v>0</v>
      </c>
      <c r="D719" s="11"/>
      <c r="E719" s="6" t="str">
        <f t="shared" si="23"/>
        <v/>
      </c>
      <c r="F719" s="11"/>
      <c r="G719" s="25" t="str">
        <f>IF(A719="","",IFERROR(SUMIFS($F$4:$F719,$A$4:$A719,A719),0))</f>
        <v/>
      </c>
      <c r="H719" s="11"/>
      <c r="I719" s="11"/>
      <c r="J719" s="11"/>
    </row>
    <row r="720" spans="1:10" ht="15.75" customHeight="1" x14ac:dyDescent="0.25">
      <c r="A720" s="11"/>
      <c r="B720" s="4" t="str">
        <f>IF(A720="","",IFERROR(VLOOKUP(A720,Members!A$4:B$103,2,0),""))</f>
        <v/>
      </c>
      <c r="C720" s="6">
        <f t="shared" si="22"/>
        <v>0</v>
      </c>
      <c r="D720" s="11"/>
      <c r="E720" s="6" t="str">
        <f t="shared" si="23"/>
        <v/>
      </c>
      <c r="F720" s="11"/>
      <c r="G720" s="25" t="str">
        <f>IF(A720="","",IFERROR(SUMIFS($F$4:$F720,$A$4:$A720,A720),0))</f>
        <v/>
      </c>
      <c r="H720" s="11"/>
      <c r="I720" s="11"/>
      <c r="J720" s="11"/>
    </row>
    <row r="721" spans="1:10" ht="15.75" customHeight="1" x14ac:dyDescent="0.25">
      <c r="A721" s="11"/>
      <c r="B721" s="4" t="str">
        <f>IF(A721="","",IFERROR(VLOOKUP(A721,Members!A$4:B$103,2,0),""))</f>
        <v/>
      </c>
      <c r="C721" s="6">
        <f t="shared" si="22"/>
        <v>0</v>
      </c>
      <c r="D721" s="11"/>
      <c r="E721" s="6" t="str">
        <f t="shared" si="23"/>
        <v/>
      </c>
      <c r="F721" s="11"/>
      <c r="G721" s="25" t="str">
        <f>IF(A721="","",IFERROR(SUMIFS($F$4:$F721,$A$4:$A721,A721),0))</f>
        <v/>
      </c>
      <c r="H721" s="11"/>
      <c r="I721" s="11"/>
      <c r="J721" s="11"/>
    </row>
    <row r="722" spans="1:10" ht="15.75" customHeight="1" x14ac:dyDescent="0.25">
      <c r="A722" s="11"/>
      <c r="B722" s="4" t="str">
        <f>IF(A722="","",IFERROR(VLOOKUP(A722,Members!A$4:B$103,2,0),""))</f>
        <v/>
      </c>
      <c r="C722" s="6">
        <f t="shared" si="22"/>
        <v>0</v>
      </c>
      <c r="D722" s="11"/>
      <c r="E722" s="6" t="str">
        <f t="shared" si="23"/>
        <v/>
      </c>
      <c r="F722" s="11"/>
      <c r="G722" s="25" t="str">
        <f>IF(A722="","",IFERROR(SUMIFS($F$4:$F722,$A$4:$A722,A722),0))</f>
        <v/>
      </c>
      <c r="H722" s="11"/>
      <c r="I722" s="11"/>
      <c r="J722" s="11"/>
    </row>
    <row r="723" spans="1:10" ht="15.75" customHeight="1" x14ac:dyDescent="0.25">
      <c r="A723" s="11"/>
      <c r="B723" s="4" t="str">
        <f>IF(A723="","",IFERROR(VLOOKUP(A723,Members!A$4:B$103,2,0),""))</f>
        <v/>
      </c>
      <c r="C723" s="6">
        <f t="shared" si="22"/>
        <v>0</v>
      </c>
      <c r="D723" s="11"/>
      <c r="E723" s="6" t="str">
        <f t="shared" si="23"/>
        <v/>
      </c>
      <c r="F723" s="11"/>
      <c r="G723" s="25" t="str">
        <f>IF(A723="","",IFERROR(SUMIFS($F$4:$F723,$A$4:$A723,A723),0))</f>
        <v/>
      </c>
      <c r="H723" s="11"/>
      <c r="I723" s="11"/>
      <c r="J723" s="11"/>
    </row>
    <row r="724" spans="1:10" ht="15.75" customHeight="1" x14ac:dyDescent="0.25">
      <c r="A724" s="11"/>
      <c r="B724" s="4" t="str">
        <f>IF(A724="","",IFERROR(VLOOKUP(A724,Members!A$4:B$103,2,0),""))</f>
        <v/>
      </c>
      <c r="C724" s="6">
        <f t="shared" si="22"/>
        <v>0</v>
      </c>
      <c r="D724" s="11"/>
      <c r="E724" s="6" t="str">
        <f t="shared" si="23"/>
        <v/>
      </c>
      <c r="F724" s="11"/>
      <c r="G724" s="25" t="str">
        <f>IF(A724="","",IFERROR(SUMIFS($F$4:$F724,$A$4:$A724,A724),0))</f>
        <v/>
      </c>
      <c r="H724" s="11"/>
      <c r="I724" s="11"/>
      <c r="J724" s="11"/>
    </row>
    <row r="725" spans="1:10" ht="15.75" customHeight="1" x14ac:dyDescent="0.25">
      <c r="A725" s="11"/>
      <c r="B725" s="4" t="str">
        <f>IF(A725="","",IFERROR(VLOOKUP(A725,Members!A$4:B$103,2,0),""))</f>
        <v/>
      </c>
      <c r="C725" s="6">
        <f t="shared" si="22"/>
        <v>0</v>
      </c>
      <c r="D725" s="11"/>
      <c r="E725" s="6" t="str">
        <f t="shared" si="23"/>
        <v/>
      </c>
      <c r="F725" s="11"/>
      <c r="G725" s="25" t="str">
        <f>IF(A725="","",IFERROR(SUMIFS($F$4:$F725,$A$4:$A725,A725),0))</f>
        <v/>
      </c>
      <c r="H725" s="11"/>
      <c r="I725" s="11"/>
      <c r="J725" s="11"/>
    </row>
    <row r="726" spans="1:10" ht="15.75" customHeight="1" x14ac:dyDescent="0.25">
      <c r="A726" s="11"/>
      <c r="B726" s="4" t="str">
        <f>IF(A726="","",IFERROR(VLOOKUP(A726,Members!A$4:B$103,2,0),""))</f>
        <v/>
      </c>
      <c r="C726" s="6">
        <f t="shared" si="22"/>
        <v>0</v>
      </c>
      <c r="D726" s="11"/>
      <c r="E726" s="6" t="str">
        <f t="shared" si="23"/>
        <v/>
      </c>
      <c r="F726" s="11"/>
      <c r="G726" s="25" t="str">
        <f>IF(A726="","",IFERROR(SUMIFS($F$4:$F726,$A$4:$A726,A726),0))</f>
        <v/>
      </c>
      <c r="H726" s="11"/>
      <c r="I726" s="11"/>
      <c r="J726" s="11"/>
    </row>
    <row r="727" spans="1:10" ht="15.75" customHeight="1" x14ac:dyDescent="0.25">
      <c r="A727" s="11"/>
      <c r="B727" s="4" t="str">
        <f>IF(A727="","",IFERROR(VLOOKUP(A727,Members!A$4:B$103,2,0),""))</f>
        <v/>
      </c>
      <c r="C727" s="6">
        <f t="shared" si="22"/>
        <v>0</v>
      </c>
      <c r="D727" s="11"/>
      <c r="E727" s="6" t="str">
        <f t="shared" si="23"/>
        <v/>
      </c>
      <c r="F727" s="11"/>
      <c r="G727" s="25" t="str">
        <f>IF(A727="","",IFERROR(SUMIFS($F$4:$F727,$A$4:$A727,A727),0))</f>
        <v/>
      </c>
      <c r="H727" s="11"/>
      <c r="I727" s="11"/>
      <c r="J727" s="11"/>
    </row>
    <row r="728" spans="1:10" ht="15.75" customHeight="1" x14ac:dyDescent="0.25">
      <c r="A728" s="11"/>
      <c r="B728" s="4" t="str">
        <f>IF(A728="","",IFERROR(VLOOKUP(A728,Members!A$4:B$103,2,0),""))</f>
        <v/>
      </c>
      <c r="C728" s="6">
        <f t="shared" si="22"/>
        <v>0</v>
      </c>
      <c r="D728" s="11"/>
      <c r="E728" s="6" t="str">
        <f t="shared" si="23"/>
        <v/>
      </c>
      <c r="F728" s="11"/>
      <c r="G728" s="25" t="str">
        <f>IF(A728="","",IFERROR(SUMIFS($F$4:$F728,$A$4:$A728,A728),0))</f>
        <v/>
      </c>
      <c r="H728" s="11"/>
      <c r="I728" s="11"/>
      <c r="J728" s="11"/>
    </row>
    <row r="729" spans="1:10" ht="15.75" customHeight="1" x14ac:dyDescent="0.25">
      <c r="A729" s="11"/>
      <c r="B729" s="4" t="str">
        <f>IF(A729="","",IFERROR(VLOOKUP(A729,Members!A$4:B$103,2,0),""))</f>
        <v/>
      </c>
      <c r="C729" s="6">
        <f t="shared" si="22"/>
        <v>0</v>
      </c>
      <c r="D729" s="11"/>
      <c r="E729" s="6" t="str">
        <f t="shared" si="23"/>
        <v/>
      </c>
      <c r="F729" s="11"/>
      <c r="G729" s="25" t="str">
        <f>IF(A729="","",IFERROR(SUMIFS($F$4:$F729,$A$4:$A729,A729),0))</f>
        <v/>
      </c>
      <c r="H729" s="11"/>
      <c r="I729" s="11"/>
      <c r="J729" s="11"/>
    </row>
    <row r="730" spans="1:10" ht="15.75" customHeight="1" x14ac:dyDescent="0.25">
      <c r="A730" s="11"/>
      <c r="B730" s="4" t="str">
        <f>IF(A730="","",IFERROR(VLOOKUP(A730,Members!A$4:B$103,2,0),""))</f>
        <v/>
      </c>
      <c r="C730" s="6">
        <f t="shared" si="22"/>
        <v>0</v>
      </c>
      <c r="D730" s="11"/>
      <c r="E730" s="6" t="str">
        <f t="shared" si="23"/>
        <v/>
      </c>
      <c r="F730" s="11"/>
      <c r="G730" s="25" t="str">
        <f>IF(A730="","",IFERROR(SUMIFS($F$4:$F730,$A$4:$A730,A730),0))</f>
        <v/>
      </c>
      <c r="H730" s="11"/>
      <c r="I730" s="11"/>
      <c r="J730" s="11"/>
    </row>
    <row r="731" spans="1:10" ht="15.75" customHeight="1" x14ac:dyDescent="0.25">
      <c r="A731" s="11"/>
      <c r="B731" s="4" t="str">
        <f>IF(A731="","",IFERROR(VLOOKUP(A731,Members!A$4:B$103,2,0),""))</f>
        <v/>
      </c>
      <c r="C731" s="6">
        <f t="shared" si="22"/>
        <v>0</v>
      </c>
      <c r="D731" s="11"/>
      <c r="E731" s="6" t="str">
        <f t="shared" si="23"/>
        <v/>
      </c>
      <c r="F731" s="11"/>
      <c r="G731" s="25" t="str">
        <f>IF(A731="","",IFERROR(SUMIFS($F$4:$F731,$A$4:$A731,A731),0))</f>
        <v/>
      </c>
      <c r="H731" s="11"/>
      <c r="I731" s="11"/>
      <c r="J731" s="11"/>
    </row>
    <row r="732" spans="1:10" ht="15.75" customHeight="1" x14ac:dyDescent="0.25">
      <c r="A732" s="11"/>
      <c r="B732" s="4" t="str">
        <f>IF(A732="","",IFERROR(VLOOKUP(A732,Members!A$4:B$103,2,0),""))</f>
        <v/>
      </c>
      <c r="C732" s="6">
        <f t="shared" si="22"/>
        <v>0</v>
      </c>
      <c r="D732" s="11"/>
      <c r="E732" s="6" t="str">
        <f t="shared" si="23"/>
        <v/>
      </c>
      <c r="F732" s="11"/>
      <c r="G732" s="25" t="str">
        <f>IF(A732="","",IFERROR(SUMIFS($F$4:$F732,$A$4:$A732,A732),0))</f>
        <v/>
      </c>
      <c r="H732" s="11"/>
      <c r="I732" s="11"/>
      <c r="J732" s="11"/>
    </row>
    <row r="733" spans="1:10" ht="15.75" customHeight="1" x14ac:dyDescent="0.25">
      <c r="A733" s="11"/>
      <c r="B733" s="4" t="str">
        <f>IF(A733="","",IFERROR(VLOOKUP(A733,Members!A$4:B$103,2,0),""))</f>
        <v/>
      </c>
      <c r="C733" s="6">
        <f t="shared" si="22"/>
        <v>0</v>
      </c>
      <c r="D733" s="11"/>
      <c r="E733" s="6" t="str">
        <f t="shared" si="23"/>
        <v/>
      </c>
      <c r="F733" s="11"/>
      <c r="G733" s="25" t="str">
        <f>IF(A733="","",IFERROR(SUMIFS($F$4:$F733,$A$4:$A733,A733),0))</f>
        <v/>
      </c>
      <c r="H733" s="11"/>
      <c r="I733" s="11"/>
      <c r="J733" s="11"/>
    </row>
    <row r="734" spans="1:10" ht="15.75" customHeight="1" x14ac:dyDescent="0.25">
      <c r="A734" s="11"/>
      <c r="B734" s="4" t="str">
        <f>IF(A734="","",IFERROR(VLOOKUP(A734,Members!A$4:B$103,2,0),""))</f>
        <v/>
      </c>
      <c r="C734" s="6">
        <f t="shared" si="22"/>
        <v>0</v>
      </c>
      <c r="D734" s="11"/>
      <c r="E734" s="6" t="str">
        <f t="shared" si="23"/>
        <v/>
      </c>
      <c r="F734" s="11"/>
      <c r="G734" s="25" t="str">
        <f>IF(A734="","",IFERROR(SUMIFS($F$4:$F734,$A$4:$A734,A734),0))</f>
        <v/>
      </c>
      <c r="H734" s="11"/>
      <c r="I734" s="11"/>
      <c r="J734" s="11"/>
    </row>
    <row r="735" spans="1:10" ht="15.75" customHeight="1" x14ac:dyDescent="0.25">
      <c r="A735" s="11"/>
      <c r="B735" s="4" t="str">
        <f>IF(A735="","",IFERROR(VLOOKUP(A735,Members!A$4:B$103,2,0),""))</f>
        <v/>
      </c>
      <c r="C735" s="6">
        <f t="shared" si="22"/>
        <v>0</v>
      </c>
      <c r="D735" s="11"/>
      <c r="E735" s="6" t="str">
        <f t="shared" si="23"/>
        <v/>
      </c>
      <c r="F735" s="11"/>
      <c r="G735" s="25" t="str">
        <f>IF(A735="","",IFERROR(SUMIFS($F$4:$F735,$A$4:$A735,A735),0))</f>
        <v/>
      </c>
      <c r="H735" s="11"/>
      <c r="I735" s="11"/>
      <c r="J735" s="11"/>
    </row>
    <row r="736" spans="1:10" ht="15.75" customHeight="1" x14ac:dyDescent="0.25">
      <c r="A736" s="11"/>
      <c r="B736" s="4" t="str">
        <f>IF(A736="","",IFERROR(VLOOKUP(A736,Members!A$4:B$103,2,0),""))</f>
        <v/>
      </c>
      <c r="C736" s="6">
        <f t="shared" si="22"/>
        <v>0</v>
      </c>
      <c r="D736" s="11"/>
      <c r="E736" s="6" t="str">
        <f t="shared" si="23"/>
        <v/>
      </c>
      <c r="F736" s="11"/>
      <c r="G736" s="25" t="str">
        <f>IF(A736="","",IFERROR(SUMIFS($F$4:$F736,$A$4:$A736,A736),0))</f>
        <v/>
      </c>
      <c r="H736" s="11"/>
      <c r="I736" s="11"/>
      <c r="J736" s="11"/>
    </row>
    <row r="737" spans="1:10" ht="15.75" customHeight="1" x14ac:dyDescent="0.25">
      <c r="A737" s="11"/>
      <c r="B737" s="4" t="str">
        <f>IF(A737="","",IFERROR(VLOOKUP(A737,Members!A$4:B$103,2,0),""))</f>
        <v/>
      </c>
      <c r="C737" s="6">
        <f t="shared" si="22"/>
        <v>0</v>
      </c>
      <c r="D737" s="11"/>
      <c r="E737" s="6" t="str">
        <f t="shared" si="23"/>
        <v/>
      </c>
      <c r="F737" s="11"/>
      <c r="G737" s="25" t="str">
        <f>IF(A737="","",IFERROR(SUMIFS($F$4:$F737,$A$4:$A737,A737),0))</f>
        <v/>
      </c>
      <c r="H737" s="11"/>
      <c r="I737" s="11"/>
      <c r="J737" s="11"/>
    </row>
    <row r="738" spans="1:10" ht="15.75" customHeight="1" x14ac:dyDescent="0.25">
      <c r="A738" s="11"/>
      <c r="B738" s="4" t="str">
        <f>IF(A738="","",IFERROR(VLOOKUP(A738,Members!A$4:B$103,2,0),""))</f>
        <v/>
      </c>
      <c r="C738" s="6">
        <f t="shared" si="22"/>
        <v>0</v>
      </c>
      <c r="D738" s="11"/>
      <c r="E738" s="6" t="str">
        <f t="shared" si="23"/>
        <v/>
      </c>
      <c r="F738" s="11"/>
      <c r="G738" s="25" t="str">
        <f>IF(A738="","",IFERROR(SUMIFS($F$4:$F738,$A$4:$A738,A738),0))</f>
        <v/>
      </c>
      <c r="H738" s="11"/>
      <c r="I738" s="11"/>
      <c r="J738" s="11"/>
    </row>
    <row r="739" spans="1:10" ht="15.75" customHeight="1" x14ac:dyDescent="0.25">
      <c r="A739" s="11"/>
      <c r="B739" s="4" t="str">
        <f>IF(A739="","",IFERROR(VLOOKUP(A739,Members!A$4:B$103,2,0),""))</f>
        <v/>
      </c>
      <c r="C739" s="6">
        <f t="shared" si="22"/>
        <v>0</v>
      </c>
      <c r="D739" s="11"/>
      <c r="E739" s="6" t="str">
        <f t="shared" si="23"/>
        <v/>
      </c>
      <c r="F739" s="11"/>
      <c r="G739" s="25" t="str">
        <f>IF(A739="","",IFERROR(SUMIFS($F$4:$F739,$A$4:$A739,A739),0))</f>
        <v/>
      </c>
      <c r="H739" s="11"/>
      <c r="I739" s="11"/>
      <c r="J739" s="11"/>
    </row>
    <row r="740" spans="1:10" ht="15.75" customHeight="1" x14ac:dyDescent="0.25">
      <c r="A740" s="11"/>
      <c r="B740" s="4" t="str">
        <f>IF(A740="","",IFERROR(VLOOKUP(A740,Members!A$4:B$103,2,0),""))</f>
        <v/>
      </c>
      <c r="C740" s="6">
        <f t="shared" si="22"/>
        <v>0</v>
      </c>
      <c r="D740" s="11"/>
      <c r="E740" s="6" t="str">
        <f t="shared" si="23"/>
        <v/>
      </c>
      <c r="F740" s="11"/>
      <c r="G740" s="25" t="str">
        <f>IF(A740="","",IFERROR(SUMIFS($F$4:$F740,$A$4:$A740,A740),0))</f>
        <v/>
      </c>
      <c r="H740" s="11"/>
      <c r="I740" s="11"/>
      <c r="J740" s="11"/>
    </row>
    <row r="741" spans="1:10" ht="15.75" customHeight="1" x14ac:dyDescent="0.25">
      <c r="A741" s="11"/>
      <c r="B741" s="4" t="str">
        <f>IF(A741="","",IFERROR(VLOOKUP(A741,Members!A$4:B$103,2,0),""))</f>
        <v/>
      </c>
      <c r="C741" s="6">
        <f t="shared" si="22"/>
        <v>0</v>
      </c>
      <c r="D741" s="11"/>
      <c r="E741" s="6" t="str">
        <f t="shared" si="23"/>
        <v/>
      </c>
      <c r="F741" s="11"/>
      <c r="G741" s="25" t="str">
        <f>IF(A741="","",IFERROR(SUMIFS($F$4:$F741,$A$4:$A741,A741),0))</f>
        <v/>
      </c>
      <c r="H741" s="11"/>
      <c r="I741" s="11"/>
      <c r="J741" s="11"/>
    </row>
    <row r="742" spans="1:10" ht="15.75" customHeight="1" x14ac:dyDescent="0.25">
      <c r="A742" s="11"/>
      <c r="B742" s="4" t="str">
        <f>IF(A742="","",IFERROR(VLOOKUP(A742,Members!A$4:B$103,2,0),""))</f>
        <v/>
      </c>
      <c r="C742" s="6">
        <f t="shared" si="22"/>
        <v>0</v>
      </c>
      <c r="D742" s="11"/>
      <c r="E742" s="6" t="str">
        <f t="shared" si="23"/>
        <v/>
      </c>
      <c r="F742" s="11"/>
      <c r="G742" s="25" t="str">
        <f>IF(A742="","",IFERROR(SUMIFS($F$4:$F742,$A$4:$A742,A742),0))</f>
        <v/>
      </c>
      <c r="H742" s="11"/>
      <c r="I742" s="11"/>
      <c r="J742" s="11"/>
    </row>
    <row r="743" spans="1:10" ht="15.75" customHeight="1" x14ac:dyDescent="0.25">
      <c r="A743" s="11"/>
      <c r="B743" s="4" t="str">
        <f>IF(A743="","",IFERROR(VLOOKUP(A743,Members!A$4:B$103,2,0),""))</f>
        <v/>
      </c>
      <c r="C743" s="6">
        <f t="shared" si="22"/>
        <v>0</v>
      </c>
      <c r="D743" s="11"/>
      <c r="E743" s="6" t="str">
        <f t="shared" si="23"/>
        <v/>
      </c>
      <c r="F743" s="11"/>
      <c r="G743" s="25" t="str">
        <f>IF(A743="","",IFERROR(SUMIFS($F$4:$F743,$A$4:$A743,A743),0))</f>
        <v/>
      </c>
      <c r="H743" s="11"/>
      <c r="I743" s="11"/>
      <c r="J743" s="11"/>
    </row>
    <row r="744" spans="1:10" ht="15.75" customHeight="1" x14ac:dyDescent="0.25">
      <c r="A744" s="11"/>
      <c r="B744" s="4" t="str">
        <f>IF(A744="","",IFERROR(VLOOKUP(A744,Members!A$4:B$103,2,0),""))</f>
        <v/>
      </c>
      <c r="C744" s="6">
        <f t="shared" si="22"/>
        <v>0</v>
      </c>
      <c r="D744" s="11"/>
      <c r="E744" s="6" t="str">
        <f t="shared" si="23"/>
        <v/>
      </c>
      <c r="F744" s="11"/>
      <c r="G744" s="25" t="str">
        <f>IF(A744="","",IFERROR(SUMIFS($F$4:$F744,$A$4:$A744,A744),0))</f>
        <v/>
      </c>
      <c r="H744" s="11"/>
      <c r="I744" s="11"/>
      <c r="J744" s="11"/>
    </row>
    <row r="745" spans="1:10" ht="15.75" customHeight="1" x14ac:dyDescent="0.25">
      <c r="A745" s="11"/>
      <c r="B745" s="4" t="str">
        <f>IF(A745="","",IFERROR(VLOOKUP(A745,Members!A$4:B$103,2,0),""))</f>
        <v/>
      </c>
      <c r="C745" s="6">
        <f t="shared" si="22"/>
        <v>0</v>
      </c>
      <c r="D745" s="11"/>
      <c r="E745" s="6" t="str">
        <f t="shared" si="23"/>
        <v/>
      </c>
      <c r="F745" s="11"/>
      <c r="G745" s="25" t="str">
        <f>IF(A745="","",IFERROR(SUMIFS($F$4:$F745,$A$4:$A745,A745),0))</f>
        <v/>
      </c>
      <c r="H745" s="11"/>
      <c r="I745" s="11"/>
      <c r="J745" s="11"/>
    </row>
    <row r="746" spans="1:10" ht="15.75" customHeight="1" x14ac:dyDescent="0.25">
      <c r="A746" s="11"/>
      <c r="B746" s="4" t="str">
        <f>IF(A746="","",IFERROR(VLOOKUP(A746,Members!A$4:B$103,2,0),""))</f>
        <v/>
      </c>
      <c r="C746" s="6">
        <f t="shared" si="22"/>
        <v>0</v>
      </c>
      <c r="D746" s="11"/>
      <c r="E746" s="6" t="str">
        <f t="shared" si="23"/>
        <v/>
      </c>
      <c r="F746" s="11"/>
      <c r="G746" s="25" t="str">
        <f>IF(A746="","",IFERROR(SUMIFS($F$4:$F746,$A$4:$A746,A746),0))</f>
        <v/>
      </c>
      <c r="H746" s="11"/>
      <c r="I746" s="11"/>
      <c r="J746" s="11"/>
    </row>
    <row r="747" spans="1:10" ht="15.75" customHeight="1" x14ac:dyDescent="0.25">
      <c r="A747" s="11"/>
      <c r="B747" s="4" t="str">
        <f>IF(A747="","",IFERROR(VLOOKUP(A747,Members!A$4:B$103,2,0),""))</f>
        <v/>
      </c>
      <c r="C747" s="6">
        <f t="shared" si="22"/>
        <v>0</v>
      </c>
      <c r="D747" s="11"/>
      <c r="E747" s="6" t="str">
        <f t="shared" si="23"/>
        <v/>
      </c>
      <c r="F747" s="11"/>
      <c r="G747" s="25" t="str">
        <f>IF(A747="","",IFERROR(SUMIFS($F$4:$F747,$A$4:$A747,A747),0))</f>
        <v/>
      </c>
      <c r="H747" s="11"/>
      <c r="I747" s="11"/>
      <c r="J747" s="11"/>
    </row>
    <row r="748" spans="1:10" ht="15.75" customHeight="1" x14ac:dyDescent="0.25">
      <c r="A748" s="11"/>
      <c r="B748" s="4" t="str">
        <f>IF(A748="","",IFERROR(VLOOKUP(A748,Members!A$4:B$103,2,0),""))</f>
        <v/>
      </c>
      <c r="C748" s="6">
        <f t="shared" si="22"/>
        <v>0</v>
      </c>
      <c r="D748" s="11"/>
      <c r="E748" s="6" t="str">
        <f t="shared" si="23"/>
        <v/>
      </c>
      <c r="F748" s="11"/>
      <c r="G748" s="25" t="str">
        <f>IF(A748="","",IFERROR(SUMIFS($F$4:$F748,$A$4:$A748,A748),0))</f>
        <v/>
      </c>
      <c r="H748" s="11"/>
      <c r="I748" s="11"/>
      <c r="J748" s="11"/>
    </row>
    <row r="749" spans="1:10" ht="15.75" customHeight="1" x14ac:dyDescent="0.25">
      <c r="A749" s="11"/>
      <c r="B749" s="4" t="str">
        <f>IF(A749="","",IFERROR(VLOOKUP(A749,Members!A$4:B$103,2,0),""))</f>
        <v/>
      </c>
      <c r="C749" s="6">
        <f t="shared" si="22"/>
        <v>0</v>
      </c>
      <c r="D749" s="11"/>
      <c r="E749" s="6" t="str">
        <f t="shared" si="23"/>
        <v/>
      </c>
      <c r="F749" s="11"/>
      <c r="G749" s="25" t="str">
        <f>IF(A749="","",IFERROR(SUMIFS($F$4:$F749,$A$4:$A749,A749),0))</f>
        <v/>
      </c>
      <c r="H749" s="11"/>
      <c r="I749" s="11"/>
      <c r="J749" s="11"/>
    </row>
    <row r="750" spans="1:10" ht="15.75" customHeight="1" x14ac:dyDescent="0.25">
      <c r="A750" s="11"/>
      <c r="B750" s="4" t="str">
        <f>IF(A750="","",IFERROR(VLOOKUP(A750,Members!A$4:B$103,2,0),""))</f>
        <v/>
      </c>
      <c r="C750" s="6">
        <f t="shared" si="22"/>
        <v>0</v>
      </c>
      <c r="D750" s="11"/>
      <c r="E750" s="6" t="str">
        <f t="shared" si="23"/>
        <v/>
      </c>
      <c r="F750" s="11"/>
      <c r="G750" s="25" t="str">
        <f>IF(A750="","",IFERROR(SUMIFS($F$4:$F750,$A$4:$A750,A750),0))</f>
        <v/>
      </c>
      <c r="H750" s="11"/>
      <c r="I750" s="11"/>
      <c r="J750" s="11"/>
    </row>
    <row r="751" spans="1:10" ht="15.75" customHeight="1" x14ac:dyDescent="0.25">
      <c r="A751" s="11"/>
      <c r="B751" s="4" t="str">
        <f>IF(A751="","",IFERROR(VLOOKUP(A751,Members!A$4:B$103,2,0),""))</f>
        <v/>
      </c>
      <c r="C751" s="6">
        <f t="shared" si="22"/>
        <v>0</v>
      </c>
      <c r="D751" s="11"/>
      <c r="E751" s="6" t="str">
        <f t="shared" si="23"/>
        <v/>
      </c>
      <c r="F751" s="11"/>
      <c r="G751" s="25" t="str">
        <f>IF(A751="","",IFERROR(SUMIFS($F$4:$F751,$A$4:$A751,A751),0))</f>
        <v/>
      </c>
      <c r="H751" s="11"/>
      <c r="I751" s="11"/>
      <c r="J751" s="11"/>
    </row>
    <row r="752" spans="1:10" ht="15.75" customHeight="1" x14ac:dyDescent="0.25">
      <c r="A752" s="11"/>
      <c r="B752" s="4" t="str">
        <f>IF(A752="","",IFERROR(VLOOKUP(A752,Members!A$4:B$103,2,0),""))</f>
        <v/>
      </c>
      <c r="C752" s="6">
        <f t="shared" si="22"/>
        <v>0</v>
      </c>
      <c r="D752" s="11"/>
      <c r="E752" s="6" t="str">
        <f t="shared" si="23"/>
        <v/>
      </c>
      <c r="F752" s="11"/>
      <c r="G752" s="25" t="str">
        <f>IF(A752="","",IFERROR(SUMIFS($F$4:$F752,$A$4:$A752,A752),0))</f>
        <v/>
      </c>
      <c r="H752" s="11"/>
      <c r="I752" s="11"/>
      <c r="J752" s="11"/>
    </row>
    <row r="753" spans="1:10" ht="15.75" customHeight="1" x14ac:dyDescent="0.25">
      <c r="A753" s="11"/>
      <c r="B753" s="4" t="str">
        <f>IF(A753="","",IFERROR(VLOOKUP(A753,Members!A$4:B$103,2,0),""))</f>
        <v/>
      </c>
      <c r="C753" s="6">
        <f t="shared" si="22"/>
        <v>0</v>
      </c>
      <c r="D753" s="11"/>
      <c r="E753" s="6" t="str">
        <f t="shared" si="23"/>
        <v/>
      </c>
      <c r="F753" s="11"/>
      <c r="G753" s="25" t="str">
        <f>IF(A753="","",IFERROR(SUMIFS($F$4:$F753,$A$4:$A753,A753),0))</f>
        <v/>
      </c>
      <c r="H753" s="11"/>
      <c r="I753" s="11"/>
      <c r="J753" s="11"/>
    </row>
    <row r="754" spans="1:10" ht="15.75" customHeight="1" x14ac:dyDescent="0.25">
      <c r="A754" s="11"/>
      <c r="B754" s="4" t="str">
        <f>IF(A754="","",IFERROR(VLOOKUP(A754,Members!A$4:B$103,2,0),""))</f>
        <v/>
      </c>
      <c r="C754" s="6">
        <f t="shared" si="22"/>
        <v>0</v>
      </c>
      <c r="D754" s="11"/>
      <c r="E754" s="6" t="str">
        <f t="shared" si="23"/>
        <v/>
      </c>
      <c r="F754" s="11"/>
      <c r="G754" s="25" t="str">
        <f>IF(A754="","",IFERROR(SUMIFS($F$4:$F754,$A$4:$A754,A754),0))</f>
        <v/>
      </c>
      <c r="H754" s="11"/>
      <c r="I754" s="11"/>
      <c r="J754" s="11"/>
    </row>
    <row r="755" spans="1:10" ht="15.75" customHeight="1" x14ac:dyDescent="0.25">
      <c r="A755" s="11"/>
      <c r="B755" s="4" t="str">
        <f>IF(A755="","",IFERROR(VLOOKUP(A755,Members!A$4:B$103,2,0),""))</f>
        <v/>
      </c>
      <c r="C755" s="6">
        <f t="shared" si="22"/>
        <v>0</v>
      </c>
      <c r="D755" s="11"/>
      <c r="E755" s="6" t="str">
        <f t="shared" si="23"/>
        <v/>
      </c>
      <c r="F755" s="11"/>
      <c r="G755" s="25" t="str">
        <f>IF(A755="","",IFERROR(SUMIFS($F$4:$F755,$A$4:$A755,A755),0))</f>
        <v/>
      </c>
      <c r="H755" s="11"/>
      <c r="I755" s="11"/>
      <c r="J755" s="11"/>
    </row>
    <row r="756" spans="1:10" ht="15.75" customHeight="1" x14ac:dyDescent="0.25">
      <c r="A756" s="11"/>
      <c r="B756" s="4" t="str">
        <f>IF(A756="","",IFERROR(VLOOKUP(A756,Members!A$4:B$103,2,0),""))</f>
        <v/>
      </c>
      <c r="C756" s="6">
        <f t="shared" si="22"/>
        <v>0</v>
      </c>
      <c r="D756" s="11"/>
      <c r="E756" s="6" t="str">
        <f t="shared" si="23"/>
        <v/>
      </c>
      <c r="F756" s="11"/>
      <c r="G756" s="25" t="str">
        <f>IF(A756="","",IFERROR(SUMIFS($F$4:$F756,$A$4:$A756,A756),0))</f>
        <v/>
      </c>
      <c r="H756" s="11"/>
      <c r="I756" s="11"/>
      <c r="J756" s="11"/>
    </row>
    <row r="757" spans="1:10" ht="15.75" customHeight="1" x14ac:dyDescent="0.25">
      <c r="A757" s="11"/>
      <c r="B757" s="4" t="str">
        <f>IF(A757="","",IFERROR(VLOOKUP(A757,Members!A$4:B$103,2,0),""))</f>
        <v/>
      </c>
      <c r="C757" s="6">
        <f t="shared" si="22"/>
        <v>0</v>
      </c>
      <c r="D757" s="11"/>
      <c r="E757" s="6" t="str">
        <f t="shared" si="23"/>
        <v/>
      </c>
      <c r="F757" s="11"/>
      <c r="G757" s="25" t="str">
        <f>IF(A757="","",IFERROR(SUMIFS($F$4:$F757,$A$4:$A757,A757),0))</f>
        <v/>
      </c>
      <c r="H757" s="11"/>
      <c r="I757" s="11"/>
      <c r="J757" s="11"/>
    </row>
    <row r="758" spans="1:10" ht="15.75" customHeight="1" x14ac:dyDescent="0.25">
      <c r="A758" s="11"/>
      <c r="B758" s="4" t="str">
        <f>IF(A758="","",IFERROR(VLOOKUP(A758,Members!A$4:B$103,2,0),""))</f>
        <v/>
      </c>
      <c r="C758" s="6">
        <f t="shared" si="22"/>
        <v>0</v>
      </c>
      <c r="D758" s="11"/>
      <c r="E758" s="6" t="str">
        <f t="shared" si="23"/>
        <v/>
      </c>
      <c r="F758" s="11"/>
      <c r="G758" s="25" t="str">
        <f>IF(A758="","",IFERROR(SUMIFS($F$4:$F758,$A$4:$A758,A758),0))</f>
        <v/>
      </c>
      <c r="H758" s="11"/>
      <c r="I758" s="11"/>
      <c r="J758" s="11"/>
    </row>
    <row r="759" spans="1:10" ht="15.75" customHeight="1" x14ac:dyDescent="0.25">
      <c r="A759" s="11"/>
      <c r="B759" s="4" t="str">
        <f>IF(A759="","",IFERROR(VLOOKUP(A759,Members!A$4:B$103,2,0),""))</f>
        <v/>
      </c>
      <c r="C759" s="6">
        <f t="shared" si="22"/>
        <v>0</v>
      </c>
      <c r="D759" s="11"/>
      <c r="E759" s="6" t="str">
        <f t="shared" si="23"/>
        <v/>
      </c>
      <c r="F759" s="11"/>
      <c r="G759" s="25" t="str">
        <f>IF(A759="","",IFERROR(SUMIFS($F$4:$F759,$A$4:$A759,A759),0))</f>
        <v/>
      </c>
      <c r="H759" s="11"/>
      <c r="I759" s="11"/>
      <c r="J759" s="11"/>
    </row>
    <row r="760" spans="1:10" ht="15.75" customHeight="1" x14ac:dyDescent="0.25">
      <c r="A760" s="11"/>
      <c r="B760" s="4" t="str">
        <f>IF(A760="","",IFERROR(VLOOKUP(A760,Members!A$4:B$103,2,0),""))</f>
        <v/>
      </c>
      <c r="C760" s="6">
        <f t="shared" si="22"/>
        <v>0</v>
      </c>
      <c r="D760" s="11"/>
      <c r="E760" s="6" t="str">
        <f t="shared" si="23"/>
        <v/>
      </c>
      <c r="F760" s="11"/>
      <c r="G760" s="25" t="str">
        <f>IF(A760="","",IFERROR(SUMIFS($F$4:$F760,$A$4:$A760,A760),0))</f>
        <v/>
      </c>
      <c r="H760" s="11"/>
      <c r="I760" s="11"/>
      <c r="J760" s="11"/>
    </row>
    <row r="761" spans="1:10" ht="15.75" customHeight="1" x14ac:dyDescent="0.25">
      <c r="A761" s="11"/>
      <c r="B761" s="4" t="str">
        <f>IF(A761="","",IFERROR(VLOOKUP(A761,Members!A$4:B$103,2,0),""))</f>
        <v/>
      </c>
      <c r="C761" s="6">
        <f t="shared" si="22"/>
        <v>0</v>
      </c>
      <c r="D761" s="11"/>
      <c r="E761" s="6" t="str">
        <f t="shared" si="23"/>
        <v/>
      </c>
      <c r="F761" s="11"/>
      <c r="G761" s="25" t="str">
        <f>IF(A761="","",IFERROR(SUMIFS($F$4:$F761,$A$4:$A761,A761),0))</f>
        <v/>
      </c>
      <c r="H761" s="11"/>
      <c r="I761" s="11"/>
      <c r="J761" s="11"/>
    </row>
    <row r="762" spans="1:10" ht="15.75" customHeight="1" x14ac:dyDescent="0.25">
      <c r="A762" s="11"/>
      <c r="B762" s="4" t="str">
        <f>IF(A762="","",IFERROR(VLOOKUP(A762,Members!A$4:B$103,2,0),""))</f>
        <v/>
      </c>
      <c r="C762" s="6">
        <f t="shared" si="22"/>
        <v>0</v>
      </c>
      <c r="D762" s="11"/>
      <c r="E762" s="6" t="str">
        <f t="shared" si="23"/>
        <v/>
      </c>
      <c r="F762" s="11"/>
      <c r="G762" s="25" t="str">
        <f>IF(A762="","",IFERROR(SUMIFS($F$4:$F762,$A$4:$A762,A762),0))</f>
        <v/>
      </c>
      <c r="H762" s="11"/>
      <c r="I762" s="11"/>
      <c r="J762" s="11"/>
    </row>
    <row r="763" spans="1:10" ht="15.75" customHeight="1" x14ac:dyDescent="0.25">
      <c r="A763" s="11"/>
      <c r="B763" s="4" t="str">
        <f>IF(A763="","",IFERROR(VLOOKUP(A763,Members!A$4:B$103,2,0),""))</f>
        <v/>
      </c>
      <c r="C763" s="6">
        <f t="shared" si="22"/>
        <v>0</v>
      </c>
      <c r="D763" s="11"/>
      <c r="E763" s="6" t="str">
        <f t="shared" si="23"/>
        <v/>
      </c>
      <c r="F763" s="11"/>
      <c r="G763" s="25" t="str">
        <f>IF(A763="","",IFERROR(SUMIFS($F$4:$F763,$A$4:$A763,A763),0))</f>
        <v/>
      </c>
      <c r="H763" s="11"/>
      <c r="I763" s="11"/>
      <c r="J763" s="11"/>
    </row>
    <row r="764" spans="1:10" ht="15.75" customHeight="1" x14ac:dyDescent="0.25">
      <c r="A764" s="11"/>
      <c r="B764" s="4" t="str">
        <f>IF(A764="","",IFERROR(VLOOKUP(A764,Members!A$4:B$103,2,0),""))</f>
        <v/>
      </c>
      <c r="C764" s="6">
        <f t="shared" si="22"/>
        <v>0</v>
      </c>
      <c r="D764" s="11"/>
      <c r="E764" s="6" t="str">
        <f t="shared" si="23"/>
        <v/>
      </c>
      <c r="F764" s="11"/>
      <c r="G764" s="25" t="str">
        <f>IF(A764="","",IFERROR(SUMIFS($F$4:$F764,$A$4:$A764,A764),0))</f>
        <v/>
      </c>
      <c r="H764" s="11"/>
      <c r="I764" s="11"/>
      <c r="J764" s="11"/>
    </row>
    <row r="765" spans="1:10" ht="15.75" customHeight="1" x14ac:dyDescent="0.25">
      <c r="A765" s="11"/>
      <c r="B765" s="4" t="str">
        <f>IF(A765="","",IFERROR(VLOOKUP(A765,Members!A$4:B$103,2,0),""))</f>
        <v/>
      </c>
      <c r="C765" s="6">
        <f t="shared" si="22"/>
        <v>0</v>
      </c>
      <c r="D765" s="11"/>
      <c r="E765" s="6" t="str">
        <f t="shared" si="23"/>
        <v/>
      </c>
      <c r="F765" s="11"/>
      <c r="G765" s="25" t="str">
        <f>IF(A765="","",IFERROR(SUMIFS($F$4:$F765,$A$4:$A765,A765),0))</f>
        <v/>
      </c>
      <c r="H765" s="11"/>
      <c r="I765" s="11"/>
      <c r="J765" s="11"/>
    </row>
    <row r="766" spans="1:10" ht="15.75" customHeight="1" x14ac:dyDescent="0.25">
      <c r="A766" s="11"/>
      <c r="B766" s="4" t="str">
        <f>IF(A766="","",IFERROR(VLOOKUP(A766,Members!A$4:B$103,2,0),""))</f>
        <v/>
      </c>
      <c r="C766" s="6">
        <f t="shared" si="22"/>
        <v>0</v>
      </c>
      <c r="D766" s="11"/>
      <c r="E766" s="6" t="str">
        <f t="shared" si="23"/>
        <v/>
      </c>
      <c r="F766" s="11"/>
      <c r="G766" s="25" t="str">
        <f>IF(A766="","",IFERROR(SUMIFS($F$4:$F766,$A$4:$A766,A766),0))</f>
        <v/>
      </c>
      <c r="H766" s="11"/>
      <c r="I766" s="11"/>
      <c r="J766" s="11"/>
    </row>
    <row r="767" spans="1:10" ht="15.75" customHeight="1" x14ac:dyDescent="0.25">
      <c r="A767" s="11"/>
      <c r="B767" s="4" t="str">
        <f>IF(A767="","",IFERROR(VLOOKUP(A767,Members!A$4:B$103,2,0),""))</f>
        <v/>
      </c>
      <c r="C767" s="6">
        <f t="shared" si="22"/>
        <v>0</v>
      </c>
      <c r="D767" s="11"/>
      <c r="E767" s="6" t="str">
        <f t="shared" si="23"/>
        <v/>
      </c>
      <c r="F767" s="11"/>
      <c r="G767" s="25" t="str">
        <f>IF(A767="","",IFERROR(SUMIFS($F$4:$F767,$A$4:$A767,A767),0))</f>
        <v/>
      </c>
      <c r="H767" s="11"/>
      <c r="I767" s="11"/>
      <c r="J767" s="11"/>
    </row>
    <row r="768" spans="1:10" ht="15.75" customHeight="1" x14ac:dyDescent="0.25">
      <c r="A768" s="11"/>
      <c r="B768" s="4" t="str">
        <f>IF(A768="","",IFERROR(VLOOKUP(A768,Members!A$4:B$103,2,0),""))</f>
        <v/>
      </c>
      <c r="C768" s="6">
        <f t="shared" si="22"/>
        <v>0</v>
      </c>
      <c r="D768" s="11"/>
      <c r="E768" s="6" t="str">
        <f t="shared" si="23"/>
        <v/>
      </c>
      <c r="F768" s="11"/>
      <c r="G768" s="25" t="str">
        <f>IF(A768="","",IFERROR(SUMIFS($F$4:$F768,$A$4:$A768,A768),0))</f>
        <v/>
      </c>
      <c r="H768" s="11"/>
      <c r="I768" s="11"/>
      <c r="J768" s="11"/>
    </row>
    <row r="769" spans="1:10" ht="15.75" customHeight="1" x14ac:dyDescent="0.25">
      <c r="A769" s="11"/>
      <c r="B769" s="4" t="str">
        <f>IF(A769="","",IFERROR(VLOOKUP(A769,Members!A$4:B$103,2,0),""))</f>
        <v/>
      </c>
      <c r="C769" s="6">
        <f t="shared" si="22"/>
        <v>0</v>
      </c>
      <c r="D769" s="11"/>
      <c r="E769" s="6" t="str">
        <f t="shared" si="23"/>
        <v/>
      </c>
      <c r="F769" s="11"/>
      <c r="G769" s="25" t="str">
        <f>IF(A769="","",IFERROR(SUMIFS($F$4:$F769,$A$4:$A769,A769),0))</f>
        <v/>
      </c>
      <c r="H769" s="11"/>
      <c r="I769" s="11"/>
      <c r="J769" s="11"/>
    </row>
    <row r="770" spans="1:10" ht="15.75" customHeight="1" x14ac:dyDescent="0.25">
      <c r="A770" s="11"/>
      <c r="B770" s="4" t="str">
        <f>IF(A770="","",IFERROR(VLOOKUP(A770,Members!A$4:B$103,2,0),""))</f>
        <v/>
      </c>
      <c r="C770" s="6">
        <f t="shared" si="22"/>
        <v>0</v>
      </c>
      <c r="D770" s="11"/>
      <c r="E770" s="6" t="str">
        <f t="shared" si="23"/>
        <v/>
      </c>
      <c r="F770" s="11"/>
      <c r="G770" s="25" t="str">
        <f>IF(A770="","",IFERROR(SUMIFS($F$4:$F770,$A$4:$A770,A770),0))</f>
        <v/>
      </c>
      <c r="H770" s="11"/>
      <c r="I770" s="11"/>
      <c r="J770" s="11"/>
    </row>
    <row r="771" spans="1:10" ht="15.75" customHeight="1" x14ac:dyDescent="0.25">
      <c r="A771" s="11"/>
      <c r="B771" s="4" t="str">
        <f>IF(A771="","",IFERROR(VLOOKUP(A771,Members!A$4:B$103,2,0),""))</f>
        <v/>
      </c>
      <c r="C771" s="6">
        <f t="shared" si="22"/>
        <v>0</v>
      </c>
      <c r="D771" s="11"/>
      <c r="E771" s="6" t="str">
        <f t="shared" si="23"/>
        <v/>
      </c>
      <c r="F771" s="11"/>
      <c r="G771" s="25" t="str">
        <f>IF(A771="","",IFERROR(SUMIFS($F$4:$F771,$A$4:$A771,A771),0))</f>
        <v/>
      </c>
      <c r="H771" s="11"/>
      <c r="I771" s="11"/>
      <c r="J771" s="11"/>
    </row>
    <row r="772" spans="1:10" ht="15.75" customHeight="1" x14ac:dyDescent="0.25">
      <c r="A772" s="11"/>
      <c r="B772" s="4" t="str">
        <f>IF(A772="","",IFERROR(VLOOKUP(A772,Members!A$4:B$103,2,0),""))</f>
        <v/>
      </c>
      <c r="C772" s="6">
        <f t="shared" ref="C772:C835" si="24">A772</f>
        <v>0</v>
      </c>
      <c r="D772" s="11"/>
      <c r="E772" s="6" t="str">
        <f t="shared" ref="E772:E835" si="25">IF(D772="","",TEXT(DATE(2024,D772,1),"MMMM"))</f>
        <v/>
      </c>
      <c r="F772" s="11"/>
      <c r="G772" s="25" t="str">
        <f>IF(A772="","",IFERROR(SUMIFS($F$4:$F772,$A$4:$A772,A772),0))</f>
        <v/>
      </c>
      <c r="H772" s="11"/>
      <c r="I772" s="11"/>
      <c r="J772" s="11"/>
    </row>
    <row r="773" spans="1:10" ht="15.75" customHeight="1" x14ac:dyDescent="0.25">
      <c r="A773" s="11"/>
      <c r="B773" s="4" t="str">
        <f>IF(A773="","",IFERROR(VLOOKUP(A773,Members!A$4:B$103,2,0),""))</f>
        <v/>
      </c>
      <c r="C773" s="6">
        <f t="shared" si="24"/>
        <v>0</v>
      </c>
      <c r="D773" s="11"/>
      <c r="E773" s="6" t="str">
        <f t="shared" si="25"/>
        <v/>
      </c>
      <c r="F773" s="11"/>
      <c r="G773" s="25" t="str">
        <f>IF(A773="","",IFERROR(SUMIFS($F$4:$F773,$A$4:$A773,A773),0))</f>
        <v/>
      </c>
      <c r="H773" s="11"/>
      <c r="I773" s="11"/>
      <c r="J773" s="11"/>
    </row>
    <row r="774" spans="1:10" ht="15.75" customHeight="1" x14ac:dyDescent="0.25">
      <c r="A774" s="11"/>
      <c r="B774" s="4" t="str">
        <f>IF(A774="","",IFERROR(VLOOKUP(A774,Members!A$4:B$103,2,0),""))</f>
        <v/>
      </c>
      <c r="C774" s="6">
        <f t="shared" si="24"/>
        <v>0</v>
      </c>
      <c r="D774" s="11"/>
      <c r="E774" s="6" t="str">
        <f t="shared" si="25"/>
        <v/>
      </c>
      <c r="F774" s="11"/>
      <c r="G774" s="25" t="str">
        <f>IF(A774="","",IFERROR(SUMIFS($F$4:$F774,$A$4:$A774,A774),0))</f>
        <v/>
      </c>
      <c r="H774" s="11"/>
      <c r="I774" s="11"/>
      <c r="J774" s="11"/>
    </row>
    <row r="775" spans="1:10" ht="15.75" customHeight="1" x14ac:dyDescent="0.25">
      <c r="A775" s="11"/>
      <c r="B775" s="4" t="str">
        <f>IF(A775="","",IFERROR(VLOOKUP(A775,Members!A$4:B$103,2,0),""))</f>
        <v/>
      </c>
      <c r="C775" s="6">
        <f t="shared" si="24"/>
        <v>0</v>
      </c>
      <c r="D775" s="11"/>
      <c r="E775" s="6" t="str">
        <f t="shared" si="25"/>
        <v/>
      </c>
      <c r="F775" s="11"/>
      <c r="G775" s="25" t="str">
        <f>IF(A775="","",IFERROR(SUMIFS($F$4:$F775,$A$4:$A775,A775),0))</f>
        <v/>
      </c>
      <c r="H775" s="11"/>
      <c r="I775" s="11"/>
      <c r="J775" s="11"/>
    </row>
    <row r="776" spans="1:10" ht="15.75" customHeight="1" x14ac:dyDescent="0.25">
      <c r="A776" s="11"/>
      <c r="B776" s="4" t="str">
        <f>IF(A776="","",IFERROR(VLOOKUP(A776,Members!A$4:B$103,2,0),""))</f>
        <v/>
      </c>
      <c r="C776" s="6">
        <f t="shared" si="24"/>
        <v>0</v>
      </c>
      <c r="D776" s="11"/>
      <c r="E776" s="6" t="str">
        <f t="shared" si="25"/>
        <v/>
      </c>
      <c r="F776" s="11"/>
      <c r="G776" s="25" t="str">
        <f>IF(A776="","",IFERROR(SUMIFS($F$4:$F776,$A$4:$A776,A776),0))</f>
        <v/>
      </c>
      <c r="H776" s="11"/>
      <c r="I776" s="11"/>
      <c r="J776" s="11"/>
    </row>
    <row r="777" spans="1:10" ht="15.75" customHeight="1" x14ac:dyDescent="0.25">
      <c r="A777" s="11"/>
      <c r="B777" s="4" t="str">
        <f>IF(A777="","",IFERROR(VLOOKUP(A777,Members!A$4:B$103,2,0),""))</f>
        <v/>
      </c>
      <c r="C777" s="6">
        <f t="shared" si="24"/>
        <v>0</v>
      </c>
      <c r="D777" s="11"/>
      <c r="E777" s="6" t="str">
        <f t="shared" si="25"/>
        <v/>
      </c>
      <c r="F777" s="11"/>
      <c r="G777" s="25" t="str">
        <f>IF(A777="","",IFERROR(SUMIFS($F$4:$F777,$A$4:$A777,A777),0))</f>
        <v/>
      </c>
      <c r="H777" s="11"/>
      <c r="I777" s="11"/>
      <c r="J777" s="11"/>
    </row>
    <row r="778" spans="1:10" ht="15.75" customHeight="1" x14ac:dyDescent="0.25">
      <c r="A778" s="11"/>
      <c r="B778" s="4" t="str">
        <f>IF(A778="","",IFERROR(VLOOKUP(A778,Members!A$4:B$103,2,0),""))</f>
        <v/>
      </c>
      <c r="C778" s="6">
        <f t="shared" si="24"/>
        <v>0</v>
      </c>
      <c r="D778" s="11"/>
      <c r="E778" s="6" t="str">
        <f t="shared" si="25"/>
        <v/>
      </c>
      <c r="F778" s="11"/>
      <c r="G778" s="25" t="str">
        <f>IF(A778="","",IFERROR(SUMIFS($F$4:$F778,$A$4:$A778,A778),0))</f>
        <v/>
      </c>
      <c r="H778" s="11"/>
      <c r="I778" s="11"/>
      <c r="J778" s="11"/>
    </row>
    <row r="779" spans="1:10" ht="15.75" customHeight="1" x14ac:dyDescent="0.25">
      <c r="A779" s="11"/>
      <c r="B779" s="4" t="str">
        <f>IF(A779="","",IFERROR(VLOOKUP(A779,Members!A$4:B$103,2,0),""))</f>
        <v/>
      </c>
      <c r="C779" s="6">
        <f t="shared" si="24"/>
        <v>0</v>
      </c>
      <c r="D779" s="11"/>
      <c r="E779" s="6" t="str">
        <f t="shared" si="25"/>
        <v/>
      </c>
      <c r="F779" s="11"/>
      <c r="G779" s="25" t="str">
        <f>IF(A779="","",IFERROR(SUMIFS($F$4:$F779,$A$4:$A779,A779),0))</f>
        <v/>
      </c>
      <c r="H779" s="11"/>
      <c r="I779" s="11"/>
      <c r="J779" s="11"/>
    </row>
    <row r="780" spans="1:10" ht="15.75" customHeight="1" x14ac:dyDescent="0.25">
      <c r="A780" s="11"/>
      <c r="B780" s="4" t="str">
        <f>IF(A780="","",IFERROR(VLOOKUP(A780,Members!A$4:B$103,2,0),""))</f>
        <v/>
      </c>
      <c r="C780" s="6">
        <f t="shared" si="24"/>
        <v>0</v>
      </c>
      <c r="D780" s="11"/>
      <c r="E780" s="6" t="str">
        <f t="shared" si="25"/>
        <v/>
      </c>
      <c r="F780" s="11"/>
      <c r="G780" s="25" t="str">
        <f>IF(A780="","",IFERROR(SUMIFS($F$4:$F780,$A$4:$A780,A780),0))</f>
        <v/>
      </c>
      <c r="H780" s="11"/>
      <c r="I780" s="11"/>
      <c r="J780" s="11"/>
    </row>
    <row r="781" spans="1:10" ht="15.75" customHeight="1" x14ac:dyDescent="0.25">
      <c r="A781" s="11"/>
      <c r="B781" s="4" t="str">
        <f>IF(A781="","",IFERROR(VLOOKUP(A781,Members!A$4:B$103,2,0),""))</f>
        <v/>
      </c>
      <c r="C781" s="6">
        <f t="shared" si="24"/>
        <v>0</v>
      </c>
      <c r="D781" s="11"/>
      <c r="E781" s="6" t="str">
        <f t="shared" si="25"/>
        <v/>
      </c>
      <c r="F781" s="11"/>
      <c r="G781" s="25" t="str">
        <f>IF(A781="","",IFERROR(SUMIFS($F$4:$F781,$A$4:$A781,A781),0))</f>
        <v/>
      </c>
      <c r="H781" s="11"/>
      <c r="I781" s="11"/>
      <c r="J781" s="11"/>
    </row>
    <row r="782" spans="1:10" ht="15.75" customHeight="1" x14ac:dyDescent="0.25">
      <c r="A782" s="11"/>
      <c r="B782" s="4" t="str">
        <f>IF(A782="","",IFERROR(VLOOKUP(A782,Members!A$4:B$103,2,0),""))</f>
        <v/>
      </c>
      <c r="C782" s="6">
        <f t="shared" si="24"/>
        <v>0</v>
      </c>
      <c r="D782" s="11"/>
      <c r="E782" s="6" t="str">
        <f t="shared" si="25"/>
        <v/>
      </c>
      <c r="F782" s="11"/>
      <c r="G782" s="25" t="str">
        <f>IF(A782="","",IFERROR(SUMIFS($F$4:$F782,$A$4:$A782,A782),0))</f>
        <v/>
      </c>
      <c r="H782" s="11"/>
      <c r="I782" s="11"/>
      <c r="J782" s="11"/>
    </row>
    <row r="783" spans="1:10" ht="15.75" customHeight="1" x14ac:dyDescent="0.25">
      <c r="A783" s="11"/>
      <c r="B783" s="4" t="str">
        <f>IF(A783="","",IFERROR(VLOOKUP(A783,Members!A$4:B$103,2,0),""))</f>
        <v/>
      </c>
      <c r="C783" s="6">
        <f t="shared" si="24"/>
        <v>0</v>
      </c>
      <c r="D783" s="11"/>
      <c r="E783" s="6" t="str">
        <f t="shared" si="25"/>
        <v/>
      </c>
      <c r="F783" s="11"/>
      <c r="G783" s="25" t="str">
        <f>IF(A783="","",IFERROR(SUMIFS($F$4:$F783,$A$4:$A783,A783),0))</f>
        <v/>
      </c>
      <c r="H783" s="11"/>
      <c r="I783" s="11"/>
      <c r="J783" s="11"/>
    </row>
    <row r="784" spans="1:10" ht="15.75" customHeight="1" x14ac:dyDescent="0.25">
      <c r="A784" s="11"/>
      <c r="B784" s="4" t="str">
        <f>IF(A784="","",IFERROR(VLOOKUP(A784,Members!A$4:B$103,2,0),""))</f>
        <v/>
      </c>
      <c r="C784" s="6">
        <f t="shared" si="24"/>
        <v>0</v>
      </c>
      <c r="D784" s="11"/>
      <c r="E784" s="6" t="str">
        <f t="shared" si="25"/>
        <v/>
      </c>
      <c r="F784" s="11"/>
      <c r="G784" s="25" t="str">
        <f>IF(A784="","",IFERROR(SUMIFS($F$4:$F784,$A$4:$A784,A784),0))</f>
        <v/>
      </c>
      <c r="H784" s="11"/>
      <c r="I784" s="11"/>
      <c r="J784" s="11"/>
    </row>
    <row r="785" spans="1:10" ht="15.75" customHeight="1" x14ac:dyDescent="0.25">
      <c r="A785" s="11"/>
      <c r="B785" s="4" t="str">
        <f>IF(A785="","",IFERROR(VLOOKUP(A785,Members!A$4:B$103,2,0),""))</f>
        <v/>
      </c>
      <c r="C785" s="6">
        <f t="shared" si="24"/>
        <v>0</v>
      </c>
      <c r="D785" s="11"/>
      <c r="E785" s="6" t="str">
        <f t="shared" si="25"/>
        <v/>
      </c>
      <c r="F785" s="11"/>
      <c r="G785" s="25" t="str">
        <f>IF(A785="","",IFERROR(SUMIFS($F$4:$F785,$A$4:$A785,A785),0))</f>
        <v/>
      </c>
      <c r="H785" s="11"/>
      <c r="I785" s="11"/>
      <c r="J785" s="11"/>
    </row>
    <row r="786" spans="1:10" ht="15.75" customHeight="1" x14ac:dyDescent="0.25">
      <c r="A786" s="11"/>
      <c r="B786" s="4" t="str">
        <f>IF(A786="","",IFERROR(VLOOKUP(A786,Members!A$4:B$103,2,0),""))</f>
        <v/>
      </c>
      <c r="C786" s="6">
        <f t="shared" si="24"/>
        <v>0</v>
      </c>
      <c r="D786" s="11"/>
      <c r="E786" s="6" t="str">
        <f t="shared" si="25"/>
        <v/>
      </c>
      <c r="F786" s="11"/>
      <c r="G786" s="25" t="str">
        <f>IF(A786="","",IFERROR(SUMIFS($F$4:$F786,$A$4:$A786,A786),0))</f>
        <v/>
      </c>
      <c r="H786" s="11"/>
      <c r="I786" s="11"/>
      <c r="J786" s="11"/>
    </row>
    <row r="787" spans="1:10" ht="15.75" customHeight="1" x14ac:dyDescent="0.25">
      <c r="A787" s="11"/>
      <c r="B787" s="4" t="str">
        <f>IF(A787="","",IFERROR(VLOOKUP(A787,Members!A$4:B$103,2,0),""))</f>
        <v/>
      </c>
      <c r="C787" s="6">
        <f t="shared" si="24"/>
        <v>0</v>
      </c>
      <c r="D787" s="11"/>
      <c r="E787" s="6" t="str">
        <f t="shared" si="25"/>
        <v/>
      </c>
      <c r="F787" s="11"/>
      <c r="G787" s="25" t="str">
        <f>IF(A787="","",IFERROR(SUMIFS($F$4:$F787,$A$4:$A787,A787),0))</f>
        <v/>
      </c>
      <c r="H787" s="11"/>
      <c r="I787" s="11"/>
      <c r="J787" s="11"/>
    </row>
    <row r="788" spans="1:10" ht="15.75" customHeight="1" x14ac:dyDescent="0.25">
      <c r="A788" s="11"/>
      <c r="B788" s="4" t="str">
        <f>IF(A788="","",IFERROR(VLOOKUP(A788,Members!A$4:B$103,2,0),""))</f>
        <v/>
      </c>
      <c r="C788" s="6">
        <f t="shared" si="24"/>
        <v>0</v>
      </c>
      <c r="D788" s="11"/>
      <c r="E788" s="6" t="str">
        <f t="shared" si="25"/>
        <v/>
      </c>
      <c r="F788" s="11"/>
      <c r="G788" s="25" t="str">
        <f>IF(A788="","",IFERROR(SUMIFS($F$4:$F788,$A$4:$A788,A788),0))</f>
        <v/>
      </c>
      <c r="H788" s="11"/>
      <c r="I788" s="11"/>
      <c r="J788" s="11"/>
    </row>
    <row r="789" spans="1:10" ht="15.75" customHeight="1" x14ac:dyDescent="0.25">
      <c r="A789" s="11"/>
      <c r="B789" s="4" t="str">
        <f>IF(A789="","",IFERROR(VLOOKUP(A789,Members!A$4:B$103,2,0),""))</f>
        <v/>
      </c>
      <c r="C789" s="6">
        <f t="shared" si="24"/>
        <v>0</v>
      </c>
      <c r="D789" s="11"/>
      <c r="E789" s="6" t="str">
        <f t="shared" si="25"/>
        <v/>
      </c>
      <c r="F789" s="11"/>
      <c r="G789" s="25" t="str">
        <f>IF(A789="","",IFERROR(SUMIFS($F$4:$F789,$A$4:$A789,A789),0))</f>
        <v/>
      </c>
      <c r="H789" s="11"/>
      <c r="I789" s="11"/>
      <c r="J789" s="11"/>
    </row>
    <row r="790" spans="1:10" ht="15.75" customHeight="1" x14ac:dyDescent="0.25">
      <c r="A790" s="11"/>
      <c r="B790" s="4" t="str">
        <f>IF(A790="","",IFERROR(VLOOKUP(A790,Members!A$4:B$103,2,0),""))</f>
        <v/>
      </c>
      <c r="C790" s="6">
        <f t="shared" si="24"/>
        <v>0</v>
      </c>
      <c r="D790" s="11"/>
      <c r="E790" s="6" t="str">
        <f t="shared" si="25"/>
        <v/>
      </c>
      <c r="F790" s="11"/>
      <c r="G790" s="25" t="str">
        <f>IF(A790="","",IFERROR(SUMIFS($F$4:$F790,$A$4:$A790,A790),0))</f>
        <v/>
      </c>
      <c r="H790" s="11"/>
      <c r="I790" s="11"/>
      <c r="J790" s="11"/>
    </row>
    <row r="791" spans="1:10" ht="15.75" customHeight="1" x14ac:dyDescent="0.25">
      <c r="A791" s="11"/>
      <c r="B791" s="4" t="str">
        <f>IF(A791="","",IFERROR(VLOOKUP(A791,Members!A$4:B$103,2,0),""))</f>
        <v/>
      </c>
      <c r="C791" s="6">
        <f t="shared" si="24"/>
        <v>0</v>
      </c>
      <c r="D791" s="11"/>
      <c r="E791" s="6" t="str">
        <f t="shared" si="25"/>
        <v/>
      </c>
      <c r="F791" s="11"/>
      <c r="G791" s="25" t="str">
        <f>IF(A791="","",IFERROR(SUMIFS($F$4:$F791,$A$4:$A791,A791),0))</f>
        <v/>
      </c>
      <c r="H791" s="11"/>
      <c r="I791" s="11"/>
      <c r="J791" s="11"/>
    </row>
    <row r="792" spans="1:10" ht="15.75" customHeight="1" x14ac:dyDescent="0.25">
      <c r="A792" s="11"/>
      <c r="B792" s="4" t="str">
        <f>IF(A792="","",IFERROR(VLOOKUP(A792,Members!A$4:B$103,2,0),""))</f>
        <v/>
      </c>
      <c r="C792" s="6">
        <f t="shared" si="24"/>
        <v>0</v>
      </c>
      <c r="D792" s="11"/>
      <c r="E792" s="6" t="str">
        <f t="shared" si="25"/>
        <v/>
      </c>
      <c r="F792" s="11"/>
      <c r="G792" s="25" t="str">
        <f>IF(A792="","",IFERROR(SUMIFS($F$4:$F792,$A$4:$A792,A792),0))</f>
        <v/>
      </c>
      <c r="H792" s="11"/>
      <c r="I792" s="11"/>
      <c r="J792" s="11"/>
    </row>
    <row r="793" spans="1:10" ht="15.75" customHeight="1" x14ac:dyDescent="0.25">
      <c r="A793" s="11"/>
      <c r="B793" s="4" t="str">
        <f>IF(A793="","",IFERROR(VLOOKUP(A793,Members!A$4:B$103,2,0),""))</f>
        <v/>
      </c>
      <c r="C793" s="6">
        <f t="shared" si="24"/>
        <v>0</v>
      </c>
      <c r="D793" s="11"/>
      <c r="E793" s="6" t="str">
        <f t="shared" si="25"/>
        <v/>
      </c>
      <c r="F793" s="11"/>
      <c r="G793" s="25" t="str">
        <f>IF(A793="","",IFERROR(SUMIFS($F$4:$F793,$A$4:$A793,A793),0))</f>
        <v/>
      </c>
      <c r="H793" s="11"/>
      <c r="I793" s="11"/>
      <c r="J793" s="11"/>
    </row>
    <row r="794" spans="1:10" ht="15.75" customHeight="1" x14ac:dyDescent="0.25">
      <c r="A794" s="11"/>
      <c r="B794" s="4" t="str">
        <f>IF(A794="","",IFERROR(VLOOKUP(A794,Members!A$4:B$103,2,0),""))</f>
        <v/>
      </c>
      <c r="C794" s="6">
        <f t="shared" si="24"/>
        <v>0</v>
      </c>
      <c r="D794" s="11"/>
      <c r="E794" s="6" t="str">
        <f t="shared" si="25"/>
        <v/>
      </c>
      <c r="F794" s="11"/>
      <c r="G794" s="25" t="str">
        <f>IF(A794="","",IFERROR(SUMIFS($F$4:$F794,$A$4:$A794,A794),0))</f>
        <v/>
      </c>
      <c r="H794" s="11"/>
      <c r="I794" s="11"/>
      <c r="J794" s="11"/>
    </row>
    <row r="795" spans="1:10" ht="15.75" customHeight="1" x14ac:dyDescent="0.25">
      <c r="A795" s="11"/>
      <c r="B795" s="4" t="str">
        <f>IF(A795="","",IFERROR(VLOOKUP(A795,Members!A$4:B$103,2,0),""))</f>
        <v/>
      </c>
      <c r="C795" s="6">
        <f t="shared" si="24"/>
        <v>0</v>
      </c>
      <c r="D795" s="11"/>
      <c r="E795" s="6" t="str">
        <f t="shared" si="25"/>
        <v/>
      </c>
      <c r="F795" s="11"/>
      <c r="G795" s="25" t="str">
        <f>IF(A795="","",IFERROR(SUMIFS($F$4:$F795,$A$4:$A795,A795),0))</f>
        <v/>
      </c>
      <c r="H795" s="11"/>
      <c r="I795" s="11"/>
      <c r="J795" s="11"/>
    </row>
    <row r="796" spans="1:10" ht="15.75" customHeight="1" x14ac:dyDescent="0.25">
      <c r="A796" s="11"/>
      <c r="B796" s="4" t="str">
        <f>IF(A796="","",IFERROR(VLOOKUP(A796,Members!A$4:B$103,2,0),""))</f>
        <v/>
      </c>
      <c r="C796" s="6">
        <f t="shared" si="24"/>
        <v>0</v>
      </c>
      <c r="D796" s="11"/>
      <c r="E796" s="6" t="str">
        <f t="shared" si="25"/>
        <v/>
      </c>
      <c r="F796" s="11"/>
      <c r="G796" s="25" t="str">
        <f>IF(A796="","",IFERROR(SUMIFS($F$4:$F796,$A$4:$A796,A796),0))</f>
        <v/>
      </c>
      <c r="H796" s="11"/>
      <c r="I796" s="11"/>
      <c r="J796" s="11"/>
    </row>
    <row r="797" spans="1:10" ht="15.75" customHeight="1" x14ac:dyDescent="0.25">
      <c r="A797" s="11"/>
      <c r="B797" s="4" t="str">
        <f>IF(A797="","",IFERROR(VLOOKUP(A797,Members!A$4:B$103,2,0),""))</f>
        <v/>
      </c>
      <c r="C797" s="6">
        <f t="shared" si="24"/>
        <v>0</v>
      </c>
      <c r="D797" s="11"/>
      <c r="E797" s="6" t="str">
        <f t="shared" si="25"/>
        <v/>
      </c>
      <c r="F797" s="11"/>
      <c r="G797" s="25" t="str">
        <f>IF(A797="","",IFERROR(SUMIFS($F$4:$F797,$A$4:$A797,A797),0))</f>
        <v/>
      </c>
      <c r="H797" s="11"/>
      <c r="I797" s="11"/>
      <c r="J797" s="11"/>
    </row>
    <row r="798" spans="1:10" ht="15.75" customHeight="1" x14ac:dyDescent="0.25">
      <c r="A798" s="11"/>
      <c r="B798" s="4" t="str">
        <f>IF(A798="","",IFERROR(VLOOKUP(A798,Members!A$4:B$103,2,0),""))</f>
        <v/>
      </c>
      <c r="C798" s="6">
        <f t="shared" si="24"/>
        <v>0</v>
      </c>
      <c r="D798" s="11"/>
      <c r="E798" s="6" t="str">
        <f t="shared" si="25"/>
        <v/>
      </c>
      <c r="F798" s="11"/>
      <c r="G798" s="25" t="str">
        <f>IF(A798="","",IFERROR(SUMIFS($F$4:$F798,$A$4:$A798,A798),0))</f>
        <v/>
      </c>
      <c r="H798" s="11"/>
      <c r="I798" s="11"/>
      <c r="J798" s="11"/>
    </row>
    <row r="799" spans="1:10" ht="15.75" customHeight="1" x14ac:dyDescent="0.25">
      <c r="A799" s="11"/>
      <c r="B799" s="4" t="str">
        <f>IF(A799="","",IFERROR(VLOOKUP(A799,Members!A$4:B$103,2,0),""))</f>
        <v/>
      </c>
      <c r="C799" s="6">
        <f t="shared" si="24"/>
        <v>0</v>
      </c>
      <c r="D799" s="11"/>
      <c r="E799" s="6" t="str">
        <f t="shared" si="25"/>
        <v/>
      </c>
      <c r="F799" s="11"/>
      <c r="G799" s="25" t="str">
        <f>IF(A799="","",IFERROR(SUMIFS($F$4:$F799,$A$4:$A799,A799),0))</f>
        <v/>
      </c>
      <c r="H799" s="11"/>
      <c r="I799" s="11"/>
      <c r="J799" s="11"/>
    </row>
    <row r="800" spans="1:10" ht="15.75" customHeight="1" x14ac:dyDescent="0.25">
      <c r="A800" s="11"/>
      <c r="B800" s="4" t="str">
        <f>IF(A800="","",IFERROR(VLOOKUP(A800,Members!A$4:B$103,2,0),""))</f>
        <v/>
      </c>
      <c r="C800" s="6">
        <f t="shared" si="24"/>
        <v>0</v>
      </c>
      <c r="D800" s="11"/>
      <c r="E800" s="6" t="str">
        <f t="shared" si="25"/>
        <v/>
      </c>
      <c r="F800" s="11"/>
      <c r="G800" s="25" t="str">
        <f>IF(A800="","",IFERROR(SUMIFS($F$4:$F800,$A$4:$A800,A800),0))</f>
        <v/>
      </c>
      <c r="H800" s="11"/>
      <c r="I800" s="11"/>
      <c r="J800" s="11"/>
    </row>
    <row r="801" spans="1:10" ht="15.75" customHeight="1" x14ac:dyDescent="0.25">
      <c r="A801" s="11"/>
      <c r="B801" s="4" t="str">
        <f>IF(A801="","",IFERROR(VLOOKUP(A801,Members!A$4:B$103,2,0),""))</f>
        <v/>
      </c>
      <c r="C801" s="6">
        <f t="shared" si="24"/>
        <v>0</v>
      </c>
      <c r="D801" s="11"/>
      <c r="E801" s="6" t="str">
        <f t="shared" si="25"/>
        <v/>
      </c>
      <c r="F801" s="11"/>
      <c r="G801" s="25" t="str">
        <f>IF(A801="","",IFERROR(SUMIFS($F$4:$F801,$A$4:$A801,A801),0))</f>
        <v/>
      </c>
      <c r="H801" s="11"/>
      <c r="I801" s="11"/>
      <c r="J801" s="11"/>
    </row>
    <row r="802" spans="1:10" ht="15.75" customHeight="1" x14ac:dyDescent="0.25">
      <c r="A802" s="11"/>
      <c r="B802" s="4" t="str">
        <f>IF(A802="","",IFERROR(VLOOKUP(A802,Members!A$4:B$103,2,0),""))</f>
        <v/>
      </c>
      <c r="C802" s="6">
        <f t="shared" si="24"/>
        <v>0</v>
      </c>
      <c r="D802" s="11"/>
      <c r="E802" s="6" t="str">
        <f t="shared" si="25"/>
        <v/>
      </c>
      <c r="F802" s="11"/>
      <c r="G802" s="25" t="str">
        <f>IF(A802="","",IFERROR(SUMIFS($F$4:$F802,$A$4:$A802,A802),0))</f>
        <v/>
      </c>
      <c r="H802" s="11"/>
      <c r="I802" s="11"/>
      <c r="J802" s="11"/>
    </row>
    <row r="803" spans="1:10" ht="15.75" customHeight="1" x14ac:dyDescent="0.25">
      <c r="A803" s="11"/>
      <c r="B803" s="4" t="str">
        <f>IF(A803="","",IFERROR(VLOOKUP(A803,Members!A$4:B$103,2,0),""))</f>
        <v/>
      </c>
      <c r="C803" s="6">
        <f t="shared" si="24"/>
        <v>0</v>
      </c>
      <c r="D803" s="11"/>
      <c r="E803" s="6" t="str">
        <f t="shared" si="25"/>
        <v/>
      </c>
      <c r="F803" s="11"/>
      <c r="G803" s="25" t="str">
        <f>IF(A803="","",IFERROR(SUMIFS($F$4:$F803,$A$4:$A803,A803),0))</f>
        <v/>
      </c>
      <c r="H803" s="11"/>
      <c r="I803" s="11"/>
      <c r="J803" s="11"/>
    </row>
    <row r="804" spans="1:10" ht="15.75" customHeight="1" x14ac:dyDescent="0.25">
      <c r="A804" s="11"/>
      <c r="B804" s="4" t="str">
        <f>IF(A804="","",IFERROR(VLOOKUP(A804,Members!A$4:B$103,2,0),""))</f>
        <v/>
      </c>
      <c r="C804" s="6">
        <f t="shared" si="24"/>
        <v>0</v>
      </c>
      <c r="D804" s="11"/>
      <c r="E804" s="6" t="str">
        <f t="shared" si="25"/>
        <v/>
      </c>
      <c r="F804" s="11"/>
      <c r="G804" s="25" t="str">
        <f>IF(A804="","",IFERROR(SUMIFS($F$4:$F804,$A$4:$A804,A804),0))</f>
        <v/>
      </c>
      <c r="H804" s="11"/>
      <c r="I804" s="11"/>
      <c r="J804" s="11"/>
    </row>
    <row r="805" spans="1:10" ht="15.75" customHeight="1" x14ac:dyDescent="0.25">
      <c r="A805" s="11"/>
      <c r="B805" s="4" t="str">
        <f>IF(A805="","",IFERROR(VLOOKUP(A805,Members!A$4:B$103,2,0),""))</f>
        <v/>
      </c>
      <c r="C805" s="6">
        <f t="shared" si="24"/>
        <v>0</v>
      </c>
      <c r="D805" s="11"/>
      <c r="E805" s="6" t="str">
        <f t="shared" si="25"/>
        <v/>
      </c>
      <c r="F805" s="11"/>
      <c r="G805" s="25" t="str">
        <f>IF(A805="","",IFERROR(SUMIFS($F$4:$F805,$A$4:$A805,A805),0))</f>
        <v/>
      </c>
      <c r="H805" s="11"/>
      <c r="I805" s="11"/>
      <c r="J805" s="11"/>
    </row>
    <row r="806" spans="1:10" ht="15.75" customHeight="1" x14ac:dyDescent="0.25">
      <c r="A806" s="11"/>
      <c r="B806" s="4" t="str">
        <f>IF(A806="","",IFERROR(VLOOKUP(A806,Members!A$4:B$103,2,0),""))</f>
        <v/>
      </c>
      <c r="C806" s="6">
        <f t="shared" si="24"/>
        <v>0</v>
      </c>
      <c r="D806" s="11"/>
      <c r="E806" s="6" t="str">
        <f t="shared" si="25"/>
        <v/>
      </c>
      <c r="F806" s="11"/>
      <c r="G806" s="25" t="str">
        <f>IF(A806="","",IFERROR(SUMIFS($F$4:$F806,$A$4:$A806,A806),0))</f>
        <v/>
      </c>
      <c r="H806" s="11"/>
      <c r="I806" s="11"/>
      <c r="J806" s="11"/>
    </row>
    <row r="807" spans="1:10" ht="15.75" customHeight="1" x14ac:dyDescent="0.25">
      <c r="A807" s="11"/>
      <c r="B807" s="4" t="str">
        <f>IF(A807="","",IFERROR(VLOOKUP(A807,Members!A$4:B$103,2,0),""))</f>
        <v/>
      </c>
      <c r="C807" s="6">
        <f t="shared" si="24"/>
        <v>0</v>
      </c>
      <c r="D807" s="11"/>
      <c r="E807" s="6" t="str">
        <f t="shared" si="25"/>
        <v/>
      </c>
      <c r="F807" s="11"/>
      <c r="G807" s="25" t="str">
        <f>IF(A807="","",IFERROR(SUMIFS($F$4:$F807,$A$4:$A807,A807),0))</f>
        <v/>
      </c>
      <c r="H807" s="11"/>
      <c r="I807" s="11"/>
      <c r="J807" s="11"/>
    </row>
    <row r="808" spans="1:10" ht="15.75" customHeight="1" x14ac:dyDescent="0.25">
      <c r="A808" s="11"/>
      <c r="B808" s="4" t="str">
        <f>IF(A808="","",IFERROR(VLOOKUP(A808,Members!A$4:B$103,2,0),""))</f>
        <v/>
      </c>
      <c r="C808" s="6">
        <f t="shared" si="24"/>
        <v>0</v>
      </c>
      <c r="D808" s="11"/>
      <c r="E808" s="6" t="str">
        <f t="shared" si="25"/>
        <v/>
      </c>
      <c r="F808" s="11"/>
      <c r="G808" s="25" t="str">
        <f>IF(A808="","",IFERROR(SUMIFS($F$4:$F808,$A$4:$A808,A808),0))</f>
        <v/>
      </c>
      <c r="H808" s="11"/>
      <c r="I808" s="11"/>
      <c r="J808" s="11"/>
    </row>
    <row r="809" spans="1:10" ht="15.75" customHeight="1" x14ac:dyDescent="0.25">
      <c r="A809" s="11"/>
      <c r="B809" s="4" t="str">
        <f>IF(A809="","",IFERROR(VLOOKUP(A809,Members!A$4:B$103,2,0),""))</f>
        <v/>
      </c>
      <c r="C809" s="6">
        <f t="shared" si="24"/>
        <v>0</v>
      </c>
      <c r="D809" s="11"/>
      <c r="E809" s="6" t="str">
        <f t="shared" si="25"/>
        <v/>
      </c>
      <c r="F809" s="11"/>
      <c r="G809" s="25" t="str">
        <f>IF(A809="","",IFERROR(SUMIFS($F$4:$F809,$A$4:$A809,A809),0))</f>
        <v/>
      </c>
      <c r="H809" s="11"/>
      <c r="I809" s="11"/>
      <c r="J809" s="11"/>
    </row>
    <row r="810" spans="1:10" ht="15.75" customHeight="1" x14ac:dyDescent="0.25">
      <c r="A810" s="11"/>
      <c r="B810" s="4" t="str">
        <f>IF(A810="","",IFERROR(VLOOKUP(A810,Members!A$4:B$103,2,0),""))</f>
        <v/>
      </c>
      <c r="C810" s="6">
        <f t="shared" si="24"/>
        <v>0</v>
      </c>
      <c r="D810" s="11"/>
      <c r="E810" s="6" t="str">
        <f t="shared" si="25"/>
        <v/>
      </c>
      <c r="F810" s="11"/>
      <c r="G810" s="25" t="str">
        <f>IF(A810="","",IFERROR(SUMIFS($F$4:$F810,$A$4:$A810,A810),0))</f>
        <v/>
      </c>
      <c r="H810" s="11"/>
      <c r="I810" s="11"/>
      <c r="J810" s="11"/>
    </row>
    <row r="811" spans="1:10" ht="15.75" customHeight="1" x14ac:dyDescent="0.25">
      <c r="A811" s="11"/>
      <c r="B811" s="4" t="str">
        <f>IF(A811="","",IFERROR(VLOOKUP(A811,Members!A$4:B$103,2,0),""))</f>
        <v/>
      </c>
      <c r="C811" s="6">
        <f t="shared" si="24"/>
        <v>0</v>
      </c>
      <c r="D811" s="11"/>
      <c r="E811" s="6" t="str">
        <f t="shared" si="25"/>
        <v/>
      </c>
      <c r="F811" s="11"/>
      <c r="G811" s="25" t="str">
        <f>IF(A811="","",IFERROR(SUMIFS($F$4:$F811,$A$4:$A811,A811),0))</f>
        <v/>
      </c>
      <c r="H811" s="11"/>
      <c r="I811" s="11"/>
      <c r="J811" s="11"/>
    </row>
    <row r="812" spans="1:10" ht="15.75" customHeight="1" x14ac:dyDescent="0.25">
      <c r="A812" s="11"/>
      <c r="B812" s="4" t="str">
        <f>IF(A812="","",IFERROR(VLOOKUP(A812,Members!A$4:B$103,2,0),""))</f>
        <v/>
      </c>
      <c r="C812" s="6">
        <f t="shared" si="24"/>
        <v>0</v>
      </c>
      <c r="D812" s="11"/>
      <c r="E812" s="6" t="str">
        <f t="shared" si="25"/>
        <v/>
      </c>
      <c r="F812" s="11"/>
      <c r="G812" s="25" t="str">
        <f>IF(A812="","",IFERROR(SUMIFS($F$4:$F812,$A$4:$A812,A812),0))</f>
        <v/>
      </c>
      <c r="H812" s="11"/>
      <c r="I812" s="11"/>
      <c r="J812" s="11"/>
    </row>
    <row r="813" spans="1:10" ht="15.75" customHeight="1" x14ac:dyDescent="0.25">
      <c r="A813" s="11"/>
      <c r="B813" s="4" t="str">
        <f>IF(A813="","",IFERROR(VLOOKUP(A813,Members!A$4:B$103,2,0),""))</f>
        <v/>
      </c>
      <c r="C813" s="6">
        <f t="shared" si="24"/>
        <v>0</v>
      </c>
      <c r="D813" s="11"/>
      <c r="E813" s="6" t="str">
        <f t="shared" si="25"/>
        <v/>
      </c>
      <c r="F813" s="11"/>
      <c r="G813" s="25" t="str">
        <f>IF(A813="","",IFERROR(SUMIFS($F$4:$F813,$A$4:$A813,A813),0))</f>
        <v/>
      </c>
      <c r="H813" s="11"/>
      <c r="I813" s="11"/>
      <c r="J813" s="11"/>
    </row>
    <row r="814" spans="1:10" ht="15.75" customHeight="1" x14ac:dyDescent="0.25">
      <c r="A814" s="11"/>
      <c r="B814" s="4" t="str">
        <f>IF(A814="","",IFERROR(VLOOKUP(A814,Members!A$4:B$103,2,0),""))</f>
        <v/>
      </c>
      <c r="C814" s="6">
        <f t="shared" si="24"/>
        <v>0</v>
      </c>
      <c r="D814" s="11"/>
      <c r="E814" s="6" t="str">
        <f t="shared" si="25"/>
        <v/>
      </c>
      <c r="F814" s="11"/>
      <c r="G814" s="25" t="str">
        <f>IF(A814="","",IFERROR(SUMIFS($F$4:$F814,$A$4:$A814,A814),0))</f>
        <v/>
      </c>
      <c r="H814" s="11"/>
      <c r="I814" s="11"/>
      <c r="J814" s="11"/>
    </row>
    <row r="815" spans="1:10" ht="15.75" customHeight="1" x14ac:dyDescent="0.25">
      <c r="A815" s="11"/>
      <c r="B815" s="4" t="str">
        <f>IF(A815="","",IFERROR(VLOOKUP(A815,Members!A$4:B$103,2,0),""))</f>
        <v/>
      </c>
      <c r="C815" s="6">
        <f t="shared" si="24"/>
        <v>0</v>
      </c>
      <c r="D815" s="11"/>
      <c r="E815" s="6" t="str">
        <f t="shared" si="25"/>
        <v/>
      </c>
      <c r="F815" s="11"/>
      <c r="G815" s="25" t="str">
        <f>IF(A815="","",IFERROR(SUMIFS($F$4:$F815,$A$4:$A815,A815),0))</f>
        <v/>
      </c>
      <c r="H815" s="11"/>
      <c r="I815" s="11"/>
      <c r="J815" s="11"/>
    </row>
    <row r="816" spans="1:10" ht="15.75" customHeight="1" x14ac:dyDescent="0.25">
      <c r="A816" s="11"/>
      <c r="B816" s="4" t="str">
        <f>IF(A816="","",IFERROR(VLOOKUP(A816,Members!A$4:B$103,2,0),""))</f>
        <v/>
      </c>
      <c r="C816" s="6">
        <f t="shared" si="24"/>
        <v>0</v>
      </c>
      <c r="D816" s="11"/>
      <c r="E816" s="6" t="str">
        <f t="shared" si="25"/>
        <v/>
      </c>
      <c r="F816" s="11"/>
      <c r="G816" s="25" t="str">
        <f>IF(A816="","",IFERROR(SUMIFS($F$4:$F816,$A$4:$A816,A816),0))</f>
        <v/>
      </c>
      <c r="H816" s="11"/>
      <c r="I816" s="11"/>
      <c r="J816" s="11"/>
    </row>
    <row r="817" spans="1:10" ht="15.75" customHeight="1" x14ac:dyDescent="0.25">
      <c r="A817" s="11"/>
      <c r="B817" s="4" t="str">
        <f>IF(A817="","",IFERROR(VLOOKUP(A817,Members!A$4:B$103,2,0),""))</f>
        <v/>
      </c>
      <c r="C817" s="6">
        <f t="shared" si="24"/>
        <v>0</v>
      </c>
      <c r="D817" s="11"/>
      <c r="E817" s="6" t="str">
        <f t="shared" si="25"/>
        <v/>
      </c>
      <c r="F817" s="11"/>
      <c r="G817" s="25" t="str">
        <f>IF(A817="","",IFERROR(SUMIFS($F$4:$F817,$A$4:$A817,A817),0))</f>
        <v/>
      </c>
      <c r="H817" s="11"/>
      <c r="I817" s="11"/>
      <c r="J817" s="11"/>
    </row>
    <row r="818" spans="1:10" ht="15.75" customHeight="1" x14ac:dyDescent="0.25">
      <c r="A818" s="11"/>
      <c r="B818" s="4" t="str">
        <f>IF(A818="","",IFERROR(VLOOKUP(A818,Members!A$4:B$103,2,0),""))</f>
        <v/>
      </c>
      <c r="C818" s="6">
        <f t="shared" si="24"/>
        <v>0</v>
      </c>
      <c r="D818" s="11"/>
      <c r="E818" s="6" t="str">
        <f t="shared" si="25"/>
        <v/>
      </c>
      <c r="F818" s="11"/>
      <c r="G818" s="25" t="str">
        <f>IF(A818="","",IFERROR(SUMIFS($F$4:$F818,$A$4:$A818,A818),0))</f>
        <v/>
      </c>
      <c r="H818" s="11"/>
      <c r="I818" s="11"/>
      <c r="J818" s="11"/>
    </row>
    <row r="819" spans="1:10" ht="15.75" customHeight="1" x14ac:dyDescent="0.25">
      <c r="A819" s="11"/>
      <c r="B819" s="4" t="str">
        <f>IF(A819="","",IFERROR(VLOOKUP(A819,Members!A$4:B$103,2,0),""))</f>
        <v/>
      </c>
      <c r="C819" s="6">
        <f t="shared" si="24"/>
        <v>0</v>
      </c>
      <c r="D819" s="11"/>
      <c r="E819" s="6" t="str">
        <f t="shared" si="25"/>
        <v/>
      </c>
      <c r="F819" s="11"/>
      <c r="G819" s="25" t="str">
        <f>IF(A819="","",IFERROR(SUMIFS($F$4:$F819,$A$4:$A819,A819),0))</f>
        <v/>
      </c>
      <c r="H819" s="11"/>
      <c r="I819" s="11"/>
      <c r="J819" s="11"/>
    </row>
    <row r="820" spans="1:10" ht="15.75" customHeight="1" x14ac:dyDescent="0.25">
      <c r="A820" s="11"/>
      <c r="B820" s="4" t="str">
        <f>IF(A820="","",IFERROR(VLOOKUP(A820,Members!A$4:B$103,2,0),""))</f>
        <v/>
      </c>
      <c r="C820" s="6">
        <f t="shared" si="24"/>
        <v>0</v>
      </c>
      <c r="D820" s="11"/>
      <c r="E820" s="6" t="str">
        <f t="shared" si="25"/>
        <v/>
      </c>
      <c r="F820" s="11"/>
      <c r="G820" s="25" t="str">
        <f>IF(A820="","",IFERROR(SUMIFS($F$4:$F820,$A$4:$A820,A820),0))</f>
        <v/>
      </c>
      <c r="H820" s="11"/>
      <c r="I820" s="11"/>
      <c r="J820" s="11"/>
    </row>
    <row r="821" spans="1:10" ht="15.75" customHeight="1" x14ac:dyDescent="0.25">
      <c r="A821" s="11"/>
      <c r="B821" s="4" t="str">
        <f>IF(A821="","",IFERROR(VLOOKUP(A821,Members!A$4:B$103,2,0),""))</f>
        <v/>
      </c>
      <c r="C821" s="6">
        <f t="shared" si="24"/>
        <v>0</v>
      </c>
      <c r="D821" s="11"/>
      <c r="E821" s="6" t="str">
        <f t="shared" si="25"/>
        <v/>
      </c>
      <c r="F821" s="11"/>
      <c r="G821" s="25" t="str">
        <f>IF(A821="","",IFERROR(SUMIFS($F$4:$F821,$A$4:$A821,A821),0))</f>
        <v/>
      </c>
      <c r="H821" s="11"/>
      <c r="I821" s="11"/>
      <c r="J821" s="11"/>
    </row>
    <row r="822" spans="1:10" ht="15.75" customHeight="1" x14ac:dyDescent="0.25">
      <c r="A822" s="11"/>
      <c r="B822" s="4" t="str">
        <f>IF(A822="","",IFERROR(VLOOKUP(A822,Members!A$4:B$103,2,0),""))</f>
        <v/>
      </c>
      <c r="C822" s="6">
        <f t="shared" si="24"/>
        <v>0</v>
      </c>
      <c r="D822" s="11"/>
      <c r="E822" s="6" t="str">
        <f t="shared" si="25"/>
        <v/>
      </c>
      <c r="F822" s="11"/>
      <c r="G822" s="25" t="str">
        <f>IF(A822="","",IFERROR(SUMIFS($F$4:$F822,$A$4:$A822,A822),0))</f>
        <v/>
      </c>
      <c r="H822" s="11"/>
      <c r="I822" s="11"/>
      <c r="J822" s="11"/>
    </row>
    <row r="823" spans="1:10" ht="15.75" customHeight="1" x14ac:dyDescent="0.25">
      <c r="A823" s="11"/>
      <c r="B823" s="4" t="str">
        <f>IF(A823="","",IFERROR(VLOOKUP(A823,Members!A$4:B$103,2,0),""))</f>
        <v/>
      </c>
      <c r="C823" s="6">
        <f t="shared" si="24"/>
        <v>0</v>
      </c>
      <c r="D823" s="11"/>
      <c r="E823" s="6" t="str">
        <f t="shared" si="25"/>
        <v/>
      </c>
      <c r="F823" s="11"/>
      <c r="G823" s="25" t="str">
        <f>IF(A823="","",IFERROR(SUMIFS($F$4:$F823,$A$4:$A823,A823),0))</f>
        <v/>
      </c>
      <c r="H823" s="11"/>
      <c r="I823" s="11"/>
      <c r="J823" s="11"/>
    </row>
    <row r="824" spans="1:10" ht="15.75" customHeight="1" x14ac:dyDescent="0.25">
      <c r="A824" s="11"/>
      <c r="B824" s="4" t="str">
        <f>IF(A824="","",IFERROR(VLOOKUP(A824,Members!A$4:B$103,2,0),""))</f>
        <v/>
      </c>
      <c r="C824" s="6">
        <f t="shared" si="24"/>
        <v>0</v>
      </c>
      <c r="D824" s="11"/>
      <c r="E824" s="6" t="str">
        <f t="shared" si="25"/>
        <v/>
      </c>
      <c r="F824" s="11"/>
      <c r="G824" s="25" t="str">
        <f>IF(A824="","",IFERROR(SUMIFS($F$4:$F824,$A$4:$A824,A824),0))</f>
        <v/>
      </c>
      <c r="H824" s="11"/>
      <c r="I824" s="11"/>
      <c r="J824" s="11"/>
    </row>
    <row r="825" spans="1:10" ht="15.75" customHeight="1" x14ac:dyDescent="0.25">
      <c r="A825" s="11"/>
      <c r="B825" s="4" t="str">
        <f>IF(A825="","",IFERROR(VLOOKUP(A825,Members!A$4:B$103,2,0),""))</f>
        <v/>
      </c>
      <c r="C825" s="6">
        <f t="shared" si="24"/>
        <v>0</v>
      </c>
      <c r="D825" s="11"/>
      <c r="E825" s="6" t="str">
        <f t="shared" si="25"/>
        <v/>
      </c>
      <c r="F825" s="11"/>
      <c r="G825" s="25" t="str">
        <f>IF(A825="","",IFERROR(SUMIFS($F$4:$F825,$A$4:$A825,A825),0))</f>
        <v/>
      </c>
      <c r="H825" s="11"/>
      <c r="I825" s="11"/>
      <c r="J825" s="11"/>
    </row>
    <row r="826" spans="1:10" ht="15.75" customHeight="1" x14ac:dyDescent="0.25">
      <c r="A826" s="11"/>
      <c r="B826" s="4" t="str">
        <f>IF(A826="","",IFERROR(VLOOKUP(A826,Members!A$4:B$103,2,0),""))</f>
        <v/>
      </c>
      <c r="C826" s="6">
        <f t="shared" si="24"/>
        <v>0</v>
      </c>
      <c r="D826" s="11"/>
      <c r="E826" s="6" t="str">
        <f t="shared" si="25"/>
        <v/>
      </c>
      <c r="F826" s="11"/>
      <c r="G826" s="25" t="str">
        <f>IF(A826="","",IFERROR(SUMIFS($F$4:$F826,$A$4:$A826,A826),0))</f>
        <v/>
      </c>
      <c r="H826" s="11"/>
      <c r="I826" s="11"/>
      <c r="J826" s="11"/>
    </row>
    <row r="827" spans="1:10" ht="15.75" customHeight="1" x14ac:dyDescent="0.25">
      <c r="A827" s="11"/>
      <c r="B827" s="4" t="str">
        <f>IF(A827="","",IFERROR(VLOOKUP(A827,Members!A$4:B$103,2,0),""))</f>
        <v/>
      </c>
      <c r="C827" s="6">
        <f t="shared" si="24"/>
        <v>0</v>
      </c>
      <c r="D827" s="11"/>
      <c r="E827" s="6" t="str">
        <f t="shared" si="25"/>
        <v/>
      </c>
      <c r="F827" s="11"/>
      <c r="G827" s="25" t="str">
        <f>IF(A827="","",IFERROR(SUMIFS($F$4:$F827,$A$4:$A827,A827),0))</f>
        <v/>
      </c>
      <c r="H827" s="11"/>
      <c r="I827" s="11"/>
      <c r="J827" s="11"/>
    </row>
    <row r="828" spans="1:10" ht="15.75" customHeight="1" x14ac:dyDescent="0.25">
      <c r="A828" s="11"/>
      <c r="B828" s="4" t="str">
        <f>IF(A828="","",IFERROR(VLOOKUP(A828,Members!A$4:B$103,2,0),""))</f>
        <v/>
      </c>
      <c r="C828" s="6">
        <f t="shared" si="24"/>
        <v>0</v>
      </c>
      <c r="D828" s="11"/>
      <c r="E828" s="6" t="str">
        <f t="shared" si="25"/>
        <v/>
      </c>
      <c r="F828" s="11"/>
      <c r="G828" s="25" t="str">
        <f>IF(A828="","",IFERROR(SUMIFS($F$4:$F828,$A$4:$A828,A828),0))</f>
        <v/>
      </c>
      <c r="H828" s="11"/>
      <c r="I828" s="11"/>
      <c r="J828" s="11"/>
    </row>
    <row r="829" spans="1:10" ht="15.75" customHeight="1" x14ac:dyDescent="0.25">
      <c r="A829" s="11"/>
      <c r="B829" s="4" t="str">
        <f>IF(A829="","",IFERROR(VLOOKUP(A829,Members!A$4:B$103,2,0),""))</f>
        <v/>
      </c>
      <c r="C829" s="6">
        <f t="shared" si="24"/>
        <v>0</v>
      </c>
      <c r="D829" s="11"/>
      <c r="E829" s="6" t="str">
        <f t="shared" si="25"/>
        <v/>
      </c>
      <c r="F829" s="11"/>
      <c r="G829" s="25" t="str">
        <f>IF(A829="","",IFERROR(SUMIFS($F$4:$F829,$A$4:$A829,A829),0))</f>
        <v/>
      </c>
      <c r="H829" s="11"/>
      <c r="I829" s="11"/>
      <c r="J829" s="11"/>
    </row>
    <row r="830" spans="1:10" ht="15.75" customHeight="1" x14ac:dyDescent="0.25">
      <c r="A830" s="11"/>
      <c r="B830" s="4" t="str">
        <f>IF(A830="","",IFERROR(VLOOKUP(A830,Members!A$4:B$103,2,0),""))</f>
        <v/>
      </c>
      <c r="C830" s="6">
        <f t="shared" si="24"/>
        <v>0</v>
      </c>
      <c r="D830" s="11"/>
      <c r="E830" s="6" t="str">
        <f t="shared" si="25"/>
        <v/>
      </c>
      <c r="F830" s="11"/>
      <c r="G830" s="25" t="str">
        <f>IF(A830="","",IFERROR(SUMIFS($F$4:$F830,$A$4:$A830,A830),0))</f>
        <v/>
      </c>
      <c r="H830" s="11"/>
      <c r="I830" s="11"/>
      <c r="J830" s="11"/>
    </row>
    <row r="831" spans="1:10" ht="15.75" customHeight="1" x14ac:dyDescent="0.25">
      <c r="A831" s="11"/>
      <c r="B831" s="4" t="str">
        <f>IF(A831="","",IFERROR(VLOOKUP(A831,Members!A$4:B$103,2,0),""))</f>
        <v/>
      </c>
      <c r="C831" s="6">
        <f t="shared" si="24"/>
        <v>0</v>
      </c>
      <c r="D831" s="11"/>
      <c r="E831" s="6" t="str">
        <f t="shared" si="25"/>
        <v/>
      </c>
      <c r="F831" s="11"/>
      <c r="G831" s="25" t="str">
        <f>IF(A831="","",IFERROR(SUMIFS($F$4:$F831,$A$4:$A831,A831),0))</f>
        <v/>
      </c>
      <c r="H831" s="11"/>
      <c r="I831" s="11"/>
      <c r="J831" s="11"/>
    </row>
    <row r="832" spans="1:10" ht="15.75" customHeight="1" x14ac:dyDescent="0.25">
      <c r="A832" s="11"/>
      <c r="B832" s="4" t="str">
        <f>IF(A832="","",IFERROR(VLOOKUP(A832,Members!A$4:B$103,2,0),""))</f>
        <v/>
      </c>
      <c r="C832" s="6">
        <f t="shared" si="24"/>
        <v>0</v>
      </c>
      <c r="D832" s="11"/>
      <c r="E832" s="6" t="str">
        <f t="shared" si="25"/>
        <v/>
      </c>
      <c r="F832" s="11"/>
      <c r="G832" s="25" t="str">
        <f>IF(A832="","",IFERROR(SUMIFS($F$4:$F832,$A$4:$A832,A832),0))</f>
        <v/>
      </c>
      <c r="H832" s="11"/>
      <c r="I832" s="11"/>
      <c r="J832" s="11"/>
    </row>
    <row r="833" spans="1:10" ht="15.75" customHeight="1" x14ac:dyDescent="0.25">
      <c r="A833" s="11"/>
      <c r="B833" s="4" t="str">
        <f>IF(A833="","",IFERROR(VLOOKUP(A833,Members!A$4:B$103,2,0),""))</f>
        <v/>
      </c>
      <c r="C833" s="6">
        <f t="shared" si="24"/>
        <v>0</v>
      </c>
      <c r="D833" s="11"/>
      <c r="E833" s="6" t="str">
        <f t="shared" si="25"/>
        <v/>
      </c>
      <c r="F833" s="11"/>
      <c r="G833" s="25" t="str">
        <f>IF(A833="","",IFERROR(SUMIFS($F$4:$F833,$A$4:$A833,A833),0))</f>
        <v/>
      </c>
      <c r="H833" s="11"/>
      <c r="I833" s="11"/>
      <c r="J833" s="11"/>
    </row>
    <row r="834" spans="1:10" ht="15.75" customHeight="1" x14ac:dyDescent="0.25">
      <c r="A834" s="11"/>
      <c r="B834" s="4" t="str">
        <f>IF(A834="","",IFERROR(VLOOKUP(A834,Members!A$4:B$103,2,0),""))</f>
        <v/>
      </c>
      <c r="C834" s="6">
        <f t="shared" si="24"/>
        <v>0</v>
      </c>
      <c r="D834" s="11"/>
      <c r="E834" s="6" t="str">
        <f t="shared" si="25"/>
        <v/>
      </c>
      <c r="F834" s="11"/>
      <c r="G834" s="25" t="str">
        <f>IF(A834="","",IFERROR(SUMIFS($F$4:$F834,$A$4:$A834,A834),0))</f>
        <v/>
      </c>
      <c r="H834" s="11"/>
      <c r="I834" s="11"/>
      <c r="J834" s="11"/>
    </row>
    <row r="835" spans="1:10" ht="15.75" customHeight="1" x14ac:dyDescent="0.25">
      <c r="A835" s="11"/>
      <c r="B835" s="4" t="str">
        <f>IF(A835="","",IFERROR(VLOOKUP(A835,Members!A$4:B$103,2,0),""))</f>
        <v/>
      </c>
      <c r="C835" s="6">
        <f t="shared" si="24"/>
        <v>0</v>
      </c>
      <c r="D835" s="11"/>
      <c r="E835" s="6" t="str">
        <f t="shared" si="25"/>
        <v/>
      </c>
      <c r="F835" s="11"/>
      <c r="G835" s="25" t="str">
        <f>IF(A835="","",IFERROR(SUMIFS($F$4:$F835,$A$4:$A835,A835),0))</f>
        <v/>
      </c>
      <c r="H835" s="11"/>
      <c r="I835" s="11"/>
      <c r="J835" s="11"/>
    </row>
    <row r="836" spans="1:10" ht="15.75" customHeight="1" x14ac:dyDescent="0.25">
      <c r="A836" s="11"/>
      <c r="B836" s="4" t="str">
        <f>IF(A836="","",IFERROR(VLOOKUP(A836,Members!A$4:B$103,2,0),""))</f>
        <v/>
      </c>
      <c r="C836" s="6">
        <f t="shared" ref="C836:C899" si="26">A836</f>
        <v>0</v>
      </c>
      <c r="D836" s="11"/>
      <c r="E836" s="6" t="str">
        <f t="shared" ref="E836:E899" si="27">IF(D836="","",TEXT(DATE(2024,D836,1),"MMMM"))</f>
        <v/>
      </c>
      <c r="F836" s="11"/>
      <c r="G836" s="25" t="str">
        <f>IF(A836="","",IFERROR(SUMIFS($F$4:$F836,$A$4:$A836,A836),0))</f>
        <v/>
      </c>
      <c r="H836" s="11"/>
      <c r="I836" s="11"/>
      <c r="J836" s="11"/>
    </row>
    <row r="837" spans="1:10" ht="15.75" customHeight="1" x14ac:dyDescent="0.25">
      <c r="A837" s="11"/>
      <c r="B837" s="4" t="str">
        <f>IF(A837="","",IFERROR(VLOOKUP(A837,Members!A$4:B$103,2,0),""))</f>
        <v/>
      </c>
      <c r="C837" s="6">
        <f t="shared" si="26"/>
        <v>0</v>
      </c>
      <c r="D837" s="11"/>
      <c r="E837" s="6" t="str">
        <f t="shared" si="27"/>
        <v/>
      </c>
      <c r="F837" s="11"/>
      <c r="G837" s="25" t="str">
        <f>IF(A837="","",IFERROR(SUMIFS($F$4:$F837,$A$4:$A837,A837),0))</f>
        <v/>
      </c>
      <c r="H837" s="11"/>
      <c r="I837" s="11"/>
      <c r="J837" s="11"/>
    </row>
    <row r="838" spans="1:10" ht="15.75" customHeight="1" x14ac:dyDescent="0.25">
      <c r="A838" s="11"/>
      <c r="B838" s="4" t="str">
        <f>IF(A838="","",IFERROR(VLOOKUP(A838,Members!A$4:B$103,2,0),""))</f>
        <v/>
      </c>
      <c r="C838" s="6">
        <f t="shared" si="26"/>
        <v>0</v>
      </c>
      <c r="D838" s="11"/>
      <c r="E838" s="6" t="str">
        <f t="shared" si="27"/>
        <v/>
      </c>
      <c r="F838" s="11"/>
      <c r="G838" s="25" t="str">
        <f>IF(A838="","",IFERROR(SUMIFS($F$4:$F838,$A$4:$A838,A838),0))</f>
        <v/>
      </c>
      <c r="H838" s="11"/>
      <c r="I838" s="11"/>
      <c r="J838" s="11"/>
    </row>
    <row r="839" spans="1:10" ht="15.75" customHeight="1" x14ac:dyDescent="0.25">
      <c r="A839" s="11"/>
      <c r="B839" s="4" t="str">
        <f>IF(A839="","",IFERROR(VLOOKUP(A839,Members!A$4:B$103,2,0),""))</f>
        <v/>
      </c>
      <c r="C839" s="6">
        <f t="shared" si="26"/>
        <v>0</v>
      </c>
      <c r="D839" s="11"/>
      <c r="E839" s="6" t="str">
        <f t="shared" si="27"/>
        <v/>
      </c>
      <c r="F839" s="11"/>
      <c r="G839" s="25" t="str">
        <f>IF(A839="","",IFERROR(SUMIFS($F$4:$F839,$A$4:$A839,A839),0))</f>
        <v/>
      </c>
      <c r="H839" s="11"/>
      <c r="I839" s="11"/>
      <c r="J839" s="11"/>
    </row>
    <row r="840" spans="1:10" ht="15.75" customHeight="1" x14ac:dyDescent="0.25">
      <c r="A840" s="11"/>
      <c r="B840" s="4" t="str">
        <f>IF(A840="","",IFERROR(VLOOKUP(A840,Members!A$4:B$103,2,0),""))</f>
        <v/>
      </c>
      <c r="C840" s="6">
        <f t="shared" si="26"/>
        <v>0</v>
      </c>
      <c r="D840" s="11"/>
      <c r="E840" s="6" t="str">
        <f t="shared" si="27"/>
        <v/>
      </c>
      <c r="F840" s="11"/>
      <c r="G840" s="25" t="str">
        <f>IF(A840="","",IFERROR(SUMIFS($F$4:$F840,$A$4:$A840,A840),0))</f>
        <v/>
      </c>
      <c r="H840" s="11"/>
      <c r="I840" s="11"/>
      <c r="J840" s="11"/>
    </row>
    <row r="841" spans="1:10" ht="15.75" customHeight="1" x14ac:dyDescent="0.25">
      <c r="A841" s="11"/>
      <c r="B841" s="4" t="str">
        <f>IF(A841="","",IFERROR(VLOOKUP(A841,Members!A$4:B$103,2,0),""))</f>
        <v/>
      </c>
      <c r="C841" s="6">
        <f t="shared" si="26"/>
        <v>0</v>
      </c>
      <c r="D841" s="11"/>
      <c r="E841" s="6" t="str">
        <f t="shared" si="27"/>
        <v/>
      </c>
      <c r="F841" s="11"/>
      <c r="G841" s="25" t="str">
        <f>IF(A841="","",IFERROR(SUMIFS($F$4:$F841,$A$4:$A841,A841),0))</f>
        <v/>
      </c>
      <c r="H841" s="11"/>
      <c r="I841" s="11"/>
      <c r="J841" s="11"/>
    </row>
    <row r="842" spans="1:10" ht="15.75" customHeight="1" x14ac:dyDescent="0.25">
      <c r="A842" s="11"/>
      <c r="B842" s="4" t="str">
        <f>IF(A842="","",IFERROR(VLOOKUP(A842,Members!A$4:B$103,2,0),""))</f>
        <v/>
      </c>
      <c r="C842" s="6">
        <f t="shared" si="26"/>
        <v>0</v>
      </c>
      <c r="D842" s="11"/>
      <c r="E842" s="6" t="str">
        <f t="shared" si="27"/>
        <v/>
      </c>
      <c r="F842" s="11"/>
      <c r="G842" s="25" t="str">
        <f>IF(A842="","",IFERROR(SUMIFS($F$4:$F842,$A$4:$A842,A842),0))</f>
        <v/>
      </c>
      <c r="H842" s="11"/>
      <c r="I842" s="11"/>
      <c r="J842" s="11"/>
    </row>
    <row r="843" spans="1:10" ht="15.75" customHeight="1" x14ac:dyDescent="0.25">
      <c r="A843" s="11"/>
      <c r="B843" s="4" t="str">
        <f>IF(A843="","",IFERROR(VLOOKUP(A843,Members!A$4:B$103,2,0),""))</f>
        <v/>
      </c>
      <c r="C843" s="6">
        <f t="shared" si="26"/>
        <v>0</v>
      </c>
      <c r="D843" s="11"/>
      <c r="E843" s="6" t="str">
        <f t="shared" si="27"/>
        <v/>
      </c>
      <c r="F843" s="11"/>
      <c r="G843" s="25" t="str">
        <f>IF(A843="","",IFERROR(SUMIFS($F$4:$F843,$A$4:$A843,A843),0))</f>
        <v/>
      </c>
      <c r="H843" s="11"/>
      <c r="I843" s="11"/>
      <c r="J843" s="11"/>
    </row>
    <row r="844" spans="1:10" ht="15.75" customHeight="1" x14ac:dyDescent="0.25">
      <c r="A844" s="11"/>
      <c r="B844" s="4" t="str">
        <f>IF(A844="","",IFERROR(VLOOKUP(A844,Members!A$4:B$103,2,0),""))</f>
        <v/>
      </c>
      <c r="C844" s="6">
        <f t="shared" si="26"/>
        <v>0</v>
      </c>
      <c r="D844" s="11"/>
      <c r="E844" s="6" t="str">
        <f t="shared" si="27"/>
        <v/>
      </c>
      <c r="F844" s="11"/>
      <c r="G844" s="25" t="str">
        <f>IF(A844="","",IFERROR(SUMIFS($F$4:$F844,$A$4:$A844,A844),0))</f>
        <v/>
      </c>
      <c r="H844" s="11"/>
      <c r="I844" s="11"/>
      <c r="J844" s="11"/>
    </row>
    <row r="845" spans="1:10" ht="15.75" customHeight="1" x14ac:dyDescent="0.25">
      <c r="A845" s="11"/>
      <c r="B845" s="4" t="str">
        <f>IF(A845="","",IFERROR(VLOOKUP(A845,Members!A$4:B$103,2,0),""))</f>
        <v/>
      </c>
      <c r="C845" s="6">
        <f t="shared" si="26"/>
        <v>0</v>
      </c>
      <c r="D845" s="11"/>
      <c r="E845" s="6" t="str">
        <f t="shared" si="27"/>
        <v/>
      </c>
      <c r="F845" s="11"/>
      <c r="G845" s="25" t="str">
        <f>IF(A845="","",IFERROR(SUMIFS($F$4:$F845,$A$4:$A845,A845),0))</f>
        <v/>
      </c>
      <c r="H845" s="11"/>
      <c r="I845" s="11"/>
      <c r="J845" s="11"/>
    </row>
    <row r="846" spans="1:10" ht="15.75" customHeight="1" x14ac:dyDescent="0.25">
      <c r="A846" s="11"/>
      <c r="B846" s="4" t="str">
        <f>IF(A846="","",IFERROR(VLOOKUP(A846,Members!A$4:B$103,2,0),""))</f>
        <v/>
      </c>
      <c r="C846" s="6">
        <f t="shared" si="26"/>
        <v>0</v>
      </c>
      <c r="D846" s="11"/>
      <c r="E846" s="6" t="str">
        <f t="shared" si="27"/>
        <v/>
      </c>
      <c r="F846" s="11"/>
      <c r="G846" s="25" t="str">
        <f>IF(A846="","",IFERROR(SUMIFS($F$4:$F846,$A$4:$A846,A846),0))</f>
        <v/>
      </c>
      <c r="H846" s="11"/>
      <c r="I846" s="11"/>
      <c r="J846" s="11"/>
    </row>
    <row r="847" spans="1:10" ht="15.75" customHeight="1" x14ac:dyDescent="0.25">
      <c r="A847" s="11"/>
      <c r="B847" s="4" t="str">
        <f>IF(A847="","",IFERROR(VLOOKUP(A847,Members!A$4:B$103,2,0),""))</f>
        <v/>
      </c>
      <c r="C847" s="6">
        <f t="shared" si="26"/>
        <v>0</v>
      </c>
      <c r="D847" s="11"/>
      <c r="E847" s="6" t="str">
        <f t="shared" si="27"/>
        <v/>
      </c>
      <c r="F847" s="11"/>
      <c r="G847" s="25" t="str">
        <f>IF(A847="","",IFERROR(SUMIFS($F$4:$F847,$A$4:$A847,A847),0))</f>
        <v/>
      </c>
      <c r="H847" s="11"/>
      <c r="I847" s="11"/>
      <c r="J847" s="11"/>
    </row>
    <row r="848" spans="1:10" ht="15.75" customHeight="1" x14ac:dyDescent="0.25">
      <c r="A848" s="11"/>
      <c r="B848" s="4" t="str">
        <f>IF(A848="","",IFERROR(VLOOKUP(A848,Members!A$4:B$103,2,0),""))</f>
        <v/>
      </c>
      <c r="C848" s="6">
        <f t="shared" si="26"/>
        <v>0</v>
      </c>
      <c r="D848" s="11"/>
      <c r="E848" s="6" t="str">
        <f t="shared" si="27"/>
        <v/>
      </c>
      <c r="F848" s="11"/>
      <c r="G848" s="25" t="str">
        <f>IF(A848="","",IFERROR(SUMIFS($F$4:$F848,$A$4:$A848,A848),0))</f>
        <v/>
      </c>
      <c r="H848" s="11"/>
      <c r="I848" s="11"/>
      <c r="J848" s="11"/>
    </row>
    <row r="849" spans="1:10" ht="15.75" customHeight="1" x14ac:dyDescent="0.25">
      <c r="A849" s="11"/>
      <c r="B849" s="4" t="str">
        <f>IF(A849="","",IFERROR(VLOOKUP(A849,Members!A$4:B$103,2,0),""))</f>
        <v/>
      </c>
      <c r="C849" s="6">
        <f t="shared" si="26"/>
        <v>0</v>
      </c>
      <c r="D849" s="11"/>
      <c r="E849" s="6" t="str">
        <f t="shared" si="27"/>
        <v/>
      </c>
      <c r="F849" s="11"/>
      <c r="G849" s="25" t="str">
        <f>IF(A849="","",IFERROR(SUMIFS($F$4:$F849,$A$4:$A849,A849),0))</f>
        <v/>
      </c>
      <c r="H849" s="11"/>
      <c r="I849" s="11"/>
      <c r="J849" s="11"/>
    </row>
    <row r="850" spans="1:10" ht="15.75" customHeight="1" x14ac:dyDescent="0.25">
      <c r="A850" s="11"/>
      <c r="B850" s="4" t="str">
        <f>IF(A850="","",IFERROR(VLOOKUP(A850,Members!A$4:B$103,2,0),""))</f>
        <v/>
      </c>
      <c r="C850" s="6">
        <f t="shared" si="26"/>
        <v>0</v>
      </c>
      <c r="D850" s="11"/>
      <c r="E850" s="6" t="str">
        <f t="shared" si="27"/>
        <v/>
      </c>
      <c r="F850" s="11"/>
      <c r="G850" s="25" t="str">
        <f>IF(A850="","",IFERROR(SUMIFS($F$4:$F850,$A$4:$A850,A850),0))</f>
        <v/>
      </c>
      <c r="H850" s="11"/>
      <c r="I850" s="11"/>
      <c r="J850" s="11"/>
    </row>
    <row r="851" spans="1:10" ht="15.75" customHeight="1" x14ac:dyDescent="0.25">
      <c r="A851" s="11"/>
      <c r="B851" s="4" t="str">
        <f>IF(A851="","",IFERROR(VLOOKUP(A851,Members!A$4:B$103,2,0),""))</f>
        <v/>
      </c>
      <c r="C851" s="6">
        <f t="shared" si="26"/>
        <v>0</v>
      </c>
      <c r="D851" s="11"/>
      <c r="E851" s="6" t="str">
        <f t="shared" si="27"/>
        <v/>
      </c>
      <c r="F851" s="11"/>
      <c r="G851" s="25" t="str">
        <f>IF(A851="","",IFERROR(SUMIFS($F$4:$F851,$A$4:$A851,A851),0))</f>
        <v/>
      </c>
      <c r="H851" s="11"/>
      <c r="I851" s="11"/>
      <c r="J851" s="11"/>
    </row>
    <row r="852" spans="1:10" ht="15.75" customHeight="1" x14ac:dyDescent="0.25">
      <c r="A852" s="11"/>
      <c r="B852" s="4" t="str">
        <f>IF(A852="","",IFERROR(VLOOKUP(A852,Members!A$4:B$103,2,0),""))</f>
        <v/>
      </c>
      <c r="C852" s="6">
        <f t="shared" si="26"/>
        <v>0</v>
      </c>
      <c r="D852" s="11"/>
      <c r="E852" s="6" t="str">
        <f t="shared" si="27"/>
        <v/>
      </c>
      <c r="F852" s="11"/>
      <c r="G852" s="25" t="str">
        <f>IF(A852="","",IFERROR(SUMIFS($F$4:$F852,$A$4:$A852,A852),0))</f>
        <v/>
      </c>
      <c r="H852" s="11"/>
      <c r="I852" s="11"/>
      <c r="J852" s="11"/>
    </row>
    <row r="853" spans="1:10" ht="15.75" customHeight="1" x14ac:dyDescent="0.25">
      <c r="A853" s="11"/>
      <c r="B853" s="4" t="str">
        <f>IF(A853="","",IFERROR(VLOOKUP(A853,Members!A$4:B$103,2,0),""))</f>
        <v/>
      </c>
      <c r="C853" s="6">
        <f t="shared" si="26"/>
        <v>0</v>
      </c>
      <c r="D853" s="11"/>
      <c r="E853" s="6" t="str">
        <f t="shared" si="27"/>
        <v/>
      </c>
      <c r="F853" s="11"/>
      <c r="G853" s="25" t="str">
        <f>IF(A853="","",IFERROR(SUMIFS($F$4:$F853,$A$4:$A853,A853),0))</f>
        <v/>
      </c>
      <c r="H853" s="11"/>
      <c r="I853" s="11"/>
      <c r="J853" s="11"/>
    </row>
    <row r="854" spans="1:10" ht="15.75" customHeight="1" x14ac:dyDescent="0.25">
      <c r="A854" s="11"/>
      <c r="B854" s="4" t="str">
        <f>IF(A854="","",IFERROR(VLOOKUP(A854,Members!A$4:B$103,2,0),""))</f>
        <v/>
      </c>
      <c r="C854" s="6">
        <f t="shared" si="26"/>
        <v>0</v>
      </c>
      <c r="D854" s="11"/>
      <c r="E854" s="6" t="str">
        <f t="shared" si="27"/>
        <v/>
      </c>
      <c r="F854" s="11"/>
      <c r="G854" s="25" t="str">
        <f>IF(A854="","",IFERROR(SUMIFS($F$4:$F854,$A$4:$A854,A854),0))</f>
        <v/>
      </c>
      <c r="H854" s="11"/>
      <c r="I854" s="11"/>
      <c r="J854" s="11"/>
    </row>
    <row r="855" spans="1:10" ht="15.75" customHeight="1" x14ac:dyDescent="0.25">
      <c r="A855" s="11"/>
      <c r="B855" s="4" t="str">
        <f>IF(A855="","",IFERROR(VLOOKUP(A855,Members!A$4:B$103,2,0),""))</f>
        <v/>
      </c>
      <c r="C855" s="6">
        <f t="shared" si="26"/>
        <v>0</v>
      </c>
      <c r="D855" s="11"/>
      <c r="E855" s="6" t="str">
        <f t="shared" si="27"/>
        <v/>
      </c>
      <c r="F855" s="11"/>
      <c r="G855" s="25" t="str">
        <f>IF(A855="","",IFERROR(SUMIFS($F$4:$F855,$A$4:$A855,A855),0))</f>
        <v/>
      </c>
      <c r="H855" s="11"/>
      <c r="I855" s="11"/>
      <c r="J855" s="11"/>
    </row>
    <row r="856" spans="1:10" ht="15.75" customHeight="1" x14ac:dyDescent="0.25">
      <c r="A856" s="11"/>
      <c r="B856" s="4" t="str">
        <f>IF(A856="","",IFERROR(VLOOKUP(A856,Members!A$4:B$103,2,0),""))</f>
        <v/>
      </c>
      <c r="C856" s="6">
        <f t="shared" si="26"/>
        <v>0</v>
      </c>
      <c r="D856" s="11"/>
      <c r="E856" s="6" t="str">
        <f t="shared" si="27"/>
        <v/>
      </c>
      <c r="F856" s="11"/>
      <c r="G856" s="25" t="str">
        <f>IF(A856="","",IFERROR(SUMIFS($F$4:$F856,$A$4:$A856,A856),0))</f>
        <v/>
      </c>
      <c r="H856" s="11"/>
      <c r="I856" s="11"/>
      <c r="J856" s="11"/>
    </row>
    <row r="857" spans="1:10" ht="15.75" customHeight="1" x14ac:dyDescent="0.25">
      <c r="A857" s="11"/>
      <c r="B857" s="4" t="str">
        <f>IF(A857="","",IFERROR(VLOOKUP(A857,Members!A$4:B$103,2,0),""))</f>
        <v/>
      </c>
      <c r="C857" s="6">
        <f t="shared" si="26"/>
        <v>0</v>
      </c>
      <c r="D857" s="11"/>
      <c r="E857" s="6" t="str">
        <f t="shared" si="27"/>
        <v/>
      </c>
      <c r="F857" s="11"/>
      <c r="G857" s="25" t="str">
        <f>IF(A857="","",IFERROR(SUMIFS($F$4:$F857,$A$4:$A857,A857),0))</f>
        <v/>
      </c>
      <c r="H857" s="11"/>
      <c r="I857" s="11"/>
      <c r="J857" s="11"/>
    </row>
    <row r="858" spans="1:10" ht="15.75" customHeight="1" x14ac:dyDescent="0.25">
      <c r="A858" s="11"/>
      <c r="B858" s="4" t="str">
        <f>IF(A858="","",IFERROR(VLOOKUP(A858,Members!A$4:B$103,2,0),""))</f>
        <v/>
      </c>
      <c r="C858" s="6">
        <f t="shared" si="26"/>
        <v>0</v>
      </c>
      <c r="D858" s="11"/>
      <c r="E858" s="6" t="str">
        <f t="shared" si="27"/>
        <v/>
      </c>
      <c r="F858" s="11"/>
      <c r="G858" s="25" t="str">
        <f>IF(A858="","",IFERROR(SUMIFS($F$4:$F858,$A$4:$A858,A858),0))</f>
        <v/>
      </c>
      <c r="H858" s="11"/>
      <c r="I858" s="11"/>
      <c r="J858" s="11"/>
    </row>
    <row r="859" spans="1:10" ht="15.75" customHeight="1" x14ac:dyDescent="0.25">
      <c r="A859" s="11"/>
      <c r="B859" s="4" t="str">
        <f>IF(A859="","",IFERROR(VLOOKUP(A859,Members!A$4:B$103,2,0),""))</f>
        <v/>
      </c>
      <c r="C859" s="6">
        <f t="shared" si="26"/>
        <v>0</v>
      </c>
      <c r="D859" s="11"/>
      <c r="E859" s="6" t="str">
        <f t="shared" si="27"/>
        <v/>
      </c>
      <c r="F859" s="11"/>
      <c r="G859" s="25" t="str">
        <f>IF(A859="","",IFERROR(SUMIFS($F$4:$F859,$A$4:$A859,A859),0))</f>
        <v/>
      </c>
      <c r="H859" s="11"/>
      <c r="I859" s="11"/>
      <c r="J859" s="11"/>
    </row>
    <row r="860" spans="1:10" ht="15.75" customHeight="1" x14ac:dyDescent="0.25">
      <c r="A860" s="11"/>
      <c r="B860" s="4" t="str">
        <f>IF(A860="","",IFERROR(VLOOKUP(A860,Members!A$4:B$103,2,0),""))</f>
        <v/>
      </c>
      <c r="C860" s="6">
        <f t="shared" si="26"/>
        <v>0</v>
      </c>
      <c r="D860" s="11"/>
      <c r="E860" s="6" t="str">
        <f t="shared" si="27"/>
        <v/>
      </c>
      <c r="F860" s="11"/>
      <c r="G860" s="25" t="str">
        <f>IF(A860="","",IFERROR(SUMIFS($F$4:$F860,$A$4:$A860,A860),0))</f>
        <v/>
      </c>
      <c r="H860" s="11"/>
      <c r="I860" s="11"/>
      <c r="J860" s="11"/>
    </row>
    <row r="861" spans="1:10" ht="15.75" customHeight="1" x14ac:dyDescent="0.25">
      <c r="A861" s="11"/>
      <c r="B861" s="4" t="str">
        <f>IF(A861="","",IFERROR(VLOOKUP(A861,Members!A$4:B$103,2,0),""))</f>
        <v/>
      </c>
      <c r="C861" s="6">
        <f t="shared" si="26"/>
        <v>0</v>
      </c>
      <c r="D861" s="11"/>
      <c r="E861" s="6" t="str">
        <f t="shared" si="27"/>
        <v/>
      </c>
      <c r="F861" s="11"/>
      <c r="G861" s="25" t="str">
        <f>IF(A861="","",IFERROR(SUMIFS($F$4:$F861,$A$4:$A861,A861),0))</f>
        <v/>
      </c>
      <c r="H861" s="11"/>
      <c r="I861" s="11"/>
      <c r="J861" s="11"/>
    </row>
    <row r="862" spans="1:10" ht="15.75" customHeight="1" x14ac:dyDescent="0.25">
      <c r="A862" s="11"/>
      <c r="B862" s="4" t="str">
        <f>IF(A862="","",IFERROR(VLOOKUP(A862,Members!A$4:B$103,2,0),""))</f>
        <v/>
      </c>
      <c r="C862" s="6">
        <f t="shared" si="26"/>
        <v>0</v>
      </c>
      <c r="D862" s="11"/>
      <c r="E862" s="6" t="str">
        <f t="shared" si="27"/>
        <v/>
      </c>
      <c r="F862" s="11"/>
      <c r="G862" s="25" t="str">
        <f>IF(A862="","",IFERROR(SUMIFS($F$4:$F862,$A$4:$A862,A862),0))</f>
        <v/>
      </c>
      <c r="H862" s="11"/>
      <c r="I862" s="11"/>
      <c r="J862" s="11"/>
    </row>
    <row r="863" spans="1:10" ht="15.75" customHeight="1" x14ac:dyDescent="0.25">
      <c r="A863" s="11"/>
      <c r="B863" s="4" t="str">
        <f>IF(A863="","",IFERROR(VLOOKUP(A863,Members!A$4:B$103,2,0),""))</f>
        <v/>
      </c>
      <c r="C863" s="6">
        <f t="shared" si="26"/>
        <v>0</v>
      </c>
      <c r="D863" s="11"/>
      <c r="E863" s="6" t="str">
        <f t="shared" si="27"/>
        <v/>
      </c>
      <c r="F863" s="11"/>
      <c r="G863" s="25" t="str">
        <f>IF(A863="","",IFERROR(SUMIFS($F$4:$F863,$A$4:$A863,A863),0))</f>
        <v/>
      </c>
      <c r="H863" s="11"/>
      <c r="I863" s="11"/>
      <c r="J863" s="11"/>
    </row>
    <row r="864" spans="1:10" ht="15.75" customHeight="1" x14ac:dyDescent="0.25">
      <c r="A864" s="11"/>
      <c r="B864" s="4" t="str">
        <f>IF(A864="","",IFERROR(VLOOKUP(A864,Members!A$4:B$103,2,0),""))</f>
        <v/>
      </c>
      <c r="C864" s="6">
        <f t="shared" si="26"/>
        <v>0</v>
      </c>
      <c r="D864" s="11"/>
      <c r="E864" s="6" t="str">
        <f t="shared" si="27"/>
        <v/>
      </c>
      <c r="F864" s="11"/>
      <c r="G864" s="25" t="str">
        <f>IF(A864="","",IFERROR(SUMIFS($F$4:$F864,$A$4:$A864,A864),0))</f>
        <v/>
      </c>
      <c r="H864" s="11"/>
      <c r="I864" s="11"/>
      <c r="J864" s="11"/>
    </row>
    <row r="865" spans="1:10" ht="15.75" customHeight="1" x14ac:dyDescent="0.25">
      <c r="A865" s="11"/>
      <c r="B865" s="4" t="str">
        <f>IF(A865="","",IFERROR(VLOOKUP(A865,Members!A$4:B$103,2,0),""))</f>
        <v/>
      </c>
      <c r="C865" s="6">
        <f t="shared" si="26"/>
        <v>0</v>
      </c>
      <c r="D865" s="11"/>
      <c r="E865" s="6" t="str">
        <f t="shared" si="27"/>
        <v/>
      </c>
      <c r="F865" s="11"/>
      <c r="G865" s="25" t="str">
        <f>IF(A865="","",IFERROR(SUMIFS($F$4:$F865,$A$4:$A865,A865),0))</f>
        <v/>
      </c>
      <c r="H865" s="11"/>
      <c r="I865" s="11"/>
      <c r="J865" s="11"/>
    </row>
    <row r="866" spans="1:10" ht="15.75" customHeight="1" x14ac:dyDescent="0.25">
      <c r="A866" s="11"/>
      <c r="B866" s="4" t="str">
        <f>IF(A866="","",IFERROR(VLOOKUP(A866,Members!A$4:B$103,2,0),""))</f>
        <v/>
      </c>
      <c r="C866" s="6">
        <f t="shared" si="26"/>
        <v>0</v>
      </c>
      <c r="D866" s="11"/>
      <c r="E866" s="6" t="str">
        <f t="shared" si="27"/>
        <v/>
      </c>
      <c r="F866" s="11"/>
      <c r="G866" s="25" t="str">
        <f>IF(A866="","",IFERROR(SUMIFS($F$4:$F866,$A$4:$A866,A866),0))</f>
        <v/>
      </c>
      <c r="H866" s="11"/>
      <c r="I866" s="11"/>
      <c r="J866" s="11"/>
    </row>
    <row r="867" spans="1:10" ht="15.75" customHeight="1" x14ac:dyDescent="0.25">
      <c r="A867" s="11"/>
      <c r="B867" s="4" t="str">
        <f>IF(A867="","",IFERROR(VLOOKUP(A867,Members!A$4:B$103,2,0),""))</f>
        <v/>
      </c>
      <c r="C867" s="6">
        <f t="shared" si="26"/>
        <v>0</v>
      </c>
      <c r="D867" s="11"/>
      <c r="E867" s="6" t="str">
        <f t="shared" si="27"/>
        <v/>
      </c>
      <c r="F867" s="11"/>
      <c r="G867" s="25" t="str">
        <f>IF(A867="","",IFERROR(SUMIFS($F$4:$F867,$A$4:$A867,A867),0))</f>
        <v/>
      </c>
      <c r="H867" s="11"/>
      <c r="I867" s="11"/>
      <c r="J867" s="11"/>
    </row>
    <row r="868" spans="1:10" ht="15.75" customHeight="1" x14ac:dyDescent="0.25">
      <c r="A868" s="11"/>
      <c r="B868" s="4" t="str">
        <f>IF(A868="","",IFERROR(VLOOKUP(A868,Members!A$4:B$103,2,0),""))</f>
        <v/>
      </c>
      <c r="C868" s="6">
        <f t="shared" si="26"/>
        <v>0</v>
      </c>
      <c r="D868" s="11"/>
      <c r="E868" s="6" t="str">
        <f t="shared" si="27"/>
        <v/>
      </c>
      <c r="F868" s="11"/>
      <c r="G868" s="25" t="str">
        <f>IF(A868="","",IFERROR(SUMIFS($F$4:$F868,$A$4:$A868,A868),0))</f>
        <v/>
      </c>
      <c r="H868" s="11"/>
      <c r="I868" s="11"/>
      <c r="J868" s="11"/>
    </row>
    <row r="869" spans="1:10" ht="15.75" customHeight="1" x14ac:dyDescent="0.25">
      <c r="A869" s="11"/>
      <c r="B869" s="4" t="str">
        <f>IF(A869="","",IFERROR(VLOOKUP(A869,Members!A$4:B$103,2,0),""))</f>
        <v/>
      </c>
      <c r="C869" s="6">
        <f t="shared" si="26"/>
        <v>0</v>
      </c>
      <c r="D869" s="11"/>
      <c r="E869" s="6" t="str">
        <f t="shared" si="27"/>
        <v/>
      </c>
      <c r="F869" s="11"/>
      <c r="G869" s="25" t="str">
        <f>IF(A869="","",IFERROR(SUMIFS($F$4:$F869,$A$4:$A869,A869),0))</f>
        <v/>
      </c>
      <c r="H869" s="11"/>
      <c r="I869" s="11"/>
      <c r="J869" s="11"/>
    </row>
    <row r="870" spans="1:10" ht="15.75" customHeight="1" x14ac:dyDescent="0.25">
      <c r="A870" s="11"/>
      <c r="B870" s="4" t="str">
        <f>IF(A870="","",IFERROR(VLOOKUP(A870,Members!A$4:B$103,2,0),""))</f>
        <v/>
      </c>
      <c r="C870" s="6">
        <f t="shared" si="26"/>
        <v>0</v>
      </c>
      <c r="D870" s="11"/>
      <c r="E870" s="6" t="str">
        <f t="shared" si="27"/>
        <v/>
      </c>
      <c r="F870" s="11"/>
      <c r="G870" s="25" t="str">
        <f>IF(A870="","",IFERROR(SUMIFS($F$4:$F870,$A$4:$A870,A870),0))</f>
        <v/>
      </c>
      <c r="H870" s="11"/>
      <c r="I870" s="11"/>
      <c r="J870" s="11"/>
    </row>
    <row r="871" spans="1:10" ht="15.75" customHeight="1" x14ac:dyDescent="0.25">
      <c r="A871" s="11"/>
      <c r="B871" s="4" t="str">
        <f>IF(A871="","",IFERROR(VLOOKUP(A871,Members!A$4:B$103,2,0),""))</f>
        <v/>
      </c>
      <c r="C871" s="6">
        <f t="shared" si="26"/>
        <v>0</v>
      </c>
      <c r="D871" s="11"/>
      <c r="E871" s="6" t="str">
        <f t="shared" si="27"/>
        <v/>
      </c>
      <c r="F871" s="11"/>
      <c r="G871" s="25" t="str">
        <f>IF(A871="","",IFERROR(SUMIFS($F$4:$F871,$A$4:$A871,A871),0))</f>
        <v/>
      </c>
      <c r="H871" s="11"/>
      <c r="I871" s="11"/>
      <c r="J871" s="11"/>
    </row>
    <row r="872" spans="1:10" ht="15.75" customHeight="1" x14ac:dyDescent="0.25">
      <c r="A872" s="11"/>
      <c r="B872" s="4" t="str">
        <f>IF(A872="","",IFERROR(VLOOKUP(A872,Members!A$4:B$103,2,0),""))</f>
        <v/>
      </c>
      <c r="C872" s="6">
        <f t="shared" si="26"/>
        <v>0</v>
      </c>
      <c r="D872" s="11"/>
      <c r="E872" s="6" t="str">
        <f t="shared" si="27"/>
        <v/>
      </c>
      <c r="F872" s="11"/>
      <c r="G872" s="25" t="str">
        <f>IF(A872="","",IFERROR(SUMIFS($F$4:$F872,$A$4:$A872,A872),0))</f>
        <v/>
      </c>
      <c r="H872" s="11"/>
      <c r="I872" s="11"/>
      <c r="J872" s="11"/>
    </row>
    <row r="873" spans="1:10" ht="15.75" customHeight="1" x14ac:dyDescent="0.25">
      <c r="A873" s="11"/>
      <c r="B873" s="4" t="str">
        <f>IF(A873="","",IFERROR(VLOOKUP(A873,Members!A$4:B$103,2,0),""))</f>
        <v/>
      </c>
      <c r="C873" s="6">
        <f t="shared" si="26"/>
        <v>0</v>
      </c>
      <c r="D873" s="11"/>
      <c r="E873" s="6" t="str">
        <f t="shared" si="27"/>
        <v/>
      </c>
      <c r="F873" s="11"/>
      <c r="G873" s="25" t="str">
        <f>IF(A873="","",IFERROR(SUMIFS($F$4:$F873,$A$4:$A873,A873),0))</f>
        <v/>
      </c>
      <c r="H873" s="11"/>
      <c r="I873" s="11"/>
      <c r="J873" s="11"/>
    </row>
    <row r="874" spans="1:10" ht="15.75" customHeight="1" x14ac:dyDescent="0.25">
      <c r="A874" s="11"/>
      <c r="B874" s="4" t="str">
        <f>IF(A874="","",IFERROR(VLOOKUP(A874,Members!A$4:B$103,2,0),""))</f>
        <v/>
      </c>
      <c r="C874" s="6">
        <f t="shared" si="26"/>
        <v>0</v>
      </c>
      <c r="D874" s="11"/>
      <c r="E874" s="6" t="str">
        <f t="shared" si="27"/>
        <v/>
      </c>
      <c r="F874" s="11"/>
      <c r="G874" s="25" t="str">
        <f>IF(A874="","",IFERROR(SUMIFS($F$4:$F874,$A$4:$A874,A874),0))</f>
        <v/>
      </c>
      <c r="H874" s="11"/>
      <c r="I874" s="11"/>
      <c r="J874" s="11"/>
    </row>
    <row r="875" spans="1:10" ht="15.75" customHeight="1" x14ac:dyDescent="0.25">
      <c r="A875" s="11"/>
      <c r="B875" s="4" t="str">
        <f>IF(A875="","",IFERROR(VLOOKUP(A875,Members!A$4:B$103,2,0),""))</f>
        <v/>
      </c>
      <c r="C875" s="6">
        <f t="shared" si="26"/>
        <v>0</v>
      </c>
      <c r="D875" s="11"/>
      <c r="E875" s="6" t="str">
        <f t="shared" si="27"/>
        <v/>
      </c>
      <c r="F875" s="11"/>
      <c r="G875" s="25" t="str">
        <f>IF(A875="","",IFERROR(SUMIFS($F$4:$F875,$A$4:$A875,A875),0))</f>
        <v/>
      </c>
      <c r="H875" s="11"/>
      <c r="I875" s="11"/>
      <c r="J875" s="11"/>
    </row>
    <row r="876" spans="1:10" ht="15.75" customHeight="1" x14ac:dyDescent="0.25">
      <c r="A876" s="11"/>
      <c r="B876" s="4" t="str">
        <f>IF(A876="","",IFERROR(VLOOKUP(A876,Members!A$4:B$103,2,0),""))</f>
        <v/>
      </c>
      <c r="C876" s="6">
        <f t="shared" si="26"/>
        <v>0</v>
      </c>
      <c r="D876" s="11"/>
      <c r="E876" s="6" t="str">
        <f t="shared" si="27"/>
        <v/>
      </c>
      <c r="F876" s="11"/>
      <c r="G876" s="25" t="str">
        <f>IF(A876="","",IFERROR(SUMIFS($F$4:$F876,$A$4:$A876,A876),0))</f>
        <v/>
      </c>
      <c r="H876" s="11"/>
      <c r="I876" s="11"/>
      <c r="J876" s="11"/>
    </row>
    <row r="877" spans="1:10" ht="15.75" customHeight="1" x14ac:dyDescent="0.25">
      <c r="A877" s="11"/>
      <c r="B877" s="4" t="str">
        <f>IF(A877="","",IFERROR(VLOOKUP(A877,Members!A$4:B$103,2,0),""))</f>
        <v/>
      </c>
      <c r="C877" s="6">
        <f t="shared" si="26"/>
        <v>0</v>
      </c>
      <c r="D877" s="11"/>
      <c r="E877" s="6" t="str">
        <f t="shared" si="27"/>
        <v/>
      </c>
      <c r="F877" s="11"/>
      <c r="G877" s="25" t="str">
        <f>IF(A877="","",IFERROR(SUMIFS($F$4:$F877,$A$4:$A877,A877),0))</f>
        <v/>
      </c>
      <c r="H877" s="11"/>
      <c r="I877" s="11"/>
      <c r="J877" s="11"/>
    </row>
    <row r="878" spans="1:10" ht="15.75" customHeight="1" x14ac:dyDescent="0.25">
      <c r="A878" s="11"/>
      <c r="B878" s="4" t="str">
        <f>IF(A878="","",IFERROR(VLOOKUP(A878,Members!A$4:B$103,2,0),""))</f>
        <v/>
      </c>
      <c r="C878" s="6">
        <f t="shared" si="26"/>
        <v>0</v>
      </c>
      <c r="D878" s="11"/>
      <c r="E878" s="6" t="str">
        <f t="shared" si="27"/>
        <v/>
      </c>
      <c r="F878" s="11"/>
      <c r="G878" s="25" t="str">
        <f>IF(A878="","",IFERROR(SUMIFS($F$4:$F878,$A$4:$A878,A878),0))</f>
        <v/>
      </c>
      <c r="H878" s="11"/>
      <c r="I878" s="11"/>
      <c r="J878" s="11"/>
    </row>
    <row r="879" spans="1:10" ht="15.75" customHeight="1" x14ac:dyDescent="0.25">
      <c r="A879" s="11"/>
      <c r="B879" s="4" t="str">
        <f>IF(A879="","",IFERROR(VLOOKUP(A879,Members!A$4:B$103,2,0),""))</f>
        <v/>
      </c>
      <c r="C879" s="6">
        <f t="shared" si="26"/>
        <v>0</v>
      </c>
      <c r="D879" s="11"/>
      <c r="E879" s="6" t="str">
        <f t="shared" si="27"/>
        <v/>
      </c>
      <c r="F879" s="11"/>
      <c r="G879" s="25" t="str">
        <f>IF(A879="","",IFERROR(SUMIFS($F$4:$F879,$A$4:$A879,A879),0))</f>
        <v/>
      </c>
      <c r="H879" s="11"/>
      <c r="I879" s="11"/>
      <c r="J879" s="11"/>
    </row>
    <row r="880" spans="1:10" ht="15.75" customHeight="1" x14ac:dyDescent="0.25">
      <c r="A880" s="11"/>
      <c r="B880" s="4" t="str">
        <f>IF(A880="","",IFERROR(VLOOKUP(A880,Members!A$4:B$103,2,0),""))</f>
        <v/>
      </c>
      <c r="C880" s="6">
        <f t="shared" si="26"/>
        <v>0</v>
      </c>
      <c r="D880" s="11"/>
      <c r="E880" s="6" t="str">
        <f t="shared" si="27"/>
        <v/>
      </c>
      <c r="F880" s="11"/>
      <c r="G880" s="25" t="str">
        <f>IF(A880="","",IFERROR(SUMIFS($F$4:$F880,$A$4:$A880,A880),0))</f>
        <v/>
      </c>
      <c r="H880" s="11"/>
      <c r="I880" s="11"/>
      <c r="J880" s="11"/>
    </row>
    <row r="881" spans="1:10" ht="15.75" customHeight="1" x14ac:dyDescent="0.25">
      <c r="A881" s="11"/>
      <c r="B881" s="4" t="str">
        <f>IF(A881="","",IFERROR(VLOOKUP(A881,Members!A$4:B$103,2,0),""))</f>
        <v/>
      </c>
      <c r="C881" s="6">
        <f t="shared" si="26"/>
        <v>0</v>
      </c>
      <c r="D881" s="11"/>
      <c r="E881" s="6" t="str">
        <f t="shared" si="27"/>
        <v/>
      </c>
      <c r="F881" s="11"/>
      <c r="G881" s="25" t="str">
        <f>IF(A881="","",IFERROR(SUMIFS($F$4:$F881,$A$4:$A881,A881),0))</f>
        <v/>
      </c>
      <c r="H881" s="11"/>
      <c r="I881" s="11"/>
      <c r="J881" s="11"/>
    </row>
    <row r="882" spans="1:10" ht="15.75" customHeight="1" x14ac:dyDescent="0.25">
      <c r="A882" s="11"/>
      <c r="B882" s="4" t="str">
        <f>IF(A882="","",IFERROR(VLOOKUP(A882,Members!A$4:B$103,2,0),""))</f>
        <v/>
      </c>
      <c r="C882" s="6">
        <f t="shared" si="26"/>
        <v>0</v>
      </c>
      <c r="D882" s="11"/>
      <c r="E882" s="6" t="str">
        <f t="shared" si="27"/>
        <v/>
      </c>
      <c r="F882" s="11"/>
      <c r="G882" s="25" t="str">
        <f>IF(A882="","",IFERROR(SUMIFS($F$4:$F882,$A$4:$A882,A882),0))</f>
        <v/>
      </c>
      <c r="H882" s="11"/>
      <c r="I882" s="11"/>
      <c r="J882" s="11"/>
    </row>
    <row r="883" spans="1:10" ht="15.75" customHeight="1" x14ac:dyDescent="0.25">
      <c r="A883" s="11"/>
      <c r="B883" s="4" t="str">
        <f>IF(A883="","",IFERROR(VLOOKUP(A883,Members!A$4:B$103,2,0),""))</f>
        <v/>
      </c>
      <c r="C883" s="6">
        <f t="shared" si="26"/>
        <v>0</v>
      </c>
      <c r="D883" s="11"/>
      <c r="E883" s="6" t="str">
        <f t="shared" si="27"/>
        <v/>
      </c>
      <c r="F883" s="11"/>
      <c r="G883" s="25" t="str">
        <f>IF(A883="","",IFERROR(SUMIFS($F$4:$F883,$A$4:$A883,A883),0))</f>
        <v/>
      </c>
      <c r="H883" s="11"/>
      <c r="I883" s="11"/>
      <c r="J883" s="11"/>
    </row>
    <row r="884" spans="1:10" ht="15.75" customHeight="1" x14ac:dyDescent="0.25">
      <c r="A884" s="11"/>
      <c r="B884" s="4" t="str">
        <f>IF(A884="","",IFERROR(VLOOKUP(A884,Members!A$4:B$103,2,0),""))</f>
        <v/>
      </c>
      <c r="C884" s="6">
        <f t="shared" si="26"/>
        <v>0</v>
      </c>
      <c r="D884" s="11"/>
      <c r="E884" s="6" t="str">
        <f t="shared" si="27"/>
        <v/>
      </c>
      <c r="F884" s="11"/>
      <c r="G884" s="25" t="str">
        <f>IF(A884="","",IFERROR(SUMIFS($F$4:$F884,$A$4:$A884,A884),0))</f>
        <v/>
      </c>
      <c r="H884" s="11"/>
      <c r="I884" s="11"/>
      <c r="J884" s="11"/>
    </row>
    <row r="885" spans="1:10" ht="15.75" customHeight="1" x14ac:dyDescent="0.25">
      <c r="A885" s="11"/>
      <c r="B885" s="4" t="str">
        <f>IF(A885="","",IFERROR(VLOOKUP(A885,Members!A$4:B$103,2,0),""))</f>
        <v/>
      </c>
      <c r="C885" s="6">
        <f t="shared" si="26"/>
        <v>0</v>
      </c>
      <c r="D885" s="11"/>
      <c r="E885" s="6" t="str">
        <f t="shared" si="27"/>
        <v/>
      </c>
      <c r="F885" s="11"/>
      <c r="G885" s="25" t="str">
        <f>IF(A885="","",IFERROR(SUMIFS($F$4:$F885,$A$4:$A885,A885),0))</f>
        <v/>
      </c>
      <c r="H885" s="11"/>
      <c r="I885" s="11"/>
      <c r="J885" s="11"/>
    </row>
    <row r="886" spans="1:10" ht="15.75" customHeight="1" x14ac:dyDescent="0.25">
      <c r="A886" s="11"/>
      <c r="B886" s="4" t="str">
        <f>IF(A886="","",IFERROR(VLOOKUP(A886,Members!A$4:B$103,2,0),""))</f>
        <v/>
      </c>
      <c r="C886" s="6">
        <f t="shared" si="26"/>
        <v>0</v>
      </c>
      <c r="D886" s="11"/>
      <c r="E886" s="6" t="str">
        <f t="shared" si="27"/>
        <v/>
      </c>
      <c r="F886" s="11"/>
      <c r="G886" s="25" t="str">
        <f>IF(A886="","",IFERROR(SUMIFS($F$4:$F886,$A$4:$A886,A886),0))</f>
        <v/>
      </c>
      <c r="H886" s="11"/>
      <c r="I886" s="11"/>
      <c r="J886" s="11"/>
    </row>
    <row r="887" spans="1:10" ht="15.75" customHeight="1" x14ac:dyDescent="0.25">
      <c r="A887" s="11"/>
      <c r="B887" s="4" t="str">
        <f>IF(A887="","",IFERROR(VLOOKUP(A887,Members!A$4:B$103,2,0),""))</f>
        <v/>
      </c>
      <c r="C887" s="6">
        <f t="shared" si="26"/>
        <v>0</v>
      </c>
      <c r="D887" s="11"/>
      <c r="E887" s="6" t="str">
        <f t="shared" si="27"/>
        <v/>
      </c>
      <c r="F887" s="11"/>
      <c r="G887" s="25" t="str">
        <f>IF(A887="","",IFERROR(SUMIFS($F$4:$F887,$A$4:$A887,A887),0))</f>
        <v/>
      </c>
      <c r="H887" s="11"/>
      <c r="I887" s="11"/>
      <c r="J887" s="11"/>
    </row>
    <row r="888" spans="1:10" ht="15.75" customHeight="1" x14ac:dyDescent="0.25">
      <c r="A888" s="11"/>
      <c r="B888" s="4" t="str">
        <f>IF(A888="","",IFERROR(VLOOKUP(A888,Members!A$4:B$103,2,0),""))</f>
        <v/>
      </c>
      <c r="C888" s="6">
        <f t="shared" si="26"/>
        <v>0</v>
      </c>
      <c r="D888" s="11"/>
      <c r="E888" s="6" t="str">
        <f t="shared" si="27"/>
        <v/>
      </c>
      <c r="F888" s="11"/>
      <c r="G888" s="25" t="str">
        <f>IF(A888="","",IFERROR(SUMIFS($F$4:$F888,$A$4:$A888,A888),0))</f>
        <v/>
      </c>
      <c r="H888" s="11"/>
      <c r="I888" s="11"/>
      <c r="J888" s="11"/>
    </row>
    <row r="889" spans="1:10" ht="15.75" customHeight="1" x14ac:dyDescent="0.25">
      <c r="A889" s="11"/>
      <c r="B889" s="4" t="str">
        <f>IF(A889="","",IFERROR(VLOOKUP(A889,Members!A$4:B$103,2,0),""))</f>
        <v/>
      </c>
      <c r="C889" s="6">
        <f t="shared" si="26"/>
        <v>0</v>
      </c>
      <c r="D889" s="11"/>
      <c r="E889" s="6" t="str">
        <f t="shared" si="27"/>
        <v/>
      </c>
      <c r="F889" s="11"/>
      <c r="G889" s="25" t="str">
        <f>IF(A889="","",IFERROR(SUMIFS($F$4:$F889,$A$4:$A889,A889),0))</f>
        <v/>
      </c>
      <c r="H889" s="11"/>
      <c r="I889" s="11"/>
      <c r="J889" s="11"/>
    </row>
    <row r="890" spans="1:10" ht="15.75" customHeight="1" x14ac:dyDescent="0.25">
      <c r="A890" s="11"/>
      <c r="B890" s="4" t="str">
        <f>IF(A890="","",IFERROR(VLOOKUP(A890,Members!A$4:B$103,2,0),""))</f>
        <v/>
      </c>
      <c r="C890" s="6">
        <f t="shared" si="26"/>
        <v>0</v>
      </c>
      <c r="D890" s="11"/>
      <c r="E890" s="6" t="str">
        <f t="shared" si="27"/>
        <v/>
      </c>
      <c r="F890" s="11"/>
      <c r="G890" s="25" t="str">
        <f>IF(A890="","",IFERROR(SUMIFS($F$4:$F890,$A$4:$A890,A890),0))</f>
        <v/>
      </c>
      <c r="H890" s="11"/>
      <c r="I890" s="11"/>
      <c r="J890" s="11"/>
    </row>
    <row r="891" spans="1:10" ht="15.75" customHeight="1" x14ac:dyDescent="0.25">
      <c r="A891" s="11"/>
      <c r="B891" s="4" t="str">
        <f>IF(A891="","",IFERROR(VLOOKUP(A891,Members!A$4:B$103,2,0),""))</f>
        <v/>
      </c>
      <c r="C891" s="6">
        <f t="shared" si="26"/>
        <v>0</v>
      </c>
      <c r="D891" s="11"/>
      <c r="E891" s="6" t="str">
        <f t="shared" si="27"/>
        <v/>
      </c>
      <c r="F891" s="11"/>
      <c r="G891" s="25" t="str">
        <f>IF(A891="","",IFERROR(SUMIFS($F$4:$F891,$A$4:$A891,A891),0))</f>
        <v/>
      </c>
      <c r="H891" s="11"/>
      <c r="I891" s="11"/>
      <c r="J891" s="11"/>
    </row>
    <row r="892" spans="1:10" ht="15.75" customHeight="1" x14ac:dyDescent="0.25">
      <c r="A892" s="11"/>
      <c r="B892" s="4" t="str">
        <f>IF(A892="","",IFERROR(VLOOKUP(A892,Members!A$4:B$103,2,0),""))</f>
        <v/>
      </c>
      <c r="C892" s="6">
        <f t="shared" si="26"/>
        <v>0</v>
      </c>
      <c r="D892" s="11"/>
      <c r="E892" s="6" t="str">
        <f t="shared" si="27"/>
        <v/>
      </c>
      <c r="F892" s="11"/>
      <c r="G892" s="25" t="str">
        <f>IF(A892="","",IFERROR(SUMIFS($F$4:$F892,$A$4:$A892,A892),0))</f>
        <v/>
      </c>
      <c r="H892" s="11"/>
      <c r="I892" s="11"/>
      <c r="J892" s="11"/>
    </row>
    <row r="893" spans="1:10" ht="15.75" customHeight="1" x14ac:dyDescent="0.25">
      <c r="A893" s="11"/>
      <c r="B893" s="4" t="str">
        <f>IF(A893="","",IFERROR(VLOOKUP(A893,Members!A$4:B$103,2,0),""))</f>
        <v/>
      </c>
      <c r="C893" s="6">
        <f t="shared" si="26"/>
        <v>0</v>
      </c>
      <c r="D893" s="11"/>
      <c r="E893" s="6" t="str">
        <f t="shared" si="27"/>
        <v/>
      </c>
      <c r="F893" s="11"/>
      <c r="G893" s="25" t="str">
        <f>IF(A893="","",IFERROR(SUMIFS($F$4:$F893,$A$4:$A893,A893),0))</f>
        <v/>
      </c>
      <c r="H893" s="11"/>
      <c r="I893" s="11"/>
      <c r="J893" s="11"/>
    </row>
    <row r="894" spans="1:10" ht="15.75" customHeight="1" x14ac:dyDescent="0.25">
      <c r="A894" s="11"/>
      <c r="B894" s="4" t="str">
        <f>IF(A894="","",IFERROR(VLOOKUP(A894,Members!A$4:B$103,2,0),""))</f>
        <v/>
      </c>
      <c r="C894" s="6">
        <f t="shared" si="26"/>
        <v>0</v>
      </c>
      <c r="D894" s="11"/>
      <c r="E894" s="6" t="str">
        <f t="shared" si="27"/>
        <v/>
      </c>
      <c r="F894" s="11"/>
      <c r="G894" s="25" t="str">
        <f>IF(A894="","",IFERROR(SUMIFS($F$4:$F894,$A$4:$A894,A894),0))</f>
        <v/>
      </c>
      <c r="H894" s="11"/>
      <c r="I894" s="11"/>
      <c r="J894" s="11"/>
    </row>
    <row r="895" spans="1:10" ht="15.75" customHeight="1" x14ac:dyDescent="0.25">
      <c r="A895" s="11"/>
      <c r="B895" s="4" t="str">
        <f>IF(A895="","",IFERROR(VLOOKUP(A895,Members!A$4:B$103,2,0),""))</f>
        <v/>
      </c>
      <c r="C895" s="6">
        <f t="shared" si="26"/>
        <v>0</v>
      </c>
      <c r="D895" s="11"/>
      <c r="E895" s="6" t="str">
        <f t="shared" si="27"/>
        <v/>
      </c>
      <c r="F895" s="11"/>
      <c r="G895" s="25" t="str">
        <f>IF(A895="","",IFERROR(SUMIFS($F$4:$F895,$A$4:$A895,A895),0))</f>
        <v/>
      </c>
      <c r="H895" s="11"/>
      <c r="I895" s="11"/>
      <c r="J895" s="11"/>
    </row>
    <row r="896" spans="1:10" ht="15.75" customHeight="1" x14ac:dyDescent="0.25">
      <c r="A896" s="11"/>
      <c r="B896" s="4" t="str">
        <f>IF(A896="","",IFERROR(VLOOKUP(A896,Members!A$4:B$103,2,0),""))</f>
        <v/>
      </c>
      <c r="C896" s="6">
        <f t="shared" si="26"/>
        <v>0</v>
      </c>
      <c r="D896" s="11"/>
      <c r="E896" s="6" t="str">
        <f t="shared" si="27"/>
        <v/>
      </c>
      <c r="F896" s="11"/>
      <c r="G896" s="25" t="str">
        <f>IF(A896="","",IFERROR(SUMIFS($F$4:$F896,$A$4:$A896,A896),0))</f>
        <v/>
      </c>
      <c r="H896" s="11"/>
      <c r="I896" s="11"/>
      <c r="J896" s="11"/>
    </row>
    <row r="897" spans="1:10" ht="15.75" customHeight="1" x14ac:dyDescent="0.25">
      <c r="A897" s="11"/>
      <c r="B897" s="4" t="str">
        <f>IF(A897="","",IFERROR(VLOOKUP(A897,Members!A$4:B$103,2,0),""))</f>
        <v/>
      </c>
      <c r="C897" s="6">
        <f t="shared" si="26"/>
        <v>0</v>
      </c>
      <c r="D897" s="11"/>
      <c r="E897" s="6" t="str">
        <f t="shared" si="27"/>
        <v/>
      </c>
      <c r="F897" s="11"/>
      <c r="G897" s="25" t="str">
        <f>IF(A897="","",IFERROR(SUMIFS($F$4:$F897,$A$4:$A897,A897),0))</f>
        <v/>
      </c>
      <c r="H897" s="11"/>
      <c r="I897" s="11"/>
      <c r="J897" s="11"/>
    </row>
    <row r="898" spans="1:10" ht="15.75" customHeight="1" x14ac:dyDescent="0.25">
      <c r="A898" s="11"/>
      <c r="B898" s="4" t="str">
        <f>IF(A898="","",IFERROR(VLOOKUP(A898,Members!A$4:B$103,2,0),""))</f>
        <v/>
      </c>
      <c r="C898" s="6">
        <f t="shared" si="26"/>
        <v>0</v>
      </c>
      <c r="D898" s="11"/>
      <c r="E898" s="6" t="str">
        <f t="shared" si="27"/>
        <v/>
      </c>
      <c r="F898" s="11"/>
      <c r="G898" s="25" t="str">
        <f>IF(A898="","",IFERROR(SUMIFS($F$4:$F898,$A$4:$A898,A898),0))</f>
        <v/>
      </c>
      <c r="H898" s="11"/>
      <c r="I898" s="11"/>
      <c r="J898" s="11"/>
    </row>
    <row r="899" spans="1:10" ht="15.75" customHeight="1" x14ac:dyDescent="0.25">
      <c r="A899" s="11"/>
      <c r="B899" s="4" t="str">
        <f>IF(A899="","",IFERROR(VLOOKUP(A899,Members!A$4:B$103,2,0),""))</f>
        <v/>
      </c>
      <c r="C899" s="6">
        <f t="shared" si="26"/>
        <v>0</v>
      </c>
      <c r="D899" s="11"/>
      <c r="E899" s="6" t="str">
        <f t="shared" si="27"/>
        <v/>
      </c>
      <c r="F899" s="11"/>
      <c r="G899" s="25" t="str">
        <f>IF(A899="","",IFERROR(SUMIFS($F$4:$F899,$A$4:$A899,A899),0))</f>
        <v/>
      </c>
      <c r="H899" s="11"/>
      <c r="I899" s="11"/>
      <c r="J899" s="11"/>
    </row>
    <row r="900" spans="1:10" ht="15.75" customHeight="1" x14ac:dyDescent="0.25">
      <c r="A900" s="11"/>
      <c r="B900" s="4" t="str">
        <f>IF(A900="","",IFERROR(VLOOKUP(A900,Members!A$4:B$103,2,0),""))</f>
        <v/>
      </c>
      <c r="C900" s="6">
        <f t="shared" ref="C900:C963" si="28">A900</f>
        <v>0</v>
      </c>
      <c r="D900" s="11"/>
      <c r="E900" s="6" t="str">
        <f t="shared" ref="E900:E963" si="29">IF(D900="","",TEXT(DATE(2024,D900,1),"MMMM"))</f>
        <v/>
      </c>
      <c r="F900" s="11"/>
      <c r="G900" s="25" t="str">
        <f>IF(A900="","",IFERROR(SUMIFS($F$4:$F900,$A$4:$A900,A900),0))</f>
        <v/>
      </c>
      <c r="H900" s="11"/>
      <c r="I900" s="11"/>
      <c r="J900" s="11"/>
    </row>
    <row r="901" spans="1:10" ht="15.75" customHeight="1" x14ac:dyDescent="0.25">
      <c r="A901" s="11"/>
      <c r="B901" s="4" t="str">
        <f>IF(A901="","",IFERROR(VLOOKUP(A901,Members!A$4:B$103,2,0),""))</f>
        <v/>
      </c>
      <c r="C901" s="6">
        <f t="shared" si="28"/>
        <v>0</v>
      </c>
      <c r="D901" s="11"/>
      <c r="E901" s="6" t="str">
        <f t="shared" si="29"/>
        <v/>
      </c>
      <c r="F901" s="11"/>
      <c r="G901" s="25" t="str">
        <f>IF(A901="","",IFERROR(SUMIFS($F$4:$F901,$A$4:$A901,A901),0))</f>
        <v/>
      </c>
      <c r="H901" s="11"/>
      <c r="I901" s="11"/>
      <c r="J901" s="11"/>
    </row>
    <row r="902" spans="1:10" ht="15.75" customHeight="1" x14ac:dyDescent="0.25">
      <c r="A902" s="11"/>
      <c r="B902" s="4" t="str">
        <f>IF(A902="","",IFERROR(VLOOKUP(A902,Members!A$4:B$103,2,0),""))</f>
        <v/>
      </c>
      <c r="C902" s="6">
        <f t="shared" si="28"/>
        <v>0</v>
      </c>
      <c r="D902" s="11"/>
      <c r="E902" s="6" t="str">
        <f t="shared" si="29"/>
        <v/>
      </c>
      <c r="F902" s="11"/>
      <c r="G902" s="25" t="str">
        <f>IF(A902="","",IFERROR(SUMIFS($F$4:$F902,$A$4:$A902,A902),0))</f>
        <v/>
      </c>
      <c r="H902" s="11"/>
      <c r="I902" s="11"/>
      <c r="J902" s="11"/>
    </row>
    <row r="903" spans="1:10" ht="15.75" customHeight="1" x14ac:dyDescent="0.25">
      <c r="A903" s="11"/>
      <c r="B903" s="4" t="str">
        <f>IF(A903="","",IFERROR(VLOOKUP(A903,Members!A$4:B$103,2,0),""))</f>
        <v/>
      </c>
      <c r="C903" s="6">
        <f t="shared" si="28"/>
        <v>0</v>
      </c>
      <c r="D903" s="11"/>
      <c r="E903" s="6" t="str">
        <f t="shared" si="29"/>
        <v/>
      </c>
      <c r="F903" s="11"/>
      <c r="G903" s="25" t="str">
        <f>IF(A903="","",IFERROR(SUMIFS($F$4:$F903,$A$4:$A903,A903),0))</f>
        <v/>
      </c>
      <c r="H903" s="11"/>
      <c r="I903" s="11"/>
      <c r="J903" s="11"/>
    </row>
    <row r="904" spans="1:10" ht="15.75" customHeight="1" x14ac:dyDescent="0.25">
      <c r="A904" s="11"/>
      <c r="B904" s="4" t="str">
        <f>IF(A904="","",IFERROR(VLOOKUP(A904,Members!A$4:B$103,2,0),""))</f>
        <v/>
      </c>
      <c r="C904" s="6">
        <f t="shared" si="28"/>
        <v>0</v>
      </c>
      <c r="D904" s="11"/>
      <c r="E904" s="6" t="str">
        <f t="shared" si="29"/>
        <v/>
      </c>
      <c r="F904" s="11"/>
      <c r="G904" s="25" t="str">
        <f>IF(A904="","",IFERROR(SUMIFS($F$4:$F904,$A$4:$A904,A904),0))</f>
        <v/>
      </c>
      <c r="H904" s="11"/>
      <c r="I904" s="11"/>
      <c r="J904" s="11"/>
    </row>
    <row r="905" spans="1:10" ht="15.75" customHeight="1" x14ac:dyDescent="0.25">
      <c r="A905" s="11"/>
      <c r="B905" s="4" t="str">
        <f>IF(A905="","",IFERROR(VLOOKUP(A905,Members!A$4:B$103,2,0),""))</f>
        <v/>
      </c>
      <c r="C905" s="6">
        <f t="shared" si="28"/>
        <v>0</v>
      </c>
      <c r="D905" s="11"/>
      <c r="E905" s="6" t="str">
        <f t="shared" si="29"/>
        <v/>
      </c>
      <c r="F905" s="11"/>
      <c r="G905" s="25" t="str">
        <f>IF(A905="","",IFERROR(SUMIFS($F$4:$F905,$A$4:$A905,A905),0))</f>
        <v/>
      </c>
      <c r="H905" s="11"/>
      <c r="I905" s="11"/>
      <c r="J905" s="11"/>
    </row>
    <row r="906" spans="1:10" ht="15.75" customHeight="1" x14ac:dyDescent="0.25">
      <c r="A906" s="11"/>
      <c r="B906" s="4" t="str">
        <f>IF(A906="","",IFERROR(VLOOKUP(A906,Members!A$4:B$103,2,0),""))</f>
        <v/>
      </c>
      <c r="C906" s="6">
        <f t="shared" si="28"/>
        <v>0</v>
      </c>
      <c r="D906" s="11"/>
      <c r="E906" s="6" t="str">
        <f t="shared" si="29"/>
        <v/>
      </c>
      <c r="F906" s="11"/>
      <c r="G906" s="25" t="str">
        <f>IF(A906="","",IFERROR(SUMIFS($F$4:$F906,$A$4:$A906,A906),0))</f>
        <v/>
      </c>
      <c r="H906" s="11"/>
      <c r="I906" s="11"/>
      <c r="J906" s="11"/>
    </row>
    <row r="907" spans="1:10" ht="15.75" customHeight="1" x14ac:dyDescent="0.25">
      <c r="A907" s="11"/>
      <c r="B907" s="4" t="str">
        <f>IF(A907="","",IFERROR(VLOOKUP(A907,Members!A$4:B$103,2,0),""))</f>
        <v/>
      </c>
      <c r="C907" s="6">
        <f t="shared" si="28"/>
        <v>0</v>
      </c>
      <c r="D907" s="11"/>
      <c r="E907" s="6" t="str">
        <f t="shared" si="29"/>
        <v/>
      </c>
      <c r="F907" s="11"/>
      <c r="G907" s="25" t="str">
        <f>IF(A907="","",IFERROR(SUMIFS($F$4:$F907,$A$4:$A907,A907),0))</f>
        <v/>
      </c>
      <c r="H907" s="11"/>
      <c r="I907" s="11"/>
      <c r="J907" s="11"/>
    </row>
    <row r="908" spans="1:10" ht="15.75" customHeight="1" x14ac:dyDescent="0.25">
      <c r="A908" s="11"/>
      <c r="B908" s="4" t="str">
        <f>IF(A908="","",IFERROR(VLOOKUP(A908,Members!A$4:B$103,2,0),""))</f>
        <v/>
      </c>
      <c r="C908" s="6">
        <f t="shared" si="28"/>
        <v>0</v>
      </c>
      <c r="D908" s="11"/>
      <c r="E908" s="6" t="str">
        <f t="shared" si="29"/>
        <v/>
      </c>
      <c r="F908" s="11"/>
      <c r="G908" s="25" t="str">
        <f>IF(A908="","",IFERROR(SUMIFS($F$4:$F908,$A$4:$A908,A908),0))</f>
        <v/>
      </c>
      <c r="H908" s="11"/>
      <c r="I908" s="11"/>
      <c r="J908" s="11"/>
    </row>
    <row r="909" spans="1:10" ht="15.75" customHeight="1" x14ac:dyDescent="0.25">
      <c r="A909" s="11"/>
      <c r="B909" s="4" t="str">
        <f>IF(A909="","",IFERROR(VLOOKUP(A909,Members!A$4:B$103,2,0),""))</f>
        <v/>
      </c>
      <c r="C909" s="6">
        <f t="shared" si="28"/>
        <v>0</v>
      </c>
      <c r="D909" s="11"/>
      <c r="E909" s="6" t="str">
        <f t="shared" si="29"/>
        <v/>
      </c>
      <c r="F909" s="11"/>
      <c r="G909" s="25" t="str">
        <f>IF(A909="","",IFERROR(SUMIFS($F$4:$F909,$A$4:$A909,A909),0))</f>
        <v/>
      </c>
      <c r="H909" s="11"/>
      <c r="I909" s="11"/>
      <c r="J909" s="11"/>
    </row>
    <row r="910" spans="1:10" ht="15.75" customHeight="1" x14ac:dyDescent="0.25">
      <c r="A910" s="11"/>
      <c r="B910" s="4" t="str">
        <f>IF(A910="","",IFERROR(VLOOKUP(A910,Members!A$4:B$103,2,0),""))</f>
        <v/>
      </c>
      <c r="C910" s="6">
        <f t="shared" si="28"/>
        <v>0</v>
      </c>
      <c r="D910" s="11"/>
      <c r="E910" s="6" t="str">
        <f t="shared" si="29"/>
        <v/>
      </c>
      <c r="F910" s="11"/>
      <c r="G910" s="25" t="str">
        <f>IF(A910="","",IFERROR(SUMIFS($F$4:$F910,$A$4:$A910,A910),0))</f>
        <v/>
      </c>
      <c r="H910" s="11"/>
      <c r="I910" s="11"/>
      <c r="J910" s="11"/>
    </row>
    <row r="911" spans="1:10" ht="15.75" customHeight="1" x14ac:dyDescent="0.25">
      <c r="A911" s="11"/>
      <c r="B911" s="4" t="str">
        <f>IF(A911="","",IFERROR(VLOOKUP(A911,Members!A$4:B$103,2,0),""))</f>
        <v/>
      </c>
      <c r="C911" s="6">
        <f t="shared" si="28"/>
        <v>0</v>
      </c>
      <c r="D911" s="11"/>
      <c r="E911" s="6" t="str">
        <f t="shared" si="29"/>
        <v/>
      </c>
      <c r="F911" s="11"/>
      <c r="G911" s="25" t="str">
        <f>IF(A911="","",IFERROR(SUMIFS($F$4:$F911,$A$4:$A911,A911),0))</f>
        <v/>
      </c>
      <c r="H911" s="11"/>
      <c r="I911" s="11"/>
      <c r="J911" s="11"/>
    </row>
    <row r="912" spans="1:10" ht="15.75" customHeight="1" x14ac:dyDescent="0.25">
      <c r="A912" s="11"/>
      <c r="B912" s="4" t="str">
        <f>IF(A912="","",IFERROR(VLOOKUP(A912,Members!A$4:B$103,2,0),""))</f>
        <v/>
      </c>
      <c r="C912" s="6">
        <f t="shared" si="28"/>
        <v>0</v>
      </c>
      <c r="D912" s="11"/>
      <c r="E912" s="6" t="str">
        <f t="shared" si="29"/>
        <v/>
      </c>
      <c r="F912" s="11"/>
      <c r="G912" s="25" t="str">
        <f>IF(A912="","",IFERROR(SUMIFS($F$4:$F912,$A$4:$A912,A912),0))</f>
        <v/>
      </c>
      <c r="H912" s="11"/>
      <c r="I912" s="11"/>
      <c r="J912" s="11"/>
    </row>
    <row r="913" spans="1:10" ht="15.75" customHeight="1" x14ac:dyDescent="0.25">
      <c r="A913" s="11"/>
      <c r="B913" s="4" t="str">
        <f>IF(A913="","",IFERROR(VLOOKUP(A913,Members!A$4:B$103,2,0),""))</f>
        <v/>
      </c>
      <c r="C913" s="6">
        <f t="shared" si="28"/>
        <v>0</v>
      </c>
      <c r="D913" s="11"/>
      <c r="E913" s="6" t="str">
        <f t="shared" si="29"/>
        <v/>
      </c>
      <c r="F913" s="11"/>
      <c r="G913" s="25" t="str">
        <f>IF(A913="","",IFERROR(SUMIFS($F$4:$F913,$A$4:$A913,A913),0))</f>
        <v/>
      </c>
      <c r="H913" s="11"/>
      <c r="I913" s="11"/>
      <c r="J913" s="11"/>
    </row>
    <row r="914" spans="1:10" ht="15.75" customHeight="1" x14ac:dyDescent="0.25">
      <c r="A914" s="11"/>
      <c r="B914" s="4" t="str">
        <f>IF(A914="","",IFERROR(VLOOKUP(A914,Members!A$4:B$103,2,0),""))</f>
        <v/>
      </c>
      <c r="C914" s="6">
        <f t="shared" si="28"/>
        <v>0</v>
      </c>
      <c r="D914" s="11"/>
      <c r="E914" s="6" t="str">
        <f t="shared" si="29"/>
        <v/>
      </c>
      <c r="F914" s="11"/>
      <c r="G914" s="25" t="str">
        <f>IF(A914="","",IFERROR(SUMIFS($F$4:$F914,$A$4:$A914,A914),0))</f>
        <v/>
      </c>
      <c r="H914" s="11"/>
      <c r="I914" s="11"/>
      <c r="J914" s="11"/>
    </row>
    <row r="915" spans="1:10" ht="15.75" customHeight="1" x14ac:dyDescent="0.25">
      <c r="A915" s="11"/>
      <c r="B915" s="4" t="str">
        <f>IF(A915="","",IFERROR(VLOOKUP(A915,Members!A$4:B$103,2,0),""))</f>
        <v/>
      </c>
      <c r="C915" s="6">
        <f t="shared" si="28"/>
        <v>0</v>
      </c>
      <c r="D915" s="11"/>
      <c r="E915" s="6" t="str">
        <f t="shared" si="29"/>
        <v/>
      </c>
      <c r="F915" s="11"/>
      <c r="G915" s="25" t="str">
        <f>IF(A915="","",IFERROR(SUMIFS($F$4:$F915,$A$4:$A915,A915),0))</f>
        <v/>
      </c>
      <c r="H915" s="11"/>
      <c r="I915" s="11"/>
      <c r="J915" s="11"/>
    </row>
    <row r="916" spans="1:10" ht="15.75" customHeight="1" x14ac:dyDescent="0.25">
      <c r="A916" s="11"/>
      <c r="B916" s="4" t="str">
        <f>IF(A916="","",IFERROR(VLOOKUP(A916,Members!A$4:B$103,2,0),""))</f>
        <v/>
      </c>
      <c r="C916" s="6">
        <f t="shared" si="28"/>
        <v>0</v>
      </c>
      <c r="D916" s="11"/>
      <c r="E916" s="6" t="str">
        <f t="shared" si="29"/>
        <v/>
      </c>
      <c r="F916" s="11"/>
      <c r="G916" s="25" t="str">
        <f>IF(A916="","",IFERROR(SUMIFS($F$4:$F916,$A$4:$A916,A916),0))</f>
        <v/>
      </c>
      <c r="H916" s="11"/>
      <c r="I916" s="11"/>
      <c r="J916" s="11"/>
    </row>
    <row r="917" spans="1:10" ht="15.75" customHeight="1" x14ac:dyDescent="0.25">
      <c r="A917" s="11"/>
      <c r="B917" s="4" t="str">
        <f>IF(A917="","",IFERROR(VLOOKUP(A917,Members!A$4:B$103,2,0),""))</f>
        <v/>
      </c>
      <c r="C917" s="6">
        <f t="shared" si="28"/>
        <v>0</v>
      </c>
      <c r="D917" s="11"/>
      <c r="E917" s="6" t="str">
        <f t="shared" si="29"/>
        <v/>
      </c>
      <c r="F917" s="11"/>
      <c r="G917" s="25" t="str">
        <f>IF(A917="","",IFERROR(SUMIFS($F$4:$F917,$A$4:$A917,A917),0))</f>
        <v/>
      </c>
      <c r="H917" s="11"/>
      <c r="I917" s="11"/>
      <c r="J917" s="11"/>
    </row>
    <row r="918" spans="1:10" ht="15.75" customHeight="1" x14ac:dyDescent="0.25">
      <c r="A918" s="11"/>
      <c r="B918" s="4" t="str">
        <f>IF(A918="","",IFERROR(VLOOKUP(A918,Members!A$4:B$103,2,0),""))</f>
        <v/>
      </c>
      <c r="C918" s="6">
        <f t="shared" si="28"/>
        <v>0</v>
      </c>
      <c r="D918" s="11"/>
      <c r="E918" s="6" t="str">
        <f t="shared" si="29"/>
        <v/>
      </c>
      <c r="F918" s="11"/>
      <c r="G918" s="25" t="str">
        <f>IF(A918="","",IFERROR(SUMIFS($F$4:$F918,$A$4:$A918,A918),0))</f>
        <v/>
      </c>
      <c r="H918" s="11"/>
      <c r="I918" s="11"/>
      <c r="J918" s="11"/>
    </row>
    <row r="919" spans="1:10" ht="15.75" customHeight="1" x14ac:dyDescent="0.25">
      <c r="A919" s="11"/>
      <c r="B919" s="4" t="str">
        <f>IF(A919="","",IFERROR(VLOOKUP(A919,Members!A$4:B$103,2,0),""))</f>
        <v/>
      </c>
      <c r="C919" s="6">
        <f t="shared" si="28"/>
        <v>0</v>
      </c>
      <c r="D919" s="11"/>
      <c r="E919" s="6" t="str">
        <f t="shared" si="29"/>
        <v/>
      </c>
      <c r="F919" s="11"/>
      <c r="G919" s="25" t="str">
        <f>IF(A919="","",IFERROR(SUMIFS($F$4:$F919,$A$4:$A919,A919),0))</f>
        <v/>
      </c>
      <c r="H919" s="11"/>
      <c r="I919" s="11"/>
      <c r="J919" s="11"/>
    </row>
    <row r="920" spans="1:10" ht="15.75" customHeight="1" x14ac:dyDescent="0.25">
      <c r="A920" s="11"/>
      <c r="B920" s="4" t="str">
        <f>IF(A920="","",IFERROR(VLOOKUP(A920,Members!A$4:B$103,2,0),""))</f>
        <v/>
      </c>
      <c r="C920" s="6">
        <f t="shared" si="28"/>
        <v>0</v>
      </c>
      <c r="D920" s="11"/>
      <c r="E920" s="6" t="str">
        <f t="shared" si="29"/>
        <v/>
      </c>
      <c r="F920" s="11"/>
      <c r="G920" s="25" t="str">
        <f>IF(A920="","",IFERROR(SUMIFS($F$4:$F920,$A$4:$A920,A920),0))</f>
        <v/>
      </c>
      <c r="H920" s="11"/>
      <c r="I920" s="11"/>
      <c r="J920" s="11"/>
    </row>
    <row r="921" spans="1:10" ht="15.75" customHeight="1" x14ac:dyDescent="0.25">
      <c r="A921" s="11"/>
      <c r="B921" s="4" t="str">
        <f>IF(A921="","",IFERROR(VLOOKUP(A921,Members!A$4:B$103,2,0),""))</f>
        <v/>
      </c>
      <c r="C921" s="6">
        <f t="shared" si="28"/>
        <v>0</v>
      </c>
      <c r="D921" s="11"/>
      <c r="E921" s="6" t="str">
        <f t="shared" si="29"/>
        <v/>
      </c>
      <c r="F921" s="11"/>
      <c r="G921" s="25" t="str">
        <f>IF(A921="","",IFERROR(SUMIFS($F$4:$F921,$A$4:$A921,A921),0))</f>
        <v/>
      </c>
      <c r="H921" s="11"/>
      <c r="I921" s="11"/>
      <c r="J921" s="11"/>
    </row>
    <row r="922" spans="1:10" ht="15.75" customHeight="1" x14ac:dyDescent="0.25">
      <c r="A922" s="11"/>
      <c r="B922" s="4" t="str">
        <f>IF(A922="","",IFERROR(VLOOKUP(A922,Members!A$4:B$103,2,0),""))</f>
        <v/>
      </c>
      <c r="C922" s="6">
        <f t="shared" si="28"/>
        <v>0</v>
      </c>
      <c r="D922" s="11"/>
      <c r="E922" s="6" t="str">
        <f t="shared" si="29"/>
        <v/>
      </c>
      <c r="F922" s="11"/>
      <c r="G922" s="25" t="str">
        <f>IF(A922="","",IFERROR(SUMIFS($F$4:$F922,$A$4:$A922,A922),0))</f>
        <v/>
      </c>
      <c r="H922" s="11"/>
      <c r="I922" s="11"/>
      <c r="J922" s="11"/>
    </row>
    <row r="923" spans="1:10" ht="15.75" customHeight="1" x14ac:dyDescent="0.25">
      <c r="A923" s="11"/>
      <c r="B923" s="4" t="str">
        <f>IF(A923="","",IFERROR(VLOOKUP(A923,Members!A$4:B$103,2,0),""))</f>
        <v/>
      </c>
      <c r="C923" s="6">
        <f t="shared" si="28"/>
        <v>0</v>
      </c>
      <c r="D923" s="11"/>
      <c r="E923" s="6" t="str">
        <f t="shared" si="29"/>
        <v/>
      </c>
      <c r="F923" s="11"/>
      <c r="G923" s="25" t="str">
        <f>IF(A923="","",IFERROR(SUMIFS($F$4:$F923,$A$4:$A923,A923),0))</f>
        <v/>
      </c>
      <c r="H923" s="11"/>
      <c r="I923" s="11"/>
      <c r="J923" s="11"/>
    </row>
    <row r="924" spans="1:10" ht="15.75" customHeight="1" x14ac:dyDescent="0.25">
      <c r="A924" s="11"/>
      <c r="B924" s="4" t="str">
        <f>IF(A924="","",IFERROR(VLOOKUP(A924,Members!A$4:B$103,2,0),""))</f>
        <v/>
      </c>
      <c r="C924" s="6">
        <f t="shared" si="28"/>
        <v>0</v>
      </c>
      <c r="D924" s="11"/>
      <c r="E924" s="6" t="str">
        <f t="shared" si="29"/>
        <v/>
      </c>
      <c r="F924" s="11"/>
      <c r="G924" s="25" t="str">
        <f>IF(A924="","",IFERROR(SUMIFS($F$4:$F924,$A$4:$A924,A924),0))</f>
        <v/>
      </c>
      <c r="H924" s="11"/>
      <c r="I924" s="11"/>
      <c r="J924" s="11"/>
    </row>
    <row r="925" spans="1:10" ht="15.75" customHeight="1" x14ac:dyDescent="0.25">
      <c r="A925" s="11"/>
      <c r="B925" s="4" t="str">
        <f>IF(A925="","",IFERROR(VLOOKUP(A925,Members!A$4:B$103,2,0),""))</f>
        <v/>
      </c>
      <c r="C925" s="6">
        <f t="shared" si="28"/>
        <v>0</v>
      </c>
      <c r="D925" s="11"/>
      <c r="E925" s="6" t="str">
        <f t="shared" si="29"/>
        <v/>
      </c>
      <c r="F925" s="11"/>
      <c r="G925" s="25" t="str">
        <f>IF(A925="","",IFERROR(SUMIFS($F$4:$F925,$A$4:$A925,A925),0))</f>
        <v/>
      </c>
      <c r="H925" s="11"/>
      <c r="I925" s="11"/>
      <c r="J925" s="11"/>
    </row>
    <row r="926" spans="1:10" ht="15.75" customHeight="1" x14ac:dyDescent="0.25">
      <c r="A926" s="11"/>
      <c r="B926" s="4" t="str">
        <f>IF(A926="","",IFERROR(VLOOKUP(A926,Members!A$4:B$103,2,0),""))</f>
        <v/>
      </c>
      <c r="C926" s="6">
        <f t="shared" si="28"/>
        <v>0</v>
      </c>
      <c r="D926" s="11"/>
      <c r="E926" s="6" t="str">
        <f t="shared" si="29"/>
        <v/>
      </c>
      <c r="F926" s="11"/>
      <c r="G926" s="25" t="str">
        <f>IF(A926="","",IFERROR(SUMIFS($F$4:$F926,$A$4:$A926,A926),0))</f>
        <v/>
      </c>
      <c r="H926" s="11"/>
      <c r="I926" s="11"/>
      <c r="J926" s="11"/>
    </row>
    <row r="927" spans="1:10" ht="15.75" customHeight="1" x14ac:dyDescent="0.25">
      <c r="A927" s="11"/>
      <c r="B927" s="4" t="str">
        <f>IF(A927="","",IFERROR(VLOOKUP(A927,Members!A$4:B$103,2,0),""))</f>
        <v/>
      </c>
      <c r="C927" s="6">
        <f t="shared" si="28"/>
        <v>0</v>
      </c>
      <c r="D927" s="11"/>
      <c r="E927" s="6" t="str">
        <f t="shared" si="29"/>
        <v/>
      </c>
      <c r="F927" s="11"/>
      <c r="G927" s="25" t="str">
        <f>IF(A927="","",IFERROR(SUMIFS($F$4:$F927,$A$4:$A927,A927),0))</f>
        <v/>
      </c>
      <c r="H927" s="11"/>
      <c r="I927" s="11"/>
      <c r="J927" s="11"/>
    </row>
    <row r="928" spans="1:10" ht="15.75" customHeight="1" x14ac:dyDescent="0.25">
      <c r="A928" s="11"/>
      <c r="B928" s="4" t="str">
        <f>IF(A928="","",IFERROR(VLOOKUP(A928,Members!A$4:B$103,2,0),""))</f>
        <v/>
      </c>
      <c r="C928" s="6">
        <f t="shared" si="28"/>
        <v>0</v>
      </c>
      <c r="D928" s="11"/>
      <c r="E928" s="6" t="str">
        <f t="shared" si="29"/>
        <v/>
      </c>
      <c r="F928" s="11"/>
      <c r="G928" s="25" t="str">
        <f>IF(A928="","",IFERROR(SUMIFS($F$4:$F928,$A$4:$A928,A928),0))</f>
        <v/>
      </c>
      <c r="H928" s="11"/>
      <c r="I928" s="11"/>
      <c r="J928" s="11"/>
    </row>
    <row r="929" spans="1:10" ht="15.75" customHeight="1" x14ac:dyDescent="0.25">
      <c r="A929" s="11"/>
      <c r="B929" s="4" t="str">
        <f>IF(A929="","",IFERROR(VLOOKUP(A929,Members!A$4:B$103,2,0),""))</f>
        <v/>
      </c>
      <c r="C929" s="6">
        <f t="shared" si="28"/>
        <v>0</v>
      </c>
      <c r="D929" s="11"/>
      <c r="E929" s="6" t="str">
        <f t="shared" si="29"/>
        <v/>
      </c>
      <c r="F929" s="11"/>
      <c r="G929" s="25" t="str">
        <f>IF(A929="","",IFERROR(SUMIFS($F$4:$F929,$A$4:$A929,A929),0))</f>
        <v/>
      </c>
      <c r="H929" s="11"/>
      <c r="I929" s="11"/>
      <c r="J929" s="11"/>
    </row>
    <row r="930" spans="1:10" ht="15.75" customHeight="1" x14ac:dyDescent="0.25">
      <c r="A930" s="11"/>
      <c r="B930" s="4" t="str">
        <f>IF(A930="","",IFERROR(VLOOKUP(A930,Members!A$4:B$103,2,0),""))</f>
        <v/>
      </c>
      <c r="C930" s="6">
        <f t="shared" si="28"/>
        <v>0</v>
      </c>
      <c r="D930" s="11"/>
      <c r="E930" s="6" t="str">
        <f t="shared" si="29"/>
        <v/>
      </c>
      <c r="F930" s="11"/>
      <c r="G930" s="25" t="str">
        <f>IF(A930="","",IFERROR(SUMIFS($F$4:$F930,$A$4:$A930,A930),0))</f>
        <v/>
      </c>
      <c r="H930" s="11"/>
      <c r="I930" s="11"/>
      <c r="J930" s="11"/>
    </row>
    <row r="931" spans="1:10" ht="15.75" customHeight="1" x14ac:dyDescent="0.25">
      <c r="A931" s="11"/>
      <c r="B931" s="4" t="str">
        <f>IF(A931="","",IFERROR(VLOOKUP(A931,Members!A$4:B$103,2,0),""))</f>
        <v/>
      </c>
      <c r="C931" s="6">
        <f t="shared" si="28"/>
        <v>0</v>
      </c>
      <c r="D931" s="11"/>
      <c r="E931" s="6" t="str">
        <f t="shared" si="29"/>
        <v/>
      </c>
      <c r="F931" s="11"/>
      <c r="G931" s="25" t="str">
        <f>IF(A931="","",IFERROR(SUMIFS($F$4:$F931,$A$4:$A931,A931),0))</f>
        <v/>
      </c>
      <c r="H931" s="11"/>
      <c r="I931" s="11"/>
      <c r="J931" s="11"/>
    </row>
    <row r="932" spans="1:10" ht="15.75" customHeight="1" x14ac:dyDescent="0.25">
      <c r="A932" s="11"/>
      <c r="B932" s="4" t="str">
        <f>IF(A932="","",IFERROR(VLOOKUP(A932,Members!A$4:B$103,2,0),""))</f>
        <v/>
      </c>
      <c r="C932" s="6">
        <f t="shared" si="28"/>
        <v>0</v>
      </c>
      <c r="D932" s="11"/>
      <c r="E932" s="6" t="str">
        <f t="shared" si="29"/>
        <v/>
      </c>
      <c r="F932" s="11"/>
      <c r="G932" s="25" t="str">
        <f>IF(A932="","",IFERROR(SUMIFS($F$4:$F932,$A$4:$A932,A932),0))</f>
        <v/>
      </c>
      <c r="H932" s="11"/>
      <c r="I932" s="11"/>
      <c r="J932" s="11"/>
    </row>
    <row r="933" spans="1:10" ht="15.75" customHeight="1" x14ac:dyDescent="0.25">
      <c r="A933" s="11"/>
      <c r="B933" s="4" t="str">
        <f>IF(A933="","",IFERROR(VLOOKUP(A933,Members!A$4:B$103,2,0),""))</f>
        <v/>
      </c>
      <c r="C933" s="6">
        <f t="shared" si="28"/>
        <v>0</v>
      </c>
      <c r="D933" s="11"/>
      <c r="E933" s="6" t="str">
        <f t="shared" si="29"/>
        <v/>
      </c>
      <c r="F933" s="11"/>
      <c r="G933" s="25" t="str">
        <f>IF(A933="","",IFERROR(SUMIFS($F$4:$F933,$A$4:$A933,A933),0))</f>
        <v/>
      </c>
      <c r="H933" s="11"/>
      <c r="I933" s="11"/>
      <c r="J933" s="11"/>
    </row>
    <row r="934" spans="1:10" ht="15.75" customHeight="1" x14ac:dyDescent="0.25">
      <c r="A934" s="11"/>
      <c r="B934" s="4" t="str">
        <f>IF(A934="","",IFERROR(VLOOKUP(A934,Members!A$4:B$103,2,0),""))</f>
        <v/>
      </c>
      <c r="C934" s="6">
        <f t="shared" si="28"/>
        <v>0</v>
      </c>
      <c r="D934" s="11"/>
      <c r="E934" s="6" t="str">
        <f t="shared" si="29"/>
        <v/>
      </c>
      <c r="F934" s="11"/>
      <c r="G934" s="25" t="str">
        <f>IF(A934="","",IFERROR(SUMIFS($F$4:$F934,$A$4:$A934,A934),0))</f>
        <v/>
      </c>
      <c r="H934" s="11"/>
      <c r="I934" s="11"/>
      <c r="J934" s="11"/>
    </row>
    <row r="935" spans="1:10" ht="15.75" customHeight="1" x14ac:dyDescent="0.25">
      <c r="A935" s="11"/>
      <c r="B935" s="4" t="str">
        <f>IF(A935="","",IFERROR(VLOOKUP(A935,Members!A$4:B$103,2,0),""))</f>
        <v/>
      </c>
      <c r="C935" s="6">
        <f t="shared" si="28"/>
        <v>0</v>
      </c>
      <c r="D935" s="11"/>
      <c r="E935" s="6" t="str">
        <f t="shared" si="29"/>
        <v/>
      </c>
      <c r="F935" s="11"/>
      <c r="G935" s="25" t="str">
        <f>IF(A935="","",IFERROR(SUMIFS($F$4:$F935,$A$4:$A935,A935),0))</f>
        <v/>
      </c>
      <c r="H935" s="11"/>
      <c r="I935" s="11"/>
      <c r="J935" s="11"/>
    </row>
    <row r="936" spans="1:10" ht="15.75" customHeight="1" x14ac:dyDescent="0.25">
      <c r="A936" s="11"/>
      <c r="B936" s="4" t="str">
        <f>IF(A936="","",IFERROR(VLOOKUP(A936,Members!A$4:B$103,2,0),""))</f>
        <v/>
      </c>
      <c r="C936" s="6">
        <f t="shared" si="28"/>
        <v>0</v>
      </c>
      <c r="D936" s="11"/>
      <c r="E936" s="6" t="str">
        <f t="shared" si="29"/>
        <v/>
      </c>
      <c r="F936" s="11"/>
      <c r="G936" s="25" t="str">
        <f>IF(A936="","",IFERROR(SUMIFS($F$4:$F936,$A$4:$A936,A936),0))</f>
        <v/>
      </c>
      <c r="H936" s="11"/>
      <c r="I936" s="11"/>
      <c r="J936" s="11"/>
    </row>
    <row r="937" spans="1:10" ht="15.75" customHeight="1" x14ac:dyDescent="0.25">
      <c r="A937" s="11"/>
      <c r="B937" s="4" t="str">
        <f>IF(A937="","",IFERROR(VLOOKUP(A937,Members!A$4:B$103,2,0),""))</f>
        <v/>
      </c>
      <c r="C937" s="6">
        <f t="shared" si="28"/>
        <v>0</v>
      </c>
      <c r="D937" s="11"/>
      <c r="E937" s="6" t="str">
        <f t="shared" si="29"/>
        <v/>
      </c>
      <c r="F937" s="11"/>
      <c r="G937" s="25" t="str">
        <f>IF(A937="","",IFERROR(SUMIFS($F$4:$F937,$A$4:$A937,A937),0))</f>
        <v/>
      </c>
      <c r="H937" s="11"/>
      <c r="I937" s="11"/>
      <c r="J937" s="11"/>
    </row>
    <row r="938" spans="1:10" ht="15.75" customHeight="1" x14ac:dyDescent="0.25">
      <c r="A938" s="11"/>
      <c r="B938" s="4" t="str">
        <f>IF(A938="","",IFERROR(VLOOKUP(A938,Members!A$4:B$103,2,0),""))</f>
        <v/>
      </c>
      <c r="C938" s="6">
        <f t="shared" si="28"/>
        <v>0</v>
      </c>
      <c r="D938" s="11"/>
      <c r="E938" s="6" t="str">
        <f t="shared" si="29"/>
        <v/>
      </c>
      <c r="F938" s="11"/>
      <c r="G938" s="25" t="str">
        <f>IF(A938="","",IFERROR(SUMIFS($F$4:$F938,$A$4:$A938,A938),0))</f>
        <v/>
      </c>
      <c r="H938" s="11"/>
      <c r="I938" s="11"/>
      <c r="J938" s="11"/>
    </row>
    <row r="939" spans="1:10" ht="15.75" customHeight="1" x14ac:dyDescent="0.25">
      <c r="A939" s="11"/>
      <c r="B939" s="4" t="str">
        <f>IF(A939="","",IFERROR(VLOOKUP(A939,Members!A$4:B$103,2,0),""))</f>
        <v/>
      </c>
      <c r="C939" s="6">
        <f t="shared" si="28"/>
        <v>0</v>
      </c>
      <c r="D939" s="11"/>
      <c r="E939" s="6" t="str">
        <f t="shared" si="29"/>
        <v/>
      </c>
      <c r="F939" s="11"/>
      <c r="G939" s="25" t="str">
        <f>IF(A939="","",IFERROR(SUMIFS($F$4:$F939,$A$4:$A939,A939),0))</f>
        <v/>
      </c>
      <c r="H939" s="11"/>
      <c r="I939" s="11"/>
      <c r="J939" s="11"/>
    </row>
    <row r="940" spans="1:10" ht="15.75" customHeight="1" x14ac:dyDescent="0.25">
      <c r="A940" s="11"/>
      <c r="B940" s="4" t="str">
        <f>IF(A940="","",IFERROR(VLOOKUP(A940,Members!A$4:B$103,2,0),""))</f>
        <v/>
      </c>
      <c r="C940" s="6">
        <f t="shared" si="28"/>
        <v>0</v>
      </c>
      <c r="D940" s="11"/>
      <c r="E940" s="6" t="str">
        <f t="shared" si="29"/>
        <v/>
      </c>
      <c r="F940" s="11"/>
      <c r="G940" s="25" t="str">
        <f>IF(A940="","",IFERROR(SUMIFS($F$4:$F940,$A$4:$A940,A940),0))</f>
        <v/>
      </c>
      <c r="H940" s="11"/>
      <c r="I940" s="11"/>
      <c r="J940" s="11"/>
    </row>
    <row r="941" spans="1:10" ht="15.75" customHeight="1" x14ac:dyDescent="0.25">
      <c r="A941" s="11"/>
      <c r="B941" s="4" t="str">
        <f>IF(A941="","",IFERROR(VLOOKUP(A941,Members!A$4:B$103,2,0),""))</f>
        <v/>
      </c>
      <c r="C941" s="6">
        <f t="shared" si="28"/>
        <v>0</v>
      </c>
      <c r="D941" s="11"/>
      <c r="E941" s="6" t="str">
        <f t="shared" si="29"/>
        <v/>
      </c>
      <c r="F941" s="11"/>
      <c r="G941" s="25" t="str">
        <f>IF(A941="","",IFERROR(SUMIFS($F$4:$F941,$A$4:$A941,A941),0))</f>
        <v/>
      </c>
      <c r="H941" s="11"/>
      <c r="I941" s="11"/>
      <c r="J941" s="11"/>
    </row>
    <row r="942" spans="1:10" ht="15.75" customHeight="1" x14ac:dyDescent="0.25">
      <c r="A942" s="11"/>
      <c r="B942" s="4" t="str">
        <f>IF(A942="","",IFERROR(VLOOKUP(A942,Members!A$4:B$103,2,0),""))</f>
        <v/>
      </c>
      <c r="C942" s="6">
        <f t="shared" si="28"/>
        <v>0</v>
      </c>
      <c r="D942" s="11"/>
      <c r="E942" s="6" t="str">
        <f t="shared" si="29"/>
        <v/>
      </c>
      <c r="F942" s="11"/>
      <c r="G942" s="25" t="str">
        <f>IF(A942="","",IFERROR(SUMIFS($F$4:$F942,$A$4:$A942,A942),0))</f>
        <v/>
      </c>
      <c r="H942" s="11"/>
      <c r="I942" s="11"/>
      <c r="J942" s="11"/>
    </row>
    <row r="943" spans="1:10" ht="15.75" customHeight="1" x14ac:dyDescent="0.25">
      <c r="A943" s="11"/>
      <c r="B943" s="4" t="str">
        <f>IF(A943="","",IFERROR(VLOOKUP(A943,Members!A$4:B$103,2,0),""))</f>
        <v/>
      </c>
      <c r="C943" s="6">
        <f t="shared" si="28"/>
        <v>0</v>
      </c>
      <c r="D943" s="11"/>
      <c r="E943" s="6" t="str">
        <f t="shared" si="29"/>
        <v/>
      </c>
      <c r="F943" s="11"/>
      <c r="G943" s="25" t="str">
        <f>IF(A943="","",IFERROR(SUMIFS($F$4:$F943,$A$4:$A943,A943),0))</f>
        <v/>
      </c>
      <c r="H943" s="11"/>
      <c r="I943" s="11"/>
      <c r="J943" s="11"/>
    </row>
    <row r="944" spans="1:10" ht="15.75" customHeight="1" x14ac:dyDescent="0.25">
      <c r="A944" s="11"/>
      <c r="B944" s="4" t="str">
        <f>IF(A944="","",IFERROR(VLOOKUP(A944,Members!A$4:B$103,2,0),""))</f>
        <v/>
      </c>
      <c r="C944" s="6">
        <f t="shared" si="28"/>
        <v>0</v>
      </c>
      <c r="D944" s="11"/>
      <c r="E944" s="6" t="str">
        <f t="shared" si="29"/>
        <v/>
      </c>
      <c r="F944" s="11"/>
      <c r="G944" s="25" t="str">
        <f>IF(A944="","",IFERROR(SUMIFS($F$4:$F944,$A$4:$A944,A944),0))</f>
        <v/>
      </c>
      <c r="H944" s="11"/>
      <c r="I944" s="11"/>
      <c r="J944" s="11"/>
    </row>
    <row r="945" spans="1:10" ht="15.75" customHeight="1" x14ac:dyDescent="0.25">
      <c r="A945" s="11"/>
      <c r="B945" s="4" t="str">
        <f>IF(A945="","",IFERROR(VLOOKUP(A945,Members!A$4:B$103,2,0),""))</f>
        <v/>
      </c>
      <c r="C945" s="6">
        <f t="shared" si="28"/>
        <v>0</v>
      </c>
      <c r="D945" s="11"/>
      <c r="E945" s="6" t="str">
        <f t="shared" si="29"/>
        <v/>
      </c>
      <c r="F945" s="11"/>
      <c r="G945" s="25" t="str">
        <f>IF(A945="","",IFERROR(SUMIFS($F$4:$F945,$A$4:$A945,A945),0))</f>
        <v/>
      </c>
      <c r="H945" s="11"/>
      <c r="I945" s="11"/>
      <c r="J945" s="11"/>
    </row>
    <row r="946" spans="1:10" ht="15.75" customHeight="1" x14ac:dyDescent="0.25">
      <c r="A946" s="11"/>
      <c r="B946" s="4" t="str">
        <f>IF(A946="","",IFERROR(VLOOKUP(A946,Members!A$4:B$103,2,0),""))</f>
        <v/>
      </c>
      <c r="C946" s="6">
        <f t="shared" si="28"/>
        <v>0</v>
      </c>
      <c r="D946" s="11"/>
      <c r="E946" s="6" t="str">
        <f t="shared" si="29"/>
        <v/>
      </c>
      <c r="F946" s="11"/>
      <c r="G946" s="25" t="str">
        <f>IF(A946="","",IFERROR(SUMIFS($F$4:$F946,$A$4:$A946,A946),0))</f>
        <v/>
      </c>
      <c r="H946" s="11"/>
      <c r="I946" s="11"/>
      <c r="J946" s="11"/>
    </row>
    <row r="947" spans="1:10" ht="15.75" customHeight="1" x14ac:dyDescent="0.25">
      <c r="A947" s="11"/>
      <c r="B947" s="4" t="str">
        <f>IF(A947="","",IFERROR(VLOOKUP(A947,Members!A$4:B$103,2,0),""))</f>
        <v/>
      </c>
      <c r="C947" s="6">
        <f t="shared" si="28"/>
        <v>0</v>
      </c>
      <c r="D947" s="11"/>
      <c r="E947" s="6" t="str">
        <f t="shared" si="29"/>
        <v/>
      </c>
      <c r="F947" s="11"/>
      <c r="G947" s="25" t="str">
        <f>IF(A947="","",IFERROR(SUMIFS($F$4:$F947,$A$4:$A947,A947),0))</f>
        <v/>
      </c>
      <c r="H947" s="11"/>
      <c r="I947" s="11"/>
      <c r="J947" s="11"/>
    </row>
    <row r="948" spans="1:10" ht="15.75" customHeight="1" x14ac:dyDescent="0.25">
      <c r="A948" s="11"/>
      <c r="B948" s="4" t="str">
        <f>IF(A948="","",IFERROR(VLOOKUP(A948,Members!A$4:B$103,2,0),""))</f>
        <v/>
      </c>
      <c r="C948" s="6">
        <f t="shared" si="28"/>
        <v>0</v>
      </c>
      <c r="D948" s="11"/>
      <c r="E948" s="6" t="str">
        <f t="shared" si="29"/>
        <v/>
      </c>
      <c r="F948" s="11"/>
      <c r="G948" s="25" t="str">
        <f>IF(A948="","",IFERROR(SUMIFS($F$4:$F948,$A$4:$A948,A948),0))</f>
        <v/>
      </c>
      <c r="H948" s="11"/>
      <c r="I948" s="11"/>
      <c r="J948" s="11"/>
    </row>
    <row r="949" spans="1:10" ht="15.75" customHeight="1" x14ac:dyDescent="0.25">
      <c r="A949" s="11"/>
      <c r="B949" s="4" t="str">
        <f>IF(A949="","",IFERROR(VLOOKUP(A949,Members!A$4:B$103,2,0),""))</f>
        <v/>
      </c>
      <c r="C949" s="6">
        <f t="shared" si="28"/>
        <v>0</v>
      </c>
      <c r="D949" s="11"/>
      <c r="E949" s="6" t="str">
        <f t="shared" si="29"/>
        <v/>
      </c>
      <c r="F949" s="11"/>
      <c r="G949" s="25" t="str">
        <f>IF(A949="","",IFERROR(SUMIFS($F$4:$F949,$A$4:$A949,A949),0))</f>
        <v/>
      </c>
      <c r="H949" s="11"/>
      <c r="I949" s="11"/>
      <c r="J949" s="11"/>
    </row>
    <row r="950" spans="1:10" ht="15.75" customHeight="1" x14ac:dyDescent="0.25">
      <c r="A950" s="11"/>
      <c r="B950" s="4" t="str">
        <f>IF(A950="","",IFERROR(VLOOKUP(A950,Members!A$4:B$103,2,0),""))</f>
        <v/>
      </c>
      <c r="C950" s="6">
        <f t="shared" si="28"/>
        <v>0</v>
      </c>
      <c r="D950" s="11"/>
      <c r="E950" s="6" t="str">
        <f t="shared" si="29"/>
        <v/>
      </c>
      <c r="F950" s="11"/>
      <c r="G950" s="25" t="str">
        <f>IF(A950="","",IFERROR(SUMIFS($F$4:$F950,$A$4:$A950,A950),0))</f>
        <v/>
      </c>
      <c r="H950" s="11"/>
      <c r="I950" s="11"/>
      <c r="J950" s="11"/>
    </row>
    <row r="951" spans="1:10" ht="15.75" customHeight="1" x14ac:dyDescent="0.25">
      <c r="A951" s="11"/>
      <c r="B951" s="4" t="str">
        <f>IF(A951="","",IFERROR(VLOOKUP(A951,Members!A$4:B$103,2,0),""))</f>
        <v/>
      </c>
      <c r="C951" s="6">
        <f t="shared" si="28"/>
        <v>0</v>
      </c>
      <c r="D951" s="11"/>
      <c r="E951" s="6" t="str">
        <f t="shared" si="29"/>
        <v/>
      </c>
      <c r="F951" s="11"/>
      <c r="G951" s="25" t="str">
        <f>IF(A951="","",IFERROR(SUMIFS($F$4:$F951,$A$4:$A951,A951),0))</f>
        <v/>
      </c>
      <c r="H951" s="11"/>
      <c r="I951" s="11"/>
      <c r="J951" s="11"/>
    </row>
    <row r="952" spans="1:10" ht="15.75" customHeight="1" x14ac:dyDescent="0.25">
      <c r="A952" s="11"/>
      <c r="B952" s="4" t="str">
        <f>IF(A952="","",IFERROR(VLOOKUP(A952,Members!A$4:B$103,2,0),""))</f>
        <v/>
      </c>
      <c r="C952" s="6">
        <f t="shared" si="28"/>
        <v>0</v>
      </c>
      <c r="D952" s="11"/>
      <c r="E952" s="6" t="str">
        <f t="shared" si="29"/>
        <v/>
      </c>
      <c r="F952" s="11"/>
      <c r="G952" s="25" t="str">
        <f>IF(A952="","",IFERROR(SUMIFS($F$4:$F952,$A$4:$A952,A952),0))</f>
        <v/>
      </c>
      <c r="H952" s="11"/>
      <c r="I952" s="11"/>
      <c r="J952" s="11"/>
    </row>
    <row r="953" spans="1:10" ht="15.75" customHeight="1" x14ac:dyDescent="0.25">
      <c r="A953" s="11"/>
      <c r="B953" s="4" t="str">
        <f>IF(A953="","",IFERROR(VLOOKUP(A953,Members!A$4:B$103,2,0),""))</f>
        <v/>
      </c>
      <c r="C953" s="6">
        <f t="shared" si="28"/>
        <v>0</v>
      </c>
      <c r="D953" s="11"/>
      <c r="E953" s="6" t="str">
        <f t="shared" si="29"/>
        <v/>
      </c>
      <c r="F953" s="11"/>
      <c r="G953" s="25" t="str">
        <f>IF(A953="","",IFERROR(SUMIFS($F$4:$F953,$A$4:$A953,A953),0))</f>
        <v/>
      </c>
      <c r="H953" s="11"/>
      <c r="I953" s="11"/>
      <c r="J953" s="11"/>
    </row>
    <row r="954" spans="1:10" ht="15.75" customHeight="1" x14ac:dyDescent="0.25">
      <c r="A954" s="11"/>
      <c r="B954" s="4" t="str">
        <f>IF(A954="","",IFERROR(VLOOKUP(A954,Members!A$4:B$103,2,0),""))</f>
        <v/>
      </c>
      <c r="C954" s="6">
        <f t="shared" si="28"/>
        <v>0</v>
      </c>
      <c r="D954" s="11"/>
      <c r="E954" s="6" t="str">
        <f t="shared" si="29"/>
        <v/>
      </c>
      <c r="F954" s="11"/>
      <c r="G954" s="25" t="str">
        <f>IF(A954="","",IFERROR(SUMIFS($F$4:$F954,$A$4:$A954,A954),0))</f>
        <v/>
      </c>
      <c r="H954" s="11"/>
      <c r="I954" s="11"/>
      <c r="J954" s="11"/>
    </row>
    <row r="955" spans="1:10" ht="15.75" customHeight="1" x14ac:dyDescent="0.25">
      <c r="A955" s="11"/>
      <c r="B955" s="4" t="str">
        <f>IF(A955="","",IFERROR(VLOOKUP(A955,Members!A$4:B$103,2,0),""))</f>
        <v/>
      </c>
      <c r="C955" s="6">
        <f t="shared" si="28"/>
        <v>0</v>
      </c>
      <c r="D955" s="11"/>
      <c r="E955" s="6" t="str">
        <f t="shared" si="29"/>
        <v/>
      </c>
      <c r="F955" s="11"/>
      <c r="G955" s="25" t="str">
        <f>IF(A955="","",IFERROR(SUMIFS($F$4:$F955,$A$4:$A955,A955),0))</f>
        <v/>
      </c>
      <c r="H955" s="11"/>
      <c r="I955" s="11"/>
      <c r="J955" s="11"/>
    </row>
    <row r="956" spans="1:10" ht="15.75" customHeight="1" x14ac:dyDescent="0.25">
      <c r="A956" s="11"/>
      <c r="B956" s="4" t="str">
        <f>IF(A956="","",IFERROR(VLOOKUP(A956,Members!A$4:B$103,2,0),""))</f>
        <v/>
      </c>
      <c r="C956" s="6">
        <f t="shared" si="28"/>
        <v>0</v>
      </c>
      <c r="D956" s="11"/>
      <c r="E956" s="6" t="str">
        <f t="shared" si="29"/>
        <v/>
      </c>
      <c r="F956" s="11"/>
      <c r="G956" s="25" t="str">
        <f>IF(A956="","",IFERROR(SUMIFS($F$4:$F956,$A$4:$A956,A956),0))</f>
        <v/>
      </c>
      <c r="H956" s="11"/>
      <c r="I956" s="11"/>
      <c r="J956" s="11"/>
    </row>
    <row r="957" spans="1:10" ht="15.75" customHeight="1" x14ac:dyDescent="0.25">
      <c r="A957" s="11"/>
      <c r="B957" s="4" t="str">
        <f>IF(A957="","",IFERROR(VLOOKUP(A957,Members!A$4:B$103,2,0),""))</f>
        <v/>
      </c>
      <c r="C957" s="6">
        <f t="shared" si="28"/>
        <v>0</v>
      </c>
      <c r="D957" s="11"/>
      <c r="E957" s="6" t="str">
        <f t="shared" si="29"/>
        <v/>
      </c>
      <c r="F957" s="11"/>
      <c r="G957" s="25" t="str">
        <f>IF(A957="","",IFERROR(SUMIFS($F$4:$F957,$A$4:$A957,A957),0))</f>
        <v/>
      </c>
      <c r="H957" s="11"/>
      <c r="I957" s="11"/>
      <c r="J957" s="11"/>
    </row>
    <row r="958" spans="1:10" ht="15.75" customHeight="1" x14ac:dyDescent="0.25">
      <c r="A958" s="11"/>
      <c r="B958" s="4" t="str">
        <f>IF(A958="","",IFERROR(VLOOKUP(A958,Members!A$4:B$103,2,0),""))</f>
        <v/>
      </c>
      <c r="C958" s="6">
        <f t="shared" si="28"/>
        <v>0</v>
      </c>
      <c r="D958" s="11"/>
      <c r="E958" s="6" t="str">
        <f t="shared" si="29"/>
        <v/>
      </c>
      <c r="F958" s="11"/>
      <c r="G958" s="25" t="str">
        <f>IF(A958="","",IFERROR(SUMIFS($F$4:$F958,$A$4:$A958,A958),0))</f>
        <v/>
      </c>
      <c r="H958" s="11"/>
      <c r="I958" s="11"/>
      <c r="J958" s="11"/>
    </row>
    <row r="959" spans="1:10" ht="15.75" customHeight="1" x14ac:dyDescent="0.25">
      <c r="A959" s="11"/>
      <c r="B959" s="4" t="str">
        <f>IF(A959="","",IFERROR(VLOOKUP(A959,Members!A$4:B$103,2,0),""))</f>
        <v/>
      </c>
      <c r="C959" s="6">
        <f t="shared" si="28"/>
        <v>0</v>
      </c>
      <c r="D959" s="11"/>
      <c r="E959" s="6" t="str">
        <f t="shared" si="29"/>
        <v/>
      </c>
      <c r="F959" s="11"/>
      <c r="G959" s="25" t="str">
        <f>IF(A959="","",IFERROR(SUMIFS($F$4:$F959,$A$4:$A959,A959),0))</f>
        <v/>
      </c>
      <c r="H959" s="11"/>
      <c r="I959" s="11"/>
      <c r="J959" s="11"/>
    </row>
    <row r="960" spans="1:10" ht="15.75" customHeight="1" x14ac:dyDescent="0.25">
      <c r="A960" s="11"/>
      <c r="B960" s="4" t="str">
        <f>IF(A960="","",IFERROR(VLOOKUP(A960,Members!A$4:B$103,2,0),""))</f>
        <v/>
      </c>
      <c r="C960" s="6">
        <f t="shared" si="28"/>
        <v>0</v>
      </c>
      <c r="D960" s="11"/>
      <c r="E960" s="6" t="str">
        <f t="shared" si="29"/>
        <v/>
      </c>
      <c r="F960" s="11"/>
      <c r="G960" s="25" t="str">
        <f>IF(A960="","",IFERROR(SUMIFS($F$4:$F960,$A$4:$A960,A960),0))</f>
        <v/>
      </c>
      <c r="H960" s="11"/>
      <c r="I960" s="11"/>
      <c r="J960" s="11"/>
    </row>
    <row r="961" spans="1:10" ht="15.75" customHeight="1" x14ac:dyDescent="0.25">
      <c r="A961" s="11"/>
      <c r="B961" s="4" t="str">
        <f>IF(A961="","",IFERROR(VLOOKUP(A961,Members!A$4:B$103,2,0),""))</f>
        <v/>
      </c>
      <c r="C961" s="6">
        <f t="shared" si="28"/>
        <v>0</v>
      </c>
      <c r="D961" s="11"/>
      <c r="E961" s="6" t="str">
        <f t="shared" si="29"/>
        <v/>
      </c>
      <c r="F961" s="11"/>
      <c r="G961" s="25" t="str">
        <f>IF(A961="","",IFERROR(SUMIFS($F$4:$F961,$A$4:$A961,A961),0))</f>
        <v/>
      </c>
      <c r="H961" s="11"/>
      <c r="I961" s="11"/>
      <c r="J961" s="11"/>
    </row>
    <row r="962" spans="1:10" ht="15.75" customHeight="1" x14ac:dyDescent="0.25">
      <c r="A962" s="11"/>
      <c r="B962" s="4" t="str">
        <f>IF(A962="","",IFERROR(VLOOKUP(A962,Members!A$4:B$103,2,0),""))</f>
        <v/>
      </c>
      <c r="C962" s="6">
        <f t="shared" si="28"/>
        <v>0</v>
      </c>
      <c r="D962" s="11"/>
      <c r="E962" s="6" t="str">
        <f t="shared" si="29"/>
        <v/>
      </c>
      <c r="F962" s="11"/>
      <c r="G962" s="25" t="str">
        <f>IF(A962="","",IFERROR(SUMIFS($F$4:$F962,$A$4:$A962,A962),0))</f>
        <v/>
      </c>
      <c r="H962" s="11"/>
      <c r="I962" s="11"/>
      <c r="J962" s="11"/>
    </row>
    <row r="963" spans="1:10" ht="15.75" customHeight="1" x14ac:dyDescent="0.25">
      <c r="A963" s="11"/>
      <c r="B963" s="4" t="str">
        <f>IF(A963="","",IFERROR(VLOOKUP(A963,Members!A$4:B$103,2,0),""))</f>
        <v/>
      </c>
      <c r="C963" s="6">
        <f t="shared" si="28"/>
        <v>0</v>
      </c>
      <c r="D963" s="11"/>
      <c r="E963" s="6" t="str">
        <f t="shared" si="29"/>
        <v/>
      </c>
      <c r="F963" s="11"/>
      <c r="G963" s="25" t="str">
        <f>IF(A963="","",IFERROR(SUMIFS($F$4:$F963,$A$4:$A963,A963),0))</f>
        <v/>
      </c>
      <c r="H963" s="11"/>
      <c r="I963" s="11"/>
      <c r="J963" s="11"/>
    </row>
    <row r="964" spans="1:10" ht="15.75" customHeight="1" x14ac:dyDescent="0.25">
      <c r="A964" s="11"/>
      <c r="B964" s="4" t="str">
        <f>IF(A964="","",IFERROR(VLOOKUP(A964,Members!A$4:B$103,2,0),""))</f>
        <v/>
      </c>
      <c r="C964" s="6">
        <f t="shared" ref="C964:C1003" si="30">A964</f>
        <v>0</v>
      </c>
      <c r="D964" s="11"/>
      <c r="E964" s="6" t="str">
        <f t="shared" ref="E964:E1027" si="31">IF(D964="","",TEXT(DATE(2024,D964,1),"MMMM"))</f>
        <v/>
      </c>
      <c r="F964" s="11"/>
      <c r="G964" s="25" t="str">
        <f>IF(A964="","",IFERROR(SUMIFS($F$4:$F964,$A$4:$A964,A964),0))</f>
        <v/>
      </c>
      <c r="H964" s="11"/>
      <c r="I964" s="11"/>
      <c r="J964" s="11"/>
    </row>
    <row r="965" spans="1:10" ht="15.75" customHeight="1" x14ac:dyDescent="0.25">
      <c r="A965" s="11"/>
      <c r="B965" s="4" t="str">
        <f>IF(A965="","",IFERROR(VLOOKUP(A965,Members!A$4:B$103,2,0),""))</f>
        <v/>
      </c>
      <c r="C965" s="6">
        <f t="shared" si="30"/>
        <v>0</v>
      </c>
      <c r="D965" s="11"/>
      <c r="E965" s="6" t="str">
        <f t="shared" si="31"/>
        <v/>
      </c>
      <c r="F965" s="11"/>
      <c r="G965" s="25" t="str">
        <f>IF(A965="","",IFERROR(SUMIFS($F$4:$F965,$A$4:$A965,A965),0))</f>
        <v/>
      </c>
      <c r="H965" s="11"/>
      <c r="I965" s="11"/>
      <c r="J965" s="11"/>
    </row>
    <row r="966" spans="1:10" ht="15.75" customHeight="1" x14ac:dyDescent="0.25">
      <c r="A966" s="11"/>
      <c r="B966" s="4" t="str">
        <f>IF(A966="","",IFERROR(VLOOKUP(A966,Members!A$4:B$103,2,0),""))</f>
        <v/>
      </c>
      <c r="C966" s="6">
        <f t="shared" si="30"/>
        <v>0</v>
      </c>
      <c r="D966" s="11"/>
      <c r="E966" s="6" t="str">
        <f t="shared" si="31"/>
        <v/>
      </c>
      <c r="F966" s="11"/>
      <c r="G966" s="25" t="str">
        <f>IF(A966="","",IFERROR(SUMIFS($F$4:$F966,$A$4:$A966,A966),0))</f>
        <v/>
      </c>
      <c r="H966" s="11"/>
      <c r="I966" s="11"/>
      <c r="J966" s="11"/>
    </row>
    <row r="967" spans="1:10" ht="15.75" customHeight="1" x14ac:dyDescent="0.25">
      <c r="A967" s="11"/>
      <c r="B967" s="4" t="str">
        <f>IF(A967="","",IFERROR(VLOOKUP(A967,Members!A$4:B$103,2,0),""))</f>
        <v/>
      </c>
      <c r="C967" s="6">
        <f t="shared" si="30"/>
        <v>0</v>
      </c>
      <c r="D967" s="11"/>
      <c r="E967" s="6" t="str">
        <f t="shared" si="31"/>
        <v/>
      </c>
      <c r="F967" s="11"/>
      <c r="G967" s="25" t="str">
        <f>IF(A967="","",IFERROR(SUMIFS($F$4:$F967,$A$4:$A967,A967),0))</f>
        <v/>
      </c>
      <c r="H967" s="11"/>
      <c r="I967" s="11"/>
      <c r="J967" s="11"/>
    </row>
    <row r="968" spans="1:10" ht="15.75" customHeight="1" x14ac:dyDescent="0.25">
      <c r="A968" s="11"/>
      <c r="B968" s="4" t="str">
        <f>IF(A968="","",IFERROR(VLOOKUP(A968,Members!A$4:B$103,2,0),""))</f>
        <v/>
      </c>
      <c r="C968" s="6">
        <f t="shared" si="30"/>
        <v>0</v>
      </c>
      <c r="D968" s="11"/>
      <c r="E968" s="6" t="str">
        <f t="shared" si="31"/>
        <v/>
      </c>
      <c r="F968" s="11"/>
      <c r="G968" s="25" t="str">
        <f>IF(A968="","",IFERROR(SUMIFS($F$4:$F968,$A$4:$A968,A968),0))</f>
        <v/>
      </c>
      <c r="H968" s="11"/>
      <c r="I968" s="11"/>
      <c r="J968" s="11"/>
    </row>
    <row r="969" spans="1:10" ht="15.75" customHeight="1" x14ac:dyDescent="0.25">
      <c r="A969" s="11"/>
      <c r="B969" s="4" t="str">
        <f>IF(A969="","",IFERROR(VLOOKUP(A969,Members!A$4:B$103,2,0),""))</f>
        <v/>
      </c>
      <c r="C969" s="6">
        <f t="shared" si="30"/>
        <v>0</v>
      </c>
      <c r="D969" s="11"/>
      <c r="E969" s="6" t="str">
        <f t="shared" si="31"/>
        <v/>
      </c>
      <c r="F969" s="11"/>
      <c r="G969" s="25" t="str">
        <f>IF(A969="","",IFERROR(SUMIFS($F$4:$F969,$A$4:$A969,A969),0))</f>
        <v/>
      </c>
      <c r="H969" s="11"/>
      <c r="I969" s="11"/>
      <c r="J969" s="11"/>
    </row>
    <row r="970" spans="1:10" ht="15.75" customHeight="1" x14ac:dyDescent="0.25">
      <c r="A970" s="11"/>
      <c r="B970" s="4" t="str">
        <f>IF(A970="","",IFERROR(VLOOKUP(A970,Members!A$4:B$103,2,0),""))</f>
        <v/>
      </c>
      <c r="C970" s="6">
        <f t="shared" si="30"/>
        <v>0</v>
      </c>
      <c r="D970" s="11"/>
      <c r="E970" s="6" t="str">
        <f t="shared" si="31"/>
        <v/>
      </c>
      <c r="F970" s="11"/>
      <c r="G970" s="25" t="str">
        <f>IF(A970="","",IFERROR(SUMIFS($F$4:$F970,$A$4:$A970,A970),0))</f>
        <v/>
      </c>
      <c r="H970" s="11"/>
      <c r="I970" s="11"/>
      <c r="J970" s="11"/>
    </row>
    <row r="971" spans="1:10" ht="15.75" customHeight="1" x14ac:dyDescent="0.25">
      <c r="A971" s="11"/>
      <c r="B971" s="4" t="str">
        <f>IF(A971="","",IFERROR(VLOOKUP(A971,Members!A$4:B$103,2,0),""))</f>
        <v/>
      </c>
      <c r="C971" s="6">
        <f t="shared" si="30"/>
        <v>0</v>
      </c>
      <c r="D971" s="11"/>
      <c r="E971" s="6" t="str">
        <f t="shared" si="31"/>
        <v/>
      </c>
      <c r="F971" s="11"/>
      <c r="G971" s="25" t="str">
        <f>IF(A971="","",IFERROR(SUMIFS($F$4:$F971,$A$4:$A971,A971),0))</f>
        <v/>
      </c>
      <c r="H971" s="11"/>
      <c r="I971" s="11"/>
      <c r="J971" s="11"/>
    </row>
    <row r="972" spans="1:10" ht="15.75" customHeight="1" x14ac:dyDescent="0.25">
      <c r="A972" s="11"/>
      <c r="B972" s="4" t="str">
        <f>IF(A972="","",IFERROR(VLOOKUP(A972,Members!A$4:B$103,2,0),""))</f>
        <v/>
      </c>
      <c r="C972" s="6">
        <f t="shared" si="30"/>
        <v>0</v>
      </c>
      <c r="D972" s="11"/>
      <c r="E972" s="6" t="str">
        <f t="shared" si="31"/>
        <v/>
      </c>
      <c r="F972" s="11"/>
      <c r="G972" s="25" t="str">
        <f>IF(A972="","",IFERROR(SUMIFS($F$4:$F972,$A$4:$A972,A972),0))</f>
        <v/>
      </c>
      <c r="H972" s="11"/>
      <c r="I972" s="11"/>
      <c r="J972" s="11"/>
    </row>
    <row r="973" spans="1:10" ht="15.75" customHeight="1" x14ac:dyDescent="0.25">
      <c r="A973" s="11"/>
      <c r="B973" s="4" t="str">
        <f>IF(A973="","",IFERROR(VLOOKUP(A973,Members!A$4:B$103,2,0),""))</f>
        <v/>
      </c>
      <c r="C973" s="6">
        <f t="shared" si="30"/>
        <v>0</v>
      </c>
      <c r="D973" s="11"/>
      <c r="E973" s="6" t="str">
        <f t="shared" si="31"/>
        <v/>
      </c>
      <c r="F973" s="11"/>
      <c r="G973" s="25" t="str">
        <f>IF(A973="","",IFERROR(SUMIFS($F$4:$F973,$A$4:$A973,A973),0))</f>
        <v/>
      </c>
      <c r="H973" s="11"/>
      <c r="I973" s="11"/>
      <c r="J973" s="11"/>
    </row>
    <row r="974" spans="1:10" ht="15.75" customHeight="1" x14ac:dyDescent="0.25">
      <c r="A974" s="11"/>
      <c r="B974" s="4" t="str">
        <f>IF(A974="","",IFERROR(VLOOKUP(A974,Members!A$4:B$103,2,0),""))</f>
        <v/>
      </c>
      <c r="C974" s="6">
        <f t="shared" si="30"/>
        <v>0</v>
      </c>
      <c r="D974" s="11"/>
      <c r="E974" s="6" t="str">
        <f t="shared" si="31"/>
        <v/>
      </c>
      <c r="F974" s="11"/>
      <c r="G974" s="25" t="str">
        <f>IF(A974="","",IFERROR(SUMIFS($F$4:$F974,$A$4:$A974,A974),0))</f>
        <v/>
      </c>
      <c r="H974" s="11"/>
      <c r="I974" s="11"/>
      <c r="J974" s="11"/>
    </row>
    <row r="975" spans="1:10" ht="15.75" customHeight="1" x14ac:dyDescent="0.25">
      <c r="A975" s="11"/>
      <c r="B975" s="4" t="str">
        <f>IF(A975="","",IFERROR(VLOOKUP(A975,Members!A$4:B$103,2,0),""))</f>
        <v/>
      </c>
      <c r="C975" s="6">
        <f t="shared" si="30"/>
        <v>0</v>
      </c>
      <c r="D975" s="11"/>
      <c r="E975" s="6" t="str">
        <f t="shared" si="31"/>
        <v/>
      </c>
      <c r="F975" s="11"/>
      <c r="G975" s="25" t="str">
        <f>IF(A975="","",IFERROR(SUMIFS($F$4:$F975,$A$4:$A975,A975),0))</f>
        <v/>
      </c>
      <c r="H975" s="11"/>
      <c r="I975" s="11"/>
      <c r="J975" s="11"/>
    </row>
    <row r="976" spans="1:10" ht="15.75" customHeight="1" x14ac:dyDescent="0.25">
      <c r="A976" s="11"/>
      <c r="B976" s="4" t="str">
        <f>IF(A976="","",IFERROR(VLOOKUP(A976,Members!A$4:B$103,2,0),""))</f>
        <v/>
      </c>
      <c r="C976" s="6">
        <f t="shared" si="30"/>
        <v>0</v>
      </c>
      <c r="D976" s="11"/>
      <c r="E976" s="6" t="str">
        <f t="shared" si="31"/>
        <v/>
      </c>
      <c r="F976" s="11"/>
      <c r="G976" s="25" t="str">
        <f>IF(A976="","",IFERROR(SUMIFS($F$4:$F976,$A$4:$A976,A976),0))</f>
        <v/>
      </c>
      <c r="H976" s="11"/>
      <c r="I976" s="11"/>
      <c r="J976" s="11"/>
    </row>
    <row r="977" spans="1:10" ht="15.75" customHeight="1" x14ac:dyDescent="0.25">
      <c r="A977" s="11"/>
      <c r="B977" s="4" t="str">
        <f>IF(A977="","",IFERROR(VLOOKUP(A977,Members!A$4:B$103,2,0),""))</f>
        <v/>
      </c>
      <c r="C977" s="6">
        <f t="shared" si="30"/>
        <v>0</v>
      </c>
      <c r="D977" s="11"/>
      <c r="E977" s="6" t="str">
        <f t="shared" si="31"/>
        <v/>
      </c>
      <c r="F977" s="11"/>
      <c r="G977" s="25" t="str">
        <f>IF(A977="","",IFERROR(SUMIFS($F$4:$F977,$A$4:$A977,A977),0))</f>
        <v/>
      </c>
      <c r="H977" s="11"/>
      <c r="I977" s="11"/>
      <c r="J977" s="11"/>
    </row>
    <row r="978" spans="1:10" ht="15.75" customHeight="1" x14ac:dyDescent="0.25">
      <c r="A978" s="11"/>
      <c r="B978" s="4" t="str">
        <f>IF(A978="","",IFERROR(VLOOKUP(A978,Members!A$4:B$103,2,0),""))</f>
        <v/>
      </c>
      <c r="C978" s="6">
        <f t="shared" si="30"/>
        <v>0</v>
      </c>
      <c r="D978" s="11"/>
      <c r="E978" s="6" t="str">
        <f t="shared" si="31"/>
        <v/>
      </c>
      <c r="F978" s="11"/>
      <c r="G978" s="25" t="str">
        <f>IF(A978="","",IFERROR(SUMIFS($F$4:$F978,$A$4:$A978,A978),0))</f>
        <v/>
      </c>
      <c r="H978" s="11"/>
      <c r="I978" s="11"/>
      <c r="J978" s="11"/>
    </row>
    <row r="979" spans="1:10" ht="15.75" customHeight="1" x14ac:dyDescent="0.25">
      <c r="A979" s="11"/>
      <c r="B979" s="4" t="str">
        <f>IF(A979="","",IFERROR(VLOOKUP(A979,Members!A$4:B$103,2,0),""))</f>
        <v/>
      </c>
      <c r="C979" s="6">
        <f t="shared" si="30"/>
        <v>0</v>
      </c>
      <c r="D979" s="11"/>
      <c r="E979" s="6" t="str">
        <f t="shared" si="31"/>
        <v/>
      </c>
      <c r="F979" s="11"/>
      <c r="G979" s="25" t="str">
        <f>IF(A979="","",IFERROR(SUMIFS($F$4:$F979,$A$4:$A979,A979),0))</f>
        <v/>
      </c>
      <c r="H979" s="11"/>
      <c r="I979" s="11"/>
      <c r="J979" s="11"/>
    </row>
    <row r="980" spans="1:10" ht="15.75" customHeight="1" x14ac:dyDescent="0.25">
      <c r="A980" s="11"/>
      <c r="B980" s="4" t="str">
        <f>IF(A980="","",IFERROR(VLOOKUP(A980,Members!A$4:B$103,2,0),""))</f>
        <v/>
      </c>
      <c r="C980" s="6">
        <f t="shared" si="30"/>
        <v>0</v>
      </c>
      <c r="D980" s="11"/>
      <c r="E980" s="6" t="str">
        <f t="shared" si="31"/>
        <v/>
      </c>
      <c r="F980" s="11"/>
      <c r="G980" s="25" t="str">
        <f>IF(A980="","",IFERROR(SUMIFS($F$4:$F980,$A$4:$A980,A980),0))</f>
        <v/>
      </c>
      <c r="H980" s="11"/>
      <c r="I980" s="11"/>
      <c r="J980" s="11"/>
    </row>
    <row r="981" spans="1:10" ht="15.75" customHeight="1" x14ac:dyDescent="0.25">
      <c r="A981" s="11"/>
      <c r="B981" s="4" t="str">
        <f>IF(A981="","",IFERROR(VLOOKUP(A981,Members!A$4:B$103,2,0),""))</f>
        <v/>
      </c>
      <c r="C981" s="6">
        <f t="shared" si="30"/>
        <v>0</v>
      </c>
      <c r="D981" s="11"/>
      <c r="E981" s="6" t="str">
        <f t="shared" si="31"/>
        <v/>
      </c>
      <c r="F981" s="11"/>
      <c r="G981" s="25" t="str">
        <f>IF(A981="","",IFERROR(SUMIFS($F$4:$F981,$A$4:$A981,A981),0))</f>
        <v/>
      </c>
      <c r="H981" s="11"/>
      <c r="I981" s="11"/>
      <c r="J981" s="11"/>
    </row>
    <row r="982" spans="1:10" ht="15.75" customHeight="1" x14ac:dyDescent="0.25">
      <c r="A982" s="11"/>
      <c r="B982" s="4" t="str">
        <f>IF(A982="","",IFERROR(VLOOKUP(A982,Members!A$4:B$103,2,0),""))</f>
        <v/>
      </c>
      <c r="C982" s="6">
        <f t="shared" si="30"/>
        <v>0</v>
      </c>
      <c r="D982" s="11"/>
      <c r="E982" s="6" t="str">
        <f t="shared" si="31"/>
        <v/>
      </c>
      <c r="F982" s="11"/>
      <c r="G982" s="25" t="str">
        <f>IF(A982="","",IFERROR(SUMIFS($F$4:$F982,$A$4:$A982,A982),0))</f>
        <v/>
      </c>
      <c r="H982" s="11"/>
      <c r="I982" s="11"/>
      <c r="J982" s="11"/>
    </row>
    <row r="983" spans="1:10" ht="15.75" customHeight="1" x14ac:dyDescent="0.25">
      <c r="A983" s="11"/>
      <c r="B983" s="4" t="str">
        <f>IF(A983="","",IFERROR(VLOOKUP(A983,Members!A$4:B$103,2,0),""))</f>
        <v/>
      </c>
      <c r="C983" s="6">
        <f t="shared" si="30"/>
        <v>0</v>
      </c>
      <c r="D983" s="11"/>
      <c r="E983" s="6" t="str">
        <f t="shared" si="31"/>
        <v/>
      </c>
      <c r="F983" s="11"/>
      <c r="G983" s="25" t="str">
        <f>IF(A983="","",IFERROR(SUMIFS($F$4:$F983,$A$4:$A983,A983),0))</f>
        <v/>
      </c>
      <c r="H983" s="11"/>
      <c r="I983" s="11"/>
      <c r="J983" s="11"/>
    </row>
    <row r="984" spans="1:10" ht="15.75" customHeight="1" x14ac:dyDescent="0.25">
      <c r="A984" s="11"/>
      <c r="B984" s="4" t="str">
        <f>IF(A984="","",IFERROR(VLOOKUP(A984,Members!A$4:B$103,2,0),""))</f>
        <v/>
      </c>
      <c r="C984" s="6">
        <f t="shared" si="30"/>
        <v>0</v>
      </c>
      <c r="D984" s="11"/>
      <c r="E984" s="6" t="str">
        <f t="shared" si="31"/>
        <v/>
      </c>
      <c r="F984" s="11"/>
      <c r="G984" s="25" t="str">
        <f>IF(A984="","",IFERROR(SUMIFS($F$4:$F984,$A$4:$A984,A984),0))</f>
        <v/>
      </c>
      <c r="H984" s="11"/>
      <c r="I984" s="11"/>
      <c r="J984" s="11"/>
    </row>
    <row r="985" spans="1:10" ht="15.75" customHeight="1" x14ac:dyDescent="0.25">
      <c r="A985" s="11"/>
      <c r="B985" s="4" t="str">
        <f>IF(A985="","",IFERROR(VLOOKUP(A985,Members!A$4:B$103,2,0),""))</f>
        <v/>
      </c>
      <c r="C985" s="6">
        <f t="shared" si="30"/>
        <v>0</v>
      </c>
      <c r="D985" s="11"/>
      <c r="E985" s="6" t="str">
        <f t="shared" si="31"/>
        <v/>
      </c>
      <c r="F985" s="11"/>
      <c r="G985" s="25" t="str">
        <f>IF(A985="","",IFERROR(SUMIFS($F$4:$F985,$A$4:$A985,A985),0))</f>
        <v/>
      </c>
      <c r="H985" s="11"/>
      <c r="I985" s="11"/>
      <c r="J985" s="11"/>
    </row>
    <row r="986" spans="1:10" ht="15.75" customHeight="1" x14ac:dyDescent="0.25">
      <c r="A986" s="11"/>
      <c r="B986" s="4" t="str">
        <f>IF(A986="","",IFERROR(VLOOKUP(A986,Members!A$4:B$103,2,0),""))</f>
        <v/>
      </c>
      <c r="C986" s="6">
        <f t="shared" si="30"/>
        <v>0</v>
      </c>
      <c r="D986" s="11"/>
      <c r="E986" s="6" t="str">
        <f t="shared" si="31"/>
        <v/>
      </c>
      <c r="F986" s="11"/>
      <c r="G986" s="25" t="str">
        <f>IF(A986="","",IFERROR(SUMIFS($F$4:$F986,$A$4:$A986,A986),0))</f>
        <v/>
      </c>
      <c r="H986" s="11"/>
      <c r="I986" s="11"/>
      <c r="J986" s="11"/>
    </row>
    <row r="987" spans="1:10" ht="15.75" customHeight="1" x14ac:dyDescent="0.25">
      <c r="A987" s="11"/>
      <c r="B987" s="4" t="str">
        <f>IF(A987="","",IFERROR(VLOOKUP(A987,Members!A$4:B$103,2,0),""))</f>
        <v/>
      </c>
      <c r="C987" s="6">
        <f t="shared" si="30"/>
        <v>0</v>
      </c>
      <c r="D987" s="11"/>
      <c r="E987" s="6" t="str">
        <f t="shared" si="31"/>
        <v/>
      </c>
      <c r="F987" s="11"/>
      <c r="G987" s="25" t="str">
        <f>IF(A987="","",IFERROR(SUMIFS($F$4:$F987,$A$4:$A987,A987),0))</f>
        <v/>
      </c>
      <c r="H987" s="11"/>
      <c r="I987" s="11"/>
      <c r="J987" s="11"/>
    </row>
    <row r="988" spans="1:10" ht="15.75" customHeight="1" x14ac:dyDescent="0.25">
      <c r="A988" s="11"/>
      <c r="B988" s="4" t="str">
        <f>IF(A988="","",IFERROR(VLOOKUP(A988,Members!A$4:B$103,2,0),""))</f>
        <v/>
      </c>
      <c r="C988" s="6">
        <f t="shared" si="30"/>
        <v>0</v>
      </c>
      <c r="D988" s="11"/>
      <c r="E988" s="6" t="str">
        <f t="shared" si="31"/>
        <v/>
      </c>
      <c r="F988" s="11"/>
      <c r="G988" s="25" t="str">
        <f>IF(A988="","",IFERROR(SUMIFS($F$4:$F988,$A$4:$A988,A988),0))</f>
        <v/>
      </c>
      <c r="H988" s="11"/>
      <c r="I988" s="11"/>
      <c r="J988" s="11"/>
    </row>
    <row r="989" spans="1:10" ht="15.75" customHeight="1" x14ac:dyDescent="0.25">
      <c r="A989" s="11"/>
      <c r="B989" s="4" t="str">
        <f>IF(A989="","",IFERROR(VLOOKUP(A989,Members!A$4:B$103,2,0),""))</f>
        <v/>
      </c>
      <c r="C989" s="6">
        <f t="shared" si="30"/>
        <v>0</v>
      </c>
      <c r="D989" s="11"/>
      <c r="E989" s="6" t="str">
        <f t="shared" si="31"/>
        <v/>
      </c>
      <c r="F989" s="11"/>
      <c r="G989" s="25" t="str">
        <f>IF(A989="","",IFERROR(SUMIFS($F$4:$F989,$A$4:$A989,A989),0))</f>
        <v/>
      </c>
      <c r="H989" s="11"/>
      <c r="I989" s="11"/>
      <c r="J989" s="11"/>
    </row>
    <row r="990" spans="1:10" ht="15.75" customHeight="1" x14ac:dyDescent="0.25">
      <c r="A990" s="11"/>
      <c r="B990" s="4" t="str">
        <f>IF(A990="","",IFERROR(VLOOKUP(A990,Members!A$4:B$103,2,0),""))</f>
        <v/>
      </c>
      <c r="C990" s="6">
        <f t="shared" si="30"/>
        <v>0</v>
      </c>
      <c r="D990" s="11"/>
      <c r="E990" s="6" t="str">
        <f t="shared" si="31"/>
        <v/>
      </c>
      <c r="F990" s="11"/>
      <c r="G990" s="25" t="str">
        <f>IF(A990="","",IFERROR(SUMIFS($F$4:$F990,$A$4:$A990,A990),0))</f>
        <v/>
      </c>
      <c r="H990" s="11"/>
      <c r="I990" s="11"/>
      <c r="J990" s="11"/>
    </row>
    <row r="991" spans="1:10" ht="15.75" customHeight="1" x14ac:dyDescent="0.25">
      <c r="A991" s="11"/>
      <c r="B991" s="4" t="str">
        <f>IF(A991="","",IFERROR(VLOOKUP(A991,Members!A$4:B$103,2,0),""))</f>
        <v/>
      </c>
      <c r="C991" s="6">
        <f t="shared" si="30"/>
        <v>0</v>
      </c>
      <c r="D991" s="11"/>
      <c r="E991" s="6" t="str">
        <f t="shared" si="31"/>
        <v/>
      </c>
      <c r="F991" s="11"/>
      <c r="G991" s="25" t="str">
        <f>IF(A991="","",IFERROR(SUMIFS($F$4:$F991,$A$4:$A991,A991),0))</f>
        <v/>
      </c>
      <c r="H991" s="11"/>
      <c r="I991" s="11"/>
      <c r="J991" s="11"/>
    </row>
    <row r="992" spans="1:10" ht="15.75" customHeight="1" x14ac:dyDescent="0.25">
      <c r="A992" s="11"/>
      <c r="B992" s="4" t="str">
        <f>IF(A992="","",IFERROR(VLOOKUP(A992,Members!A$4:B$103,2,0),""))</f>
        <v/>
      </c>
      <c r="C992" s="6">
        <f t="shared" si="30"/>
        <v>0</v>
      </c>
      <c r="D992" s="11"/>
      <c r="E992" s="6" t="str">
        <f t="shared" si="31"/>
        <v/>
      </c>
      <c r="F992" s="11"/>
      <c r="G992" s="25" t="str">
        <f>IF(A992="","",IFERROR(SUMIFS($F$4:$F992,$A$4:$A992,A992),0))</f>
        <v/>
      </c>
      <c r="H992" s="11"/>
      <c r="I992" s="11"/>
      <c r="J992" s="11"/>
    </row>
    <row r="993" spans="1:10" ht="15.75" customHeight="1" x14ac:dyDescent="0.25">
      <c r="A993" s="11"/>
      <c r="B993" s="4" t="str">
        <f>IF(A993="","",IFERROR(VLOOKUP(A993,Members!A$4:B$103,2,0),""))</f>
        <v/>
      </c>
      <c r="C993" s="6">
        <f t="shared" si="30"/>
        <v>0</v>
      </c>
      <c r="D993" s="11"/>
      <c r="E993" s="6" t="str">
        <f t="shared" si="31"/>
        <v/>
      </c>
      <c r="F993" s="11"/>
      <c r="G993" s="25" t="str">
        <f>IF(A993="","",IFERROR(SUMIFS($F$4:$F993,$A$4:$A993,A993),0))</f>
        <v/>
      </c>
      <c r="H993" s="11"/>
      <c r="I993" s="11"/>
      <c r="J993" s="11"/>
    </row>
    <row r="994" spans="1:10" ht="15.75" customHeight="1" x14ac:dyDescent="0.25">
      <c r="A994" s="11"/>
      <c r="B994" s="4" t="str">
        <f>IF(A994="","",IFERROR(VLOOKUP(A994,Members!A$4:B$103,2,0),""))</f>
        <v/>
      </c>
      <c r="C994" s="6">
        <f t="shared" si="30"/>
        <v>0</v>
      </c>
      <c r="D994" s="11"/>
      <c r="E994" s="6" t="str">
        <f t="shared" si="31"/>
        <v/>
      </c>
      <c r="F994" s="11"/>
      <c r="G994" s="25" t="str">
        <f>IF(A994="","",IFERROR(SUMIFS($F$4:$F994,$A$4:$A994,A994),0))</f>
        <v/>
      </c>
      <c r="H994" s="11"/>
      <c r="I994" s="11"/>
      <c r="J994" s="11"/>
    </row>
    <row r="995" spans="1:10" ht="15.75" customHeight="1" x14ac:dyDescent="0.25">
      <c r="A995" s="11"/>
      <c r="B995" s="4" t="str">
        <f>IF(A995="","",IFERROR(VLOOKUP(A995,Members!A$4:B$103,2,0),""))</f>
        <v/>
      </c>
      <c r="C995" s="6">
        <f t="shared" si="30"/>
        <v>0</v>
      </c>
      <c r="D995" s="11"/>
      <c r="E995" s="6" t="str">
        <f t="shared" si="31"/>
        <v/>
      </c>
      <c r="F995" s="11"/>
      <c r="G995" s="25" t="str">
        <f>IF(A995="","",IFERROR(SUMIFS($F$4:$F995,$A$4:$A995,A995),0))</f>
        <v/>
      </c>
      <c r="H995" s="11"/>
      <c r="I995" s="11"/>
      <c r="J995" s="11"/>
    </row>
    <row r="996" spans="1:10" ht="15.75" customHeight="1" x14ac:dyDescent="0.25">
      <c r="A996" s="11"/>
      <c r="B996" s="4" t="str">
        <f>IF(A996="","",IFERROR(VLOOKUP(A996,Members!A$4:B$103,2,0),""))</f>
        <v/>
      </c>
      <c r="C996" s="6">
        <f t="shared" si="30"/>
        <v>0</v>
      </c>
      <c r="D996" s="11"/>
      <c r="E996" s="6" t="str">
        <f t="shared" si="31"/>
        <v/>
      </c>
      <c r="F996" s="11"/>
      <c r="G996" s="25" t="str">
        <f>IF(A996="","",IFERROR(SUMIFS($F$4:$F996,$A$4:$A996,A996),0))</f>
        <v/>
      </c>
      <c r="H996" s="11"/>
      <c r="I996" s="11"/>
      <c r="J996" s="11"/>
    </row>
    <row r="997" spans="1:10" ht="15.75" customHeight="1" x14ac:dyDescent="0.25">
      <c r="A997" s="11"/>
      <c r="B997" s="4" t="str">
        <f>IF(A997="","",IFERROR(VLOOKUP(A997,Members!A$4:B$103,2,0),""))</f>
        <v/>
      </c>
      <c r="C997" s="6">
        <f t="shared" si="30"/>
        <v>0</v>
      </c>
      <c r="D997" s="11"/>
      <c r="E997" s="6" t="str">
        <f t="shared" si="31"/>
        <v/>
      </c>
      <c r="F997" s="11"/>
      <c r="G997" s="25" t="str">
        <f>IF(A997="","",IFERROR(SUMIFS($F$4:$F997,$A$4:$A997,A997),0))</f>
        <v/>
      </c>
      <c r="H997" s="11"/>
      <c r="I997" s="11"/>
      <c r="J997" s="11"/>
    </row>
    <row r="998" spans="1:10" ht="15.75" customHeight="1" x14ac:dyDescent="0.25">
      <c r="A998" s="11"/>
      <c r="B998" s="4" t="str">
        <f>IF(A998="","",IFERROR(VLOOKUP(A998,Members!A$4:B$103,2,0),""))</f>
        <v/>
      </c>
      <c r="C998" s="6">
        <f t="shared" si="30"/>
        <v>0</v>
      </c>
      <c r="D998" s="11"/>
      <c r="E998" s="6" t="str">
        <f t="shared" si="31"/>
        <v/>
      </c>
      <c r="F998" s="11"/>
      <c r="G998" s="25" t="str">
        <f>IF(A998="","",IFERROR(SUMIFS($F$4:$F998,$A$4:$A998,A998),0))</f>
        <v/>
      </c>
      <c r="H998" s="11"/>
      <c r="I998" s="11"/>
      <c r="J998" s="11"/>
    </row>
    <row r="999" spans="1:10" ht="15.75" customHeight="1" x14ac:dyDescent="0.25">
      <c r="A999" s="11"/>
      <c r="B999" s="4" t="str">
        <f>IF(A999="","",IFERROR(VLOOKUP(A999,Members!A$4:B$103,2,0),""))</f>
        <v/>
      </c>
      <c r="C999" s="6">
        <f t="shared" si="30"/>
        <v>0</v>
      </c>
      <c r="D999" s="11"/>
      <c r="E999" s="6" t="str">
        <f t="shared" si="31"/>
        <v/>
      </c>
      <c r="F999" s="11"/>
      <c r="G999" s="25" t="str">
        <f>IF(A999="","",IFERROR(SUMIFS($F$4:$F999,$A$4:$A999,A999),0))</f>
        <v/>
      </c>
      <c r="H999" s="11"/>
      <c r="I999" s="11"/>
      <c r="J999" s="11"/>
    </row>
    <row r="1000" spans="1:10" ht="15.75" customHeight="1" x14ac:dyDescent="0.25">
      <c r="A1000" s="11"/>
      <c r="B1000" s="4" t="str">
        <f>IF(A1000="","",IFERROR(VLOOKUP(A1000,Members!A$4:B$103,2,0),""))</f>
        <v/>
      </c>
      <c r="C1000" s="6">
        <f t="shared" si="30"/>
        <v>0</v>
      </c>
      <c r="D1000" s="11"/>
      <c r="E1000" s="6" t="str">
        <f t="shared" si="31"/>
        <v/>
      </c>
      <c r="F1000" s="11"/>
      <c r="G1000" s="25" t="str">
        <f>IF(A1000="","",IFERROR(SUMIFS($F$4:$F1000,$A$4:$A1000,A1000),0))</f>
        <v/>
      </c>
      <c r="H1000" s="11"/>
      <c r="I1000" s="11"/>
      <c r="J1000" s="11"/>
    </row>
    <row r="1001" spans="1:10" ht="15.75" customHeight="1" x14ac:dyDescent="0.25">
      <c r="A1001" s="11"/>
      <c r="B1001" s="4" t="str">
        <f>IF(A1001="","",IFERROR(VLOOKUP(A1001,Members!A$4:B$103,2,0),""))</f>
        <v/>
      </c>
      <c r="C1001" s="6">
        <f t="shared" si="30"/>
        <v>0</v>
      </c>
      <c r="D1001" s="11"/>
      <c r="E1001" s="6" t="str">
        <f t="shared" si="31"/>
        <v/>
      </c>
      <c r="F1001" s="11"/>
      <c r="G1001" s="25" t="str">
        <f>IF(A1001="","",IFERROR(SUMIFS($F$4:$F1001,$A$4:$A1001,A1001),0))</f>
        <v/>
      </c>
      <c r="H1001" s="11"/>
      <c r="I1001" s="11"/>
      <c r="J1001" s="11"/>
    </row>
    <row r="1002" spans="1:10" ht="15.75" customHeight="1" x14ac:dyDescent="0.25">
      <c r="A1002" s="11"/>
      <c r="B1002" s="4" t="str">
        <f>IF(A1002="","",IFERROR(VLOOKUP(A1002,Members!A$4:B$103,2,0),""))</f>
        <v/>
      </c>
      <c r="C1002" s="6">
        <f t="shared" si="30"/>
        <v>0</v>
      </c>
      <c r="D1002" s="11"/>
      <c r="E1002" s="6" t="str">
        <f t="shared" si="31"/>
        <v/>
      </c>
      <c r="F1002" s="11"/>
      <c r="G1002" s="25" t="str">
        <f>IF(A1002="","",IFERROR(SUMIFS($F$4:$F1002,$A$4:$A1002,A1002),0))</f>
        <v/>
      </c>
      <c r="H1002" s="11"/>
      <c r="I1002" s="11"/>
      <c r="J1002" s="11"/>
    </row>
    <row r="1003" spans="1:10" ht="15.75" customHeight="1" x14ac:dyDescent="0.25">
      <c r="A1003" s="11"/>
      <c r="B1003" s="4" t="str">
        <f>IF(A1003="","",IFERROR(VLOOKUP(A1003,Members!A$4:B$103,2,0),""))</f>
        <v/>
      </c>
      <c r="C1003" s="6">
        <f t="shared" si="30"/>
        <v>0</v>
      </c>
      <c r="D1003" s="11"/>
      <c r="E1003" s="6" t="str">
        <f t="shared" si="31"/>
        <v/>
      </c>
      <c r="F1003" s="11"/>
      <c r="G1003" s="25" t="str">
        <f>IF(A1003="","",IFERROR(SUMIFS($F$4:$F1003,$A$4:$A1003,A1003),0))</f>
        <v/>
      </c>
      <c r="H1003" s="11"/>
      <c r="I1003" s="11"/>
      <c r="J1003" s="11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103"/>
  <sheetViews>
    <sheetView zoomScaleNormal="100" workbookViewId="0">
      <pane ySplit="3" topLeftCell="A4" activePane="bottomLeft" state="frozen"/>
      <selection pane="bottomLeft" sqref="A1:J1"/>
    </sheetView>
  </sheetViews>
  <sheetFormatPr defaultColWidth="8.7109375" defaultRowHeight="15" x14ac:dyDescent="0.25"/>
  <cols>
    <col min="1" max="1" width="13" customWidth="1"/>
    <col min="2" max="2" width="16" customWidth="1"/>
    <col min="3" max="3" width="18" customWidth="1"/>
    <col min="4" max="5" width="14" customWidth="1"/>
    <col min="6" max="6" width="16" customWidth="1"/>
    <col min="7" max="7" width="14" customWidth="1"/>
    <col min="8" max="8" width="22" customWidth="1"/>
  </cols>
  <sheetData>
    <row r="1" spans="1:10" ht="31.5" customHeight="1" x14ac:dyDescent="0.25">
      <c r="A1" s="167" t="s">
        <v>353</v>
      </c>
      <c r="B1" s="162"/>
      <c r="C1" s="162"/>
      <c r="D1" s="162"/>
      <c r="E1" s="162"/>
      <c r="F1" s="162"/>
      <c r="G1" s="162"/>
      <c r="H1" s="162"/>
      <c r="I1" s="162"/>
      <c r="J1" s="162"/>
    </row>
    <row r="2" spans="1:10" ht="21.75" customHeight="1" x14ac:dyDescent="0.25">
      <c r="A2" s="3" t="s">
        <v>354</v>
      </c>
      <c r="B2" s="8"/>
      <c r="D2" s="4" t="str">
        <f>IFERROR(VLOOKUP(B2,Members!A4:B103,2,0),"")</f>
        <v/>
      </c>
      <c r="F2" s="3" t="s">
        <v>355</v>
      </c>
      <c r="G2" s="2">
        <f>IFERROR(SUMIFS(Transactions!H4:H1003,Transactions!D4:D1003,B2,Transactions!E4:E1003,"Savings Deposit")-SUMIFS(Transactions!G4:G1003,Transactions!D4:D1003,B2,Transactions!E4:E1003,"Withdrawal"),0)</f>
        <v>0</v>
      </c>
    </row>
    <row r="3" spans="1:10" ht="24" customHeight="1" x14ac:dyDescent="0.25">
      <c r="A3" s="9" t="s">
        <v>259</v>
      </c>
      <c r="B3" s="9" t="s">
        <v>258</v>
      </c>
      <c r="C3" s="9" t="s">
        <v>356</v>
      </c>
      <c r="D3" s="9" t="s">
        <v>262</v>
      </c>
      <c r="E3" s="9" t="s">
        <v>263</v>
      </c>
      <c r="F3" s="9" t="s">
        <v>357</v>
      </c>
      <c r="G3" s="9" t="s">
        <v>75</v>
      </c>
      <c r="H3" s="9" t="s">
        <v>51</v>
      </c>
    </row>
    <row r="4" spans="1:10" ht="15.75" customHeight="1" x14ac:dyDescent="0.25">
      <c r="A4" s="7">
        <f ca="1">IFERROR(INDEX(INDIRECT("Transactions!"&amp;"B4:B1003"),MATCH(1,MMULT((Transactions!D$4:D$1003=$B$2)*1,{1}),0)+0),"")</f>
        <v>0</v>
      </c>
      <c r="B4" s="7">
        <f ca="1">IFERROR(INDEX(INDIRECT("Transactions!"&amp;"A4:A1003"),MATCH(1,MMULT((Transactions!D$4:D$1003=$B$2)*1,{1}),0)+0),"")</f>
        <v>0</v>
      </c>
      <c r="C4" s="7">
        <f ca="1">IFERROR(INDEX(INDIRECT("Transactions!"&amp;"E4:E1003"),MATCH(1,MMULT((Transactions!D$4:D$1003=$B$2)*1,{1}),0)+0),"")</f>
        <v>0</v>
      </c>
      <c r="D4" s="29" t="str">
        <f ca="1">IFERROR(INDEX(INDIRECT("Transactions!"&amp;"G4:G1003"),MATCH(1,MMULT((Transactions!D$4:D$1003=$B$2)*1,{1}),0)+0),"")</f>
        <v/>
      </c>
      <c r="E4" s="29" t="str">
        <f ca="1">IFERROR(INDEX(INDIRECT("Transactions!"&amp;"H4:H1003"),MATCH(1,MMULT((Transactions!D$4:D$1003=$B$2)*1,{1}),0)+0),"")</f>
        <v/>
      </c>
      <c r="F4" s="13" t="str">
        <f ca="1">IFERROR(INDEX(INDIRECT("Transactions!"&amp;"I4:I1003"),MATCH(1,MMULT((Transactions!D$4:D$1003=$B$2)*1,{1}),0)+0),"")</f>
        <v/>
      </c>
      <c r="G4" s="7">
        <f ca="1">IFERROR(INDEX(INDIRECT("Transactions!"&amp;"J4:J1003"),MATCH(1,MMULT((Transactions!D$4:D$1003=$B$2)*1,{1}),0)+0),"")</f>
        <v>0</v>
      </c>
      <c r="H4" s="7">
        <f ca="1">IFERROR(INDEX(INDIRECT("Transactions!"&amp;"N4:N1003"),MATCH(1,MMULT((Transactions!D$4:D$1003=$B$2)*1,{1}),0)+0),"")</f>
        <v>0</v>
      </c>
    </row>
    <row r="5" spans="1:10" ht="15.75" customHeight="1" x14ac:dyDescent="0.25">
      <c r="A5" s="7">
        <f ca="1">IFERROR(INDEX(INDIRECT("Transactions!"&amp;"B4:B1003"),MATCH(1,MMULT((Transactions!D$4:D$1003=$B$2)*1,{1}),0)+1),"")</f>
        <v>0</v>
      </c>
      <c r="B5" s="7">
        <f ca="1">IFERROR(INDEX(INDIRECT("Transactions!"&amp;"A4:A1003"),MATCH(1,MMULT((Transactions!D$4:D$1003=$B$2)*1,{1}),0)+1),"")</f>
        <v>0</v>
      </c>
      <c r="C5" s="7">
        <f ca="1">IFERROR(INDEX(INDIRECT("Transactions!"&amp;"E4:E1003"),MATCH(1,MMULT((Transactions!D$4:D$1003=$B$2)*1,{1}),0)+1),"")</f>
        <v>0</v>
      </c>
      <c r="D5" s="29" t="str">
        <f ca="1">IFERROR(INDEX(INDIRECT("Transactions!"&amp;"G4:G1003"),MATCH(1,MMULT((Transactions!D$4:D$1003=$B$2)*1,{1}),0)+1),"")</f>
        <v/>
      </c>
      <c r="E5" s="29" t="str">
        <f ca="1">IFERROR(INDEX(INDIRECT("Transactions!"&amp;"H4:H1003"),MATCH(1,MMULT((Transactions!D$4:D$1003=$B$2)*1,{1}),0)+1),"")</f>
        <v/>
      </c>
      <c r="F5" s="13" t="str">
        <f ca="1">IFERROR(INDEX(INDIRECT("Transactions!"&amp;"I4:I1003"),MATCH(1,MMULT((Transactions!D$4:D$1003=$B$2)*1,{1}),0)+1),"")</f>
        <v/>
      </c>
      <c r="G5" s="7">
        <f ca="1">IFERROR(INDEX(INDIRECT("Transactions!"&amp;"J4:J1003"),MATCH(1,MMULT((Transactions!D$4:D$1003=$B$2)*1,{1}),0)+1),"")</f>
        <v>0</v>
      </c>
      <c r="H5" s="7">
        <f ca="1">IFERROR(INDEX(INDIRECT("Transactions!"&amp;"N4:N1003"),MATCH(1,MMULT((Transactions!D$4:D$1003=$B$2)*1,{1}),0)+1),"")</f>
        <v>0</v>
      </c>
    </row>
    <row r="6" spans="1:10" ht="15.75" customHeight="1" x14ac:dyDescent="0.25">
      <c r="A6" s="7">
        <f ca="1">IFERROR(INDEX(INDIRECT("Transactions!"&amp;"B4:B1003"),MATCH(1,MMULT((Transactions!D$4:D$1003=$B$2)*1,{1}),0)+2),"")</f>
        <v>0</v>
      </c>
      <c r="B6" s="7">
        <f ca="1">IFERROR(INDEX(INDIRECT("Transactions!"&amp;"A4:A1003"),MATCH(1,MMULT((Transactions!D$4:D$1003=$B$2)*1,{1}),0)+2),"")</f>
        <v>0</v>
      </c>
      <c r="C6" s="7">
        <f ca="1">IFERROR(INDEX(INDIRECT("Transactions!"&amp;"E4:E1003"),MATCH(1,MMULT((Transactions!D$4:D$1003=$B$2)*1,{1}),0)+2),"")</f>
        <v>0</v>
      </c>
      <c r="D6" s="29" t="str">
        <f ca="1">IFERROR(INDEX(INDIRECT("Transactions!"&amp;"G4:G1003"),MATCH(1,MMULT((Transactions!D$4:D$1003=$B$2)*1,{1}),0)+2),"")</f>
        <v/>
      </c>
      <c r="E6" s="29" t="str">
        <f ca="1">IFERROR(INDEX(INDIRECT("Transactions!"&amp;"H4:H1003"),MATCH(1,MMULT((Transactions!D$4:D$1003=$B$2)*1,{1}),0)+2),"")</f>
        <v/>
      </c>
      <c r="F6" s="13" t="str">
        <f ca="1">IFERROR(INDEX(INDIRECT("Transactions!"&amp;"I4:I1003"),MATCH(1,MMULT((Transactions!D$4:D$1003=$B$2)*1,{1}),0)+2),"")</f>
        <v/>
      </c>
      <c r="G6" s="7">
        <f ca="1">IFERROR(INDEX(INDIRECT("Transactions!"&amp;"J4:J1003"),MATCH(1,MMULT((Transactions!D$4:D$1003=$B$2)*1,{1}),0)+2),"")</f>
        <v>0</v>
      </c>
      <c r="H6" s="7">
        <f ca="1">IFERROR(INDEX(INDIRECT("Transactions!"&amp;"N4:N1003"),MATCH(1,MMULT((Transactions!D$4:D$1003=$B$2)*1,{1}),0)+2),"")</f>
        <v>0</v>
      </c>
    </row>
    <row r="7" spans="1:10" ht="15.75" customHeight="1" x14ac:dyDescent="0.25">
      <c r="A7" s="7">
        <f ca="1">IFERROR(INDEX(INDIRECT("Transactions!"&amp;"B4:B1003"),MATCH(1,MMULT((Transactions!D$4:D$1003=$B$2)*1,{1}),0)+3),"")</f>
        <v>0</v>
      </c>
      <c r="B7" s="7">
        <f ca="1">IFERROR(INDEX(INDIRECT("Transactions!"&amp;"A4:A1003"),MATCH(1,MMULT((Transactions!D$4:D$1003=$B$2)*1,{1}),0)+3),"")</f>
        <v>0</v>
      </c>
      <c r="C7" s="7">
        <f ca="1">IFERROR(INDEX(INDIRECT("Transactions!"&amp;"E4:E1003"),MATCH(1,MMULT((Transactions!D$4:D$1003=$B$2)*1,{1}),0)+3),"")</f>
        <v>0</v>
      </c>
      <c r="D7" s="29" t="str">
        <f ca="1">IFERROR(INDEX(INDIRECT("Transactions!"&amp;"G4:G1003"),MATCH(1,MMULT((Transactions!D$4:D$1003=$B$2)*1,{1}),0)+3),"")</f>
        <v/>
      </c>
      <c r="E7" s="29" t="str">
        <f ca="1">IFERROR(INDEX(INDIRECT("Transactions!"&amp;"H4:H1003"),MATCH(1,MMULT((Transactions!D$4:D$1003=$B$2)*1,{1}),0)+3),"")</f>
        <v/>
      </c>
      <c r="F7" s="13" t="str">
        <f ca="1">IFERROR(INDEX(INDIRECT("Transactions!"&amp;"I4:I1003"),MATCH(1,MMULT((Transactions!D$4:D$1003=$B$2)*1,{1}),0)+3),"")</f>
        <v/>
      </c>
      <c r="G7" s="7">
        <f ca="1">IFERROR(INDEX(INDIRECT("Transactions!"&amp;"J4:J1003"),MATCH(1,MMULT((Transactions!D$4:D$1003=$B$2)*1,{1}),0)+3),"")</f>
        <v>0</v>
      </c>
      <c r="H7" s="7">
        <f ca="1">IFERROR(INDEX(INDIRECT("Transactions!"&amp;"N4:N1003"),MATCH(1,MMULT((Transactions!D$4:D$1003=$B$2)*1,{1}),0)+3),"")</f>
        <v>0</v>
      </c>
    </row>
    <row r="8" spans="1:10" ht="15.75" customHeight="1" x14ac:dyDescent="0.25">
      <c r="A8" s="7">
        <f ca="1">IFERROR(INDEX(INDIRECT("Transactions!"&amp;"B4:B1003"),MATCH(1,MMULT((Transactions!D$4:D$1003=$B$2)*1,{1}),0)+4),"")</f>
        <v>0</v>
      </c>
      <c r="B8" s="7">
        <f ca="1">IFERROR(INDEX(INDIRECT("Transactions!"&amp;"A4:A1003"),MATCH(1,MMULT((Transactions!D$4:D$1003=$B$2)*1,{1}),0)+4),"")</f>
        <v>0</v>
      </c>
      <c r="C8" s="7">
        <f ca="1">IFERROR(INDEX(INDIRECT("Transactions!"&amp;"E4:E1003"),MATCH(1,MMULT((Transactions!D$4:D$1003=$B$2)*1,{1}),0)+4),"")</f>
        <v>0</v>
      </c>
      <c r="D8" s="29" t="str">
        <f ca="1">IFERROR(INDEX(INDIRECT("Transactions!"&amp;"G4:G1003"),MATCH(1,MMULT((Transactions!D$4:D$1003=$B$2)*1,{1}),0)+4),"")</f>
        <v/>
      </c>
      <c r="E8" s="29" t="str">
        <f ca="1">IFERROR(INDEX(INDIRECT("Transactions!"&amp;"H4:H1003"),MATCH(1,MMULT((Transactions!D$4:D$1003=$B$2)*1,{1}),0)+4),"")</f>
        <v/>
      </c>
      <c r="F8" s="13" t="str">
        <f ca="1">IFERROR(INDEX(INDIRECT("Transactions!"&amp;"I4:I1003"),MATCH(1,MMULT((Transactions!D$4:D$1003=$B$2)*1,{1}),0)+4),"")</f>
        <v/>
      </c>
      <c r="G8" s="7">
        <f ca="1">IFERROR(INDEX(INDIRECT("Transactions!"&amp;"J4:J1003"),MATCH(1,MMULT((Transactions!D$4:D$1003=$B$2)*1,{1}),0)+4),"")</f>
        <v>0</v>
      </c>
      <c r="H8" s="7">
        <f ca="1">IFERROR(INDEX(INDIRECT("Transactions!"&amp;"N4:N1003"),MATCH(1,MMULT((Transactions!D$4:D$1003=$B$2)*1,{1}),0)+4),"")</f>
        <v>0</v>
      </c>
    </row>
    <row r="9" spans="1:10" ht="15.75" customHeight="1" x14ac:dyDescent="0.25">
      <c r="A9" s="7">
        <f ca="1">IFERROR(INDEX(INDIRECT("Transactions!"&amp;"B4:B1003"),MATCH(1,MMULT((Transactions!D$4:D$1003=$B$2)*1,{1}),0)+5),"")</f>
        <v>0</v>
      </c>
      <c r="B9" s="7">
        <f ca="1">IFERROR(INDEX(INDIRECT("Transactions!"&amp;"A4:A1003"),MATCH(1,MMULT((Transactions!D$4:D$1003=$B$2)*1,{1}),0)+5),"")</f>
        <v>0</v>
      </c>
      <c r="C9" s="7">
        <f ca="1">IFERROR(INDEX(INDIRECT("Transactions!"&amp;"E4:E1003"),MATCH(1,MMULT((Transactions!D$4:D$1003=$B$2)*1,{1}),0)+5),"")</f>
        <v>0</v>
      </c>
      <c r="D9" s="29" t="str">
        <f ca="1">IFERROR(INDEX(INDIRECT("Transactions!"&amp;"G4:G1003"),MATCH(1,MMULT((Transactions!D$4:D$1003=$B$2)*1,{1}),0)+5),"")</f>
        <v/>
      </c>
      <c r="E9" s="29" t="str">
        <f ca="1">IFERROR(INDEX(INDIRECT("Transactions!"&amp;"H4:H1003"),MATCH(1,MMULT((Transactions!D$4:D$1003=$B$2)*1,{1}),0)+5),"")</f>
        <v/>
      </c>
      <c r="F9" s="13" t="str">
        <f ca="1">IFERROR(INDEX(INDIRECT("Transactions!"&amp;"I4:I1003"),MATCH(1,MMULT((Transactions!D$4:D$1003=$B$2)*1,{1}),0)+5),"")</f>
        <v/>
      </c>
      <c r="G9" s="7">
        <f ca="1">IFERROR(INDEX(INDIRECT("Transactions!"&amp;"J4:J1003"),MATCH(1,MMULT((Transactions!D$4:D$1003=$B$2)*1,{1}),0)+5),"")</f>
        <v>0</v>
      </c>
      <c r="H9" s="7">
        <f ca="1">IFERROR(INDEX(INDIRECT("Transactions!"&amp;"N4:N1003"),MATCH(1,MMULT((Transactions!D$4:D$1003=$B$2)*1,{1}),0)+5),"")</f>
        <v>0</v>
      </c>
    </row>
    <row r="10" spans="1:10" ht="15.75" customHeight="1" x14ac:dyDescent="0.25">
      <c r="A10" s="7">
        <f ca="1">IFERROR(INDEX(INDIRECT("Transactions!"&amp;"B4:B1003"),MATCH(1,MMULT((Transactions!D$4:D$1003=$B$2)*1,{1}),0)+6),"")</f>
        <v>0</v>
      </c>
      <c r="B10" s="7">
        <f ca="1">IFERROR(INDEX(INDIRECT("Transactions!"&amp;"A4:A1003"),MATCH(1,MMULT((Transactions!D$4:D$1003=$B$2)*1,{1}),0)+6),"")</f>
        <v>0</v>
      </c>
      <c r="C10" s="7">
        <f ca="1">IFERROR(INDEX(INDIRECT("Transactions!"&amp;"E4:E1003"),MATCH(1,MMULT((Transactions!D$4:D$1003=$B$2)*1,{1}),0)+6),"")</f>
        <v>0</v>
      </c>
      <c r="D10" s="29" t="str">
        <f ca="1">IFERROR(INDEX(INDIRECT("Transactions!"&amp;"G4:G1003"),MATCH(1,MMULT((Transactions!D$4:D$1003=$B$2)*1,{1}),0)+6),"")</f>
        <v/>
      </c>
      <c r="E10" s="29" t="str">
        <f ca="1">IFERROR(INDEX(INDIRECT("Transactions!"&amp;"H4:H1003"),MATCH(1,MMULT((Transactions!D$4:D$1003=$B$2)*1,{1}),0)+6),"")</f>
        <v/>
      </c>
      <c r="F10" s="13" t="str">
        <f ca="1">IFERROR(INDEX(INDIRECT("Transactions!"&amp;"I4:I1003"),MATCH(1,MMULT((Transactions!D$4:D$1003=$B$2)*1,{1}),0)+6),"")</f>
        <v/>
      </c>
      <c r="G10" s="7">
        <f ca="1">IFERROR(INDEX(INDIRECT("Transactions!"&amp;"J4:J1003"),MATCH(1,MMULT((Transactions!D$4:D$1003=$B$2)*1,{1}),0)+6),"")</f>
        <v>0</v>
      </c>
      <c r="H10" s="7">
        <f ca="1">IFERROR(INDEX(INDIRECT("Transactions!"&amp;"N4:N1003"),MATCH(1,MMULT((Transactions!D$4:D$1003=$B$2)*1,{1}),0)+6),"")</f>
        <v>0</v>
      </c>
    </row>
    <row r="11" spans="1:10" ht="15.75" customHeight="1" x14ac:dyDescent="0.25">
      <c r="A11" s="7">
        <f ca="1">IFERROR(INDEX(INDIRECT("Transactions!"&amp;"B4:B1003"),MATCH(1,MMULT((Transactions!D$4:D$1003=$B$2)*1,{1}),0)+7),"")</f>
        <v>0</v>
      </c>
      <c r="B11" s="7">
        <f ca="1">IFERROR(INDEX(INDIRECT("Transactions!"&amp;"A4:A1003"),MATCH(1,MMULT((Transactions!D$4:D$1003=$B$2)*1,{1}),0)+7),"")</f>
        <v>0</v>
      </c>
      <c r="C11" s="7">
        <f ca="1">IFERROR(INDEX(INDIRECT("Transactions!"&amp;"E4:E1003"),MATCH(1,MMULT((Transactions!D$4:D$1003=$B$2)*1,{1}),0)+7),"")</f>
        <v>0</v>
      </c>
      <c r="D11" s="29" t="str">
        <f ca="1">IFERROR(INDEX(INDIRECT("Transactions!"&amp;"G4:G1003"),MATCH(1,MMULT((Transactions!D$4:D$1003=$B$2)*1,{1}),0)+7),"")</f>
        <v/>
      </c>
      <c r="E11" s="29" t="str">
        <f ca="1">IFERROR(INDEX(INDIRECT("Transactions!"&amp;"H4:H1003"),MATCH(1,MMULT((Transactions!D$4:D$1003=$B$2)*1,{1}),0)+7),"")</f>
        <v/>
      </c>
      <c r="F11" s="13" t="str">
        <f ca="1">IFERROR(INDEX(INDIRECT("Transactions!"&amp;"I4:I1003"),MATCH(1,MMULT((Transactions!D$4:D$1003=$B$2)*1,{1}),0)+7),"")</f>
        <v/>
      </c>
      <c r="G11" s="7">
        <f ca="1">IFERROR(INDEX(INDIRECT("Transactions!"&amp;"J4:J1003"),MATCH(1,MMULT((Transactions!D$4:D$1003=$B$2)*1,{1}),0)+7),"")</f>
        <v>0</v>
      </c>
      <c r="H11" s="7">
        <f ca="1">IFERROR(INDEX(INDIRECT("Transactions!"&amp;"N4:N1003"),MATCH(1,MMULT((Transactions!D$4:D$1003=$B$2)*1,{1}),0)+7),"")</f>
        <v>0</v>
      </c>
    </row>
    <row r="12" spans="1:10" ht="15.75" customHeight="1" x14ac:dyDescent="0.25">
      <c r="A12" s="7">
        <f ca="1">IFERROR(INDEX(INDIRECT("Transactions!"&amp;"B4:B1003"),MATCH(1,MMULT((Transactions!D$4:D$1003=$B$2)*1,{1}),0)+8),"")</f>
        <v>0</v>
      </c>
      <c r="B12" s="7">
        <f ca="1">IFERROR(INDEX(INDIRECT("Transactions!"&amp;"A4:A1003"),MATCH(1,MMULT((Transactions!D$4:D$1003=$B$2)*1,{1}),0)+8),"")</f>
        <v>0</v>
      </c>
      <c r="C12" s="7">
        <f ca="1">IFERROR(INDEX(INDIRECT("Transactions!"&amp;"E4:E1003"),MATCH(1,MMULT((Transactions!D$4:D$1003=$B$2)*1,{1}),0)+8),"")</f>
        <v>0</v>
      </c>
      <c r="D12" s="29" t="str">
        <f ca="1">IFERROR(INDEX(INDIRECT("Transactions!"&amp;"G4:G1003"),MATCH(1,MMULT((Transactions!D$4:D$1003=$B$2)*1,{1}),0)+8),"")</f>
        <v/>
      </c>
      <c r="E12" s="29" t="str">
        <f ca="1">IFERROR(INDEX(INDIRECT("Transactions!"&amp;"H4:H1003"),MATCH(1,MMULT((Transactions!D$4:D$1003=$B$2)*1,{1}),0)+8),"")</f>
        <v/>
      </c>
      <c r="F12" s="13" t="str">
        <f ca="1">IFERROR(INDEX(INDIRECT("Transactions!"&amp;"I4:I1003"),MATCH(1,MMULT((Transactions!D$4:D$1003=$B$2)*1,{1}),0)+8),"")</f>
        <v/>
      </c>
      <c r="G12" s="7">
        <f ca="1">IFERROR(INDEX(INDIRECT("Transactions!"&amp;"J4:J1003"),MATCH(1,MMULT((Transactions!D$4:D$1003=$B$2)*1,{1}),0)+8),"")</f>
        <v>0</v>
      </c>
      <c r="H12" s="7">
        <f ca="1">IFERROR(INDEX(INDIRECT("Transactions!"&amp;"N4:N1003"),MATCH(1,MMULT((Transactions!D$4:D$1003=$B$2)*1,{1}),0)+8),"")</f>
        <v>0</v>
      </c>
    </row>
    <row r="13" spans="1:10" ht="15.75" customHeight="1" x14ac:dyDescent="0.25">
      <c r="A13" s="7">
        <f ca="1">IFERROR(INDEX(INDIRECT("Transactions!"&amp;"B4:B1003"),MATCH(1,MMULT((Transactions!D$4:D$1003=$B$2)*1,{1}),0)+9),"")</f>
        <v>0</v>
      </c>
      <c r="B13" s="7">
        <f ca="1">IFERROR(INDEX(INDIRECT("Transactions!"&amp;"A4:A1003"),MATCH(1,MMULT((Transactions!D$4:D$1003=$B$2)*1,{1}),0)+9),"")</f>
        <v>0</v>
      </c>
      <c r="C13" s="7">
        <f ca="1">IFERROR(INDEX(INDIRECT("Transactions!"&amp;"E4:E1003"),MATCH(1,MMULT((Transactions!D$4:D$1003=$B$2)*1,{1}),0)+9),"")</f>
        <v>0</v>
      </c>
      <c r="D13" s="29" t="str">
        <f ca="1">IFERROR(INDEX(INDIRECT("Transactions!"&amp;"G4:G1003"),MATCH(1,MMULT((Transactions!D$4:D$1003=$B$2)*1,{1}),0)+9),"")</f>
        <v/>
      </c>
      <c r="E13" s="29" t="str">
        <f ca="1">IFERROR(INDEX(INDIRECT("Transactions!"&amp;"H4:H1003"),MATCH(1,MMULT((Transactions!D$4:D$1003=$B$2)*1,{1}),0)+9),"")</f>
        <v/>
      </c>
      <c r="F13" s="13" t="str">
        <f ca="1">IFERROR(INDEX(INDIRECT("Transactions!"&amp;"I4:I1003"),MATCH(1,MMULT((Transactions!D$4:D$1003=$B$2)*1,{1}),0)+9),"")</f>
        <v/>
      </c>
      <c r="G13" s="7">
        <f ca="1">IFERROR(INDEX(INDIRECT("Transactions!"&amp;"J4:J1003"),MATCH(1,MMULT((Transactions!D$4:D$1003=$B$2)*1,{1}),0)+9),"")</f>
        <v>0</v>
      </c>
      <c r="H13" s="7">
        <f ca="1">IFERROR(INDEX(INDIRECT("Transactions!"&amp;"N4:N1003"),MATCH(1,MMULT((Transactions!D$4:D$1003=$B$2)*1,{1}),0)+9),"")</f>
        <v>0</v>
      </c>
    </row>
    <row r="14" spans="1:10" ht="15.75" customHeight="1" x14ac:dyDescent="0.25">
      <c r="A14" s="7">
        <f ca="1">IFERROR(INDEX(INDIRECT("Transactions!"&amp;"B4:B1003"),MATCH(1,MMULT((Transactions!D$4:D$1003=$B$2)*1,{1}),0)+10),"")</f>
        <v>0</v>
      </c>
      <c r="B14" s="7">
        <f ca="1">IFERROR(INDEX(INDIRECT("Transactions!"&amp;"A4:A1003"),MATCH(1,MMULT((Transactions!D$4:D$1003=$B$2)*1,{1}),0)+10),"")</f>
        <v>0</v>
      </c>
      <c r="C14" s="7">
        <f ca="1">IFERROR(INDEX(INDIRECT("Transactions!"&amp;"E4:E1003"),MATCH(1,MMULT((Transactions!D$4:D$1003=$B$2)*1,{1}),0)+10),"")</f>
        <v>0</v>
      </c>
      <c r="D14" s="29" t="str">
        <f ca="1">IFERROR(INDEX(INDIRECT("Transactions!"&amp;"G4:G1003"),MATCH(1,MMULT((Transactions!D$4:D$1003=$B$2)*1,{1}),0)+10),"")</f>
        <v/>
      </c>
      <c r="E14" s="29" t="str">
        <f ca="1">IFERROR(INDEX(INDIRECT("Transactions!"&amp;"H4:H1003"),MATCH(1,MMULT((Transactions!D$4:D$1003=$B$2)*1,{1}),0)+10),"")</f>
        <v/>
      </c>
      <c r="F14" s="13" t="str">
        <f ca="1">IFERROR(INDEX(INDIRECT("Transactions!"&amp;"I4:I1003"),MATCH(1,MMULT((Transactions!D$4:D$1003=$B$2)*1,{1}),0)+10),"")</f>
        <v/>
      </c>
      <c r="G14" s="7">
        <f ca="1">IFERROR(INDEX(INDIRECT("Transactions!"&amp;"J4:J1003"),MATCH(1,MMULT((Transactions!D$4:D$1003=$B$2)*1,{1}),0)+10),"")</f>
        <v>0</v>
      </c>
      <c r="H14" s="7">
        <f ca="1">IFERROR(INDEX(INDIRECT("Transactions!"&amp;"N4:N1003"),MATCH(1,MMULT((Transactions!D$4:D$1003=$B$2)*1,{1}),0)+10),"")</f>
        <v>0</v>
      </c>
    </row>
    <row r="15" spans="1:10" ht="15.75" customHeight="1" x14ac:dyDescent="0.25">
      <c r="A15" s="7">
        <f ca="1">IFERROR(INDEX(INDIRECT("Transactions!"&amp;"B4:B1003"),MATCH(1,MMULT((Transactions!D$4:D$1003=$B$2)*1,{1}),0)+11),"")</f>
        <v>0</v>
      </c>
      <c r="B15" s="7">
        <f ca="1">IFERROR(INDEX(INDIRECT("Transactions!"&amp;"A4:A1003"),MATCH(1,MMULT((Transactions!D$4:D$1003=$B$2)*1,{1}),0)+11),"")</f>
        <v>0</v>
      </c>
      <c r="C15" s="7">
        <f ca="1">IFERROR(INDEX(INDIRECT("Transactions!"&amp;"E4:E1003"),MATCH(1,MMULT((Transactions!D$4:D$1003=$B$2)*1,{1}),0)+11),"")</f>
        <v>0</v>
      </c>
      <c r="D15" s="29" t="str">
        <f ca="1">IFERROR(INDEX(INDIRECT("Transactions!"&amp;"G4:G1003"),MATCH(1,MMULT((Transactions!D$4:D$1003=$B$2)*1,{1}),0)+11),"")</f>
        <v/>
      </c>
      <c r="E15" s="29" t="str">
        <f ca="1">IFERROR(INDEX(INDIRECT("Transactions!"&amp;"H4:H1003"),MATCH(1,MMULT((Transactions!D$4:D$1003=$B$2)*1,{1}),0)+11),"")</f>
        <v/>
      </c>
      <c r="F15" s="13" t="str">
        <f ca="1">IFERROR(INDEX(INDIRECT("Transactions!"&amp;"I4:I1003"),MATCH(1,MMULT((Transactions!D$4:D$1003=$B$2)*1,{1}),0)+11),"")</f>
        <v/>
      </c>
      <c r="G15" s="7">
        <f ca="1">IFERROR(INDEX(INDIRECT("Transactions!"&amp;"J4:J1003"),MATCH(1,MMULT((Transactions!D$4:D$1003=$B$2)*1,{1}),0)+11),"")</f>
        <v>0</v>
      </c>
      <c r="H15" s="7">
        <f ca="1">IFERROR(INDEX(INDIRECT("Transactions!"&amp;"N4:N1003"),MATCH(1,MMULT((Transactions!D$4:D$1003=$B$2)*1,{1}),0)+11),"")</f>
        <v>0</v>
      </c>
    </row>
    <row r="16" spans="1:10" ht="15.75" customHeight="1" x14ac:dyDescent="0.25">
      <c r="A16" s="7">
        <f ca="1">IFERROR(INDEX(INDIRECT("Transactions!"&amp;"B4:B1003"),MATCH(1,MMULT((Transactions!D$4:D$1003=$B$2)*1,{1}),0)+12),"")</f>
        <v>0</v>
      </c>
      <c r="B16" s="7">
        <f ca="1">IFERROR(INDEX(INDIRECT("Transactions!"&amp;"A4:A1003"),MATCH(1,MMULT((Transactions!D$4:D$1003=$B$2)*1,{1}),0)+12),"")</f>
        <v>0</v>
      </c>
      <c r="C16" s="7">
        <f ca="1">IFERROR(INDEX(INDIRECT("Transactions!"&amp;"E4:E1003"),MATCH(1,MMULT((Transactions!D$4:D$1003=$B$2)*1,{1}),0)+12),"")</f>
        <v>0</v>
      </c>
      <c r="D16" s="29" t="str">
        <f ca="1">IFERROR(INDEX(INDIRECT("Transactions!"&amp;"G4:G1003"),MATCH(1,MMULT((Transactions!D$4:D$1003=$B$2)*1,{1}),0)+12),"")</f>
        <v/>
      </c>
      <c r="E16" s="29" t="str">
        <f ca="1">IFERROR(INDEX(INDIRECT("Transactions!"&amp;"H4:H1003"),MATCH(1,MMULT((Transactions!D$4:D$1003=$B$2)*1,{1}),0)+12),"")</f>
        <v/>
      </c>
      <c r="F16" s="13" t="str">
        <f ca="1">IFERROR(INDEX(INDIRECT("Transactions!"&amp;"I4:I1003"),MATCH(1,MMULT((Transactions!D$4:D$1003=$B$2)*1,{1}),0)+12),"")</f>
        <v/>
      </c>
      <c r="G16" s="7">
        <f ca="1">IFERROR(INDEX(INDIRECT("Transactions!"&amp;"J4:J1003"),MATCH(1,MMULT((Transactions!D$4:D$1003=$B$2)*1,{1}),0)+12),"")</f>
        <v>0</v>
      </c>
      <c r="H16" s="7">
        <f ca="1">IFERROR(INDEX(INDIRECT("Transactions!"&amp;"N4:N1003"),MATCH(1,MMULT((Transactions!D$4:D$1003=$B$2)*1,{1}),0)+12),"")</f>
        <v>0</v>
      </c>
    </row>
    <row r="17" spans="1:8" ht="15.75" customHeight="1" x14ac:dyDescent="0.25">
      <c r="A17" s="7">
        <f ca="1">IFERROR(INDEX(INDIRECT("Transactions!"&amp;"B4:B1003"),MATCH(1,MMULT((Transactions!D$4:D$1003=$B$2)*1,{1}),0)+13),"")</f>
        <v>0</v>
      </c>
      <c r="B17" s="7">
        <f ca="1">IFERROR(INDEX(INDIRECT("Transactions!"&amp;"A4:A1003"),MATCH(1,MMULT((Transactions!D$4:D$1003=$B$2)*1,{1}),0)+13),"")</f>
        <v>0</v>
      </c>
      <c r="C17" s="7">
        <f ca="1">IFERROR(INDEX(INDIRECT("Transactions!"&amp;"E4:E1003"),MATCH(1,MMULT((Transactions!D$4:D$1003=$B$2)*1,{1}),0)+13),"")</f>
        <v>0</v>
      </c>
      <c r="D17" s="29" t="str">
        <f ca="1">IFERROR(INDEX(INDIRECT("Transactions!"&amp;"G4:G1003"),MATCH(1,MMULT((Transactions!D$4:D$1003=$B$2)*1,{1}),0)+13),"")</f>
        <v/>
      </c>
      <c r="E17" s="29" t="str">
        <f ca="1">IFERROR(INDEX(INDIRECT("Transactions!"&amp;"H4:H1003"),MATCH(1,MMULT((Transactions!D$4:D$1003=$B$2)*1,{1}),0)+13),"")</f>
        <v/>
      </c>
      <c r="F17" s="13" t="str">
        <f ca="1">IFERROR(INDEX(INDIRECT("Transactions!"&amp;"I4:I1003"),MATCH(1,MMULT((Transactions!D$4:D$1003=$B$2)*1,{1}),0)+13),"")</f>
        <v/>
      </c>
      <c r="G17" s="7">
        <f ca="1">IFERROR(INDEX(INDIRECT("Transactions!"&amp;"J4:J1003"),MATCH(1,MMULT((Transactions!D$4:D$1003=$B$2)*1,{1}),0)+13),"")</f>
        <v>0</v>
      </c>
      <c r="H17" s="7">
        <f ca="1">IFERROR(INDEX(INDIRECT("Transactions!"&amp;"N4:N1003"),MATCH(1,MMULT((Transactions!D$4:D$1003=$B$2)*1,{1}),0)+13),"")</f>
        <v>0</v>
      </c>
    </row>
    <row r="18" spans="1:8" ht="15.75" customHeight="1" x14ac:dyDescent="0.25">
      <c r="A18" s="7">
        <f ca="1">IFERROR(INDEX(INDIRECT("Transactions!"&amp;"B4:B1003"),MATCH(1,MMULT((Transactions!D$4:D$1003=$B$2)*1,{1}),0)+14),"")</f>
        <v>0</v>
      </c>
      <c r="B18" s="7">
        <f ca="1">IFERROR(INDEX(INDIRECT("Transactions!"&amp;"A4:A1003"),MATCH(1,MMULT((Transactions!D$4:D$1003=$B$2)*1,{1}),0)+14),"")</f>
        <v>0</v>
      </c>
      <c r="C18" s="7">
        <f ca="1">IFERROR(INDEX(INDIRECT("Transactions!"&amp;"E4:E1003"),MATCH(1,MMULT((Transactions!D$4:D$1003=$B$2)*1,{1}),0)+14),"")</f>
        <v>0</v>
      </c>
      <c r="D18" s="29" t="str">
        <f ca="1">IFERROR(INDEX(INDIRECT("Transactions!"&amp;"G4:G1003"),MATCH(1,MMULT((Transactions!D$4:D$1003=$B$2)*1,{1}),0)+14),"")</f>
        <v/>
      </c>
      <c r="E18" s="29" t="str">
        <f ca="1">IFERROR(INDEX(INDIRECT("Transactions!"&amp;"H4:H1003"),MATCH(1,MMULT((Transactions!D$4:D$1003=$B$2)*1,{1}),0)+14),"")</f>
        <v/>
      </c>
      <c r="F18" s="13" t="str">
        <f ca="1">IFERROR(INDEX(INDIRECT("Transactions!"&amp;"I4:I1003"),MATCH(1,MMULT((Transactions!D$4:D$1003=$B$2)*1,{1}),0)+14),"")</f>
        <v/>
      </c>
      <c r="G18" s="7">
        <f ca="1">IFERROR(INDEX(INDIRECT("Transactions!"&amp;"J4:J1003"),MATCH(1,MMULT((Transactions!D$4:D$1003=$B$2)*1,{1}),0)+14),"")</f>
        <v>0</v>
      </c>
      <c r="H18" s="7">
        <f ca="1">IFERROR(INDEX(INDIRECT("Transactions!"&amp;"N4:N1003"),MATCH(1,MMULT((Transactions!D$4:D$1003=$B$2)*1,{1}),0)+14),"")</f>
        <v>0</v>
      </c>
    </row>
    <row r="19" spans="1:8" ht="15.75" customHeight="1" x14ac:dyDescent="0.25">
      <c r="A19" s="7">
        <f ca="1">IFERROR(INDEX(INDIRECT("Transactions!"&amp;"B4:B1003"),MATCH(1,MMULT((Transactions!D$4:D$1003=$B$2)*1,{1}),0)+15),"")</f>
        <v>0</v>
      </c>
      <c r="B19" s="7">
        <f ca="1">IFERROR(INDEX(INDIRECT("Transactions!"&amp;"A4:A1003"),MATCH(1,MMULT((Transactions!D$4:D$1003=$B$2)*1,{1}),0)+15),"")</f>
        <v>0</v>
      </c>
      <c r="C19" s="7">
        <f ca="1">IFERROR(INDEX(INDIRECT("Transactions!"&amp;"E4:E1003"),MATCH(1,MMULT((Transactions!D$4:D$1003=$B$2)*1,{1}),0)+15),"")</f>
        <v>0</v>
      </c>
      <c r="D19" s="29" t="str">
        <f ca="1">IFERROR(INDEX(INDIRECT("Transactions!"&amp;"G4:G1003"),MATCH(1,MMULT((Transactions!D$4:D$1003=$B$2)*1,{1}),0)+15),"")</f>
        <v/>
      </c>
      <c r="E19" s="29" t="str">
        <f ca="1">IFERROR(INDEX(INDIRECT("Transactions!"&amp;"H4:H1003"),MATCH(1,MMULT((Transactions!D$4:D$1003=$B$2)*1,{1}),0)+15),"")</f>
        <v/>
      </c>
      <c r="F19" s="13" t="str">
        <f ca="1">IFERROR(INDEX(INDIRECT("Transactions!"&amp;"I4:I1003"),MATCH(1,MMULT((Transactions!D$4:D$1003=$B$2)*1,{1}),0)+15),"")</f>
        <v/>
      </c>
      <c r="G19" s="7">
        <f ca="1">IFERROR(INDEX(INDIRECT("Transactions!"&amp;"J4:J1003"),MATCH(1,MMULT((Transactions!D$4:D$1003=$B$2)*1,{1}),0)+15),"")</f>
        <v>0</v>
      </c>
      <c r="H19" s="7">
        <f ca="1">IFERROR(INDEX(INDIRECT("Transactions!"&amp;"N4:N1003"),MATCH(1,MMULT((Transactions!D$4:D$1003=$B$2)*1,{1}),0)+15),"")</f>
        <v>0</v>
      </c>
    </row>
    <row r="20" spans="1:8" ht="15.75" customHeight="1" x14ac:dyDescent="0.25">
      <c r="A20" s="7">
        <f ca="1">IFERROR(INDEX(INDIRECT("Transactions!"&amp;"B4:B1003"),MATCH(1,MMULT((Transactions!D$4:D$1003=$B$2)*1,{1}),0)+16),"")</f>
        <v>0</v>
      </c>
      <c r="B20" s="7">
        <f ca="1">IFERROR(INDEX(INDIRECT("Transactions!"&amp;"A4:A1003"),MATCH(1,MMULT((Transactions!D$4:D$1003=$B$2)*1,{1}),0)+16),"")</f>
        <v>0</v>
      </c>
      <c r="C20" s="7">
        <f ca="1">IFERROR(INDEX(INDIRECT("Transactions!"&amp;"E4:E1003"),MATCH(1,MMULT((Transactions!D$4:D$1003=$B$2)*1,{1}),0)+16),"")</f>
        <v>0</v>
      </c>
      <c r="D20" s="29" t="str">
        <f ca="1">IFERROR(INDEX(INDIRECT("Transactions!"&amp;"G4:G1003"),MATCH(1,MMULT((Transactions!D$4:D$1003=$B$2)*1,{1}),0)+16),"")</f>
        <v/>
      </c>
      <c r="E20" s="29" t="str">
        <f ca="1">IFERROR(INDEX(INDIRECT("Transactions!"&amp;"H4:H1003"),MATCH(1,MMULT((Transactions!D$4:D$1003=$B$2)*1,{1}),0)+16),"")</f>
        <v/>
      </c>
      <c r="F20" s="13" t="str">
        <f ca="1">IFERROR(INDEX(INDIRECT("Transactions!"&amp;"I4:I1003"),MATCH(1,MMULT((Transactions!D$4:D$1003=$B$2)*1,{1}),0)+16),"")</f>
        <v/>
      </c>
      <c r="G20" s="7">
        <f ca="1">IFERROR(INDEX(INDIRECT("Transactions!"&amp;"J4:J1003"),MATCH(1,MMULT((Transactions!D$4:D$1003=$B$2)*1,{1}),0)+16),"")</f>
        <v>0</v>
      </c>
      <c r="H20" s="7">
        <f ca="1">IFERROR(INDEX(INDIRECT("Transactions!"&amp;"N4:N1003"),MATCH(1,MMULT((Transactions!D$4:D$1003=$B$2)*1,{1}),0)+16),"")</f>
        <v>0</v>
      </c>
    </row>
    <row r="21" spans="1:8" ht="15.75" customHeight="1" x14ac:dyDescent="0.25">
      <c r="A21" s="7">
        <f ca="1">IFERROR(INDEX(INDIRECT("Transactions!"&amp;"B4:B1003"),MATCH(1,MMULT((Transactions!D$4:D$1003=$B$2)*1,{1}),0)+17),"")</f>
        <v>0</v>
      </c>
      <c r="B21" s="7">
        <f ca="1">IFERROR(INDEX(INDIRECT("Transactions!"&amp;"A4:A1003"),MATCH(1,MMULT((Transactions!D$4:D$1003=$B$2)*1,{1}),0)+17),"")</f>
        <v>0</v>
      </c>
      <c r="C21" s="7">
        <f ca="1">IFERROR(INDEX(INDIRECT("Transactions!"&amp;"E4:E1003"),MATCH(1,MMULT((Transactions!D$4:D$1003=$B$2)*1,{1}),0)+17),"")</f>
        <v>0</v>
      </c>
      <c r="D21" s="29" t="str">
        <f ca="1">IFERROR(INDEX(INDIRECT("Transactions!"&amp;"G4:G1003"),MATCH(1,MMULT((Transactions!D$4:D$1003=$B$2)*1,{1}),0)+17),"")</f>
        <v/>
      </c>
      <c r="E21" s="29" t="str">
        <f ca="1">IFERROR(INDEX(INDIRECT("Transactions!"&amp;"H4:H1003"),MATCH(1,MMULT((Transactions!D$4:D$1003=$B$2)*1,{1}),0)+17),"")</f>
        <v/>
      </c>
      <c r="F21" s="13" t="str">
        <f ca="1">IFERROR(INDEX(INDIRECT("Transactions!"&amp;"I4:I1003"),MATCH(1,MMULT((Transactions!D$4:D$1003=$B$2)*1,{1}),0)+17),"")</f>
        <v/>
      </c>
      <c r="G21" s="7">
        <f ca="1">IFERROR(INDEX(INDIRECT("Transactions!"&amp;"J4:J1003"),MATCH(1,MMULT((Transactions!D$4:D$1003=$B$2)*1,{1}),0)+17),"")</f>
        <v>0</v>
      </c>
      <c r="H21" s="7">
        <f ca="1">IFERROR(INDEX(INDIRECT("Transactions!"&amp;"N4:N1003"),MATCH(1,MMULT((Transactions!D$4:D$1003=$B$2)*1,{1}),0)+17),"")</f>
        <v>0</v>
      </c>
    </row>
    <row r="22" spans="1:8" ht="15.75" customHeight="1" x14ac:dyDescent="0.25">
      <c r="A22" s="7">
        <f ca="1">IFERROR(INDEX(INDIRECT("Transactions!"&amp;"B4:B1003"),MATCH(1,MMULT((Transactions!D$4:D$1003=$B$2)*1,{1}),0)+18),"")</f>
        <v>0</v>
      </c>
      <c r="B22" s="7">
        <f ca="1">IFERROR(INDEX(INDIRECT("Transactions!"&amp;"A4:A1003"),MATCH(1,MMULT((Transactions!D$4:D$1003=$B$2)*1,{1}),0)+18),"")</f>
        <v>0</v>
      </c>
      <c r="C22" s="7">
        <f ca="1">IFERROR(INDEX(INDIRECT("Transactions!"&amp;"E4:E1003"),MATCH(1,MMULT((Transactions!D$4:D$1003=$B$2)*1,{1}),0)+18),"")</f>
        <v>0</v>
      </c>
      <c r="D22" s="29" t="str">
        <f ca="1">IFERROR(INDEX(INDIRECT("Transactions!"&amp;"G4:G1003"),MATCH(1,MMULT((Transactions!D$4:D$1003=$B$2)*1,{1}),0)+18),"")</f>
        <v/>
      </c>
      <c r="E22" s="29" t="str">
        <f ca="1">IFERROR(INDEX(INDIRECT("Transactions!"&amp;"H4:H1003"),MATCH(1,MMULT((Transactions!D$4:D$1003=$B$2)*1,{1}),0)+18),"")</f>
        <v/>
      </c>
      <c r="F22" s="13" t="str">
        <f ca="1">IFERROR(INDEX(INDIRECT("Transactions!"&amp;"I4:I1003"),MATCH(1,MMULT((Transactions!D$4:D$1003=$B$2)*1,{1}),0)+18),"")</f>
        <v/>
      </c>
      <c r="G22" s="7">
        <f ca="1">IFERROR(INDEX(INDIRECT("Transactions!"&amp;"J4:J1003"),MATCH(1,MMULT((Transactions!D$4:D$1003=$B$2)*1,{1}),0)+18),"")</f>
        <v>0</v>
      </c>
      <c r="H22" s="7">
        <f ca="1">IFERROR(INDEX(INDIRECT("Transactions!"&amp;"N4:N1003"),MATCH(1,MMULT((Transactions!D$4:D$1003=$B$2)*1,{1}),0)+18),"")</f>
        <v>0</v>
      </c>
    </row>
    <row r="23" spans="1:8" ht="15.75" customHeight="1" x14ac:dyDescent="0.25">
      <c r="A23" s="7">
        <f ca="1">IFERROR(INDEX(INDIRECT("Transactions!"&amp;"B4:B1003"),MATCH(1,MMULT((Transactions!D$4:D$1003=$B$2)*1,{1}),0)+19),"")</f>
        <v>0</v>
      </c>
      <c r="B23" s="7">
        <f ca="1">IFERROR(INDEX(INDIRECT("Transactions!"&amp;"A4:A1003"),MATCH(1,MMULT((Transactions!D$4:D$1003=$B$2)*1,{1}),0)+19),"")</f>
        <v>0</v>
      </c>
      <c r="C23" s="7">
        <f ca="1">IFERROR(INDEX(INDIRECT("Transactions!"&amp;"E4:E1003"),MATCH(1,MMULT((Transactions!D$4:D$1003=$B$2)*1,{1}),0)+19),"")</f>
        <v>0</v>
      </c>
      <c r="D23" s="29" t="str">
        <f ca="1">IFERROR(INDEX(INDIRECT("Transactions!"&amp;"G4:G1003"),MATCH(1,MMULT((Transactions!D$4:D$1003=$B$2)*1,{1}),0)+19),"")</f>
        <v/>
      </c>
      <c r="E23" s="29" t="str">
        <f ca="1">IFERROR(INDEX(INDIRECT("Transactions!"&amp;"H4:H1003"),MATCH(1,MMULT((Transactions!D$4:D$1003=$B$2)*1,{1}),0)+19),"")</f>
        <v/>
      </c>
      <c r="F23" s="13" t="str">
        <f ca="1">IFERROR(INDEX(INDIRECT("Transactions!"&amp;"I4:I1003"),MATCH(1,MMULT((Transactions!D$4:D$1003=$B$2)*1,{1}),0)+19),"")</f>
        <v/>
      </c>
      <c r="G23" s="7">
        <f ca="1">IFERROR(INDEX(INDIRECT("Transactions!"&amp;"J4:J1003"),MATCH(1,MMULT((Transactions!D$4:D$1003=$B$2)*1,{1}),0)+19),"")</f>
        <v>0</v>
      </c>
      <c r="H23" s="7">
        <f ca="1">IFERROR(INDEX(INDIRECT("Transactions!"&amp;"N4:N1003"),MATCH(1,MMULT((Transactions!D$4:D$1003=$B$2)*1,{1}),0)+19),"")</f>
        <v>0</v>
      </c>
    </row>
    <row r="24" spans="1:8" ht="15.75" customHeight="1" x14ac:dyDescent="0.25">
      <c r="A24" s="7">
        <f ca="1">IFERROR(INDEX(INDIRECT("Transactions!"&amp;"B4:B1003"),MATCH(1,MMULT((Transactions!D$4:D$1003=$B$2)*1,{1}),0)+20),"")</f>
        <v>0</v>
      </c>
      <c r="B24" s="7">
        <f ca="1">IFERROR(INDEX(INDIRECT("Transactions!"&amp;"A4:A1003"),MATCH(1,MMULT((Transactions!D$4:D$1003=$B$2)*1,{1}),0)+20),"")</f>
        <v>0</v>
      </c>
      <c r="C24" s="7">
        <f ca="1">IFERROR(INDEX(INDIRECT("Transactions!"&amp;"E4:E1003"),MATCH(1,MMULT((Transactions!D$4:D$1003=$B$2)*1,{1}),0)+20),"")</f>
        <v>0</v>
      </c>
      <c r="D24" s="29" t="str">
        <f ca="1">IFERROR(INDEX(INDIRECT("Transactions!"&amp;"G4:G1003"),MATCH(1,MMULT((Transactions!D$4:D$1003=$B$2)*1,{1}),0)+20),"")</f>
        <v/>
      </c>
      <c r="E24" s="29" t="str">
        <f ca="1">IFERROR(INDEX(INDIRECT("Transactions!"&amp;"H4:H1003"),MATCH(1,MMULT((Transactions!D$4:D$1003=$B$2)*1,{1}),0)+20),"")</f>
        <v/>
      </c>
      <c r="F24" s="13" t="str">
        <f ca="1">IFERROR(INDEX(INDIRECT("Transactions!"&amp;"I4:I1003"),MATCH(1,MMULT((Transactions!D$4:D$1003=$B$2)*1,{1}),0)+20),"")</f>
        <v/>
      </c>
      <c r="G24" s="7">
        <f ca="1">IFERROR(INDEX(INDIRECT("Transactions!"&amp;"J4:J1003"),MATCH(1,MMULT((Transactions!D$4:D$1003=$B$2)*1,{1}),0)+20),"")</f>
        <v>0</v>
      </c>
      <c r="H24" s="7">
        <f ca="1">IFERROR(INDEX(INDIRECT("Transactions!"&amp;"N4:N1003"),MATCH(1,MMULT((Transactions!D$4:D$1003=$B$2)*1,{1}),0)+20),"")</f>
        <v>0</v>
      </c>
    </row>
    <row r="25" spans="1:8" ht="15.75" customHeight="1" x14ac:dyDescent="0.25">
      <c r="A25" s="7">
        <f ca="1">IFERROR(INDEX(INDIRECT("Transactions!"&amp;"B4:B1003"),MATCH(1,MMULT((Transactions!D$4:D$1003=$B$2)*1,{1}),0)+21),"")</f>
        <v>0</v>
      </c>
      <c r="B25" s="7">
        <f ca="1">IFERROR(INDEX(INDIRECT("Transactions!"&amp;"A4:A1003"),MATCH(1,MMULT((Transactions!D$4:D$1003=$B$2)*1,{1}),0)+21),"")</f>
        <v>0</v>
      </c>
      <c r="C25" s="7">
        <f ca="1">IFERROR(INDEX(INDIRECT("Transactions!"&amp;"E4:E1003"),MATCH(1,MMULT((Transactions!D$4:D$1003=$B$2)*1,{1}),0)+21),"")</f>
        <v>0</v>
      </c>
      <c r="D25" s="29" t="str">
        <f ca="1">IFERROR(INDEX(INDIRECT("Transactions!"&amp;"G4:G1003"),MATCH(1,MMULT((Transactions!D$4:D$1003=$B$2)*1,{1}),0)+21),"")</f>
        <v/>
      </c>
      <c r="E25" s="29" t="str">
        <f ca="1">IFERROR(INDEX(INDIRECT("Transactions!"&amp;"H4:H1003"),MATCH(1,MMULT((Transactions!D$4:D$1003=$B$2)*1,{1}),0)+21),"")</f>
        <v/>
      </c>
      <c r="F25" s="13" t="str">
        <f ca="1">IFERROR(INDEX(INDIRECT("Transactions!"&amp;"I4:I1003"),MATCH(1,MMULT((Transactions!D$4:D$1003=$B$2)*1,{1}),0)+21),"")</f>
        <v/>
      </c>
      <c r="G25" s="7">
        <f ca="1">IFERROR(INDEX(INDIRECT("Transactions!"&amp;"J4:J1003"),MATCH(1,MMULT((Transactions!D$4:D$1003=$B$2)*1,{1}),0)+21),"")</f>
        <v>0</v>
      </c>
      <c r="H25" s="7">
        <f ca="1">IFERROR(INDEX(INDIRECT("Transactions!"&amp;"N4:N1003"),MATCH(1,MMULT((Transactions!D$4:D$1003=$B$2)*1,{1}),0)+21),"")</f>
        <v>0</v>
      </c>
    </row>
    <row r="26" spans="1:8" ht="15.75" customHeight="1" x14ac:dyDescent="0.25">
      <c r="A26" s="7">
        <f ca="1">IFERROR(INDEX(INDIRECT("Transactions!"&amp;"B4:B1003"),MATCH(1,MMULT((Transactions!D$4:D$1003=$B$2)*1,{1}),0)+22),"")</f>
        <v>0</v>
      </c>
      <c r="B26" s="7">
        <f ca="1">IFERROR(INDEX(INDIRECT("Transactions!"&amp;"A4:A1003"),MATCH(1,MMULT((Transactions!D$4:D$1003=$B$2)*1,{1}),0)+22),"")</f>
        <v>0</v>
      </c>
      <c r="C26" s="7">
        <f ca="1">IFERROR(INDEX(INDIRECT("Transactions!"&amp;"E4:E1003"),MATCH(1,MMULT((Transactions!D$4:D$1003=$B$2)*1,{1}),0)+22),"")</f>
        <v>0</v>
      </c>
      <c r="D26" s="29" t="str">
        <f ca="1">IFERROR(INDEX(INDIRECT("Transactions!"&amp;"G4:G1003"),MATCH(1,MMULT((Transactions!D$4:D$1003=$B$2)*1,{1}),0)+22),"")</f>
        <v/>
      </c>
      <c r="E26" s="29" t="str">
        <f ca="1">IFERROR(INDEX(INDIRECT("Transactions!"&amp;"H4:H1003"),MATCH(1,MMULT((Transactions!D$4:D$1003=$B$2)*1,{1}),0)+22),"")</f>
        <v/>
      </c>
      <c r="F26" s="13" t="str">
        <f ca="1">IFERROR(INDEX(INDIRECT("Transactions!"&amp;"I4:I1003"),MATCH(1,MMULT((Transactions!D$4:D$1003=$B$2)*1,{1}),0)+22),"")</f>
        <v/>
      </c>
      <c r="G26" s="7">
        <f ca="1">IFERROR(INDEX(INDIRECT("Transactions!"&amp;"J4:J1003"),MATCH(1,MMULT((Transactions!D$4:D$1003=$B$2)*1,{1}),0)+22),"")</f>
        <v>0</v>
      </c>
      <c r="H26" s="7">
        <f ca="1">IFERROR(INDEX(INDIRECT("Transactions!"&amp;"N4:N1003"),MATCH(1,MMULT((Transactions!D$4:D$1003=$B$2)*1,{1}),0)+22),"")</f>
        <v>0</v>
      </c>
    </row>
    <row r="27" spans="1:8" ht="15.75" customHeight="1" x14ac:dyDescent="0.25">
      <c r="A27" s="7">
        <f ca="1">IFERROR(INDEX(INDIRECT("Transactions!"&amp;"B4:B1003"),MATCH(1,MMULT((Transactions!D$4:D$1003=$B$2)*1,{1}),0)+23),"")</f>
        <v>0</v>
      </c>
      <c r="B27" s="7">
        <f ca="1">IFERROR(INDEX(INDIRECT("Transactions!"&amp;"A4:A1003"),MATCH(1,MMULT((Transactions!D$4:D$1003=$B$2)*1,{1}),0)+23),"")</f>
        <v>0</v>
      </c>
      <c r="C27" s="7">
        <f ca="1">IFERROR(INDEX(INDIRECT("Transactions!"&amp;"E4:E1003"),MATCH(1,MMULT((Transactions!D$4:D$1003=$B$2)*1,{1}),0)+23),"")</f>
        <v>0</v>
      </c>
      <c r="D27" s="29" t="str">
        <f ca="1">IFERROR(INDEX(INDIRECT("Transactions!"&amp;"G4:G1003"),MATCH(1,MMULT((Transactions!D$4:D$1003=$B$2)*1,{1}),0)+23),"")</f>
        <v/>
      </c>
      <c r="E27" s="29" t="str">
        <f ca="1">IFERROR(INDEX(INDIRECT("Transactions!"&amp;"H4:H1003"),MATCH(1,MMULT((Transactions!D$4:D$1003=$B$2)*1,{1}),0)+23),"")</f>
        <v/>
      </c>
      <c r="F27" s="13" t="str">
        <f ca="1">IFERROR(INDEX(INDIRECT("Transactions!"&amp;"I4:I1003"),MATCH(1,MMULT((Transactions!D$4:D$1003=$B$2)*1,{1}),0)+23),"")</f>
        <v/>
      </c>
      <c r="G27" s="7">
        <f ca="1">IFERROR(INDEX(INDIRECT("Transactions!"&amp;"J4:J1003"),MATCH(1,MMULT((Transactions!D$4:D$1003=$B$2)*1,{1}),0)+23),"")</f>
        <v>0</v>
      </c>
      <c r="H27" s="7">
        <f ca="1">IFERROR(INDEX(INDIRECT("Transactions!"&amp;"N4:N1003"),MATCH(1,MMULT((Transactions!D$4:D$1003=$B$2)*1,{1}),0)+23),"")</f>
        <v>0</v>
      </c>
    </row>
    <row r="28" spans="1:8" ht="15.75" customHeight="1" x14ac:dyDescent="0.25">
      <c r="A28" s="7">
        <f ca="1">IFERROR(INDEX(INDIRECT("Transactions!"&amp;"B4:B1003"),MATCH(1,MMULT((Transactions!D$4:D$1003=$B$2)*1,{1}),0)+24),"")</f>
        <v>0</v>
      </c>
      <c r="B28" s="7">
        <f ca="1">IFERROR(INDEX(INDIRECT("Transactions!"&amp;"A4:A1003"),MATCH(1,MMULT((Transactions!D$4:D$1003=$B$2)*1,{1}),0)+24),"")</f>
        <v>0</v>
      </c>
      <c r="C28" s="7">
        <f ca="1">IFERROR(INDEX(INDIRECT("Transactions!"&amp;"E4:E1003"),MATCH(1,MMULT((Transactions!D$4:D$1003=$B$2)*1,{1}),0)+24),"")</f>
        <v>0</v>
      </c>
      <c r="D28" s="29" t="str">
        <f ca="1">IFERROR(INDEX(INDIRECT("Transactions!"&amp;"G4:G1003"),MATCH(1,MMULT((Transactions!D$4:D$1003=$B$2)*1,{1}),0)+24),"")</f>
        <v/>
      </c>
      <c r="E28" s="29" t="str">
        <f ca="1">IFERROR(INDEX(INDIRECT("Transactions!"&amp;"H4:H1003"),MATCH(1,MMULT((Transactions!D$4:D$1003=$B$2)*1,{1}),0)+24),"")</f>
        <v/>
      </c>
      <c r="F28" s="13" t="str">
        <f ca="1">IFERROR(INDEX(INDIRECT("Transactions!"&amp;"I4:I1003"),MATCH(1,MMULT((Transactions!D$4:D$1003=$B$2)*1,{1}),0)+24),"")</f>
        <v/>
      </c>
      <c r="G28" s="7">
        <f ca="1">IFERROR(INDEX(INDIRECT("Transactions!"&amp;"J4:J1003"),MATCH(1,MMULT((Transactions!D$4:D$1003=$B$2)*1,{1}),0)+24),"")</f>
        <v>0</v>
      </c>
      <c r="H28" s="7">
        <f ca="1">IFERROR(INDEX(INDIRECT("Transactions!"&amp;"N4:N1003"),MATCH(1,MMULT((Transactions!D$4:D$1003=$B$2)*1,{1}),0)+24),"")</f>
        <v>0</v>
      </c>
    </row>
    <row r="29" spans="1:8" ht="15.75" customHeight="1" x14ac:dyDescent="0.25">
      <c r="A29" s="7">
        <f ca="1">IFERROR(INDEX(INDIRECT("Transactions!"&amp;"B4:B1003"),MATCH(1,MMULT((Transactions!D$4:D$1003=$B$2)*1,{1}),0)+25),"")</f>
        <v>0</v>
      </c>
      <c r="B29" s="7">
        <f ca="1">IFERROR(INDEX(INDIRECT("Transactions!"&amp;"A4:A1003"),MATCH(1,MMULT((Transactions!D$4:D$1003=$B$2)*1,{1}),0)+25),"")</f>
        <v>0</v>
      </c>
      <c r="C29" s="7">
        <f ca="1">IFERROR(INDEX(INDIRECT("Transactions!"&amp;"E4:E1003"),MATCH(1,MMULT((Transactions!D$4:D$1003=$B$2)*1,{1}),0)+25),"")</f>
        <v>0</v>
      </c>
      <c r="D29" s="29" t="str">
        <f ca="1">IFERROR(INDEX(INDIRECT("Transactions!"&amp;"G4:G1003"),MATCH(1,MMULT((Transactions!D$4:D$1003=$B$2)*1,{1}),0)+25),"")</f>
        <v/>
      </c>
      <c r="E29" s="29" t="str">
        <f ca="1">IFERROR(INDEX(INDIRECT("Transactions!"&amp;"H4:H1003"),MATCH(1,MMULT((Transactions!D$4:D$1003=$B$2)*1,{1}),0)+25),"")</f>
        <v/>
      </c>
      <c r="F29" s="13" t="str">
        <f ca="1">IFERROR(INDEX(INDIRECT("Transactions!"&amp;"I4:I1003"),MATCH(1,MMULT((Transactions!D$4:D$1003=$B$2)*1,{1}),0)+25),"")</f>
        <v/>
      </c>
      <c r="G29" s="7">
        <f ca="1">IFERROR(INDEX(INDIRECT("Transactions!"&amp;"J4:J1003"),MATCH(1,MMULT((Transactions!D$4:D$1003=$B$2)*1,{1}),0)+25),"")</f>
        <v>0</v>
      </c>
      <c r="H29" s="7">
        <f ca="1">IFERROR(INDEX(INDIRECT("Transactions!"&amp;"N4:N1003"),MATCH(1,MMULT((Transactions!D$4:D$1003=$B$2)*1,{1}),0)+25),"")</f>
        <v>0</v>
      </c>
    </row>
    <row r="30" spans="1:8" ht="15.75" customHeight="1" x14ac:dyDescent="0.25">
      <c r="A30" s="7">
        <f ca="1">IFERROR(INDEX(INDIRECT("Transactions!"&amp;"B4:B1003"),MATCH(1,MMULT((Transactions!D$4:D$1003=$B$2)*1,{1}),0)+26),"")</f>
        <v>0</v>
      </c>
      <c r="B30" s="7">
        <f ca="1">IFERROR(INDEX(INDIRECT("Transactions!"&amp;"A4:A1003"),MATCH(1,MMULT((Transactions!D$4:D$1003=$B$2)*1,{1}),0)+26),"")</f>
        <v>0</v>
      </c>
      <c r="C30" s="7">
        <f ca="1">IFERROR(INDEX(INDIRECT("Transactions!"&amp;"E4:E1003"),MATCH(1,MMULT((Transactions!D$4:D$1003=$B$2)*1,{1}),0)+26),"")</f>
        <v>0</v>
      </c>
      <c r="D30" s="29" t="str">
        <f ca="1">IFERROR(INDEX(INDIRECT("Transactions!"&amp;"G4:G1003"),MATCH(1,MMULT((Transactions!D$4:D$1003=$B$2)*1,{1}),0)+26),"")</f>
        <v/>
      </c>
      <c r="E30" s="29" t="str">
        <f ca="1">IFERROR(INDEX(INDIRECT("Transactions!"&amp;"H4:H1003"),MATCH(1,MMULT((Transactions!D$4:D$1003=$B$2)*1,{1}),0)+26),"")</f>
        <v/>
      </c>
      <c r="F30" s="13" t="str">
        <f ca="1">IFERROR(INDEX(INDIRECT("Transactions!"&amp;"I4:I1003"),MATCH(1,MMULT((Transactions!D$4:D$1003=$B$2)*1,{1}),0)+26),"")</f>
        <v/>
      </c>
      <c r="G30" s="7">
        <f ca="1">IFERROR(INDEX(INDIRECT("Transactions!"&amp;"J4:J1003"),MATCH(1,MMULT((Transactions!D$4:D$1003=$B$2)*1,{1}),0)+26),"")</f>
        <v>0</v>
      </c>
      <c r="H30" s="7">
        <f ca="1">IFERROR(INDEX(INDIRECT("Transactions!"&amp;"N4:N1003"),MATCH(1,MMULT((Transactions!D$4:D$1003=$B$2)*1,{1}),0)+26),"")</f>
        <v>0</v>
      </c>
    </row>
    <row r="31" spans="1:8" ht="15.75" customHeight="1" x14ac:dyDescent="0.25">
      <c r="A31" s="7">
        <f ca="1">IFERROR(INDEX(INDIRECT("Transactions!"&amp;"B4:B1003"),MATCH(1,MMULT((Transactions!D$4:D$1003=$B$2)*1,{1}),0)+27),"")</f>
        <v>0</v>
      </c>
      <c r="B31" s="7">
        <f ca="1">IFERROR(INDEX(INDIRECT("Transactions!"&amp;"A4:A1003"),MATCH(1,MMULT((Transactions!D$4:D$1003=$B$2)*1,{1}),0)+27),"")</f>
        <v>0</v>
      </c>
      <c r="C31" s="7">
        <f ca="1">IFERROR(INDEX(INDIRECT("Transactions!"&amp;"E4:E1003"),MATCH(1,MMULT((Transactions!D$4:D$1003=$B$2)*1,{1}),0)+27),"")</f>
        <v>0</v>
      </c>
      <c r="D31" s="29" t="str">
        <f ca="1">IFERROR(INDEX(INDIRECT("Transactions!"&amp;"G4:G1003"),MATCH(1,MMULT((Transactions!D$4:D$1003=$B$2)*1,{1}),0)+27),"")</f>
        <v/>
      </c>
      <c r="E31" s="29" t="str">
        <f ca="1">IFERROR(INDEX(INDIRECT("Transactions!"&amp;"H4:H1003"),MATCH(1,MMULT((Transactions!D$4:D$1003=$B$2)*1,{1}),0)+27),"")</f>
        <v/>
      </c>
      <c r="F31" s="13" t="str">
        <f ca="1">IFERROR(INDEX(INDIRECT("Transactions!"&amp;"I4:I1003"),MATCH(1,MMULT((Transactions!D$4:D$1003=$B$2)*1,{1}),0)+27),"")</f>
        <v/>
      </c>
      <c r="G31" s="7">
        <f ca="1">IFERROR(INDEX(INDIRECT("Transactions!"&amp;"J4:J1003"),MATCH(1,MMULT((Transactions!D$4:D$1003=$B$2)*1,{1}),0)+27),"")</f>
        <v>0</v>
      </c>
      <c r="H31" s="7">
        <f ca="1">IFERROR(INDEX(INDIRECT("Transactions!"&amp;"N4:N1003"),MATCH(1,MMULT((Transactions!D$4:D$1003=$B$2)*1,{1}),0)+27),"")</f>
        <v>0</v>
      </c>
    </row>
    <row r="32" spans="1:8" ht="15.75" customHeight="1" x14ac:dyDescent="0.25">
      <c r="A32" s="7">
        <f ca="1">IFERROR(INDEX(INDIRECT("Transactions!"&amp;"B4:B1003"),MATCH(1,MMULT((Transactions!D$4:D$1003=$B$2)*1,{1}),0)+28),"")</f>
        <v>0</v>
      </c>
      <c r="B32" s="7">
        <f ca="1">IFERROR(INDEX(INDIRECT("Transactions!"&amp;"A4:A1003"),MATCH(1,MMULT((Transactions!D$4:D$1003=$B$2)*1,{1}),0)+28),"")</f>
        <v>0</v>
      </c>
      <c r="C32" s="7">
        <f ca="1">IFERROR(INDEX(INDIRECT("Transactions!"&amp;"E4:E1003"),MATCH(1,MMULT((Transactions!D$4:D$1003=$B$2)*1,{1}),0)+28),"")</f>
        <v>0</v>
      </c>
      <c r="D32" s="29" t="str">
        <f ca="1">IFERROR(INDEX(INDIRECT("Transactions!"&amp;"G4:G1003"),MATCH(1,MMULT((Transactions!D$4:D$1003=$B$2)*1,{1}),0)+28),"")</f>
        <v/>
      </c>
      <c r="E32" s="29" t="str">
        <f ca="1">IFERROR(INDEX(INDIRECT("Transactions!"&amp;"H4:H1003"),MATCH(1,MMULT((Transactions!D$4:D$1003=$B$2)*1,{1}),0)+28),"")</f>
        <v/>
      </c>
      <c r="F32" s="13" t="str">
        <f ca="1">IFERROR(INDEX(INDIRECT("Transactions!"&amp;"I4:I1003"),MATCH(1,MMULT((Transactions!D$4:D$1003=$B$2)*1,{1}),0)+28),"")</f>
        <v/>
      </c>
      <c r="G32" s="7">
        <f ca="1">IFERROR(INDEX(INDIRECT("Transactions!"&amp;"J4:J1003"),MATCH(1,MMULT((Transactions!D$4:D$1003=$B$2)*1,{1}),0)+28),"")</f>
        <v>0</v>
      </c>
      <c r="H32" s="7">
        <f ca="1">IFERROR(INDEX(INDIRECT("Transactions!"&amp;"N4:N1003"),MATCH(1,MMULT((Transactions!D$4:D$1003=$B$2)*1,{1}),0)+28),"")</f>
        <v>0</v>
      </c>
    </row>
    <row r="33" spans="1:8" ht="15.75" customHeight="1" x14ac:dyDescent="0.25">
      <c r="A33" s="7">
        <f ca="1">IFERROR(INDEX(INDIRECT("Transactions!"&amp;"B4:B1003"),MATCH(1,MMULT((Transactions!D$4:D$1003=$B$2)*1,{1}),0)+29),"")</f>
        <v>0</v>
      </c>
      <c r="B33" s="7">
        <f ca="1">IFERROR(INDEX(INDIRECT("Transactions!"&amp;"A4:A1003"),MATCH(1,MMULT((Transactions!D$4:D$1003=$B$2)*1,{1}),0)+29),"")</f>
        <v>0</v>
      </c>
      <c r="C33" s="7">
        <f ca="1">IFERROR(INDEX(INDIRECT("Transactions!"&amp;"E4:E1003"),MATCH(1,MMULT((Transactions!D$4:D$1003=$B$2)*1,{1}),0)+29),"")</f>
        <v>0</v>
      </c>
      <c r="D33" s="29" t="str">
        <f ca="1">IFERROR(INDEX(INDIRECT("Transactions!"&amp;"G4:G1003"),MATCH(1,MMULT((Transactions!D$4:D$1003=$B$2)*1,{1}),0)+29),"")</f>
        <v/>
      </c>
      <c r="E33" s="29" t="str">
        <f ca="1">IFERROR(INDEX(INDIRECT("Transactions!"&amp;"H4:H1003"),MATCH(1,MMULT((Transactions!D$4:D$1003=$B$2)*1,{1}),0)+29),"")</f>
        <v/>
      </c>
      <c r="F33" s="13" t="str">
        <f ca="1">IFERROR(INDEX(INDIRECT("Transactions!"&amp;"I4:I1003"),MATCH(1,MMULT((Transactions!D$4:D$1003=$B$2)*1,{1}),0)+29),"")</f>
        <v/>
      </c>
      <c r="G33" s="7">
        <f ca="1">IFERROR(INDEX(INDIRECT("Transactions!"&amp;"J4:J1003"),MATCH(1,MMULT((Transactions!D$4:D$1003=$B$2)*1,{1}),0)+29),"")</f>
        <v>0</v>
      </c>
      <c r="H33" s="7">
        <f ca="1">IFERROR(INDEX(INDIRECT("Transactions!"&amp;"N4:N1003"),MATCH(1,MMULT((Transactions!D$4:D$1003=$B$2)*1,{1}),0)+29),"")</f>
        <v>0</v>
      </c>
    </row>
    <row r="34" spans="1:8" ht="15.75" customHeight="1" x14ac:dyDescent="0.25">
      <c r="A34" s="7">
        <f ca="1">IFERROR(INDEX(INDIRECT("Transactions!"&amp;"B4:B1003"),MATCH(1,MMULT((Transactions!D$4:D$1003=$B$2)*1,{1}),0)+30),"")</f>
        <v>0</v>
      </c>
      <c r="B34" s="7">
        <f ca="1">IFERROR(INDEX(INDIRECT("Transactions!"&amp;"A4:A1003"),MATCH(1,MMULT((Transactions!D$4:D$1003=$B$2)*1,{1}),0)+30),"")</f>
        <v>0</v>
      </c>
      <c r="C34" s="7">
        <f ca="1">IFERROR(INDEX(INDIRECT("Transactions!"&amp;"E4:E1003"),MATCH(1,MMULT((Transactions!D$4:D$1003=$B$2)*1,{1}),0)+30),"")</f>
        <v>0</v>
      </c>
      <c r="D34" s="29" t="str">
        <f ca="1">IFERROR(INDEX(INDIRECT("Transactions!"&amp;"G4:G1003"),MATCH(1,MMULT((Transactions!D$4:D$1003=$B$2)*1,{1}),0)+30),"")</f>
        <v/>
      </c>
      <c r="E34" s="29" t="str">
        <f ca="1">IFERROR(INDEX(INDIRECT("Transactions!"&amp;"H4:H1003"),MATCH(1,MMULT((Transactions!D$4:D$1003=$B$2)*1,{1}),0)+30),"")</f>
        <v/>
      </c>
      <c r="F34" s="13" t="str">
        <f ca="1">IFERROR(INDEX(INDIRECT("Transactions!"&amp;"I4:I1003"),MATCH(1,MMULT((Transactions!D$4:D$1003=$B$2)*1,{1}),0)+30),"")</f>
        <v/>
      </c>
      <c r="G34" s="7">
        <f ca="1">IFERROR(INDEX(INDIRECT("Transactions!"&amp;"J4:J1003"),MATCH(1,MMULT((Transactions!D$4:D$1003=$B$2)*1,{1}),0)+30),"")</f>
        <v>0</v>
      </c>
      <c r="H34" s="7">
        <f ca="1">IFERROR(INDEX(INDIRECT("Transactions!"&amp;"N4:N1003"),MATCH(1,MMULT((Transactions!D$4:D$1003=$B$2)*1,{1}),0)+30),"")</f>
        <v>0</v>
      </c>
    </row>
    <row r="35" spans="1:8" ht="15.75" customHeight="1" x14ac:dyDescent="0.25">
      <c r="A35" s="7">
        <f ca="1">IFERROR(INDEX(INDIRECT("Transactions!"&amp;"B4:B1003"),MATCH(1,MMULT((Transactions!D$4:D$1003=$B$2)*1,{1}),0)+31),"")</f>
        <v>0</v>
      </c>
      <c r="B35" s="7">
        <f ca="1">IFERROR(INDEX(INDIRECT("Transactions!"&amp;"A4:A1003"),MATCH(1,MMULT((Transactions!D$4:D$1003=$B$2)*1,{1}),0)+31),"")</f>
        <v>0</v>
      </c>
      <c r="C35" s="7">
        <f ca="1">IFERROR(INDEX(INDIRECT("Transactions!"&amp;"E4:E1003"),MATCH(1,MMULT((Transactions!D$4:D$1003=$B$2)*1,{1}),0)+31),"")</f>
        <v>0</v>
      </c>
      <c r="D35" s="29" t="str">
        <f ca="1">IFERROR(INDEX(INDIRECT("Transactions!"&amp;"G4:G1003"),MATCH(1,MMULT((Transactions!D$4:D$1003=$B$2)*1,{1}),0)+31),"")</f>
        <v/>
      </c>
      <c r="E35" s="29" t="str">
        <f ca="1">IFERROR(INDEX(INDIRECT("Transactions!"&amp;"H4:H1003"),MATCH(1,MMULT((Transactions!D$4:D$1003=$B$2)*1,{1}),0)+31),"")</f>
        <v/>
      </c>
      <c r="F35" s="13" t="str">
        <f ca="1">IFERROR(INDEX(INDIRECT("Transactions!"&amp;"I4:I1003"),MATCH(1,MMULT((Transactions!D$4:D$1003=$B$2)*1,{1}),0)+31),"")</f>
        <v/>
      </c>
      <c r="G35" s="7">
        <f ca="1">IFERROR(INDEX(INDIRECT("Transactions!"&amp;"J4:J1003"),MATCH(1,MMULT((Transactions!D$4:D$1003=$B$2)*1,{1}),0)+31),"")</f>
        <v>0</v>
      </c>
      <c r="H35" s="7">
        <f ca="1">IFERROR(INDEX(INDIRECT("Transactions!"&amp;"N4:N1003"),MATCH(1,MMULT((Transactions!D$4:D$1003=$B$2)*1,{1}),0)+31),"")</f>
        <v>0</v>
      </c>
    </row>
    <row r="36" spans="1:8" ht="15.75" customHeight="1" x14ac:dyDescent="0.25">
      <c r="A36" s="7">
        <f ca="1">IFERROR(INDEX(INDIRECT("Transactions!"&amp;"B4:B1003"),MATCH(1,MMULT((Transactions!D$4:D$1003=$B$2)*1,{1}),0)+32),"")</f>
        <v>0</v>
      </c>
      <c r="B36" s="7">
        <f ca="1">IFERROR(INDEX(INDIRECT("Transactions!"&amp;"A4:A1003"),MATCH(1,MMULT((Transactions!D$4:D$1003=$B$2)*1,{1}),0)+32),"")</f>
        <v>0</v>
      </c>
      <c r="C36" s="7">
        <f ca="1">IFERROR(INDEX(INDIRECT("Transactions!"&amp;"E4:E1003"),MATCH(1,MMULT((Transactions!D$4:D$1003=$B$2)*1,{1}),0)+32),"")</f>
        <v>0</v>
      </c>
      <c r="D36" s="29" t="str">
        <f ca="1">IFERROR(INDEX(INDIRECT("Transactions!"&amp;"G4:G1003"),MATCH(1,MMULT((Transactions!D$4:D$1003=$B$2)*1,{1}),0)+32),"")</f>
        <v/>
      </c>
      <c r="E36" s="29" t="str">
        <f ca="1">IFERROR(INDEX(INDIRECT("Transactions!"&amp;"H4:H1003"),MATCH(1,MMULT((Transactions!D$4:D$1003=$B$2)*1,{1}),0)+32),"")</f>
        <v/>
      </c>
      <c r="F36" s="13" t="str">
        <f ca="1">IFERROR(INDEX(INDIRECT("Transactions!"&amp;"I4:I1003"),MATCH(1,MMULT((Transactions!D$4:D$1003=$B$2)*1,{1}),0)+32),"")</f>
        <v/>
      </c>
      <c r="G36" s="7">
        <f ca="1">IFERROR(INDEX(INDIRECT("Transactions!"&amp;"J4:J1003"),MATCH(1,MMULT((Transactions!D$4:D$1003=$B$2)*1,{1}),0)+32),"")</f>
        <v>0</v>
      </c>
      <c r="H36" s="7">
        <f ca="1">IFERROR(INDEX(INDIRECT("Transactions!"&amp;"N4:N1003"),MATCH(1,MMULT((Transactions!D$4:D$1003=$B$2)*1,{1}),0)+32),"")</f>
        <v>0</v>
      </c>
    </row>
    <row r="37" spans="1:8" ht="15.75" customHeight="1" x14ac:dyDescent="0.25">
      <c r="A37" s="7">
        <f ca="1">IFERROR(INDEX(INDIRECT("Transactions!"&amp;"B4:B1003"),MATCH(1,MMULT((Transactions!D$4:D$1003=$B$2)*1,{1}),0)+33),"")</f>
        <v>0</v>
      </c>
      <c r="B37" s="7">
        <f ca="1">IFERROR(INDEX(INDIRECT("Transactions!"&amp;"A4:A1003"),MATCH(1,MMULT((Transactions!D$4:D$1003=$B$2)*1,{1}),0)+33),"")</f>
        <v>0</v>
      </c>
      <c r="C37" s="7">
        <f ca="1">IFERROR(INDEX(INDIRECT("Transactions!"&amp;"E4:E1003"),MATCH(1,MMULT((Transactions!D$4:D$1003=$B$2)*1,{1}),0)+33),"")</f>
        <v>0</v>
      </c>
      <c r="D37" s="29" t="str">
        <f ca="1">IFERROR(INDEX(INDIRECT("Transactions!"&amp;"G4:G1003"),MATCH(1,MMULT((Transactions!D$4:D$1003=$B$2)*1,{1}),0)+33),"")</f>
        <v/>
      </c>
      <c r="E37" s="29" t="str">
        <f ca="1">IFERROR(INDEX(INDIRECT("Transactions!"&amp;"H4:H1003"),MATCH(1,MMULT((Transactions!D$4:D$1003=$B$2)*1,{1}),0)+33),"")</f>
        <v/>
      </c>
      <c r="F37" s="13" t="str">
        <f ca="1">IFERROR(INDEX(INDIRECT("Transactions!"&amp;"I4:I1003"),MATCH(1,MMULT((Transactions!D$4:D$1003=$B$2)*1,{1}),0)+33),"")</f>
        <v/>
      </c>
      <c r="G37" s="7">
        <f ca="1">IFERROR(INDEX(INDIRECT("Transactions!"&amp;"J4:J1003"),MATCH(1,MMULT((Transactions!D$4:D$1003=$B$2)*1,{1}),0)+33),"")</f>
        <v>0</v>
      </c>
      <c r="H37" s="7">
        <f ca="1">IFERROR(INDEX(INDIRECT("Transactions!"&amp;"N4:N1003"),MATCH(1,MMULT((Transactions!D$4:D$1003=$B$2)*1,{1}),0)+33),"")</f>
        <v>0</v>
      </c>
    </row>
    <row r="38" spans="1:8" ht="15.75" customHeight="1" x14ac:dyDescent="0.25">
      <c r="A38" s="7">
        <f ca="1">IFERROR(INDEX(INDIRECT("Transactions!"&amp;"B4:B1003"),MATCH(1,MMULT((Transactions!D$4:D$1003=$B$2)*1,{1}),0)+34),"")</f>
        <v>0</v>
      </c>
      <c r="B38" s="7">
        <f ca="1">IFERROR(INDEX(INDIRECT("Transactions!"&amp;"A4:A1003"),MATCH(1,MMULT((Transactions!D$4:D$1003=$B$2)*1,{1}),0)+34),"")</f>
        <v>0</v>
      </c>
      <c r="C38" s="7">
        <f ca="1">IFERROR(INDEX(INDIRECT("Transactions!"&amp;"E4:E1003"),MATCH(1,MMULT((Transactions!D$4:D$1003=$B$2)*1,{1}),0)+34),"")</f>
        <v>0</v>
      </c>
      <c r="D38" s="29" t="str">
        <f ca="1">IFERROR(INDEX(INDIRECT("Transactions!"&amp;"G4:G1003"),MATCH(1,MMULT((Transactions!D$4:D$1003=$B$2)*1,{1}),0)+34),"")</f>
        <v/>
      </c>
      <c r="E38" s="29" t="str">
        <f ca="1">IFERROR(INDEX(INDIRECT("Transactions!"&amp;"H4:H1003"),MATCH(1,MMULT((Transactions!D$4:D$1003=$B$2)*1,{1}),0)+34),"")</f>
        <v/>
      </c>
      <c r="F38" s="13" t="str">
        <f ca="1">IFERROR(INDEX(INDIRECT("Transactions!"&amp;"I4:I1003"),MATCH(1,MMULT((Transactions!D$4:D$1003=$B$2)*1,{1}),0)+34),"")</f>
        <v/>
      </c>
      <c r="G38" s="7">
        <f ca="1">IFERROR(INDEX(INDIRECT("Transactions!"&amp;"J4:J1003"),MATCH(1,MMULT((Transactions!D$4:D$1003=$B$2)*1,{1}),0)+34),"")</f>
        <v>0</v>
      </c>
      <c r="H38" s="7">
        <f ca="1">IFERROR(INDEX(INDIRECT("Transactions!"&amp;"N4:N1003"),MATCH(1,MMULT((Transactions!D$4:D$1003=$B$2)*1,{1}),0)+34),"")</f>
        <v>0</v>
      </c>
    </row>
    <row r="39" spans="1:8" ht="15.75" customHeight="1" x14ac:dyDescent="0.25">
      <c r="A39" s="7">
        <f ca="1">IFERROR(INDEX(INDIRECT("Transactions!"&amp;"B4:B1003"),MATCH(1,MMULT((Transactions!D$4:D$1003=$B$2)*1,{1}),0)+35),"")</f>
        <v>0</v>
      </c>
      <c r="B39" s="7">
        <f ca="1">IFERROR(INDEX(INDIRECT("Transactions!"&amp;"A4:A1003"),MATCH(1,MMULT((Transactions!D$4:D$1003=$B$2)*1,{1}),0)+35),"")</f>
        <v>0</v>
      </c>
      <c r="C39" s="7">
        <f ca="1">IFERROR(INDEX(INDIRECT("Transactions!"&amp;"E4:E1003"),MATCH(1,MMULT((Transactions!D$4:D$1003=$B$2)*1,{1}),0)+35),"")</f>
        <v>0</v>
      </c>
      <c r="D39" s="29" t="str">
        <f ca="1">IFERROR(INDEX(INDIRECT("Transactions!"&amp;"G4:G1003"),MATCH(1,MMULT((Transactions!D$4:D$1003=$B$2)*1,{1}),0)+35),"")</f>
        <v/>
      </c>
      <c r="E39" s="29" t="str">
        <f ca="1">IFERROR(INDEX(INDIRECT("Transactions!"&amp;"H4:H1003"),MATCH(1,MMULT((Transactions!D$4:D$1003=$B$2)*1,{1}),0)+35),"")</f>
        <v/>
      </c>
      <c r="F39" s="13" t="str">
        <f ca="1">IFERROR(INDEX(INDIRECT("Transactions!"&amp;"I4:I1003"),MATCH(1,MMULT((Transactions!D$4:D$1003=$B$2)*1,{1}),0)+35),"")</f>
        <v/>
      </c>
      <c r="G39" s="7">
        <f ca="1">IFERROR(INDEX(INDIRECT("Transactions!"&amp;"J4:J1003"),MATCH(1,MMULT((Transactions!D$4:D$1003=$B$2)*1,{1}),0)+35),"")</f>
        <v>0</v>
      </c>
      <c r="H39" s="7">
        <f ca="1">IFERROR(INDEX(INDIRECT("Transactions!"&amp;"N4:N1003"),MATCH(1,MMULT((Transactions!D$4:D$1003=$B$2)*1,{1}),0)+35),"")</f>
        <v>0</v>
      </c>
    </row>
    <row r="40" spans="1:8" ht="15.75" customHeight="1" x14ac:dyDescent="0.25">
      <c r="A40" s="7">
        <f ca="1">IFERROR(INDEX(INDIRECT("Transactions!"&amp;"B4:B1003"),MATCH(1,MMULT((Transactions!D$4:D$1003=$B$2)*1,{1}),0)+36),"")</f>
        <v>0</v>
      </c>
      <c r="B40" s="7">
        <f ca="1">IFERROR(INDEX(INDIRECT("Transactions!"&amp;"A4:A1003"),MATCH(1,MMULT((Transactions!D$4:D$1003=$B$2)*1,{1}),0)+36),"")</f>
        <v>0</v>
      </c>
      <c r="C40" s="7">
        <f ca="1">IFERROR(INDEX(INDIRECT("Transactions!"&amp;"E4:E1003"),MATCH(1,MMULT((Transactions!D$4:D$1003=$B$2)*1,{1}),0)+36),"")</f>
        <v>0</v>
      </c>
      <c r="D40" s="29" t="str">
        <f ca="1">IFERROR(INDEX(INDIRECT("Transactions!"&amp;"G4:G1003"),MATCH(1,MMULT((Transactions!D$4:D$1003=$B$2)*1,{1}),0)+36),"")</f>
        <v/>
      </c>
      <c r="E40" s="29" t="str">
        <f ca="1">IFERROR(INDEX(INDIRECT("Transactions!"&amp;"H4:H1003"),MATCH(1,MMULT((Transactions!D$4:D$1003=$B$2)*1,{1}),0)+36),"")</f>
        <v/>
      </c>
      <c r="F40" s="13" t="str">
        <f ca="1">IFERROR(INDEX(INDIRECT("Transactions!"&amp;"I4:I1003"),MATCH(1,MMULT((Transactions!D$4:D$1003=$B$2)*1,{1}),0)+36),"")</f>
        <v/>
      </c>
      <c r="G40" s="7">
        <f ca="1">IFERROR(INDEX(INDIRECT("Transactions!"&amp;"J4:J1003"),MATCH(1,MMULT((Transactions!D$4:D$1003=$B$2)*1,{1}),0)+36),"")</f>
        <v>0</v>
      </c>
      <c r="H40" s="7">
        <f ca="1">IFERROR(INDEX(INDIRECT("Transactions!"&amp;"N4:N1003"),MATCH(1,MMULT((Transactions!D$4:D$1003=$B$2)*1,{1}),0)+36),"")</f>
        <v>0</v>
      </c>
    </row>
    <row r="41" spans="1:8" ht="15.75" customHeight="1" x14ac:dyDescent="0.25">
      <c r="A41" s="7">
        <f ca="1">IFERROR(INDEX(INDIRECT("Transactions!"&amp;"B4:B1003"),MATCH(1,MMULT((Transactions!D$4:D$1003=$B$2)*1,{1}),0)+37),"")</f>
        <v>0</v>
      </c>
      <c r="B41" s="7">
        <f ca="1">IFERROR(INDEX(INDIRECT("Transactions!"&amp;"A4:A1003"),MATCH(1,MMULT((Transactions!D$4:D$1003=$B$2)*1,{1}),0)+37),"")</f>
        <v>0</v>
      </c>
      <c r="C41" s="7">
        <f ca="1">IFERROR(INDEX(INDIRECT("Transactions!"&amp;"E4:E1003"),MATCH(1,MMULT((Transactions!D$4:D$1003=$B$2)*1,{1}),0)+37),"")</f>
        <v>0</v>
      </c>
      <c r="D41" s="29" t="str">
        <f ca="1">IFERROR(INDEX(INDIRECT("Transactions!"&amp;"G4:G1003"),MATCH(1,MMULT((Transactions!D$4:D$1003=$B$2)*1,{1}),0)+37),"")</f>
        <v/>
      </c>
      <c r="E41" s="29" t="str">
        <f ca="1">IFERROR(INDEX(INDIRECT("Transactions!"&amp;"H4:H1003"),MATCH(1,MMULT((Transactions!D$4:D$1003=$B$2)*1,{1}),0)+37),"")</f>
        <v/>
      </c>
      <c r="F41" s="13" t="str">
        <f ca="1">IFERROR(INDEX(INDIRECT("Transactions!"&amp;"I4:I1003"),MATCH(1,MMULT((Transactions!D$4:D$1003=$B$2)*1,{1}),0)+37),"")</f>
        <v/>
      </c>
      <c r="G41" s="7">
        <f ca="1">IFERROR(INDEX(INDIRECT("Transactions!"&amp;"J4:J1003"),MATCH(1,MMULT((Transactions!D$4:D$1003=$B$2)*1,{1}),0)+37),"")</f>
        <v>0</v>
      </c>
      <c r="H41" s="7">
        <f ca="1">IFERROR(INDEX(INDIRECT("Transactions!"&amp;"N4:N1003"),MATCH(1,MMULT((Transactions!D$4:D$1003=$B$2)*1,{1}),0)+37),"")</f>
        <v>0</v>
      </c>
    </row>
    <row r="42" spans="1:8" ht="15.75" customHeight="1" x14ac:dyDescent="0.25">
      <c r="A42" s="7">
        <f ca="1">IFERROR(INDEX(INDIRECT("Transactions!"&amp;"B4:B1003"),MATCH(1,MMULT((Transactions!D$4:D$1003=$B$2)*1,{1}),0)+38),"")</f>
        <v>0</v>
      </c>
      <c r="B42" s="7">
        <f ca="1">IFERROR(INDEX(INDIRECT("Transactions!"&amp;"A4:A1003"),MATCH(1,MMULT((Transactions!D$4:D$1003=$B$2)*1,{1}),0)+38),"")</f>
        <v>0</v>
      </c>
      <c r="C42" s="7">
        <f ca="1">IFERROR(INDEX(INDIRECT("Transactions!"&amp;"E4:E1003"),MATCH(1,MMULT((Transactions!D$4:D$1003=$B$2)*1,{1}),0)+38),"")</f>
        <v>0</v>
      </c>
      <c r="D42" s="29" t="str">
        <f ca="1">IFERROR(INDEX(INDIRECT("Transactions!"&amp;"G4:G1003"),MATCH(1,MMULT((Transactions!D$4:D$1003=$B$2)*1,{1}),0)+38),"")</f>
        <v/>
      </c>
      <c r="E42" s="29" t="str">
        <f ca="1">IFERROR(INDEX(INDIRECT("Transactions!"&amp;"H4:H1003"),MATCH(1,MMULT((Transactions!D$4:D$1003=$B$2)*1,{1}),0)+38),"")</f>
        <v/>
      </c>
      <c r="F42" s="13" t="str">
        <f ca="1">IFERROR(INDEX(INDIRECT("Transactions!"&amp;"I4:I1003"),MATCH(1,MMULT((Transactions!D$4:D$1003=$B$2)*1,{1}),0)+38),"")</f>
        <v/>
      </c>
      <c r="G42" s="7">
        <f ca="1">IFERROR(INDEX(INDIRECT("Transactions!"&amp;"J4:J1003"),MATCH(1,MMULT((Transactions!D$4:D$1003=$B$2)*1,{1}),0)+38),"")</f>
        <v>0</v>
      </c>
      <c r="H42" s="7">
        <f ca="1">IFERROR(INDEX(INDIRECT("Transactions!"&amp;"N4:N1003"),MATCH(1,MMULT((Transactions!D$4:D$1003=$B$2)*1,{1}),0)+38),"")</f>
        <v>0</v>
      </c>
    </row>
    <row r="43" spans="1:8" ht="15.75" customHeight="1" x14ac:dyDescent="0.25">
      <c r="A43" s="7">
        <f ca="1">IFERROR(INDEX(INDIRECT("Transactions!"&amp;"B4:B1003"),MATCH(1,MMULT((Transactions!D$4:D$1003=$B$2)*1,{1}),0)+39),"")</f>
        <v>0</v>
      </c>
      <c r="B43" s="7">
        <f ca="1">IFERROR(INDEX(INDIRECT("Transactions!"&amp;"A4:A1003"),MATCH(1,MMULT((Transactions!D$4:D$1003=$B$2)*1,{1}),0)+39),"")</f>
        <v>0</v>
      </c>
      <c r="C43" s="7">
        <f ca="1">IFERROR(INDEX(INDIRECT("Transactions!"&amp;"E4:E1003"),MATCH(1,MMULT((Transactions!D$4:D$1003=$B$2)*1,{1}),0)+39),"")</f>
        <v>0</v>
      </c>
      <c r="D43" s="29" t="str">
        <f ca="1">IFERROR(INDEX(INDIRECT("Transactions!"&amp;"G4:G1003"),MATCH(1,MMULT((Transactions!D$4:D$1003=$B$2)*1,{1}),0)+39),"")</f>
        <v/>
      </c>
      <c r="E43" s="29" t="str">
        <f ca="1">IFERROR(INDEX(INDIRECT("Transactions!"&amp;"H4:H1003"),MATCH(1,MMULT((Transactions!D$4:D$1003=$B$2)*1,{1}),0)+39),"")</f>
        <v/>
      </c>
      <c r="F43" s="13" t="str">
        <f ca="1">IFERROR(INDEX(INDIRECT("Transactions!"&amp;"I4:I1003"),MATCH(1,MMULT((Transactions!D$4:D$1003=$B$2)*1,{1}),0)+39),"")</f>
        <v/>
      </c>
      <c r="G43" s="7">
        <f ca="1">IFERROR(INDEX(INDIRECT("Transactions!"&amp;"J4:J1003"),MATCH(1,MMULT((Transactions!D$4:D$1003=$B$2)*1,{1}),0)+39),"")</f>
        <v>0</v>
      </c>
      <c r="H43" s="7">
        <f ca="1">IFERROR(INDEX(INDIRECT("Transactions!"&amp;"N4:N1003"),MATCH(1,MMULT((Transactions!D$4:D$1003=$B$2)*1,{1}),0)+39),"")</f>
        <v>0</v>
      </c>
    </row>
    <row r="44" spans="1:8" ht="15.75" customHeight="1" x14ac:dyDescent="0.25">
      <c r="A44" s="7">
        <f ca="1">IFERROR(INDEX(INDIRECT("Transactions!"&amp;"B4:B1003"),MATCH(1,MMULT((Transactions!D$4:D$1003=$B$2)*1,{1}),0)+40),"")</f>
        <v>0</v>
      </c>
      <c r="B44" s="7">
        <f ca="1">IFERROR(INDEX(INDIRECT("Transactions!"&amp;"A4:A1003"),MATCH(1,MMULT((Transactions!D$4:D$1003=$B$2)*1,{1}),0)+40),"")</f>
        <v>0</v>
      </c>
      <c r="C44" s="7">
        <f ca="1">IFERROR(INDEX(INDIRECT("Transactions!"&amp;"E4:E1003"),MATCH(1,MMULT((Transactions!D$4:D$1003=$B$2)*1,{1}),0)+40),"")</f>
        <v>0</v>
      </c>
      <c r="D44" s="29" t="str">
        <f ca="1">IFERROR(INDEX(INDIRECT("Transactions!"&amp;"G4:G1003"),MATCH(1,MMULT((Transactions!D$4:D$1003=$B$2)*1,{1}),0)+40),"")</f>
        <v/>
      </c>
      <c r="E44" s="29" t="str">
        <f ca="1">IFERROR(INDEX(INDIRECT("Transactions!"&amp;"H4:H1003"),MATCH(1,MMULT((Transactions!D$4:D$1003=$B$2)*1,{1}),0)+40),"")</f>
        <v/>
      </c>
      <c r="F44" s="13" t="str">
        <f ca="1">IFERROR(INDEX(INDIRECT("Transactions!"&amp;"I4:I1003"),MATCH(1,MMULT((Transactions!D$4:D$1003=$B$2)*1,{1}),0)+40),"")</f>
        <v/>
      </c>
      <c r="G44" s="7">
        <f ca="1">IFERROR(INDEX(INDIRECT("Transactions!"&amp;"J4:J1003"),MATCH(1,MMULT((Transactions!D$4:D$1003=$B$2)*1,{1}),0)+40),"")</f>
        <v>0</v>
      </c>
      <c r="H44" s="7">
        <f ca="1">IFERROR(INDEX(INDIRECT("Transactions!"&amp;"N4:N1003"),MATCH(1,MMULT((Transactions!D$4:D$1003=$B$2)*1,{1}),0)+40),"")</f>
        <v>0</v>
      </c>
    </row>
    <row r="45" spans="1:8" ht="15.75" customHeight="1" x14ac:dyDescent="0.25">
      <c r="A45" s="7">
        <f ca="1">IFERROR(INDEX(INDIRECT("Transactions!"&amp;"B4:B1003"),MATCH(1,MMULT((Transactions!D$4:D$1003=$B$2)*1,{1}),0)+41),"")</f>
        <v>0</v>
      </c>
      <c r="B45" s="7">
        <f ca="1">IFERROR(INDEX(INDIRECT("Transactions!"&amp;"A4:A1003"),MATCH(1,MMULT((Transactions!D$4:D$1003=$B$2)*1,{1}),0)+41),"")</f>
        <v>0</v>
      </c>
      <c r="C45" s="7">
        <f ca="1">IFERROR(INDEX(INDIRECT("Transactions!"&amp;"E4:E1003"),MATCH(1,MMULT((Transactions!D$4:D$1003=$B$2)*1,{1}),0)+41),"")</f>
        <v>0</v>
      </c>
      <c r="D45" s="29" t="str">
        <f ca="1">IFERROR(INDEX(INDIRECT("Transactions!"&amp;"G4:G1003"),MATCH(1,MMULT((Transactions!D$4:D$1003=$B$2)*1,{1}),0)+41),"")</f>
        <v/>
      </c>
      <c r="E45" s="29" t="str">
        <f ca="1">IFERROR(INDEX(INDIRECT("Transactions!"&amp;"H4:H1003"),MATCH(1,MMULT((Transactions!D$4:D$1003=$B$2)*1,{1}),0)+41),"")</f>
        <v/>
      </c>
      <c r="F45" s="13" t="str">
        <f ca="1">IFERROR(INDEX(INDIRECT("Transactions!"&amp;"I4:I1003"),MATCH(1,MMULT((Transactions!D$4:D$1003=$B$2)*1,{1}),0)+41),"")</f>
        <v/>
      </c>
      <c r="G45" s="7">
        <f ca="1">IFERROR(INDEX(INDIRECT("Transactions!"&amp;"J4:J1003"),MATCH(1,MMULT((Transactions!D$4:D$1003=$B$2)*1,{1}),0)+41),"")</f>
        <v>0</v>
      </c>
      <c r="H45" s="7">
        <f ca="1">IFERROR(INDEX(INDIRECT("Transactions!"&amp;"N4:N1003"),MATCH(1,MMULT((Transactions!D$4:D$1003=$B$2)*1,{1}),0)+41),"")</f>
        <v>0</v>
      </c>
    </row>
    <row r="46" spans="1:8" ht="15.75" customHeight="1" x14ac:dyDescent="0.25">
      <c r="A46" s="7">
        <f ca="1">IFERROR(INDEX(INDIRECT("Transactions!"&amp;"B4:B1003"),MATCH(1,MMULT((Transactions!D$4:D$1003=$B$2)*1,{1}),0)+42),"")</f>
        <v>0</v>
      </c>
      <c r="B46" s="7">
        <f ca="1">IFERROR(INDEX(INDIRECT("Transactions!"&amp;"A4:A1003"),MATCH(1,MMULT((Transactions!D$4:D$1003=$B$2)*1,{1}),0)+42),"")</f>
        <v>0</v>
      </c>
      <c r="C46" s="7">
        <f ca="1">IFERROR(INDEX(INDIRECT("Transactions!"&amp;"E4:E1003"),MATCH(1,MMULT((Transactions!D$4:D$1003=$B$2)*1,{1}),0)+42),"")</f>
        <v>0</v>
      </c>
      <c r="D46" s="29" t="str">
        <f ca="1">IFERROR(INDEX(INDIRECT("Transactions!"&amp;"G4:G1003"),MATCH(1,MMULT((Transactions!D$4:D$1003=$B$2)*1,{1}),0)+42),"")</f>
        <v/>
      </c>
      <c r="E46" s="29" t="str">
        <f ca="1">IFERROR(INDEX(INDIRECT("Transactions!"&amp;"H4:H1003"),MATCH(1,MMULT((Transactions!D$4:D$1003=$B$2)*1,{1}),0)+42),"")</f>
        <v/>
      </c>
      <c r="F46" s="13" t="str">
        <f ca="1">IFERROR(INDEX(INDIRECT("Transactions!"&amp;"I4:I1003"),MATCH(1,MMULT((Transactions!D$4:D$1003=$B$2)*1,{1}),0)+42),"")</f>
        <v/>
      </c>
      <c r="G46" s="7">
        <f ca="1">IFERROR(INDEX(INDIRECT("Transactions!"&amp;"J4:J1003"),MATCH(1,MMULT((Transactions!D$4:D$1003=$B$2)*1,{1}),0)+42),"")</f>
        <v>0</v>
      </c>
      <c r="H46" s="7">
        <f ca="1">IFERROR(INDEX(INDIRECT("Transactions!"&amp;"N4:N1003"),MATCH(1,MMULT((Transactions!D$4:D$1003=$B$2)*1,{1}),0)+42),"")</f>
        <v>0</v>
      </c>
    </row>
    <row r="47" spans="1:8" ht="15.75" customHeight="1" x14ac:dyDescent="0.25">
      <c r="A47" s="7">
        <f ca="1">IFERROR(INDEX(INDIRECT("Transactions!"&amp;"B4:B1003"),MATCH(1,MMULT((Transactions!D$4:D$1003=$B$2)*1,{1}),0)+43),"")</f>
        <v>0</v>
      </c>
      <c r="B47" s="7">
        <f ca="1">IFERROR(INDEX(INDIRECT("Transactions!"&amp;"A4:A1003"),MATCH(1,MMULT((Transactions!D$4:D$1003=$B$2)*1,{1}),0)+43),"")</f>
        <v>0</v>
      </c>
      <c r="C47" s="7">
        <f ca="1">IFERROR(INDEX(INDIRECT("Transactions!"&amp;"E4:E1003"),MATCH(1,MMULT((Transactions!D$4:D$1003=$B$2)*1,{1}),0)+43),"")</f>
        <v>0</v>
      </c>
      <c r="D47" s="29" t="str">
        <f ca="1">IFERROR(INDEX(INDIRECT("Transactions!"&amp;"G4:G1003"),MATCH(1,MMULT((Transactions!D$4:D$1003=$B$2)*1,{1}),0)+43),"")</f>
        <v/>
      </c>
      <c r="E47" s="29" t="str">
        <f ca="1">IFERROR(INDEX(INDIRECT("Transactions!"&amp;"H4:H1003"),MATCH(1,MMULT((Transactions!D$4:D$1003=$B$2)*1,{1}),0)+43),"")</f>
        <v/>
      </c>
      <c r="F47" s="13" t="str">
        <f ca="1">IFERROR(INDEX(INDIRECT("Transactions!"&amp;"I4:I1003"),MATCH(1,MMULT((Transactions!D$4:D$1003=$B$2)*1,{1}),0)+43),"")</f>
        <v/>
      </c>
      <c r="G47" s="7">
        <f ca="1">IFERROR(INDEX(INDIRECT("Transactions!"&amp;"J4:J1003"),MATCH(1,MMULT((Transactions!D$4:D$1003=$B$2)*1,{1}),0)+43),"")</f>
        <v>0</v>
      </c>
      <c r="H47" s="7">
        <f ca="1">IFERROR(INDEX(INDIRECT("Transactions!"&amp;"N4:N1003"),MATCH(1,MMULT((Transactions!D$4:D$1003=$B$2)*1,{1}),0)+43),"")</f>
        <v>0</v>
      </c>
    </row>
    <row r="48" spans="1:8" ht="15.75" customHeight="1" x14ac:dyDescent="0.25">
      <c r="A48" s="7">
        <f ca="1">IFERROR(INDEX(INDIRECT("Transactions!"&amp;"B4:B1003"),MATCH(1,MMULT((Transactions!D$4:D$1003=$B$2)*1,{1}),0)+44),"")</f>
        <v>0</v>
      </c>
      <c r="B48" s="7">
        <f ca="1">IFERROR(INDEX(INDIRECT("Transactions!"&amp;"A4:A1003"),MATCH(1,MMULT((Transactions!D$4:D$1003=$B$2)*1,{1}),0)+44),"")</f>
        <v>0</v>
      </c>
      <c r="C48" s="7">
        <f ca="1">IFERROR(INDEX(INDIRECT("Transactions!"&amp;"E4:E1003"),MATCH(1,MMULT((Transactions!D$4:D$1003=$B$2)*1,{1}),0)+44),"")</f>
        <v>0</v>
      </c>
      <c r="D48" s="29" t="str">
        <f ca="1">IFERROR(INDEX(INDIRECT("Transactions!"&amp;"G4:G1003"),MATCH(1,MMULT((Transactions!D$4:D$1003=$B$2)*1,{1}),0)+44),"")</f>
        <v/>
      </c>
      <c r="E48" s="29" t="str">
        <f ca="1">IFERROR(INDEX(INDIRECT("Transactions!"&amp;"H4:H1003"),MATCH(1,MMULT((Transactions!D$4:D$1003=$B$2)*1,{1}),0)+44),"")</f>
        <v/>
      </c>
      <c r="F48" s="13" t="str">
        <f ca="1">IFERROR(INDEX(INDIRECT("Transactions!"&amp;"I4:I1003"),MATCH(1,MMULT((Transactions!D$4:D$1003=$B$2)*1,{1}),0)+44),"")</f>
        <v/>
      </c>
      <c r="G48" s="7">
        <f ca="1">IFERROR(INDEX(INDIRECT("Transactions!"&amp;"J4:J1003"),MATCH(1,MMULT((Transactions!D$4:D$1003=$B$2)*1,{1}),0)+44),"")</f>
        <v>0</v>
      </c>
      <c r="H48" s="7">
        <f ca="1">IFERROR(INDEX(INDIRECT("Transactions!"&amp;"N4:N1003"),MATCH(1,MMULT((Transactions!D$4:D$1003=$B$2)*1,{1}),0)+44),"")</f>
        <v>0</v>
      </c>
    </row>
    <row r="49" spans="1:8" ht="15.75" customHeight="1" x14ac:dyDescent="0.25">
      <c r="A49" s="7">
        <f ca="1">IFERROR(INDEX(INDIRECT("Transactions!"&amp;"B4:B1003"),MATCH(1,MMULT((Transactions!D$4:D$1003=$B$2)*1,{1}),0)+45),"")</f>
        <v>0</v>
      </c>
      <c r="B49" s="7">
        <f ca="1">IFERROR(INDEX(INDIRECT("Transactions!"&amp;"A4:A1003"),MATCH(1,MMULT((Transactions!D$4:D$1003=$B$2)*1,{1}),0)+45),"")</f>
        <v>0</v>
      </c>
      <c r="C49" s="7">
        <f ca="1">IFERROR(INDEX(INDIRECT("Transactions!"&amp;"E4:E1003"),MATCH(1,MMULT((Transactions!D$4:D$1003=$B$2)*1,{1}),0)+45),"")</f>
        <v>0</v>
      </c>
      <c r="D49" s="29" t="str">
        <f ca="1">IFERROR(INDEX(INDIRECT("Transactions!"&amp;"G4:G1003"),MATCH(1,MMULT((Transactions!D$4:D$1003=$B$2)*1,{1}),0)+45),"")</f>
        <v/>
      </c>
      <c r="E49" s="29" t="str">
        <f ca="1">IFERROR(INDEX(INDIRECT("Transactions!"&amp;"H4:H1003"),MATCH(1,MMULT((Transactions!D$4:D$1003=$B$2)*1,{1}),0)+45),"")</f>
        <v/>
      </c>
      <c r="F49" s="13" t="str">
        <f ca="1">IFERROR(INDEX(INDIRECT("Transactions!"&amp;"I4:I1003"),MATCH(1,MMULT((Transactions!D$4:D$1003=$B$2)*1,{1}),0)+45),"")</f>
        <v/>
      </c>
      <c r="G49" s="7">
        <f ca="1">IFERROR(INDEX(INDIRECT("Transactions!"&amp;"J4:J1003"),MATCH(1,MMULT((Transactions!D$4:D$1003=$B$2)*1,{1}),0)+45),"")</f>
        <v>0</v>
      </c>
      <c r="H49" s="7">
        <f ca="1">IFERROR(INDEX(INDIRECT("Transactions!"&amp;"N4:N1003"),MATCH(1,MMULT((Transactions!D$4:D$1003=$B$2)*1,{1}),0)+45),"")</f>
        <v>0</v>
      </c>
    </row>
    <row r="50" spans="1:8" ht="15.75" customHeight="1" x14ac:dyDescent="0.25">
      <c r="A50" s="7">
        <f ca="1">IFERROR(INDEX(INDIRECT("Transactions!"&amp;"B4:B1003"),MATCH(1,MMULT((Transactions!D$4:D$1003=$B$2)*1,{1}),0)+46),"")</f>
        <v>0</v>
      </c>
      <c r="B50" s="7">
        <f ca="1">IFERROR(INDEX(INDIRECT("Transactions!"&amp;"A4:A1003"),MATCH(1,MMULT((Transactions!D$4:D$1003=$B$2)*1,{1}),0)+46),"")</f>
        <v>0</v>
      </c>
      <c r="C50" s="7">
        <f ca="1">IFERROR(INDEX(INDIRECT("Transactions!"&amp;"E4:E1003"),MATCH(1,MMULT((Transactions!D$4:D$1003=$B$2)*1,{1}),0)+46),"")</f>
        <v>0</v>
      </c>
      <c r="D50" s="29" t="str">
        <f ca="1">IFERROR(INDEX(INDIRECT("Transactions!"&amp;"G4:G1003"),MATCH(1,MMULT((Transactions!D$4:D$1003=$B$2)*1,{1}),0)+46),"")</f>
        <v/>
      </c>
      <c r="E50" s="29" t="str">
        <f ca="1">IFERROR(INDEX(INDIRECT("Transactions!"&amp;"H4:H1003"),MATCH(1,MMULT((Transactions!D$4:D$1003=$B$2)*1,{1}),0)+46),"")</f>
        <v/>
      </c>
      <c r="F50" s="13" t="str">
        <f ca="1">IFERROR(INDEX(INDIRECT("Transactions!"&amp;"I4:I1003"),MATCH(1,MMULT((Transactions!D$4:D$1003=$B$2)*1,{1}),0)+46),"")</f>
        <v/>
      </c>
      <c r="G50" s="7">
        <f ca="1">IFERROR(INDEX(INDIRECT("Transactions!"&amp;"J4:J1003"),MATCH(1,MMULT((Transactions!D$4:D$1003=$B$2)*1,{1}),0)+46),"")</f>
        <v>0</v>
      </c>
      <c r="H50" s="7">
        <f ca="1">IFERROR(INDEX(INDIRECT("Transactions!"&amp;"N4:N1003"),MATCH(1,MMULT((Transactions!D$4:D$1003=$B$2)*1,{1}),0)+46),"")</f>
        <v>0</v>
      </c>
    </row>
    <row r="51" spans="1:8" ht="15.75" customHeight="1" x14ac:dyDescent="0.25">
      <c r="A51" s="7">
        <f ca="1">IFERROR(INDEX(INDIRECT("Transactions!"&amp;"B4:B1003"),MATCH(1,MMULT((Transactions!D$4:D$1003=$B$2)*1,{1}),0)+47),"")</f>
        <v>0</v>
      </c>
      <c r="B51" s="7">
        <f ca="1">IFERROR(INDEX(INDIRECT("Transactions!"&amp;"A4:A1003"),MATCH(1,MMULT((Transactions!D$4:D$1003=$B$2)*1,{1}),0)+47),"")</f>
        <v>0</v>
      </c>
      <c r="C51" s="7">
        <f ca="1">IFERROR(INDEX(INDIRECT("Transactions!"&amp;"E4:E1003"),MATCH(1,MMULT((Transactions!D$4:D$1003=$B$2)*1,{1}),0)+47),"")</f>
        <v>0</v>
      </c>
      <c r="D51" s="29" t="str">
        <f ca="1">IFERROR(INDEX(INDIRECT("Transactions!"&amp;"G4:G1003"),MATCH(1,MMULT((Transactions!D$4:D$1003=$B$2)*1,{1}),0)+47),"")</f>
        <v/>
      </c>
      <c r="E51" s="29" t="str">
        <f ca="1">IFERROR(INDEX(INDIRECT("Transactions!"&amp;"H4:H1003"),MATCH(1,MMULT((Transactions!D$4:D$1003=$B$2)*1,{1}),0)+47),"")</f>
        <v/>
      </c>
      <c r="F51" s="13" t="str">
        <f ca="1">IFERROR(INDEX(INDIRECT("Transactions!"&amp;"I4:I1003"),MATCH(1,MMULT((Transactions!D$4:D$1003=$B$2)*1,{1}),0)+47),"")</f>
        <v/>
      </c>
      <c r="G51" s="7">
        <f ca="1">IFERROR(INDEX(INDIRECT("Transactions!"&amp;"J4:J1003"),MATCH(1,MMULT((Transactions!D$4:D$1003=$B$2)*1,{1}),0)+47),"")</f>
        <v>0</v>
      </c>
      <c r="H51" s="7">
        <f ca="1">IFERROR(INDEX(INDIRECT("Transactions!"&amp;"N4:N1003"),MATCH(1,MMULT((Transactions!D$4:D$1003=$B$2)*1,{1}),0)+47),"")</f>
        <v>0</v>
      </c>
    </row>
    <row r="52" spans="1:8" ht="15.75" customHeight="1" x14ac:dyDescent="0.25">
      <c r="A52" s="7">
        <f ca="1">IFERROR(INDEX(INDIRECT("Transactions!"&amp;"B4:B1003"),MATCH(1,MMULT((Transactions!D$4:D$1003=$B$2)*1,{1}),0)+48),"")</f>
        <v>0</v>
      </c>
      <c r="B52" s="7">
        <f ca="1">IFERROR(INDEX(INDIRECT("Transactions!"&amp;"A4:A1003"),MATCH(1,MMULT((Transactions!D$4:D$1003=$B$2)*1,{1}),0)+48),"")</f>
        <v>0</v>
      </c>
      <c r="C52" s="7">
        <f ca="1">IFERROR(INDEX(INDIRECT("Transactions!"&amp;"E4:E1003"),MATCH(1,MMULT((Transactions!D$4:D$1003=$B$2)*1,{1}),0)+48),"")</f>
        <v>0</v>
      </c>
      <c r="D52" s="29" t="str">
        <f ca="1">IFERROR(INDEX(INDIRECT("Transactions!"&amp;"G4:G1003"),MATCH(1,MMULT((Transactions!D$4:D$1003=$B$2)*1,{1}),0)+48),"")</f>
        <v/>
      </c>
      <c r="E52" s="29" t="str">
        <f ca="1">IFERROR(INDEX(INDIRECT("Transactions!"&amp;"H4:H1003"),MATCH(1,MMULT((Transactions!D$4:D$1003=$B$2)*1,{1}),0)+48),"")</f>
        <v/>
      </c>
      <c r="F52" s="13" t="str">
        <f ca="1">IFERROR(INDEX(INDIRECT("Transactions!"&amp;"I4:I1003"),MATCH(1,MMULT((Transactions!D$4:D$1003=$B$2)*1,{1}),0)+48),"")</f>
        <v/>
      </c>
      <c r="G52" s="7">
        <f ca="1">IFERROR(INDEX(INDIRECT("Transactions!"&amp;"J4:J1003"),MATCH(1,MMULT((Transactions!D$4:D$1003=$B$2)*1,{1}),0)+48),"")</f>
        <v>0</v>
      </c>
      <c r="H52" s="7">
        <f ca="1">IFERROR(INDEX(INDIRECT("Transactions!"&amp;"N4:N1003"),MATCH(1,MMULT((Transactions!D$4:D$1003=$B$2)*1,{1}),0)+48),"")</f>
        <v>0</v>
      </c>
    </row>
    <row r="53" spans="1:8" ht="15.75" customHeight="1" x14ac:dyDescent="0.25">
      <c r="A53" s="7">
        <f ca="1">IFERROR(INDEX(INDIRECT("Transactions!"&amp;"B4:B1003"),MATCH(1,MMULT((Transactions!D$4:D$1003=$B$2)*1,{1}),0)+49),"")</f>
        <v>0</v>
      </c>
      <c r="B53" s="7">
        <f ca="1">IFERROR(INDEX(INDIRECT("Transactions!"&amp;"A4:A1003"),MATCH(1,MMULT((Transactions!D$4:D$1003=$B$2)*1,{1}),0)+49),"")</f>
        <v>0</v>
      </c>
      <c r="C53" s="7">
        <f ca="1">IFERROR(INDEX(INDIRECT("Transactions!"&amp;"E4:E1003"),MATCH(1,MMULT((Transactions!D$4:D$1003=$B$2)*1,{1}),0)+49),"")</f>
        <v>0</v>
      </c>
      <c r="D53" s="29" t="str">
        <f ca="1">IFERROR(INDEX(INDIRECT("Transactions!"&amp;"G4:G1003"),MATCH(1,MMULT((Transactions!D$4:D$1003=$B$2)*1,{1}),0)+49),"")</f>
        <v/>
      </c>
      <c r="E53" s="29" t="str">
        <f ca="1">IFERROR(INDEX(INDIRECT("Transactions!"&amp;"H4:H1003"),MATCH(1,MMULT((Transactions!D$4:D$1003=$B$2)*1,{1}),0)+49),"")</f>
        <v/>
      </c>
      <c r="F53" s="13" t="str">
        <f ca="1">IFERROR(INDEX(INDIRECT("Transactions!"&amp;"I4:I1003"),MATCH(1,MMULT((Transactions!D$4:D$1003=$B$2)*1,{1}),0)+49),"")</f>
        <v/>
      </c>
      <c r="G53" s="7">
        <f ca="1">IFERROR(INDEX(INDIRECT("Transactions!"&amp;"J4:J1003"),MATCH(1,MMULT((Transactions!D$4:D$1003=$B$2)*1,{1}),0)+49),"")</f>
        <v>0</v>
      </c>
      <c r="H53" s="7">
        <f ca="1">IFERROR(INDEX(INDIRECT("Transactions!"&amp;"N4:N1003"),MATCH(1,MMULT((Transactions!D$4:D$1003=$B$2)*1,{1}),0)+49),"")</f>
        <v>0</v>
      </c>
    </row>
    <row r="54" spans="1:8" ht="15.75" customHeight="1" x14ac:dyDescent="0.25">
      <c r="A54" s="7">
        <f ca="1">IFERROR(INDEX(INDIRECT("Transactions!"&amp;"B4:B1003"),MATCH(1,MMULT((Transactions!D$4:D$1003=$B$2)*1,{1}),0)+50),"")</f>
        <v>0</v>
      </c>
      <c r="B54" s="7">
        <f ca="1">IFERROR(INDEX(INDIRECT("Transactions!"&amp;"A4:A1003"),MATCH(1,MMULT((Transactions!D$4:D$1003=$B$2)*1,{1}),0)+50),"")</f>
        <v>0</v>
      </c>
      <c r="C54" s="7">
        <f ca="1">IFERROR(INDEX(INDIRECT("Transactions!"&amp;"E4:E1003"),MATCH(1,MMULT((Transactions!D$4:D$1003=$B$2)*1,{1}),0)+50),"")</f>
        <v>0</v>
      </c>
      <c r="D54" s="29" t="str">
        <f ca="1">IFERROR(INDEX(INDIRECT("Transactions!"&amp;"G4:G1003"),MATCH(1,MMULT((Transactions!D$4:D$1003=$B$2)*1,{1}),0)+50),"")</f>
        <v/>
      </c>
      <c r="E54" s="29" t="str">
        <f ca="1">IFERROR(INDEX(INDIRECT("Transactions!"&amp;"H4:H1003"),MATCH(1,MMULT((Transactions!D$4:D$1003=$B$2)*1,{1}),0)+50),"")</f>
        <v/>
      </c>
      <c r="F54" s="13" t="str">
        <f ca="1">IFERROR(INDEX(INDIRECT("Transactions!"&amp;"I4:I1003"),MATCH(1,MMULT((Transactions!D$4:D$1003=$B$2)*1,{1}),0)+50),"")</f>
        <v/>
      </c>
      <c r="G54" s="7">
        <f ca="1">IFERROR(INDEX(INDIRECT("Transactions!"&amp;"J4:J1003"),MATCH(1,MMULT((Transactions!D$4:D$1003=$B$2)*1,{1}),0)+50),"")</f>
        <v>0</v>
      </c>
      <c r="H54" s="7">
        <f ca="1">IFERROR(INDEX(INDIRECT("Transactions!"&amp;"N4:N1003"),MATCH(1,MMULT((Transactions!D$4:D$1003=$B$2)*1,{1}),0)+50),"")</f>
        <v>0</v>
      </c>
    </row>
    <row r="55" spans="1:8" ht="15.75" customHeight="1" x14ac:dyDescent="0.25">
      <c r="A55" s="7">
        <f ca="1">IFERROR(INDEX(INDIRECT("Transactions!"&amp;"B4:B1003"),MATCH(1,MMULT((Transactions!D$4:D$1003=$B$2)*1,{1}),0)+51),"")</f>
        <v>0</v>
      </c>
      <c r="B55" s="7">
        <f ca="1">IFERROR(INDEX(INDIRECT("Transactions!"&amp;"A4:A1003"),MATCH(1,MMULT((Transactions!D$4:D$1003=$B$2)*1,{1}),0)+51),"")</f>
        <v>0</v>
      </c>
      <c r="C55" s="7">
        <f ca="1">IFERROR(INDEX(INDIRECT("Transactions!"&amp;"E4:E1003"),MATCH(1,MMULT((Transactions!D$4:D$1003=$B$2)*1,{1}),0)+51),"")</f>
        <v>0</v>
      </c>
      <c r="D55" s="29" t="str">
        <f ca="1">IFERROR(INDEX(INDIRECT("Transactions!"&amp;"G4:G1003"),MATCH(1,MMULT((Transactions!D$4:D$1003=$B$2)*1,{1}),0)+51),"")</f>
        <v/>
      </c>
      <c r="E55" s="29" t="str">
        <f ca="1">IFERROR(INDEX(INDIRECT("Transactions!"&amp;"H4:H1003"),MATCH(1,MMULT((Transactions!D$4:D$1003=$B$2)*1,{1}),0)+51),"")</f>
        <v/>
      </c>
      <c r="F55" s="13" t="str">
        <f ca="1">IFERROR(INDEX(INDIRECT("Transactions!"&amp;"I4:I1003"),MATCH(1,MMULT((Transactions!D$4:D$1003=$B$2)*1,{1}),0)+51),"")</f>
        <v/>
      </c>
      <c r="G55" s="7">
        <f ca="1">IFERROR(INDEX(INDIRECT("Transactions!"&amp;"J4:J1003"),MATCH(1,MMULT((Transactions!D$4:D$1003=$B$2)*1,{1}),0)+51),"")</f>
        <v>0</v>
      </c>
      <c r="H55" s="7">
        <f ca="1">IFERROR(INDEX(INDIRECT("Transactions!"&amp;"N4:N1003"),MATCH(1,MMULT((Transactions!D$4:D$1003=$B$2)*1,{1}),0)+51),"")</f>
        <v>0</v>
      </c>
    </row>
    <row r="56" spans="1:8" ht="15.75" customHeight="1" x14ac:dyDescent="0.25">
      <c r="A56" s="7">
        <f ca="1">IFERROR(INDEX(INDIRECT("Transactions!"&amp;"B4:B1003"),MATCH(1,MMULT((Transactions!D$4:D$1003=$B$2)*1,{1}),0)+52),"")</f>
        <v>0</v>
      </c>
      <c r="B56" s="7">
        <f ca="1">IFERROR(INDEX(INDIRECT("Transactions!"&amp;"A4:A1003"),MATCH(1,MMULT((Transactions!D$4:D$1003=$B$2)*1,{1}),0)+52),"")</f>
        <v>0</v>
      </c>
      <c r="C56" s="7">
        <f ca="1">IFERROR(INDEX(INDIRECT("Transactions!"&amp;"E4:E1003"),MATCH(1,MMULT((Transactions!D$4:D$1003=$B$2)*1,{1}),0)+52),"")</f>
        <v>0</v>
      </c>
      <c r="D56" s="29" t="str">
        <f ca="1">IFERROR(INDEX(INDIRECT("Transactions!"&amp;"G4:G1003"),MATCH(1,MMULT((Transactions!D$4:D$1003=$B$2)*1,{1}),0)+52),"")</f>
        <v/>
      </c>
      <c r="E56" s="29" t="str">
        <f ca="1">IFERROR(INDEX(INDIRECT("Transactions!"&amp;"H4:H1003"),MATCH(1,MMULT((Transactions!D$4:D$1003=$B$2)*1,{1}),0)+52),"")</f>
        <v/>
      </c>
      <c r="F56" s="13" t="str">
        <f ca="1">IFERROR(INDEX(INDIRECT("Transactions!"&amp;"I4:I1003"),MATCH(1,MMULT((Transactions!D$4:D$1003=$B$2)*1,{1}),0)+52),"")</f>
        <v/>
      </c>
      <c r="G56" s="7">
        <f ca="1">IFERROR(INDEX(INDIRECT("Transactions!"&amp;"J4:J1003"),MATCH(1,MMULT((Transactions!D$4:D$1003=$B$2)*1,{1}),0)+52),"")</f>
        <v>0</v>
      </c>
      <c r="H56" s="7">
        <f ca="1">IFERROR(INDEX(INDIRECT("Transactions!"&amp;"N4:N1003"),MATCH(1,MMULT((Transactions!D$4:D$1003=$B$2)*1,{1}),0)+52),"")</f>
        <v>0</v>
      </c>
    </row>
    <row r="57" spans="1:8" ht="15.75" customHeight="1" x14ac:dyDescent="0.25">
      <c r="A57" s="7">
        <f ca="1">IFERROR(INDEX(INDIRECT("Transactions!"&amp;"B4:B1003"),MATCH(1,MMULT((Transactions!D$4:D$1003=$B$2)*1,{1}),0)+53),"")</f>
        <v>0</v>
      </c>
      <c r="B57" s="7">
        <f ca="1">IFERROR(INDEX(INDIRECT("Transactions!"&amp;"A4:A1003"),MATCH(1,MMULT((Transactions!D$4:D$1003=$B$2)*1,{1}),0)+53),"")</f>
        <v>0</v>
      </c>
      <c r="C57" s="7">
        <f ca="1">IFERROR(INDEX(INDIRECT("Transactions!"&amp;"E4:E1003"),MATCH(1,MMULT((Transactions!D$4:D$1003=$B$2)*1,{1}),0)+53),"")</f>
        <v>0</v>
      </c>
      <c r="D57" s="29" t="str">
        <f ca="1">IFERROR(INDEX(INDIRECT("Transactions!"&amp;"G4:G1003"),MATCH(1,MMULT((Transactions!D$4:D$1003=$B$2)*1,{1}),0)+53),"")</f>
        <v/>
      </c>
      <c r="E57" s="29" t="str">
        <f ca="1">IFERROR(INDEX(INDIRECT("Transactions!"&amp;"H4:H1003"),MATCH(1,MMULT((Transactions!D$4:D$1003=$B$2)*1,{1}),0)+53),"")</f>
        <v/>
      </c>
      <c r="F57" s="13" t="str">
        <f ca="1">IFERROR(INDEX(INDIRECT("Transactions!"&amp;"I4:I1003"),MATCH(1,MMULT((Transactions!D$4:D$1003=$B$2)*1,{1}),0)+53),"")</f>
        <v/>
      </c>
      <c r="G57" s="7">
        <f ca="1">IFERROR(INDEX(INDIRECT("Transactions!"&amp;"J4:J1003"),MATCH(1,MMULT((Transactions!D$4:D$1003=$B$2)*1,{1}),0)+53),"")</f>
        <v>0</v>
      </c>
      <c r="H57" s="7">
        <f ca="1">IFERROR(INDEX(INDIRECT("Transactions!"&amp;"N4:N1003"),MATCH(1,MMULT((Transactions!D$4:D$1003=$B$2)*1,{1}),0)+53),"")</f>
        <v>0</v>
      </c>
    </row>
    <row r="58" spans="1:8" ht="15.75" customHeight="1" x14ac:dyDescent="0.25">
      <c r="A58" s="7">
        <f ca="1">IFERROR(INDEX(INDIRECT("Transactions!"&amp;"B4:B1003"),MATCH(1,MMULT((Transactions!D$4:D$1003=$B$2)*1,{1}),0)+54),"")</f>
        <v>0</v>
      </c>
      <c r="B58" s="7">
        <f ca="1">IFERROR(INDEX(INDIRECT("Transactions!"&amp;"A4:A1003"),MATCH(1,MMULT((Transactions!D$4:D$1003=$B$2)*1,{1}),0)+54),"")</f>
        <v>0</v>
      </c>
      <c r="C58" s="7">
        <f ca="1">IFERROR(INDEX(INDIRECT("Transactions!"&amp;"E4:E1003"),MATCH(1,MMULT((Transactions!D$4:D$1003=$B$2)*1,{1}),0)+54),"")</f>
        <v>0</v>
      </c>
      <c r="D58" s="29" t="str">
        <f ca="1">IFERROR(INDEX(INDIRECT("Transactions!"&amp;"G4:G1003"),MATCH(1,MMULT((Transactions!D$4:D$1003=$B$2)*1,{1}),0)+54),"")</f>
        <v/>
      </c>
      <c r="E58" s="29" t="str">
        <f ca="1">IFERROR(INDEX(INDIRECT("Transactions!"&amp;"H4:H1003"),MATCH(1,MMULT((Transactions!D$4:D$1003=$B$2)*1,{1}),0)+54),"")</f>
        <v/>
      </c>
      <c r="F58" s="13" t="str">
        <f ca="1">IFERROR(INDEX(INDIRECT("Transactions!"&amp;"I4:I1003"),MATCH(1,MMULT((Transactions!D$4:D$1003=$B$2)*1,{1}),0)+54),"")</f>
        <v/>
      </c>
      <c r="G58" s="7">
        <f ca="1">IFERROR(INDEX(INDIRECT("Transactions!"&amp;"J4:J1003"),MATCH(1,MMULT((Transactions!D$4:D$1003=$B$2)*1,{1}),0)+54),"")</f>
        <v>0</v>
      </c>
      <c r="H58" s="7">
        <f ca="1">IFERROR(INDEX(INDIRECT("Transactions!"&amp;"N4:N1003"),MATCH(1,MMULT((Transactions!D$4:D$1003=$B$2)*1,{1}),0)+54),"")</f>
        <v>0</v>
      </c>
    </row>
    <row r="59" spans="1:8" ht="15.75" customHeight="1" x14ac:dyDescent="0.25">
      <c r="A59" s="7">
        <f ca="1">IFERROR(INDEX(INDIRECT("Transactions!"&amp;"B4:B1003"),MATCH(1,MMULT((Transactions!D$4:D$1003=$B$2)*1,{1}),0)+55),"")</f>
        <v>0</v>
      </c>
      <c r="B59" s="7">
        <f ca="1">IFERROR(INDEX(INDIRECT("Transactions!"&amp;"A4:A1003"),MATCH(1,MMULT((Transactions!D$4:D$1003=$B$2)*1,{1}),0)+55),"")</f>
        <v>0</v>
      </c>
      <c r="C59" s="7">
        <f ca="1">IFERROR(INDEX(INDIRECT("Transactions!"&amp;"E4:E1003"),MATCH(1,MMULT((Transactions!D$4:D$1003=$B$2)*1,{1}),0)+55),"")</f>
        <v>0</v>
      </c>
      <c r="D59" s="29" t="str">
        <f ca="1">IFERROR(INDEX(INDIRECT("Transactions!"&amp;"G4:G1003"),MATCH(1,MMULT((Transactions!D$4:D$1003=$B$2)*1,{1}),0)+55),"")</f>
        <v/>
      </c>
      <c r="E59" s="29" t="str">
        <f ca="1">IFERROR(INDEX(INDIRECT("Transactions!"&amp;"H4:H1003"),MATCH(1,MMULT((Transactions!D$4:D$1003=$B$2)*1,{1}),0)+55),"")</f>
        <v/>
      </c>
      <c r="F59" s="13" t="str">
        <f ca="1">IFERROR(INDEX(INDIRECT("Transactions!"&amp;"I4:I1003"),MATCH(1,MMULT((Transactions!D$4:D$1003=$B$2)*1,{1}),0)+55),"")</f>
        <v/>
      </c>
      <c r="G59" s="7">
        <f ca="1">IFERROR(INDEX(INDIRECT("Transactions!"&amp;"J4:J1003"),MATCH(1,MMULT((Transactions!D$4:D$1003=$B$2)*1,{1}),0)+55),"")</f>
        <v>0</v>
      </c>
      <c r="H59" s="7">
        <f ca="1">IFERROR(INDEX(INDIRECT("Transactions!"&amp;"N4:N1003"),MATCH(1,MMULT((Transactions!D$4:D$1003=$B$2)*1,{1}),0)+55),"")</f>
        <v>0</v>
      </c>
    </row>
    <row r="60" spans="1:8" ht="15.75" customHeight="1" x14ac:dyDescent="0.25">
      <c r="A60" s="7">
        <f ca="1">IFERROR(INDEX(INDIRECT("Transactions!"&amp;"B4:B1003"),MATCH(1,MMULT((Transactions!D$4:D$1003=$B$2)*1,{1}),0)+56),"")</f>
        <v>0</v>
      </c>
      <c r="B60" s="7">
        <f ca="1">IFERROR(INDEX(INDIRECT("Transactions!"&amp;"A4:A1003"),MATCH(1,MMULT((Transactions!D$4:D$1003=$B$2)*1,{1}),0)+56),"")</f>
        <v>0</v>
      </c>
      <c r="C60" s="7">
        <f ca="1">IFERROR(INDEX(INDIRECT("Transactions!"&amp;"E4:E1003"),MATCH(1,MMULT((Transactions!D$4:D$1003=$B$2)*1,{1}),0)+56),"")</f>
        <v>0</v>
      </c>
      <c r="D60" s="29" t="str">
        <f ca="1">IFERROR(INDEX(INDIRECT("Transactions!"&amp;"G4:G1003"),MATCH(1,MMULT((Transactions!D$4:D$1003=$B$2)*1,{1}),0)+56),"")</f>
        <v/>
      </c>
      <c r="E60" s="29" t="str">
        <f ca="1">IFERROR(INDEX(INDIRECT("Transactions!"&amp;"H4:H1003"),MATCH(1,MMULT((Transactions!D$4:D$1003=$B$2)*1,{1}),0)+56),"")</f>
        <v/>
      </c>
      <c r="F60" s="13" t="str">
        <f ca="1">IFERROR(INDEX(INDIRECT("Transactions!"&amp;"I4:I1003"),MATCH(1,MMULT((Transactions!D$4:D$1003=$B$2)*1,{1}),0)+56),"")</f>
        <v/>
      </c>
      <c r="G60" s="7">
        <f ca="1">IFERROR(INDEX(INDIRECT("Transactions!"&amp;"J4:J1003"),MATCH(1,MMULT((Transactions!D$4:D$1003=$B$2)*1,{1}),0)+56),"")</f>
        <v>0</v>
      </c>
      <c r="H60" s="7">
        <f ca="1">IFERROR(INDEX(INDIRECT("Transactions!"&amp;"N4:N1003"),MATCH(1,MMULT((Transactions!D$4:D$1003=$B$2)*1,{1}),0)+56),"")</f>
        <v>0</v>
      </c>
    </row>
    <row r="61" spans="1:8" ht="15.75" customHeight="1" x14ac:dyDescent="0.25">
      <c r="A61" s="7">
        <f ca="1">IFERROR(INDEX(INDIRECT("Transactions!"&amp;"B4:B1003"),MATCH(1,MMULT((Transactions!D$4:D$1003=$B$2)*1,{1}),0)+57),"")</f>
        <v>0</v>
      </c>
      <c r="B61" s="7">
        <f ca="1">IFERROR(INDEX(INDIRECT("Transactions!"&amp;"A4:A1003"),MATCH(1,MMULT((Transactions!D$4:D$1003=$B$2)*1,{1}),0)+57),"")</f>
        <v>0</v>
      </c>
      <c r="C61" s="7">
        <f ca="1">IFERROR(INDEX(INDIRECT("Transactions!"&amp;"E4:E1003"),MATCH(1,MMULT((Transactions!D$4:D$1003=$B$2)*1,{1}),0)+57),"")</f>
        <v>0</v>
      </c>
      <c r="D61" s="29" t="str">
        <f ca="1">IFERROR(INDEX(INDIRECT("Transactions!"&amp;"G4:G1003"),MATCH(1,MMULT((Transactions!D$4:D$1003=$B$2)*1,{1}),0)+57),"")</f>
        <v/>
      </c>
      <c r="E61" s="29" t="str">
        <f ca="1">IFERROR(INDEX(INDIRECT("Transactions!"&amp;"H4:H1003"),MATCH(1,MMULT((Transactions!D$4:D$1003=$B$2)*1,{1}),0)+57),"")</f>
        <v/>
      </c>
      <c r="F61" s="13" t="str">
        <f ca="1">IFERROR(INDEX(INDIRECT("Transactions!"&amp;"I4:I1003"),MATCH(1,MMULT((Transactions!D$4:D$1003=$B$2)*1,{1}),0)+57),"")</f>
        <v/>
      </c>
      <c r="G61" s="7">
        <f ca="1">IFERROR(INDEX(INDIRECT("Transactions!"&amp;"J4:J1003"),MATCH(1,MMULT((Transactions!D$4:D$1003=$B$2)*1,{1}),0)+57),"")</f>
        <v>0</v>
      </c>
      <c r="H61" s="7">
        <f ca="1">IFERROR(INDEX(INDIRECT("Transactions!"&amp;"N4:N1003"),MATCH(1,MMULT((Transactions!D$4:D$1003=$B$2)*1,{1}),0)+57),"")</f>
        <v>0</v>
      </c>
    </row>
    <row r="62" spans="1:8" ht="15.75" customHeight="1" x14ac:dyDescent="0.25">
      <c r="A62" s="7">
        <f ca="1">IFERROR(INDEX(INDIRECT("Transactions!"&amp;"B4:B1003"),MATCH(1,MMULT((Transactions!D$4:D$1003=$B$2)*1,{1}),0)+58),"")</f>
        <v>0</v>
      </c>
      <c r="B62" s="7">
        <f ca="1">IFERROR(INDEX(INDIRECT("Transactions!"&amp;"A4:A1003"),MATCH(1,MMULT((Transactions!D$4:D$1003=$B$2)*1,{1}),0)+58),"")</f>
        <v>0</v>
      </c>
      <c r="C62" s="7">
        <f ca="1">IFERROR(INDEX(INDIRECT("Transactions!"&amp;"E4:E1003"),MATCH(1,MMULT((Transactions!D$4:D$1003=$B$2)*1,{1}),0)+58),"")</f>
        <v>0</v>
      </c>
      <c r="D62" s="29" t="str">
        <f ca="1">IFERROR(INDEX(INDIRECT("Transactions!"&amp;"G4:G1003"),MATCH(1,MMULT((Transactions!D$4:D$1003=$B$2)*1,{1}),0)+58),"")</f>
        <v/>
      </c>
      <c r="E62" s="29" t="str">
        <f ca="1">IFERROR(INDEX(INDIRECT("Transactions!"&amp;"H4:H1003"),MATCH(1,MMULT((Transactions!D$4:D$1003=$B$2)*1,{1}),0)+58),"")</f>
        <v/>
      </c>
      <c r="F62" s="13" t="str">
        <f ca="1">IFERROR(INDEX(INDIRECT("Transactions!"&amp;"I4:I1003"),MATCH(1,MMULT((Transactions!D$4:D$1003=$B$2)*1,{1}),0)+58),"")</f>
        <v/>
      </c>
      <c r="G62" s="7">
        <f ca="1">IFERROR(INDEX(INDIRECT("Transactions!"&amp;"J4:J1003"),MATCH(1,MMULT((Transactions!D$4:D$1003=$B$2)*1,{1}),0)+58),"")</f>
        <v>0</v>
      </c>
      <c r="H62" s="7">
        <f ca="1">IFERROR(INDEX(INDIRECT("Transactions!"&amp;"N4:N1003"),MATCH(1,MMULT((Transactions!D$4:D$1003=$B$2)*1,{1}),0)+58),"")</f>
        <v>0</v>
      </c>
    </row>
    <row r="63" spans="1:8" ht="15.75" customHeight="1" x14ac:dyDescent="0.25">
      <c r="A63" s="7">
        <f ca="1">IFERROR(INDEX(INDIRECT("Transactions!"&amp;"B4:B1003"),MATCH(1,MMULT((Transactions!D$4:D$1003=$B$2)*1,{1}),0)+59),"")</f>
        <v>0</v>
      </c>
      <c r="B63" s="7">
        <f ca="1">IFERROR(INDEX(INDIRECT("Transactions!"&amp;"A4:A1003"),MATCH(1,MMULT((Transactions!D$4:D$1003=$B$2)*1,{1}),0)+59),"")</f>
        <v>0</v>
      </c>
      <c r="C63" s="7">
        <f ca="1">IFERROR(INDEX(INDIRECT("Transactions!"&amp;"E4:E1003"),MATCH(1,MMULT((Transactions!D$4:D$1003=$B$2)*1,{1}),0)+59),"")</f>
        <v>0</v>
      </c>
      <c r="D63" s="29" t="str">
        <f ca="1">IFERROR(INDEX(INDIRECT("Transactions!"&amp;"G4:G1003"),MATCH(1,MMULT((Transactions!D$4:D$1003=$B$2)*1,{1}),0)+59),"")</f>
        <v/>
      </c>
      <c r="E63" s="29" t="str">
        <f ca="1">IFERROR(INDEX(INDIRECT("Transactions!"&amp;"H4:H1003"),MATCH(1,MMULT((Transactions!D$4:D$1003=$B$2)*1,{1}),0)+59),"")</f>
        <v/>
      </c>
      <c r="F63" s="13" t="str">
        <f ca="1">IFERROR(INDEX(INDIRECT("Transactions!"&amp;"I4:I1003"),MATCH(1,MMULT((Transactions!D$4:D$1003=$B$2)*1,{1}),0)+59),"")</f>
        <v/>
      </c>
      <c r="G63" s="7">
        <f ca="1">IFERROR(INDEX(INDIRECT("Transactions!"&amp;"J4:J1003"),MATCH(1,MMULT((Transactions!D$4:D$1003=$B$2)*1,{1}),0)+59),"")</f>
        <v>0</v>
      </c>
      <c r="H63" s="7">
        <f ca="1">IFERROR(INDEX(INDIRECT("Transactions!"&amp;"N4:N1003"),MATCH(1,MMULT((Transactions!D$4:D$1003=$B$2)*1,{1}),0)+59),"")</f>
        <v>0</v>
      </c>
    </row>
    <row r="64" spans="1:8" ht="15.75" customHeight="1" x14ac:dyDescent="0.25">
      <c r="A64" s="7">
        <f ca="1">IFERROR(INDEX(INDIRECT("Transactions!"&amp;"B4:B1003"),MATCH(1,MMULT((Transactions!D$4:D$1003=$B$2)*1,{1}),0)+60),"")</f>
        <v>0</v>
      </c>
      <c r="B64" s="7">
        <f ca="1">IFERROR(INDEX(INDIRECT("Transactions!"&amp;"A4:A1003"),MATCH(1,MMULT((Transactions!D$4:D$1003=$B$2)*1,{1}),0)+60),"")</f>
        <v>0</v>
      </c>
      <c r="C64" s="7">
        <f ca="1">IFERROR(INDEX(INDIRECT("Transactions!"&amp;"E4:E1003"),MATCH(1,MMULT((Transactions!D$4:D$1003=$B$2)*1,{1}),0)+60),"")</f>
        <v>0</v>
      </c>
      <c r="D64" s="29" t="str">
        <f ca="1">IFERROR(INDEX(INDIRECT("Transactions!"&amp;"G4:G1003"),MATCH(1,MMULT((Transactions!D$4:D$1003=$B$2)*1,{1}),0)+60),"")</f>
        <v/>
      </c>
      <c r="E64" s="29" t="str">
        <f ca="1">IFERROR(INDEX(INDIRECT("Transactions!"&amp;"H4:H1003"),MATCH(1,MMULT((Transactions!D$4:D$1003=$B$2)*1,{1}),0)+60),"")</f>
        <v/>
      </c>
      <c r="F64" s="13" t="str">
        <f ca="1">IFERROR(INDEX(INDIRECT("Transactions!"&amp;"I4:I1003"),MATCH(1,MMULT((Transactions!D$4:D$1003=$B$2)*1,{1}),0)+60),"")</f>
        <v/>
      </c>
      <c r="G64" s="7">
        <f ca="1">IFERROR(INDEX(INDIRECT("Transactions!"&amp;"J4:J1003"),MATCH(1,MMULT((Transactions!D$4:D$1003=$B$2)*1,{1}),0)+60),"")</f>
        <v>0</v>
      </c>
      <c r="H64" s="7">
        <f ca="1">IFERROR(INDEX(INDIRECT("Transactions!"&amp;"N4:N1003"),MATCH(1,MMULT((Transactions!D$4:D$1003=$B$2)*1,{1}),0)+60),"")</f>
        <v>0</v>
      </c>
    </row>
    <row r="65" spans="1:8" ht="15.75" customHeight="1" x14ac:dyDescent="0.25">
      <c r="A65" s="7">
        <f ca="1">IFERROR(INDEX(INDIRECT("Transactions!"&amp;"B4:B1003"),MATCH(1,MMULT((Transactions!D$4:D$1003=$B$2)*1,{1}),0)+61),"")</f>
        <v>0</v>
      </c>
      <c r="B65" s="7">
        <f ca="1">IFERROR(INDEX(INDIRECT("Transactions!"&amp;"A4:A1003"),MATCH(1,MMULT((Transactions!D$4:D$1003=$B$2)*1,{1}),0)+61),"")</f>
        <v>0</v>
      </c>
      <c r="C65" s="7">
        <f ca="1">IFERROR(INDEX(INDIRECT("Transactions!"&amp;"E4:E1003"),MATCH(1,MMULT((Transactions!D$4:D$1003=$B$2)*1,{1}),0)+61),"")</f>
        <v>0</v>
      </c>
      <c r="D65" s="29" t="str">
        <f ca="1">IFERROR(INDEX(INDIRECT("Transactions!"&amp;"G4:G1003"),MATCH(1,MMULT((Transactions!D$4:D$1003=$B$2)*1,{1}),0)+61),"")</f>
        <v/>
      </c>
      <c r="E65" s="29" t="str">
        <f ca="1">IFERROR(INDEX(INDIRECT("Transactions!"&amp;"H4:H1003"),MATCH(1,MMULT((Transactions!D$4:D$1003=$B$2)*1,{1}),0)+61),"")</f>
        <v/>
      </c>
      <c r="F65" s="13" t="str">
        <f ca="1">IFERROR(INDEX(INDIRECT("Transactions!"&amp;"I4:I1003"),MATCH(1,MMULT((Transactions!D$4:D$1003=$B$2)*1,{1}),0)+61),"")</f>
        <v/>
      </c>
      <c r="G65" s="7">
        <f ca="1">IFERROR(INDEX(INDIRECT("Transactions!"&amp;"J4:J1003"),MATCH(1,MMULT((Transactions!D$4:D$1003=$B$2)*1,{1}),0)+61),"")</f>
        <v>0</v>
      </c>
      <c r="H65" s="7">
        <f ca="1">IFERROR(INDEX(INDIRECT("Transactions!"&amp;"N4:N1003"),MATCH(1,MMULT((Transactions!D$4:D$1003=$B$2)*1,{1}),0)+61),"")</f>
        <v>0</v>
      </c>
    </row>
    <row r="66" spans="1:8" ht="15.75" customHeight="1" x14ac:dyDescent="0.25">
      <c r="A66" s="7">
        <f ca="1">IFERROR(INDEX(INDIRECT("Transactions!"&amp;"B4:B1003"),MATCH(1,MMULT((Transactions!D$4:D$1003=$B$2)*1,{1}),0)+62),"")</f>
        <v>0</v>
      </c>
      <c r="B66" s="7">
        <f ca="1">IFERROR(INDEX(INDIRECT("Transactions!"&amp;"A4:A1003"),MATCH(1,MMULT((Transactions!D$4:D$1003=$B$2)*1,{1}),0)+62),"")</f>
        <v>0</v>
      </c>
      <c r="C66" s="7">
        <f ca="1">IFERROR(INDEX(INDIRECT("Transactions!"&amp;"E4:E1003"),MATCH(1,MMULT((Transactions!D$4:D$1003=$B$2)*1,{1}),0)+62),"")</f>
        <v>0</v>
      </c>
      <c r="D66" s="29" t="str">
        <f ca="1">IFERROR(INDEX(INDIRECT("Transactions!"&amp;"G4:G1003"),MATCH(1,MMULT((Transactions!D$4:D$1003=$B$2)*1,{1}),0)+62),"")</f>
        <v/>
      </c>
      <c r="E66" s="29" t="str">
        <f ca="1">IFERROR(INDEX(INDIRECT("Transactions!"&amp;"H4:H1003"),MATCH(1,MMULT((Transactions!D$4:D$1003=$B$2)*1,{1}),0)+62),"")</f>
        <v/>
      </c>
      <c r="F66" s="13" t="str">
        <f ca="1">IFERROR(INDEX(INDIRECT("Transactions!"&amp;"I4:I1003"),MATCH(1,MMULT((Transactions!D$4:D$1003=$B$2)*1,{1}),0)+62),"")</f>
        <v/>
      </c>
      <c r="G66" s="7">
        <f ca="1">IFERROR(INDEX(INDIRECT("Transactions!"&amp;"J4:J1003"),MATCH(1,MMULT((Transactions!D$4:D$1003=$B$2)*1,{1}),0)+62),"")</f>
        <v>0</v>
      </c>
      <c r="H66" s="7">
        <f ca="1">IFERROR(INDEX(INDIRECT("Transactions!"&amp;"N4:N1003"),MATCH(1,MMULT((Transactions!D$4:D$1003=$B$2)*1,{1}),0)+62),"")</f>
        <v>0</v>
      </c>
    </row>
    <row r="67" spans="1:8" ht="15.75" customHeight="1" x14ac:dyDescent="0.25">
      <c r="A67" s="7">
        <f ca="1">IFERROR(INDEX(INDIRECT("Transactions!"&amp;"B4:B1003"),MATCH(1,MMULT((Transactions!D$4:D$1003=$B$2)*1,{1}),0)+63),"")</f>
        <v>0</v>
      </c>
      <c r="B67" s="7">
        <f ca="1">IFERROR(INDEX(INDIRECT("Transactions!"&amp;"A4:A1003"),MATCH(1,MMULT((Transactions!D$4:D$1003=$B$2)*1,{1}),0)+63),"")</f>
        <v>0</v>
      </c>
      <c r="C67" s="7">
        <f ca="1">IFERROR(INDEX(INDIRECT("Transactions!"&amp;"E4:E1003"),MATCH(1,MMULT((Transactions!D$4:D$1003=$B$2)*1,{1}),0)+63),"")</f>
        <v>0</v>
      </c>
      <c r="D67" s="29" t="str">
        <f ca="1">IFERROR(INDEX(INDIRECT("Transactions!"&amp;"G4:G1003"),MATCH(1,MMULT((Transactions!D$4:D$1003=$B$2)*1,{1}),0)+63),"")</f>
        <v/>
      </c>
      <c r="E67" s="29" t="str">
        <f ca="1">IFERROR(INDEX(INDIRECT("Transactions!"&amp;"H4:H1003"),MATCH(1,MMULT((Transactions!D$4:D$1003=$B$2)*1,{1}),0)+63),"")</f>
        <v/>
      </c>
      <c r="F67" s="13" t="str">
        <f ca="1">IFERROR(INDEX(INDIRECT("Transactions!"&amp;"I4:I1003"),MATCH(1,MMULT((Transactions!D$4:D$1003=$B$2)*1,{1}),0)+63),"")</f>
        <v/>
      </c>
      <c r="G67" s="7">
        <f ca="1">IFERROR(INDEX(INDIRECT("Transactions!"&amp;"J4:J1003"),MATCH(1,MMULT((Transactions!D$4:D$1003=$B$2)*1,{1}),0)+63),"")</f>
        <v>0</v>
      </c>
      <c r="H67" s="7">
        <f ca="1">IFERROR(INDEX(INDIRECT("Transactions!"&amp;"N4:N1003"),MATCH(1,MMULT((Transactions!D$4:D$1003=$B$2)*1,{1}),0)+63),"")</f>
        <v>0</v>
      </c>
    </row>
    <row r="68" spans="1:8" ht="15.75" customHeight="1" x14ac:dyDescent="0.25">
      <c r="A68" s="7">
        <f ca="1">IFERROR(INDEX(INDIRECT("Transactions!"&amp;"B4:B1003"),MATCH(1,MMULT((Transactions!D$4:D$1003=$B$2)*1,{1}),0)+64),"")</f>
        <v>0</v>
      </c>
      <c r="B68" s="7">
        <f ca="1">IFERROR(INDEX(INDIRECT("Transactions!"&amp;"A4:A1003"),MATCH(1,MMULT((Transactions!D$4:D$1003=$B$2)*1,{1}),0)+64),"")</f>
        <v>0</v>
      </c>
      <c r="C68" s="7">
        <f ca="1">IFERROR(INDEX(INDIRECT("Transactions!"&amp;"E4:E1003"),MATCH(1,MMULT((Transactions!D$4:D$1003=$B$2)*1,{1}),0)+64),"")</f>
        <v>0</v>
      </c>
      <c r="D68" s="29" t="str">
        <f ca="1">IFERROR(INDEX(INDIRECT("Transactions!"&amp;"G4:G1003"),MATCH(1,MMULT((Transactions!D$4:D$1003=$B$2)*1,{1}),0)+64),"")</f>
        <v/>
      </c>
      <c r="E68" s="29" t="str">
        <f ca="1">IFERROR(INDEX(INDIRECT("Transactions!"&amp;"H4:H1003"),MATCH(1,MMULT((Transactions!D$4:D$1003=$B$2)*1,{1}),0)+64),"")</f>
        <v/>
      </c>
      <c r="F68" s="13" t="str">
        <f ca="1">IFERROR(INDEX(INDIRECT("Transactions!"&amp;"I4:I1003"),MATCH(1,MMULT((Transactions!D$4:D$1003=$B$2)*1,{1}),0)+64),"")</f>
        <v/>
      </c>
      <c r="G68" s="7">
        <f ca="1">IFERROR(INDEX(INDIRECT("Transactions!"&amp;"J4:J1003"),MATCH(1,MMULT((Transactions!D$4:D$1003=$B$2)*1,{1}),0)+64),"")</f>
        <v>0</v>
      </c>
      <c r="H68" s="7">
        <f ca="1">IFERROR(INDEX(INDIRECT("Transactions!"&amp;"N4:N1003"),MATCH(1,MMULT((Transactions!D$4:D$1003=$B$2)*1,{1}),0)+64),"")</f>
        <v>0</v>
      </c>
    </row>
    <row r="69" spans="1:8" ht="15.75" customHeight="1" x14ac:dyDescent="0.25">
      <c r="A69" s="7">
        <f ca="1">IFERROR(INDEX(INDIRECT("Transactions!"&amp;"B4:B1003"),MATCH(1,MMULT((Transactions!D$4:D$1003=$B$2)*1,{1}),0)+65),"")</f>
        <v>0</v>
      </c>
      <c r="B69" s="7">
        <f ca="1">IFERROR(INDEX(INDIRECT("Transactions!"&amp;"A4:A1003"),MATCH(1,MMULT((Transactions!D$4:D$1003=$B$2)*1,{1}),0)+65),"")</f>
        <v>0</v>
      </c>
      <c r="C69" s="7">
        <f ca="1">IFERROR(INDEX(INDIRECT("Transactions!"&amp;"E4:E1003"),MATCH(1,MMULT((Transactions!D$4:D$1003=$B$2)*1,{1}),0)+65),"")</f>
        <v>0</v>
      </c>
      <c r="D69" s="29" t="str">
        <f ca="1">IFERROR(INDEX(INDIRECT("Transactions!"&amp;"G4:G1003"),MATCH(1,MMULT((Transactions!D$4:D$1003=$B$2)*1,{1}),0)+65),"")</f>
        <v/>
      </c>
      <c r="E69" s="29" t="str">
        <f ca="1">IFERROR(INDEX(INDIRECT("Transactions!"&amp;"H4:H1003"),MATCH(1,MMULT((Transactions!D$4:D$1003=$B$2)*1,{1}),0)+65),"")</f>
        <v/>
      </c>
      <c r="F69" s="13" t="str">
        <f ca="1">IFERROR(INDEX(INDIRECT("Transactions!"&amp;"I4:I1003"),MATCH(1,MMULT((Transactions!D$4:D$1003=$B$2)*1,{1}),0)+65),"")</f>
        <v/>
      </c>
      <c r="G69" s="7">
        <f ca="1">IFERROR(INDEX(INDIRECT("Transactions!"&amp;"J4:J1003"),MATCH(1,MMULT((Transactions!D$4:D$1003=$B$2)*1,{1}),0)+65),"")</f>
        <v>0</v>
      </c>
      <c r="H69" s="7">
        <f ca="1">IFERROR(INDEX(INDIRECT("Transactions!"&amp;"N4:N1003"),MATCH(1,MMULT((Transactions!D$4:D$1003=$B$2)*1,{1}),0)+65),"")</f>
        <v>0</v>
      </c>
    </row>
    <row r="70" spans="1:8" ht="15.75" customHeight="1" x14ac:dyDescent="0.25">
      <c r="A70" s="7">
        <f ca="1">IFERROR(INDEX(INDIRECT("Transactions!"&amp;"B4:B1003"),MATCH(1,MMULT((Transactions!D$4:D$1003=$B$2)*1,{1}),0)+66),"")</f>
        <v>0</v>
      </c>
      <c r="B70" s="7">
        <f ca="1">IFERROR(INDEX(INDIRECT("Transactions!"&amp;"A4:A1003"),MATCH(1,MMULT((Transactions!D$4:D$1003=$B$2)*1,{1}),0)+66),"")</f>
        <v>0</v>
      </c>
      <c r="C70" s="7">
        <f ca="1">IFERROR(INDEX(INDIRECT("Transactions!"&amp;"E4:E1003"),MATCH(1,MMULT((Transactions!D$4:D$1003=$B$2)*1,{1}),0)+66),"")</f>
        <v>0</v>
      </c>
      <c r="D70" s="29" t="str">
        <f ca="1">IFERROR(INDEX(INDIRECT("Transactions!"&amp;"G4:G1003"),MATCH(1,MMULT((Transactions!D$4:D$1003=$B$2)*1,{1}),0)+66),"")</f>
        <v/>
      </c>
      <c r="E70" s="29" t="str">
        <f ca="1">IFERROR(INDEX(INDIRECT("Transactions!"&amp;"H4:H1003"),MATCH(1,MMULT((Transactions!D$4:D$1003=$B$2)*1,{1}),0)+66),"")</f>
        <v/>
      </c>
      <c r="F70" s="13" t="str">
        <f ca="1">IFERROR(INDEX(INDIRECT("Transactions!"&amp;"I4:I1003"),MATCH(1,MMULT((Transactions!D$4:D$1003=$B$2)*1,{1}),0)+66),"")</f>
        <v/>
      </c>
      <c r="G70" s="7">
        <f ca="1">IFERROR(INDEX(INDIRECT("Transactions!"&amp;"J4:J1003"),MATCH(1,MMULT((Transactions!D$4:D$1003=$B$2)*1,{1}),0)+66),"")</f>
        <v>0</v>
      </c>
      <c r="H70" s="7">
        <f ca="1">IFERROR(INDEX(INDIRECT("Transactions!"&amp;"N4:N1003"),MATCH(1,MMULT((Transactions!D$4:D$1003=$B$2)*1,{1}),0)+66),"")</f>
        <v>0</v>
      </c>
    </row>
    <row r="71" spans="1:8" ht="15.75" customHeight="1" x14ac:dyDescent="0.25">
      <c r="A71" s="7">
        <f ca="1">IFERROR(INDEX(INDIRECT("Transactions!"&amp;"B4:B1003"),MATCH(1,MMULT((Transactions!D$4:D$1003=$B$2)*1,{1}),0)+67),"")</f>
        <v>0</v>
      </c>
      <c r="B71" s="7">
        <f ca="1">IFERROR(INDEX(INDIRECT("Transactions!"&amp;"A4:A1003"),MATCH(1,MMULT((Transactions!D$4:D$1003=$B$2)*1,{1}),0)+67),"")</f>
        <v>0</v>
      </c>
      <c r="C71" s="7">
        <f ca="1">IFERROR(INDEX(INDIRECT("Transactions!"&amp;"E4:E1003"),MATCH(1,MMULT((Transactions!D$4:D$1003=$B$2)*1,{1}),0)+67),"")</f>
        <v>0</v>
      </c>
      <c r="D71" s="29" t="str">
        <f ca="1">IFERROR(INDEX(INDIRECT("Transactions!"&amp;"G4:G1003"),MATCH(1,MMULT((Transactions!D$4:D$1003=$B$2)*1,{1}),0)+67),"")</f>
        <v/>
      </c>
      <c r="E71" s="29" t="str">
        <f ca="1">IFERROR(INDEX(INDIRECT("Transactions!"&amp;"H4:H1003"),MATCH(1,MMULT((Transactions!D$4:D$1003=$B$2)*1,{1}),0)+67),"")</f>
        <v/>
      </c>
      <c r="F71" s="13" t="str">
        <f ca="1">IFERROR(INDEX(INDIRECT("Transactions!"&amp;"I4:I1003"),MATCH(1,MMULT((Transactions!D$4:D$1003=$B$2)*1,{1}),0)+67),"")</f>
        <v/>
      </c>
      <c r="G71" s="7">
        <f ca="1">IFERROR(INDEX(INDIRECT("Transactions!"&amp;"J4:J1003"),MATCH(1,MMULT((Transactions!D$4:D$1003=$B$2)*1,{1}),0)+67),"")</f>
        <v>0</v>
      </c>
      <c r="H71" s="7">
        <f ca="1">IFERROR(INDEX(INDIRECT("Transactions!"&amp;"N4:N1003"),MATCH(1,MMULT((Transactions!D$4:D$1003=$B$2)*1,{1}),0)+67),"")</f>
        <v>0</v>
      </c>
    </row>
    <row r="72" spans="1:8" ht="15.75" customHeight="1" x14ac:dyDescent="0.25">
      <c r="A72" s="7">
        <f ca="1">IFERROR(INDEX(INDIRECT("Transactions!"&amp;"B4:B1003"),MATCH(1,MMULT((Transactions!D$4:D$1003=$B$2)*1,{1}),0)+68),"")</f>
        <v>0</v>
      </c>
      <c r="B72" s="7">
        <f ca="1">IFERROR(INDEX(INDIRECT("Transactions!"&amp;"A4:A1003"),MATCH(1,MMULT((Transactions!D$4:D$1003=$B$2)*1,{1}),0)+68),"")</f>
        <v>0</v>
      </c>
      <c r="C72" s="7">
        <f ca="1">IFERROR(INDEX(INDIRECT("Transactions!"&amp;"E4:E1003"),MATCH(1,MMULT((Transactions!D$4:D$1003=$B$2)*1,{1}),0)+68),"")</f>
        <v>0</v>
      </c>
      <c r="D72" s="29" t="str">
        <f ca="1">IFERROR(INDEX(INDIRECT("Transactions!"&amp;"G4:G1003"),MATCH(1,MMULT((Transactions!D$4:D$1003=$B$2)*1,{1}),0)+68),"")</f>
        <v/>
      </c>
      <c r="E72" s="29" t="str">
        <f ca="1">IFERROR(INDEX(INDIRECT("Transactions!"&amp;"H4:H1003"),MATCH(1,MMULT((Transactions!D$4:D$1003=$B$2)*1,{1}),0)+68),"")</f>
        <v/>
      </c>
      <c r="F72" s="13" t="str">
        <f ca="1">IFERROR(INDEX(INDIRECT("Transactions!"&amp;"I4:I1003"),MATCH(1,MMULT((Transactions!D$4:D$1003=$B$2)*1,{1}),0)+68),"")</f>
        <v/>
      </c>
      <c r="G72" s="7">
        <f ca="1">IFERROR(INDEX(INDIRECT("Transactions!"&amp;"J4:J1003"),MATCH(1,MMULT((Transactions!D$4:D$1003=$B$2)*1,{1}),0)+68),"")</f>
        <v>0</v>
      </c>
      <c r="H72" s="7">
        <f ca="1">IFERROR(INDEX(INDIRECT("Transactions!"&amp;"N4:N1003"),MATCH(1,MMULT((Transactions!D$4:D$1003=$B$2)*1,{1}),0)+68),"")</f>
        <v>0</v>
      </c>
    </row>
    <row r="73" spans="1:8" ht="15.75" customHeight="1" x14ac:dyDescent="0.25">
      <c r="A73" s="7">
        <f ca="1">IFERROR(INDEX(INDIRECT("Transactions!"&amp;"B4:B1003"),MATCH(1,MMULT((Transactions!D$4:D$1003=$B$2)*1,{1}),0)+69),"")</f>
        <v>0</v>
      </c>
      <c r="B73" s="7">
        <f ca="1">IFERROR(INDEX(INDIRECT("Transactions!"&amp;"A4:A1003"),MATCH(1,MMULT((Transactions!D$4:D$1003=$B$2)*1,{1}),0)+69),"")</f>
        <v>0</v>
      </c>
      <c r="C73" s="7">
        <f ca="1">IFERROR(INDEX(INDIRECT("Transactions!"&amp;"E4:E1003"),MATCH(1,MMULT((Transactions!D$4:D$1003=$B$2)*1,{1}),0)+69),"")</f>
        <v>0</v>
      </c>
      <c r="D73" s="29" t="str">
        <f ca="1">IFERROR(INDEX(INDIRECT("Transactions!"&amp;"G4:G1003"),MATCH(1,MMULT((Transactions!D$4:D$1003=$B$2)*1,{1}),0)+69),"")</f>
        <v/>
      </c>
      <c r="E73" s="29" t="str">
        <f ca="1">IFERROR(INDEX(INDIRECT("Transactions!"&amp;"H4:H1003"),MATCH(1,MMULT((Transactions!D$4:D$1003=$B$2)*1,{1}),0)+69),"")</f>
        <v/>
      </c>
      <c r="F73" s="13" t="str">
        <f ca="1">IFERROR(INDEX(INDIRECT("Transactions!"&amp;"I4:I1003"),MATCH(1,MMULT((Transactions!D$4:D$1003=$B$2)*1,{1}),0)+69),"")</f>
        <v/>
      </c>
      <c r="G73" s="7">
        <f ca="1">IFERROR(INDEX(INDIRECT("Transactions!"&amp;"J4:J1003"),MATCH(1,MMULT((Transactions!D$4:D$1003=$B$2)*1,{1}),0)+69),"")</f>
        <v>0</v>
      </c>
      <c r="H73" s="7">
        <f ca="1">IFERROR(INDEX(INDIRECT("Transactions!"&amp;"N4:N1003"),MATCH(1,MMULT((Transactions!D$4:D$1003=$B$2)*1,{1}),0)+69),"")</f>
        <v>0</v>
      </c>
    </row>
    <row r="74" spans="1:8" ht="15.75" customHeight="1" x14ac:dyDescent="0.25">
      <c r="A74" s="7">
        <f ca="1">IFERROR(INDEX(INDIRECT("Transactions!"&amp;"B4:B1003"),MATCH(1,MMULT((Transactions!D$4:D$1003=$B$2)*1,{1}),0)+70),"")</f>
        <v>0</v>
      </c>
      <c r="B74" s="7">
        <f ca="1">IFERROR(INDEX(INDIRECT("Transactions!"&amp;"A4:A1003"),MATCH(1,MMULT((Transactions!D$4:D$1003=$B$2)*1,{1}),0)+70),"")</f>
        <v>0</v>
      </c>
      <c r="C74" s="7">
        <f ca="1">IFERROR(INDEX(INDIRECT("Transactions!"&amp;"E4:E1003"),MATCH(1,MMULT((Transactions!D$4:D$1003=$B$2)*1,{1}),0)+70),"")</f>
        <v>0</v>
      </c>
      <c r="D74" s="29" t="str">
        <f ca="1">IFERROR(INDEX(INDIRECT("Transactions!"&amp;"G4:G1003"),MATCH(1,MMULT((Transactions!D$4:D$1003=$B$2)*1,{1}),0)+70),"")</f>
        <v/>
      </c>
      <c r="E74" s="29" t="str">
        <f ca="1">IFERROR(INDEX(INDIRECT("Transactions!"&amp;"H4:H1003"),MATCH(1,MMULT((Transactions!D$4:D$1003=$B$2)*1,{1}),0)+70),"")</f>
        <v/>
      </c>
      <c r="F74" s="13" t="str">
        <f ca="1">IFERROR(INDEX(INDIRECT("Transactions!"&amp;"I4:I1003"),MATCH(1,MMULT((Transactions!D$4:D$1003=$B$2)*1,{1}),0)+70),"")</f>
        <v/>
      </c>
      <c r="G74" s="7">
        <f ca="1">IFERROR(INDEX(INDIRECT("Transactions!"&amp;"J4:J1003"),MATCH(1,MMULT((Transactions!D$4:D$1003=$B$2)*1,{1}),0)+70),"")</f>
        <v>0</v>
      </c>
      <c r="H74" s="7">
        <f ca="1">IFERROR(INDEX(INDIRECT("Transactions!"&amp;"N4:N1003"),MATCH(1,MMULT((Transactions!D$4:D$1003=$B$2)*1,{1}),0)+70),"")</f>
        <v>0</v>
      </c>
    </row>
    <row r="75" spans="1:8" ht="15.75" customHeight="1" x14ac:dyDescent="0.25">
      <c r="A75" s="7">
        <f ca="1">IFERROR(INDEX(INDIRECT("Transactions!"&amp;"B4:B1003"),MATCH(1,MMULT((Transactions!D$4:D$1003=$B$2)*1,{1}),0)+71),"")</f>
        <v>0</v>
      </c>
      <c r="B75" s="7">
        <f ca="1">IFERROR(INDEX(INDIRECT("Transactions!"&amp;"A4:A1003"),MATCH(1,MMULT((Transactions!D$4:D$1003=$B$2)*1,{1}),0)+71),"")</f>
        <v>0</v>
      </c>
      <c r="C75" s="7">
        <f ca="1">IFERROR(INDEX(INDIRECT("Transactions!"&amp;"E4:E1003"),MATCH(1,MMULT((Transactions!D$4:D$1003=$B$2)*1,{1}),0)+71),"")</f>
        <v>0</v>
      </c>
      <c r="D75" s="29" t="str">
        <f ca="1">IFERROR(INDEX(INDIRECT("Transactions!"&amp;"G4:G1003"),MATCH(1,MMULT((Transactions!D$4:D$1003=$B$2)*1,{1}),0)+71),"")</f>
        <v/>
      </c>
      <c r="E75" s="29" t="str">
        <f ca="1">IFERROR(INDEX(INDIRECT("Transactions!"&amp;"H4:H1003"),MATCH(1,MMULT((Transactions!D$4:D$1003=$B$2)*1,{1}),0)+71),"")</f>
        <v/>
      </c>
      <c r="F75" s="13" t="str">
        <f ca="1">IFERROR(INDEX(INDIRECT("Transactions!"&amp;"I4:I1003"),MATCH(1,MMULT((Transactions!D$4:D$1003=$B$2)*1,{1}),0)+71),"")</f>
        <v/>
      </c>
      <c r="G75" s="7">
        <f ca="1">IFERROR(INDEX(INDIRECT("Transactions!"&amp;"J4:J1003"),MATCH(1,MMULT((Transactions!D$4:D$1003=$B$2)*1,{1}),0)+71),"")</f>
        <v>0</v>
      </c>
      <c r="H75" s="7">
        <f ca="1">IFERROR(INDEX(INDIRECT("Transactions!"&amp;"N4:N1003"),MATCH(1,MMULT((Transactions!D$4:D$1003=$B$2)*1,{1}),0)+71),"")</f>
        <v>0</v>
      </c>
    </row>
    <row r="76" spans="1:8" ht="15.75" customHeight="1" x14ac:dyDescent="0.25">
      <c r="A76" s="7">
        <f ca="1">IFERROR(INDEX(INDIRECT("Transactions!"&amp;"B4:B1003"),MATCH(1,MMULT((Transactions!D$4:D$1003=$B$2)*1,{1}),0)+72),"")</f>
        <v>0</v>
      </c>
      <c r="B76" s="7">
        <f ca="1">IFERROR(INDEX(INDIRECT("Transactions!"&amp;"A4:A1003"),MATCH(1,MMULT((Transactions!D$4:D$1003=$B$2)*1,{1}),0)+72),"")</f>
        <v>0</v>
      </c>
      <c r="C76" s="7">
        <f ca="1">IFERROR(INDEX(INDIRECT("Transactions!"&amp;"E4:E1003"),MATCH(1,MMULT((Transactions!D$4:D$1003=$B$2)*1,{1}),0)+72),"")</f>
        <v>0</v>
      </c>
      <c r="D76" s="29" t="str">
        <f ca="1">IFERROR(INDEX(INDIRECT("Transactions!"&amp;"G4:G1003"),MATCH(1,MMULT((Transactions!D$4:D$1003=$B$2)*1,{1}),0)+72),"")</f>
        <v/>
      </c>
      <c r="E76" s="29" t="str">
        <f ca="1">IFERROR(INDEX(INDIRECT("Transactions!"&amp;"H4:H1003"),MATCH(1,MMULT((Transactions!D$4:D$1003=$B$2)*1,{1}),0)+72),"")</f>
        <v/>
      </c>
      <c r="F76" s="13" t="str">
        <f ca="1">IFERROR(INDEX(INDIRECT("Transactions!"&amp;"I4:I1003"),MATCH(1,MMULT((Transactions!D$4:D$1003=$B$2)*1,{1}),0)+72),"")</f>
        <v/>
      </c>
      <c r="G76" s="7">
        <f ca="1">IFERROR(INDEX(INDIRECT("Transactions!"&amp;"J4:J1003"),MATCH(1,MMULT((Transactions!D$4:D$1003=$B$2)*1,{1}),0)+72),"")</f>
        <v>0</v>
      </c>
      <c r="H76" s="7">
        <f ca="1">IFERROR(INDEX(INDIRECT("Transactions!"&amp;"N4:N1003"),MATCH(1,MMULT((Transactions!D$4:D$1003=$B$2)*1,{1}),0)+72),"")</f>
        <v>0</v>
      </c>
    </row>
    <row r="77" spans="1:8" ht="15.75" customHeight="1" x14ac:dyDescent="0.25">
      <c r="A77" s="7">
        <f ca="1">IFERROR(INDEX(INDIRECT("Transactions!"&amp;"B4:B1003"),MATCH(1,MMULT((Transactions!D$4:D$1003=$B$2)*1,{1}),0)+73),"")</f>
        <v>0</v>
      </c>
      <c r="B77" s="7">
        <f ca="1">IFERROR(INDEX(INDIRECT("Transactions!"&amp;"A4:A1003"),MATCH(1,MMULT((Transactions!D$4:D$1003=$B$2)*1,{1}),0)+73),"")</f>
        <v>0</v>
      </c>
      <c r="C77" s="7">
        <f ca="1">IFERROR(INDEX(INDIRECT("Transactions!"&amp;"E4:E1003"),MATCH(1,MMULT((Transactions!D$4:D$1003=$B$2)*1,{1}),0)+73),"")</f>
        <v>0</v>
      </c>
      <c r="D77" s="29" t="str">
        <f ca="1">IFERROR(INDEX(INDIRECT("Transactions!"&amp;"G4:G1003"),MATCH(1,MMULT((Transactions!D$4:D$1003=$B$2)*1,{1}),0)+73),"")</f>
        <v/>
      </c>
      <c r="E77" s="29" t="str">
        <f ca="1">IFERROR(INDEX(INDIRECT("Transactions!"&amp;"H4:H1003"),MATCH(1,MMULT((Transactions!D$4:D$1003=$B$2)*1,{1}),0)+73),"")</f>
        <v/>
      </c>
      <c r="F77" s="13" t="str">
        <f ca="1">IFERROR(INDEX(INDIRECT("Transactions!"&amp;"I4:I1003"),MATCH(1,MMULT((Transactions!D$4:D$1003=$B$2)*1,{1}),0)+73),"")</f>
        <v/>
      </c>
      <c r="G77" s="7">
        <f ca="1">IFERROR(INDEX(INDIRECT("Transactions!"&amp;"J4:J1003"),MATCH(1,MMULT((Transactions!D$4:D$1003=$B$2)*1,{1}),0)+73),"")</f>
        <v>0</v>
      </c>
      <c r="H77" s="7">
        <f ca="1">IFERROR(INDEX(INDIRECT("Transactions!"&amp;"N4:N1003"),MATCH(1,MMULT((Transactions!D$4:D$1003=$B$2)*1,{1}),0)+73),"")</f>
        <v>0</v>
      </c>
    </row>
    <row r="78" spans="1:8" ht="15.75" customHeight="1" x14ac:dyDescent="0.25">
      <c r="A78" s="7">
        <f ca="1">IFERROR(INDEX(INDIRECT("Transactions!"&amp;"B4:B1003"),MATCH(1,MMULT((Transactions!D$4:D$1003=$B$2)*1,{1}),0)+74),"")</f>
        <v>0</v>
      </c>
      <c r="B78" s="7">
        <f ca="1">IFERROR(INDEX(INDIRECT("Transactions!"&amp;"A4:A1003"),MATCH(1,MMULT((Transactions!D$4:D$1003=$B$2)*1,{1}),0)+74),"")</f>
        <v>0</v>
      </c>
      <c r="C78" s="7">
        <f ca="1">IFERROR(INDEX(INDIRECT("Transactions!"&amp;"E4:E1003"),MATCH(1,MMULT((Transactions!D$4:D$1003=$B$2)*1,{1}),0)+74),"")</f>
        <v>0</v>
      </c>
      <c r="D78" s="29" t="str">
        <f ca="1">IFERROR(INDEX(INDIRECT("Transactions!"&amp;"G4:G1003"),MATCH(1,MMULT((Transactions!D$4:D$1003=$B$2)*1,{1}),0)+74),"")</f>
        <v/>
      </c>
      <c r="E78" s="29" t="str">
        <f ca="1">IFERROR(INDEX(INDIRECT("Transactions!"&amp;"H4:H1003"),MATCH(1,MMULT((Transactions!D$4:D$1003=$B$2)*1,{1}),0)+74),"")</f>
        <v/>
      </c>
      <c r="F78" s="13" t="str">
        <f ca="1">IFERROR(INDEX(INDIRECT("Transactions!"&amp;"I4:I1003"),MATCH(1,MMULT((Transactions!D$4:D$1003=$B$2)*1,{1}),0)+74),"")</f>
        <v/>
      </c>
      <c r="G78" s="7">
        <f ca="1">IFERROR(INDEX(INDIRECT("Transactions!"&amp;"J4:J1003"),MATCH(1,MMULT((Transactions!D$4:D$1003=$B$2)*1,{1}),0)+74),"")</f>
        <v>0</v>
      </c>
      <c r="H78" s="7">
        <f ca="1">IFERROR(INDEX(INDIRECT("Transactions!"&amp;"N4:N1003"),MATCH(1,MMULT((Transactions!D$4:D$1003=$B$2)*1,{1}),0)+74),"")</f>
        <v>0</v>
      </c>
    </row>
    <row r="79" spans="1:8" ht="15.75" customHeight="1" x14ac:dyDescent="0.25">
      <c r="A79" s="7">
        <f ca="1">IFERROR(INDEX(INDIRECT("Transactions!"&amp;"B4:B1003"),MATCH(1,MMULT((Transactions!D$4:D$1003=$B$2)*1,{1}),0)+75),"")</f>
        <v>0</v>
      </c>
      <c r="B79" s="7">
        <f ca="1">IFERROR(INDEX(INDIRECT("Transactions!"&amp;"A4:A1003"),MATCH(1,MMULT((Transactions!D$4:D$1003=$B$2)*1,{1}),0)+75),"")</f>
        <v>0</v>
      </c>
      <c r="C79" s="7">
        <f ca="1">IFERROR(INDEX(INDIRECT("Transactions!"&amp;"E4:E1003"),MATCH(1,MMULT((Transactions!D$4:D$1003=$B$2)*1,{1}),0)+75),"")</f>
        <v>0</v>
      </c>
      <c r="D79" s="29" t="str">
        <f ca="1">IFERROR(INDEX(INDIRECT("Transactions!"&amp;"G4:G1003"),MATCH(1,MMULT((Transactions!D$4:D$1003=$B$2)*1,{1}),0)+75),"")</f>
        <v/>
      </c>
      <c r="E79" s="29" t="str">
        <f ca="1">IFERROR(INDEX(INDIRECT("Transactions!"&amp;"H4:H1003"),MATCH(1,MMULT((Transactions!D$4:D$1003=$B$2)*1,{1}),0)+75),"")</f>
        <v/>
      </c>
      <c r="F79" s="13" t="str">
        <f ca="1">IFERROR(INDEX(INDIRECT("Transactions!"&amp;"I4:I1003"),MATCH(1,MMULT((Transactions!D$4:D$1003=$B$2)*1,{1}),0)+75),"")</f>
        <v/>
      </c>
      <c r="G79" s="7">
        <f ca="1">IFERROR(INDEX(INDIRECT("Transactions!"&amp;"J4:J1003"),MATCH(1,MMULT((Transactions!D$4:D$1003=$B$2)*1,{1}),0)+75),"")</f>
        <v>0</v>
      </c>
      <c r="H79" s="7">
        <f ca="1">IFERROR(INDEX(INDIRECT("Transactions!"&amp;"N4:N1003"),MATCH(1,MMULT((Transactions!D$4:D$1003=$B$2)*1,{1}),0)+75),"")</f>
        <v>0</v>
      </c>
    </row>
    <row r="80" spans="1:8" ht="15.75" customHeight="1" x14ac:dyDescent="0.25">
      <c r="A80" s="7">
        <f ca="1">IFERROR(INDEX(INDIRECT("Transactions!"&amp;"B4:B1003"),MATCH(1,MMULT((Transactions!D$4:D$1003=$B$2)*1,{1}),0)+76),"")</f>
        <v>0</v>
      </c>
      <c r="B80" s="7">
        <f ca="1">IFERROR(INDEX(INDIRECT("Transactions!"&amp;"A4:A1003"),MATCH(1,MMULT((Transactions!D$4:D$1003=$B$2)*1,{1}),0)+76),"")</f>
        <v>0</v>
      </c>
      <c r="C80" s="7">
        <f ca="1">IFERROR(INDEX(INDIRECT("Transactions!"&amp;"E4:E1003"),MATCH(1,MMULT((Transactions!D$4:D$1003=$B$2)*1,{1}),0)+76),"")</f>
        <v>0</v>
      </c>
      <c r="D80" s="29" t="str">
        <f ca="1">IFERROR(INDEX(INDIRECT("Transactions!"&amp;"G4:G1003"),MATCH(1,MMULT((Transactions!D$4:D$1003=$B$2)*1,{1}),0)+76),"")</f>
        <v/>
      </c>
      <c r="E80" s="29" t="str">
        <f ca="1">IFERROR(INDEX(INDIRECT("Transactions!"&amp;"H4:H1003"),MATCH(1,MMULT((Transactions!D$4:D$1003=$B$2)*1,{1}),0)+76),"")</f>
        <v/>
      </c>
      <c r="F80" s="13" t="str">
        <f ca="1">IFERROR(INDEX(INDIRECT("Transactions!"&amp;"I4:I1003"),MATCH(1,MMULT((Transactions!D$4:D$1003=$B$2)*1,{1}),0)+76),"")</f>
        <v/>
      </c>
      <c r="G80" s="7">
        <f ca="1">IFERROR(INDEX(INDIRECT("Transactions!"&amp;"J4:J1003"),MATCH(1,MMULT((Transactions!D$4:D$1003=$B$2)*1,{1}),0)+76),"")</f>
        <v>0</v>
      </c>
      <c r="H80" s="7">
        <f ca="1">IFERROR(INDEX(INDIRECT("Transactions!"&amp;"N4:N1003"),MATCH(1,MMULT((Transactions!D$4:D$1003=$B$2)*1,{1}),0)+76),"")</f>
        <v>0</v>
      </c>
    </row>
    <row r="81" spans="1:8" ht="15.75" customHeight="1" x14ac:dyDescent="0.25">
      <c r="A81" s="7">
        <f ca="1">IFERROR(INDEX(INDIRECT("Transactions!"&amp;"B4:B1003"),MATCH(1,MMULT((Transactions!D$4:D$1003=$B$2)*1,{1}),0)+77),"")</f>
        <v>0</v>
      </c>
      <c r="B81" s="7">
        <f ca="1">IFERROR(INDEX(INDIRECT("Transactions!"&amp;"A4:A1003"),MATCH(1,MMULT((Transactions!D$4:D$1003=$B$2)*1,{1}),0)+77),"")</f>
        <v>0</v>
      </c>
      <c r="C81" s="7">
        <f ca="1">IFERROR(INDEX(INDIRECT("Transactions!"&amp;"E4:E1003"),MATCH(1,MMULT((Transactions!D$4:D$1003=$B$2)*1,{1}),0)+77),"")</f>
        <v>0</v>
      </c>
      <c r="D81" s="29" t="str">
        <f ca="1">IFERROR(INDEX(INDIRECT("Transactions!"&amp;"G4:G1003"),MATCH(1,MMULT((Transactions!D$4:D$1003=$B$2)*1,{1}),0)+77),"")</f>
        <v/>
      </c>
      <c r="E81" s="29" t="str">
        <f ca="1">IFERROR(INDEX(INDIRECT("Transactions!"&amp;"H4:H1003"),MATCH(1,MMULT((Transactions!D$4:D$1003=$B$2)*1,{1}),0)+77),"")</f>
        <v/>
      </c>
      <c r="F81" s="13" t="str">
        <f ca="1">IFERROR(INDEX(INDIRECT("Transactions!"&amp;"I4:I1003"),MATCH(1,MMULT((Transactions!D$4:D$1003=$B$2)*1,{1}),0)+77),"")</f>
        <v/>
      </c>
      <c r="G81" s="7">
        <f ca="1">IFERROR(INDEX(INDIRECT("Transactions!"&amp;"J4:J1003"),MATCH(1,MMULT((Transactions!D$4:D$1003=$B$2)*1,{1}),0)+77),"")</f>
        <v>0</v>
      </c>
      <c r="H81" s="7">
        <f ca="1">IFERROR(INDEX(INDIRECT("Transactions!"&amp;"N4:N1003"),MATCH(1,MMULT((Transactions!D$4:D$1003=$B$2)*1,{1}),0)+77),"")</f>
        <v>0</v>
      </c>
    </row>
    <row r="82" spans="1:8" ht="15.75" customHeight="1" x14ac:dyDescent="0.25">
      <c r="A82" s="7">
        <f ca="1">IFERROR(INDEX(INDIRECT("Transactions!"&amp;"B4:B1003"),MATCH(1,MMULT((Transactions!D$4:D$1003=$B$2)*1,{1}),0)+78),"")</f>
        <v>0</v>
      </c>
      <c r="B82" s="7">
        <f ca="1">IFERROR(INDEX(INDIRECT("Transactions!"&amp;"A4:A1003"),MATCH(1,MMULT((Transactions!D$4:D$1003=$B$2)*1,{1}),0)+78),"")</f>
        <v>0</v>
      </c>
      <c r="C82" s="7">
        <f ca="1">IFERROR(INDEX(INDIRECT("Transactions!"&amp;"E4:E1003"),MATCH(1,MMULT((Transactions!D$4:D$1003=$B$2)*1,{1}),0)+78),"")</f>
        <v>0</v>
      </c>
      <c r="D82" s="29" t="str">
        <f ca="1">IFERROR(INDEX(INDIRECT("Transactions!"&amp;"G4:G1003"),MATCH(1,MMULT((Transactions!D$4:D$1003=$B$2)*1,{1}),0)+78),"")</f>
        <v/>
      </c>
      <c r="E82" s="29" t="str">
        <f ca="1">IFERROR(INDEX(INDIRECT("Transactions!"&amp;"H4:H1003"),MATCH(1,MMULT((Transactions!D$4:D$1003=$B$2)*1,{1}),0)+78),"")</f>
        <v/>
      </c>
      <c r="F82" s="13" t="str">
        <f ca="1">IFERROR(INDEX(INDIRECT("Transactions!"&amp;"I4:I1003"),MATCH(1,MMULT((Transactions!D$4:D$1003=$B$2)*1,{1}),0)+78),"")</f>
        <v/>
      </c>
      <c r="G82" s="7">
        <f ca="1">IFERROR(INDEX(INDIRECT("Transactions!"&amp;"J4:J1003"),MATCH(1,MMULT((Transactions!D$4:D$1003=$B$2)*1,{1}),0)+78),"")</f>
        <v>0</v>
      </c>
      <c r="H82" s="7">
        <f ca="1">IFERROR(INDEX(INDIRECT("Transactions!"&amp;"N4:N1003"),MATCH(1,MMULT((Transactions!D$4:D$1003=$B$2)*1,{1}),0)+78),"")</f>
        <v>0</v>
      </c>
    </row>
    <row r="83" spans="1:8" ht="15.75" customHeight="1" x14ac:dyDescent="0.25">
      <c r="A83" s="7">
        <f ca="1">IFERROR(INDEX(INDIRECT("Transactions!"&amp;"B4:B1003"),MATCH(1,MMULT((Transactions!D$4:D$1003=$B$2)*1,{1}),0)+79),"")</f>
        <v>0</v>
      </c>
      <c r="B83" s="7">
        <f ca="1">IFERROR(INDEX(INDIRECT("Transactions!"&amp;"A4:A1003"),MATCH(1,MMULT((Transactions!D$4:D$1003=$B$2)*1,{1}),0)+79),"")</f>
        <v>0</v>
      </c>
      <c r="C83" s="7">
        <f ca="1">IFERROR(INDEX(INDIRECT("Transactions!"&amp;"E4:E1003"),MATCH(1,MMULT((Transactions!D$4:D$1003=$B$2)*1,{1}),0)+79),"")</f>
        <v>0</v>
      </c>
      <c r="D83" s="29" t="str">
        <f ca="1">IFERROR(INDEX(INDIRECT("Transactions!"&amp;"G4:G1003"),MATCH(1,MMULT((Transactions!D$4:D$1003=$B$2)*1,{1}),0)+79),"")</f>
        <v/>
      </c>
      <c r="E83" s="29" t="str">
        <f ca="1">IFERROR(INDEX(INDIRECT("Transactions!"&amp;"H4:H1003"),MATCH(1,MMULT((Transactions!D$4:D$1003=$B$2)*1,{1}),0)+79),"")</f>
        <v/>
      </c>
      <c r="F83" s="13" t="str">
        <f ca="1">IFERROR(INDEX(INDIRECT("Transactions!"&amp;"I4:I1003"),MATCH(1,MMULT((Transactions!D$4:D$1003=$B$2)*1,{1}),0)+79),"")</f>
        <v/>
      </c>
      <c r="G83" s="7">
        <f ca="1">IFERROR(INDEX(INDIRECT("Transactions!"&amp;"J4:J1003"),MATCH(1,MMULT((Transactions!D$4:D$1003=$B$2)*1,{1}),0)+79),"")</f>
        <v>0</v>
      </c>
      <c r="H83" s="7">
        <f ca="1">IFERROR(INDEX(INDIRECT("Transactions!"&amp;"N4:N1003"),MATCH(1,MMULT((Transactions!D$4:D$1003=$B$2)*1,{1}),0)+79),"")</f>
        <v>0</v>
      </c>
    </row>
    <row r="84" spans="1:8" ht="15.75" customHeight="1" x14ac:dyDescent="0.25">
      <c r="A84" s="7">
        <f ca="1">IFERROR(INDEX(INDIRECT("Transactions!"&amp;"B4:B1003"),MATCH(1,MMULT((Transactions!D$4:D$1003=$B$2)*1,{1}),0)+80),"")</f>
        <v>0</v>
      </c>
      <c r="B84" s="7">
        <f ca="1">IFERROR(INDEX(INDIRECT("Transactions!"&amp;"A4:A1003"),MATCH(1,MMULT((Transactions!D$4:D$1003=$B$2)*1,{1}),0)+80),"")</f>
        <v>0</v>
      </c>
      <c r="C84" s="7">
        <f ca="1">IFERROR(INDEX(INDIRECT("Transactions!"&amp;"E4:E1003"),MATCH(1,MMULT((Transactions!D$4:D$1003=$B$2)*1,{1}),0)+80),"")</f>
        <v>0</v>
      </c>
      <c r="D84" s="29" t="str">
        <f ca="1">IFERROR(INDEX(INDIRECT("Transactions!"&amp;"G4:G1003"),MATCH(1,MMULT((Transactions!D$4:D$1003=$B$2)*1,{1}),0)+80),"")</f>
        <v/>
      </c>
      <c r="E84" s="29" t="str">
        <f ca="1">IFERROR(INDEX(INDIRECT("Transactions!"&amp;"H4:H1003"),MATCH(1,MMULT((Transactions!D$4:D$1003=$B$2)*1,{1}),0)+80),"")</f>
        <v/>
      </c>
      <c r="F84" s="13" t="str">
        <f ca="1">IFERROR(INDEX(INDIRECT("Transactions!"&amp;"I4:I1003"),MATCH(1,MMULT((Transactions!D$4:D$1003=$B$2)*1,{1}),0)+80),"")</f>
        <v/>
      </c>
      <c r="G84" s="7">
        <f ca="1">IFERROR(INDEX(INDIRECT("Transactions!"&amp;"J4:J1003"),MATCH(1,MMULT((Transactions!D$4:D$1003=$B$2)*1,{1}),0)+80),"")</f>
        <v>0</v>
      </c>
      <c r="H84" s="7">
        <f ca="1">IFERROR(INDEX(INDIRECT("Transactions!"&amp;"N4:N1003"),MATCH(1,MMULT((Transactions!D$4:D$1003=$B$2)*1,{1}),0)+80),"")</f>
        <v>0</v>
      </c>
    </row>
    <row r="85" spans="1:8" ht="15.75" customHeight="1" x14ac:dyDescent="0.25">
      <c r="A85" s="7">
        <f ca="1">IFERROR(INDEX(INDIRECT("Transactions!"&amp;"B4:B1003"),MATCH(1,MMULT((Transactions!D$4:D$1003=$B$2)*1,{1}),0)+81),"")</f>
        <v>0</v>
      </c>
      <c r="B85" s="7">
        <f ca="1">IFERROR(INDEX(INDIRECT("Transactions!"&amp;"A4:A1003"),MATCH(1,MMULT((Transactions!D$4:D$1003=$B$2)*1,{1}),0)+81),"")</f>
        <v>0</v>
      </c>
      <c r="C85" s="7">
        <f ca="1">IFERROR(INDEX(INDIRECT("Transactions!"&amp;"E4:E1003"),MATCH(1,MMULT((Transactions!D$4:D$1003=$B$2)*1,{1}),0)+81),"")</f>
        <v>0</v>
      </c>
      <c r="D85" s="29" t="str">
        <f ca="1">IFERROR(INDEX(INDIRECT("Transactions!"&amp;"G4:G1003"),MATCH(1,MMULT((Transactions!D$4:D$1003=$B$2)*1,{1}),0)+81),"")</f>
        <v/>
      </c>
      <c r="E85" s="29" t="str">
        <f ca="1">IFERROR(INDEX(INDIRECT("Transactions!"&amp;"H4:H1003"),MATCH(1,MMULT((Transactions!D$4:D$1003=$B$2)*1,{1}),0)+81),"")</f>
        <v/>
      </c>
      <c r="F85" s="13" t="str">
        <f ca="1">IFERROR(INDEX(INDIRECT("Transactions!"&amp;"I4:I1003"),MATCH(1,MMULT((Transactions!D$4:D$1003=$B$2)*1,{1}),0)+81),"")</f>
        <v/>
      </c>
      <c r="G85" s="7">
        <f ca="1">IFERROR(INDEX(INDIRECT("Transactions!"&amp;"J4:J1003"),MATCH(1,MMULT((Transactions!D$4:D$1003=$B$2)*1,{1}),0)+81),"")</f>
        <v>0</v>
      </c>
      <c r="H85" s="7">
        <f ca="1">IFERROR(INDEX(INDIRECT("Transactions!"&amp;"N4:N1003"),MATCH(1,MMULT((Transactions!D$4:D$1003=$B$2)*1,{1}),0)+81),"")</f>
        <v>0</v>
      </c>
    </row>
    <row r="86" spans="1:8" ht="15.75" customHeight="1" x14ac:dyDescent="0.25">
      <c r="A86" s="7">
        <f ca="1">IFERROR(INDEX(INDIRECT("Transactions!"&amp;"B4:B1003"),MATCH(1,MMULT((Transactions!D$4:D$1003=$B$2)*1,{1}),0)+82),"")</f>
        <v>0</v>
      </c>
      <c r="B86" s="7">
        <f ca="1">IFERROR(INDEX(INDIRECT("Transactions!"&amp;"A4:A1003"),MATCH(1,MMULT((Transactions!D$4:D$1003=$B$2)*1,{1}),0)+82),"")</f>
        <v>0</v>
      </c>
      <c r="C86" s="7">
        <f ca="1">IFERROR(INDEX(INDIRECT("Transactions!"&amp;"E4:E1003"),MATCH(1,MMULT((Transactions!D$4:D$1003=$B$2)*1,{1}),0)+82),"")</f>
        <v>0</v>
      </c>
      <c r="D86" s="29" t="str">
        <f ca="1">IFERROR(INDEX(INDIRECT("Transactions!"&amp;"G4:G1003"),MATCH(1,MMULT((Transactions!D$4:D$1003=$B$2)*1,{1}),0)+82),"")</f>
        <v/>
      </c>
      <c r="E86" s="29" t="str">
        <f ca="1">IFERROR(INDEX(INDIRECT("Transactions!"&amp;"H4:H1003"),MATCH(1,MMULT((Transactions!D$4:D$1003=$B$2)*1,{1}),0)+82),"")</f>
        <v/>
      </c>
      <c r="F86" s="13" t="str">
        <f ca="1">IFERROR(INDEX(INDIRECT("Transactions!"&amp;"I4:I1003"),MATCH(1,MMULT((Transactions!D$4:D$1003=$B$2)*1,{1}),0)+82),"")</f>
        <v/>
      </c>
      <c r="G86" s="7">
        <f ca="1">IFERROR(INDEX(INDIRECT("Transactions!"&amp;"J4:J1003"),MATCH(1,MMULT((Transactions!D$4:D$1003=$B$2)*1,{1}),0)+82),"")</f>
        <v>0</v>
      </c>
      <c r="H86" s="7">
        <f ca="1">IFERROR(INDEX(INDIRECT("Transactions!"&amp;"N4:N1003"),MATCH(1,MMULT((Transactions!D$4:D$1003=$B$2)*1,{1}),0)+82),"")</f>
        <v>0</v>
      </c>
    </row>
    <row r="87" spans="1:8" ht="15.75" customHeight="1" x14ac:dyDescent="0.25">
      <c r="A87" s="7">
        <f ca="1">IFERROR(INDEX(INDIRECT("Transactions!"&amp;"B4:B1003"),MATCH(1,MMULT((Transactions!D$4:D$1003=$B$2)*1,{1}),0)+83),"")</f>
        <v>0</v>
      </c>
      <c r="B87" s="7">
        <f ca="1">IFERROR(INDEX(INDIRECT("Transactions!"&amp;"A4:A1003"),MATCH(1,MMULT((Transactions!D$4:D$1003=$B$2)*1,{1}),0)+83),"")</f>
        <v>0</v>
      </c>
      <c r="C87" s="7">
        <f ca="1">IFERROR(INDEX(INDIRECT("Transactions!"&amp;"E4:E1003"),MATCH(1,MMULT((Transactions!D$4:D$1003=$B$2)*1,{1}),0)+83),"")</f>
        <v>0</v>
      </c>
      <c r="D87" s="29" t="str">
        <f ca="1">IFERROR(INDEX(INDIRECT("Transactions!"&amp;"G4:G1003"),MATCH(1,MMULT((Transactions!D$4:D$1003=$B$2)*1,{1}),0)+83),"")</f>
        <v/>
      </c>
      <c r="E87" s="29" t="str">
        <f ca="1">IFERROR(INDEX(INDIRECT("Transactions!"&amp;"H4:H1003"),MATCH(1,MMULT((Transactions!D$4:D$1003=$B$2)*1,{1}),0)+83),"")</f>
        <v/>
      </c>
      <c r="F87" s="13" t="str">
        <f ca="1">IFERROR(INDEX(INDIRECT("Transactions!"&amp;"I4:I1003"),MATCH(1,MMULT((Transactions!D$4:D$1003=$B$2)*1,{1}),0)+83),"")</f>
        <v/>
      </c>
      <c r="G87" s="7">
        <f ca="1">IFERROR(INDEX(INDIRECT("Transactions!"&amp;"J4:J1003"),MATCH(1,MMULT((Transactions!D$4:D$1003=$B$2)*1,{1}),0)+83),"")</f>
        <v>0</v>
      </c>
      <c r="H87" s="7">
        <f ca="1">IFERROR(INDEX(INDIRECT("Transactions!"&amp;"N4:N1003"),MATCH(1,MMULT((Transactions!D$4:D$1003=$B$2)*1,{1}),0)+83),"")</f>
        <v>0</v>
      </c>
    </row>
    <row r="88" spans="1:8" ht="15.75" customHeight="1" x14ac:dyDescent="0.25">
      <c r="A88" s="7">
        <f ca="1">IFERROR(INDEX(INDIRECT("Transactions!"&amp;"B4:B1003"),MATCH(1,MMULT((Transactions!D$4:D$1003=$B$2)*1,{1}),0)+84),"")</f>
        <v>0</v>
      </c>
      <c r="B88" s="7">
        <f ca="1">IFERROR(INDEX(INDIRECT("Transactions!"&amp;"A4:A1003"),MATCH(1,MMULT((Transactions!D$4:D$1003=$B$2)*1,{1}),0)+84),"")</f>
        <v>0</v>
      </c>
      <c r="C88" s="7">
        <f ca="1">IFERROR(INDEX(INDIRECT("Transactions!"&amp;"E4:E1003"),MATCH(1,MMULT((Transactions!D$4:D$1003=$B$2)*1,{1}),0)+84),"")</f>
        <v>0</v>
      </c>
      <c r="D88" s="29" t="str">
        <f ca="1">IFERROR(INDEX(INDIRECT("Transactions!"&amp;"G4:G1003"),MATCH(1,MMULT((Transactions!D$4:D$1003=$B$2)*1,{1}),0)+84),"")</f>
        <v/>
      </c>
      <c r="E88" s="29" t="str">
        <f ca="1">IFERROR(INDEX(INDIRECT("Transactions!"&amp;"H4:H1003"),MATCH(1,MMULT((Transactions!D$4:D$1003=$B$2)*1,{1}),0)+84),"")</f>
        <v/>
      </c>
      <c r="F88" s="13" t="str">
        <f ca="1">IFERROR(INDEX(INDIRECT("Transactions!"&amp;"I4:I1003"),MATCH(1,MMULT((Transactions!D$4:D$1003=$B$2)*1,{1}),0)+84),"")</f>
        <v/>
      </c>
      <c r="G88" s="7">
        <f ca="1">IFERROR(INDEX(INDIRECT("Transactions!"&amp;"J4:J1003"),MATCH(1,MMULT((Transactions!D$4:D$1003=$B$2)*1,{1}),0)+84),"")</f>
        <v>0</v>
      </c>
      <c r="H88" s="7">
        <f ca="1">IFERROR(INDEX(INDIRECT("Transactions!"&amp;"N4:N1003"),MATCH(1,MMULT((Transactions!D$4:D$1003=$B$2)*1,{1}),0)+84),"")</f>
        <v>0</v>
      </c>
    </row>
    <row r="89" spans="1:8" ht="15.75" customHeight="1" x14ac:dyDescent="0.25">
      <c r="A89" s="7">
        <f ca="1">IFERROR(INDEX(INDIRECT("Transactions!"&amp;"B4:B1003"),MATCH(1,MMULT((Transactions!D$4:D$1003=$B$2)*1,{1}),0)+85),"")</f>
        <v>0</v>
      </c>
      <c r="B89" s="7">
        <f ca="1">IFERROR(INDEX(INDIRECT("Transactions!"&amp;"A4:A1003"),MATCH(1,MMULT((Transactions!D$4:D$1003=$B$2)*1,{1}),0)+85),"")</f>
        <v>0</v>
      </c>
      <c r="C89" s="7">
        <f ca="1">IFERROR(INDEX(INDIRECT("Transactions!"&amp;"E4:E1003"),MATCH(1,MMULT((Transactions!D$4:D$1003=$B$2)*1,{1}),0)+85),"")</f>
        <v>0</v>
      </c>
      <c r="D89" s="29" t="str">
        <f ca="1">IFERROR(INDEX(INDIRECT("Transactions!"&amp;"G4:G1003"),MATCH(1,MMULT((Transactions!D$4:D$1003=$B$2)*1,{1}),0)+85),"")</f>
        <v/>
      </c>
      <c r="E89" s="29" t="str">
        <f ca="1">IFERROR(INDEX(INDIRECT("Transactions!"&amp;"H4:H1003"),MATCH(1,MMULT((Transactions!D$4:D$1003=$B$2)*1,{1}),0)+85),"")</f>
        <v/>
      </c>
      <c r="F89" s="13" t="str">
        <f ca="1">IFERROR(INDEX(INDIRECT("Transactions!"&amp;"I4:I1003"),MATCH(1,MMULT((Transactions!D$4:D$1003=$B$2)*1,{1}),0)+85),"")</f>
        <v/>
      </c>
      <c r="G89" s="7">
        <f ca="1">IFERROR(INDEX(INDIRECT("Transactions!"&amp;"J4:J1003"),MATCH(1,MMULT((Transactions!D$4:D$1003=$B$2)*1,{1}),0)+85),"")</f>
        <v>0</v>
      </c>
      <c r="H89" s="7">
        <f ca="1">IFERROR(INDEX(INDIRECT("Transactions!"&amp;"N4:N1003"),MATCH(1,MMULT((Transactions!D$4:D$1003=$B$2)*1,{1}),0)+85),"")</f>
        <v>0</v>
      </c>
    </row>
    <row r="90" spans="1:8" ht="15.75" customHeight="1" x14ac:dyDescent="0.25">
      <c r="A90" s="7">
        <f ca="1">IFERROR(INDEX(INDIRECT("Transactions!"&amp;"B4:B1003"),MATCH(1,MMULT((Transactions!D$4:D$1003=$B$2)*1,{1}),0)+86),"")</f>
        <v>0</v>
      </c>
      <c r="B90" s="7">
        <f ca="1">IFERROR(INDEX(INDIRECT("Transactions!"&amp;"A4:A1003"),MATCH(1,MMULT((Transactions!D$4:D$1003=$B$2)*1,{1}),0)+86),"")</f>
        <v>0</v>
      </c>
      <c r="C90" s="7">
        <f ca="1">IFERROR(INDEX(INDIRECT("Transactions!"&amp;"E4:E1003"),MATCH(1,MMULT((Transactions!D$4:D$1003=$B$2)*1,{1}),0)+86),"")</f>
        <v>0</v>
      </c>
      <c r="D90" s="29" t="str">
        <f ca="1">IFERROR(INDEX(INDIRECT("Transactions!"&amp;"G4:G1003"),MATCH(1,MMULT((Transactions!D$4:D$1003=$B$2)*1,{1}),0)+86),"")</f>
        <v/>
      </c>
      <c r="E90" s="29" t="str">
        <f ca="1">IFERROR(INDEX(INDIRECT("Transactions!"&amp;"H4:H1003"),MATCH(1,MMULT((Transactions!D$4:D$1003=$B$2)*1,{1}),0)+86),"")</f>
        <v/>
      </c>
      <c r="F90" s="13" t="str">
        <f ca="1">IFERROR(INDEX(INDIRECT("Transactions!"&amp;"I4:I1003"),MATCH(1,MMULT((Transactions!D$4:D$1003=$B$2)*1,{1}),0)+86),"")</f>
        <v/>
      </c>
      <c r="G90" s="7">
        <f ca="1">IFERROR(INDEX(INDIRECT("Transactions!"&amp;"J4:J1003"),MATCH(1,MMULT((Transactions!D$4:D$1003=$B$2)*1,{1}),0)+86),"")</f>
        <v>0</v>
      </c>
      <c r="H90" s="7">
        <f ca="1">IFERROR(INDEX(INDIRECT("Transactions!"&amp;"N4:N1003"),MATCH(1,MMULT((Transactions!D$4:D$1003=$B$2)*1,{1}),0)+86),"")</f>
        <v>0</v>
      </c>
    </row>
    <row r="91" spans="1:8" ht="15.75" customHeight="1" x14ac:dyDescent="0.25">
      <c r="A91" s="7">
        <f ca="1">IFERROR(INDEX(INDIRECT("Transactions!"&amp;"B4:B1003"),MATCH(1,MMULT((Transactions!D$4:D$1003=$B$2)*1,{1}),0)+87),"")</f>
        <v>0</v>
      </c>
      <c r="B91" s="7">
        <f ca="1">IFERROR(INDEX(INDIRECT("Transactions!"&amp;"A4:A1003"),MATCH(1,MMULT((Transactions!D$4:D$1003=$B$2)*1,{1}),0)+87),"")</f>
        <v>0</v>
      </c>
      <c r="C91" s="7">
        <f ca="1">IFERROR(INDEX(INDIRECT("Transactions!"&amp;"E4:E1003"),MATCH(1,MMULT((Transactions!D$4:D$1003=$B$2)*1,{1}),0)+87),"")</f>
        <v>0</v>
      </c>
      <c r="D91" s="29" t="str">
        <f ca="1">IFERROR(INDEX(INDIRECT("Transactions!"&amp;"G4:G1003"),MATCH(1,MMULT((Transactions!D$4:D$1003=$B$2)*1,{1}),0)+87),"")</f>
        <v/>
      </c>
      <c r="E91" s="29" t="str">
        <f ca="1">IFERROR(INDEX(INDIRECT("Transactions!"&amp;"H4:H1003"),MATCH(1,MMULT((Transactions!D$4:D$1003=$B$2)*1,{1}),0)+87),"")</f>
        <v/>
      </c>
      <c r="F91" s="13" t="str">
        <f ca="1">IFERROR(INDEX(INDIRECT("Transactions!"&amp;"I4:I1003"),MATCH(1,MMULT((Transactions!D$4:D$1003=$B$2)*1,{1}),0)+87),"")</f>
        <v/>
      </c>
      <c r="G91" s="7">
        <f ca="1">IFERROR(INDEX(INDIRECT("Transactions!"&amp;"J4:J1003"),MATCH(1,MMULT((Transactions!D$4:D$1003=$B$2)*1,{1}),0)+87),"")</f>
        <v>0</v>
      </c>
      <c r="H91" s="7">
        <f ca="1">IFERROR(INDEX(INDIRECT("Transactions!"&amp;"N4:N1003"),MATCH(1,MMULT((Transactions!D$4:D$1003=$B$2)*1,{1}),0)+87),"")</f>
        <v>0</v>
      </c>
    </row>
    <row r="92" spans="1:8" ht="15.75" customHeight="1" x14ac:dyDescent="0.25">
      <c r="A92" s="7">
        <f ca="1">IFERROR(INDEX(INDIRECT("Transactions!"&amp;"B4:B1003"),MATCH(1,MMULT((Transactions!D$4:D$1003=$B$2)*1,{1}),0)+88),"")</f>
        <v>0</v>
      </c>
      <c r="B92" s="7">
        <f ca="1">IFERROR(INDEX(INDIRECT("Transactions!"&amp;"A4:A1003"),MATCH(1,MMULT((Transactions!D$4:D$1003=$B$2)*1,{1}),0)+88),"")</f>
        <v>0</v>
      </c>
      <c r="C92" s="7">
        <f ca="1">IFERROR(INDEX(INDIRECT("Transactions!"&amp;"E4:E1003"),MATCH(1,MMULT((Transactions!D$4:D$1003=$B$2)*1,{1}),0)+88),"")</f>
        <v>0</v>
      </c>
      <c r="D92" s="29" t="str">
        <f ca="1">IFERROR(INDEX(INDIRECT("Transactions!"&amp;"G4:G1003"),MATCH(1,MMULT((Transactions!D$4:D$1003=$B$2)*1,{1}),0)+88),"")</f>
        <v/>
      </c>
      <c r="E92" s="29" t="str">
        <f ca="1">IFERROR(INDEX(INDIRECT("Transactions!"&amp;"H4:H1003"),MATCH(1,MMULT((Transactions!D$4:D$1003=$B$2)*1,{1}),0)+88),"")</f>
        <v/>
      </c>
      <c r="F92" s="13" t="str">
        <f ca="1">IFERROR(INDEX(INDIRECT("Transactions!"&amp;"I4:I1003"),MATCH(1,MMULT((Transactions!D$4:D$1003=$B$2)*1,{1}),0)+88),"")</f>
        <v/>
      </c>
      <c r="G92" s="7">
        <f ca="1">IFERROR(INDEX(INDIRECT("Transactions!"&amp;"J4:J1003"),MATCH(1,MMULT((Transactions!D$4:D$1003=$B$2)*1,{1}),0)+88),"")</f>
        <v>0</v>
      </c>
      <c r="H92" s="7">
        <f ca="1">IFERROR(INDEX(INDIRECT("Transactions!"&amp;"N4:N1003"),MATCH(1,MMULT((Transactions!D$4:D$1003=$B$2)*1,{1}),0)+88),"")</f>
        <v>0</v>
      </c>
    </row>
    <row r="93" spans="1:8" ht="15.75" customHeight="1" x14ac:dyDescent="0.25">
      <c r="A93" s="7">
        <f ca="1">IFERROR(INDEX(INDIRECT("Transactions!"&amp;"B4:B1003"),MATCH(1,MMULT((Transactions!D$4:D$1003=$B$2)*1,{1}),0)+89),"")</f>
        <v>0</v>
      </c>
      <c r="B93" s="7">
        <f ca="1">IFERROR(INDEX(INDIRECT("Transactions!"&amp;"A4:A1003"),MATCH(1,MMULT((Transactions!D$4:D$1003=$B$2)*1,{1}),0)+89),"")</f>
        <v>0</v>
      </c>
      <c r="C93" s="7">
        <f ca="1">IFERROR(INDEX(INDIRECT("Transactions!"&amp;"E4:E1003"),MATCH(1,MMULT((Transactions!D$4:D$1003=$B$2)*1,{1}),0)+89),"")</f>
        <v>0</v>
      </c>
      <c r="D93" s="29" t="str">
        <f ca="1">IFERROR(INDEX(INDIRECT("Transactions!"&amp;"G4:G1003"),MATCH(1,MMULT((Transactions!D$4:D$1003=$B$2)*1,{1}),0)+89),"")</f>
        <v/>
      </c>
      <c r="E93" s="29" t="str">
        <f ca="1">IFERROR(INDEX(INDIRECT("Transactions!"&amp;"H4:H1003"),MATCH(1,MMULT((Transactions!D$4:D$1003=$B$2)*1,{1}),0)+89),"")</f>
        <v/>
      </c>
      <c r="F93" s="13" t="str">
        <f ca="1">IFERROR(INDEX(INDIRECT("Transactions!"&amp;"I4:I1003"),MATCH(1,MMULT((Transactions!D$4:D$1003=$B$2)*1,{1}),0)+89),"")</f>
        <v/>
      </c>
      <c r="G93" s="7">
        <f ca="1">IFERROR(INDEX(INDIRECT("Transactions!"&amp;"J4:J1003"),MATCH(1,MMULT((Transactions!D$4:D$1003=$B$2)*1,{1}),0)+89),"")</f>
        <v>0</v>
      </c>
      <c r="H93" s="7">
        <f ca="1">IFERROR(INDEX(INDIRECT("Transactions!"&amp;"N4:N1003"),MATCH(1,MMULT((Transactions!D$4:D$1003=$B$2)*1,{1}),0)+89),"")</f>
        <v>0</v>
      </c>
    </row>
    <row r="94" spans="1:8" ht="15.75" customHeight="1" x14ac:dyDescent="0.25">
      <c r="A94" s="7">
        <f ca="1">IFERROR(INDEX(INDIRECT("Transactions!"&amp;"B4:B1003"),MATCH(1,MMULT((Transactions!D$4:D$1003=$B$2)*1,{1}),0)+90),"")</f>
        <v>0</v>
      </c>
      <c r="B94" s="7">
        <f ca="1">IFERROR(INDEX(INDIRECT("Transactions!"&amp;"A4:A1003"),MATCH(1,MMULT((Transactions!D$4:D$1003=$B$2)*1,{1}),0)+90),"")</f>
        <v>0</v>
      </c>
      <c r="C94" s="7">
        <f ca="1">IFERROR(INDEX(INDIRECT("Transactions!"&amp;"E4:E1003"),MATCH(1,MMULT((Transactions!D$4:D$1003=$B$2)*1,{1}),0)+90),"")</f>
        <v>0</v>
      </c>
      <c r="D94" s="29" t="str">
        <f ca="1">IFERROR(INDEX(INDIRECT("Transactions!"&amp;"G4:G1003"),MATCH(1,MMULT((Transactions!D$4:D$1003=$B$2)*1,{1}),0)+90),"")</f>
        <v/>
      </c>
      <c r="E94" s="29" t="str">
        <f ca="1">IFERROR(INDEX(INDIRECT("Transactions!"&amp;"H4:H1003"),MATCH(1,MMULT((Transactions!D$4:D$1003=$B$2)*1,{1}),0)+90),"")</f>
        <v/>
      </c>
      <c r="F94" s="13" t="str">
        <f ca="1">IFERROR(INDEX(INDIRECT("Transactions!"&amp;"I4:I1003"),MATCH(1,MMULT((Transactions!D$4:D$1003=$B$2)*1,{1}),0)+90),"")</f>
        <v/>
      </c>
      <c r="G94" s="7">
        <f ca="1">IFERROR(INDEX(INDIRECT("Transactions!"&amp;"J4:J1003"),MATCH(1,MMULT((Transactions!D$4:D$1003=$B$2)*1,{1}),0)+90),"")</f>
        <v>0</v>
      </c>
      <c r="H94" s="7">
        <f ca="1">IFERROR(INDEX(INDIRECT("Transactions!"&amp;"N4:N1003"),MATCH(1,MMULT((Transactions!D$4:D$1003=$B$2)*1,{1}),0)+90),"")</f>
        <v>0</v>
      </c>
    </row>
    <row r="95" spans="1:8" ht="15.75" customHeight="1" x14ac:dyDescent="0.25">
      <c r="A95" s="7">
        <f ca="1">IFERROR(INDEX(INDIRECT("Transactions!"&amp;"B4:B1003"),MATCH(1,MMULT((Transactions!D$4:D$1003=$B$2)*1,{1}),0)+91),"")</f>
        <v>0</v>
      </c>
      <c r="B95" s="7">
        <f ca="1">IFERROR(INDEX(INDIRECT("Transactions!"&amp;"A4:A1003"),MATCH(1,MMULT((Transactions!D$4:D$1003=$B$2)*1,{1}),0)+91),"")</f>
        <v>0</v>
      </c>
      <c r="C95" s="7">
        <f ca="1">IFERROR(INDEX(INDIRECT("Transactions!"&amp;"E4:E1003"),MATCH(1,MMULT((Transactions!D$4:D$1003=$B$2)*1,{1}),0)+91),"")</f>
        <v>0</v>
      </c>
      <c r="D95" s="29" t="str">
        <f ca="1">IFERROR(INDEX(INDIRECT("Transactions!"&amp;"G4:G1003"),MATCH(1,MMULT((Transactions!D$4:D$1003=$B$2)*1,{1}),0)+91),"")</f>
        <v/>
      </c>
      <c r="E95" s="29" t="str">
        <f ca="1">IFERROR(INDEX(INDIRECT("Transactions!"&amp;"H4:H1003"),MATCH(1,MMULT((Transactions!D$4:D$1003=$B$2)*1,{1}),0)+91),"")</f>
        <v/>
      </c>
      <c r="F95" s="13" t="str">
        <f ca="1">IFERROR(INDEX(INDIRECT("Transactions!"&amp;"I4:I1003"),MATCH(1,MMULT((Transactions!D$4:D$1003=$B$2)*1,{1}),0)+91),"")</f>
        <v/>
      </c>
      <c r="G95" s="7">
        <f ca="1">IFERROR(INDEX(INDIRECT("Transactions!"&amp;"J4:J1003"),MATCH(1,MMULT((Transactions!D$4:D$1003=$B$2)*1,{1}),0)+91),"")</f>
        <v>0</v>
      </c>
      <c r="H95" s="7">
        <f ca="1">IFERROR(INDEX(INDIRECT("Transactions!"&amp;"N4:N1003"),MATCH(1,MMULT((Transactions!D$4:D$1003=$B$2)*1,{1}),0)+91),"")</f>
        <v>0</v>
      </c>
    </row>
    <row r="96" spans="1:8" ht="15.75" customHeight="1" x14ac:dyDescent="0.25">
      <c r="A96" s="7">
        <f ca="1">IFERROR(INDEX(INDIRECT("Transactions!"&amp;"B4:B1003"),MATCH(1,MMULT((Transactions!D$4:D$1003=$B$2)*1,{1}),0)+92),"")</f>
        <v>0</v>
      </c>
      <c r="B96" s="7">
        <f ca="1">IFERROR(INDEX(INDIRECT("Transactions!"&amp;"A4:A1003"),MATCH(1,MMULT((Transactions!D$4:D$1003=$B$2)*1,{1}),0)+92),"")</f>
        <v>0</v>
      </c>
      <c r="C96" s="7">
        <f ca="1">IFERROR(INDEX(INDIRECT("Transactions!"&amp;"E4:E1003"),MATCH(1,MMULT((Transactions!D$4:D$1003=$B$2)*1,{1}),0)+92),"")</f>
        <v>0</v>
      </c>
      <c r="D96" s="29" t="str">
        <f ca="1">IFERROR(INDEX(INDIRECT("Transactions!"&amp;"G4:G1003"),MATCH(1,MMULT((Transactions!D$4:D$1003=$B$2)*1,{1}),0)+92),"")</f>
        <v/>
      </c>
      <c r="E96" s="29" t="str">
        <f ca="1">IFERROR(INDEX(INDIRECT("Transactions!"&amp;"H4:H1003"),MATCH(1,MMULT((Transactions!D$4:D$1003=$B$2)*1,{1}),0)+92),"")</f>
        <v/>
      </c>
      <c r="F96" s="13" t="str">
        <f ca="1">IFERROR(INDEX(INDIRECT("Transactions!"&amp;"I4:I1003"),MATCH(1,MMULT((Transactions!D$4:D$1003=$B$2)*1,{1}),0)+92),"")</f>
        <v/>
      </c>
      <c r="G96" s="7">
        <f ca="1">IFERROR(INDEX(INDIRECT("Transactions!"&amp;"J4:J1003"),MATCH(1,MMULT((Transactions!D$4:D$1003=$B$2)*1,{1}),0)+92),"")</f>
        <v>0</v>
      </c>
      <c r="H96" s="7">
        <f ca="1">IFERROR(INDEX(INDIRECT("Transactions!"&amp;"N4:N1003"),MATCH(1,MMULT((Transactions!D$4:D$1003=$B$2)*1,{1}),0)+92),"")</f>
        <v>0</v>
      </c>
    </row>
    <row r="97" spans="1:8" ht="15.75" customHeight="1" x14ac:dyDescent="0.25">
      <c r="A97" s="7">
        <f ca="1">IFERROR(INDEX(INDIRECT("Transactions!"&amp;"B4:B1003"),MATCH(1,MMULT((Transactions!D$4:D$1003=$B$2)*1,{1}),0)+93),"")</f>
        <v>0</v>
      </c>
      <c r="B97" s="7">
        <f ca="1">IFERROR(INDEX(INDIRECT("Transactions!"&amp;"A4:A1003"),MATCH(1,MMULT((Transactions!D$4:D$1003=$B$2)*1,{1}),0)+93),"")</f>
        <v>0</v>
      </c>
      <c r="C97" s="7">
        <f ca="1">IFERROR(INDEX(INDIRECT("Transactions!"&amp;"E4:E1003"),MATCH(1,MMULT((Transactions!D$4:D$1003=$B$2)*1,{1}),0)+93),"")</f>
        <v>0</v>
      </c>
      <c r="D97" s="29" t="str">
        <f ca="1">IFERROR(INDEX(INDIRECT("Transactions!"&amp;"G4:G1003"),MATCH(1,MMULT((Transactions!D$4:D$1003=$B$2)*1,{1}),0)+93),"")</f>
        <v/>
      </c>
      <c r="E97" s="29" t="str">
        <f ca="1">IFERROR(INDEX(INDIRECT("Transactions!"&amp;"H4:H1003"),MATCH(1,MMULT((Transactions!D$4:D$1003=$B$2)*1,{1}),0)+93),"")</f>
        <v/>
      </c>
      <c r="F97" s="13" t="str">
        <f ca="1">IFERROR(INDEX(INDIRECT("Transactions!"&amp;"I4:I1003"),MATCH(1,MMULT((Transactions!D$4:D$1003=$B$2)*1,{1}),0)+93),"")</f>
        <v/>
      </c>
      <c r="G97" s="7">
        <f ca="1">IFERROR(INDEX(INDIRECT("Transactions!"&amp;"J4:J1003"),MATCH(1,MMULT((Transactions!D$4:D$1003=$B$2)*1,{1}),0)+93),"")</f>
        <v>0</v>
      </c>
      <c r="H97" s="7">
        <f ca="1">IFERROR(INDEX(INDIRECT("Transactions!"&amp;"N4:N1003"),MATCH(1,MMULT((Transactions!D$4:D$1003=$B$2)*1,{1}),0)+93),"")</f>
        <v>0</v>
      </c>
    </row>
    <row r="98" spans="1:8" ht="15.75" customHeight="1" x14ac:dyDescent="0.25">
      <c r="A98" s="7">
        <f ca="1">IFERROR(INDEX(INDIRECT("Transactions!"&amp;"B4:B1003"),MATCH(1,MMULT((Transactions!D$4:D$1003=$B$2)*1,{1}),0)+94),"")</f>
        <v>0</v>
      </c>
      <c r="B98" s="7">
        <f ca="1">IFERROR(INDEX(INDIRECT("Transactions!"&amp;"A4:A1003"),MATCH(1,MMULT((Transactions!D$4:D$1003=$B$2)*1,{1}),0)+94),"")</f>
        <v>0</v>
      </c>
      <c r="C98" s="7">
        <f ca="1">IFERROR(INDEX(INDIRECT("Transactions!"&amp;"E4:E1003"),MATCH(1,MMULT((Transactions!D$4:D$1003=$B$2)*1,{1}),0)+94),"")</f>
        <v>0</v>
      </c>
      <c r="D98" s="29" t="str">
        <f ca="1">IFERROR(INDEX(INDIRECT("Transactions!"&amp;"G4:G1003"),MATCH(1,MMULT((Transactions!D$4:D$1003=$B$2)*1,{1}),0)+94),"")</f>
        <v/>
      </c>
      <c r="E98" s="29" t="str">
        <f ca="1">IFERROR(INDEX(INDIRECT("Transactions!"&amp;"H4:H1003"),MATCH(1,MMULT((Transactions!D$4:D$1003=$B$2)*1,{1}),0)+94),"")</f>
        <v/>
      </c>
      <c r="F98" s="13" t="str">
        <f ca="1">IFERROR(INDEX(INDIRECT("Transactions!"&amp;"I4:I1003"),MATCH(1,MMULT((Transactions!D$4:D$1003=$B$2)*1,{1}),0)+94),"")</f>
        <v/>
      </c>
      <c r="G98" s="7">
        <f ca="1">IFERROR(INDEX(INDIRECT("Transactions!"&amp;"J4:J1003"),MATCH(1,MMULT((Transactions!D$4:D$1003=$B$2)*1,{1}),0)+94),"")</f>
        <v>0</v>
      </c>
      <c r="H98" s="7">
        <f ca="1">IFERROR(INDEX(INDIRECT("Transactions!"&amp;"N4:N1003"),MATCH(1,MMULT((Transactions!D$4:D$1003=$B$2)*1,{1}),0)+94),"")</f>
        <v>0</v>
      </c>
    </row>
    <row r="99" spans="1:8" ht="15.75" customHeight="1" x14ac:dyDescent="0.25">
      <c r="A99" s="7">
        <f ca="1">IFERROR(INDEX(INDIRECT("Transactions!"&amp;"B4:B1003"),MATCH(1,MMULT((Transactions!D$4:D$1003=$B$2)*1,{1}),0)+95),"")</f>
        <v>0</v>
      </c>
      <c r="B99" s="7">
        <f ca="1">IFERROR(INDEX(INDIRECT("Transactions!"&amp;"A4:A1003"),MATCH(1,MMULT((Transactions!D$4:D$1003=$B$2)*1,{1}),0)+95),"")</f>
        <v>0</v>
      </c>
      <c r="C99" s="7">
        <f ca="1">IFERROR(INDEX(INDIRECT("Transactions!"&amp;"E4:E1003"),MATCH(1,MMULT((Transactions!D$4:D$1003=$B$2)*1,{1}),0)+95),"")</f>
        <v>0</v>
      </c>
      <c r="D99" s="29" t="str">
        <f ca="1">IFERROR(INDEX(INDIRECT("Transactions!"&amp;"G4:G1003"),MATCH(1,MMULT((Transactions!D$4:D$1003=$B$2)*1,{1}),0)+95),"")</f>
        <v/>
      </c>
      <c r="E99" s="29" t="str">
        <f ca="1">IFERROR(INDEX(INDIRECT("Transactions!"&amp;"H4:H1003"),MATCH(1,MMULT((Transactions!D$4:D$1003=$B$2)*1,{1}),0)+95),"")</f>
        <v/>
      </c>
      <c r="F99" s="13" t="str">
        <f ca="1">IFERROR(INDEX(INDIRECT("Transactions!"&amp;"I4:I1003"),MATCH(1,MMULT((Transactions!D$4:D$1003=$B$2)*1,{1}),0)+95),"")</f>
        <v/>
      </c>
      <c r="G99" s="7">
        <f ca="1">IFERROR(INDEX(INDIRECT("Transactions!"&amp;"J4:J1003"),MATCH(1,MMULT((Transactions!D$4:D$1003=$B$2)*1,{1}),0)+95),"")</f>
        <v>0</v>
      </c>
      <c r="H99" s="7">
        <f ca="1">IFERROR(INDEX(INDIRECT("Transactions!"&amp;"N4:N1003"),MATCH(1,MMULT((Transactions!D$4:D$1003=$B$2)*1,{1}),0)+95),"")</f>
        <v>0</v>
      </c>
    </row>
    <row r="100" spans="1:8" ht="15.75" customHeight="1" x14ac:dyDescent="0.25">
      <c r="A100" s="7">
        <f ca="1">IFERROR(INDEX(INDIRECT("Transactions!"&amp;"B4:B1003"),MATCH(1,MMULT((Transactions!D$4:D$1003=$B$2)*1,{1}),0)+96),"")</f>
        <v>0</v>
      </c>
      <c r="B100" s="7">
        <f ca="1">IFERROR(INDEX(INDIRECT("Transactions!"&amp;"A4:A1003"),MATCH(1,MMULT((Transactions!D$4:D$1003=$B$2)*1,{1}),0)+96),"")</f>
        <v>0</v>
      </c>
      <c r="C100" s="7">
        <f ca="1">IFERROR(INDEX(INDIRECT("Transactions!"&amp;"E4:E1003"),MATCH(1,MMULT((Transactions!D$4:D$1003=$B$2)*1,{1}),0)+96),"")</f>
        <v>0</v>
      </c>
      <c r="D100" s="29" t="str">
        <f ca="1">IFERROR(INDEX(INDIRECT("Transactions!"&amp;"G4:G1003"),MATCH(1,MMULT((Transactions!D$4:D$1003=$B$2)*1,{1}),0)+96),"")</f>
        <v/>
      </c>
      <c r="E100" s="29" t="str">
        <f ca="1">IFERROR(INDEX(INDIRECT("Transactions!"&amp;"H4:H1003"),MATCH(1,MMULT((Transactions!D$4:D$1003=$B$2)*1,{1}),0)+96),"")</f>
        <v/>
      </c>
      <c r="F100" s="13" t="str">
        <f ca="1">IFERROR(INDEX(INDIRECT("Transactions!"&amp;"I4:I1003"),MATCH(1,MMULT((Transactions!D$4:D$1003=$B$2)*1,{1}),0)+96),"")</f>
        <v/>
      </c>
      <c r="G100" s="7">
        <f ca="1">IFERROR(INDEX(INDIRECT("Transactions!"&amp;"J4:J1003"),MATCH(1,MMULT((Transactions!D$4:D$1003=$B$2)*1,{1}),0)+96),"")</f>
        <v>0</v>
      </c>
      <c r="H100" s="7">
        <f ca="1">IFERROR(INDEX(INDIRECT("Transactions!"&amp;"N4:N1003"),MATCH(1,MMULT((Transactions!D$4:D$1003=$B$2)*1,{1}),0)+96),"")</f>
        <v>0</v>
      </c>
    </row>
    <row r="101" spans="1:8" ht="15.75" customHeight="1" x14ac:dyDescent="0.25">
      <c r="A101" s="7">
        <f ca="1">IFERROR(INDEX(INDIRECT("Transactions!"&amp;"B4:B1003"),MATCH(1,MMULT((Transactions!D$4:D$1003=$B$2)*1,{1}),0)+97),"")</f>
        <v>0</v>
      </c>
      <c r="B101" s="7">
        <f ca="1">IFERROR(INDEX(INDIRECT("Transactions!"&amp;"A4:A1003"),MATCH(1,MMULT((Transactions!D$4:D$1003=$B$2)*1,{1}),0)+97),"")</f>
        <v>0</v>
      </c>
      <c r="C101" s="7">
        <f ca="1">IFERROR(INDEX(INDIRECT("Transactions!"&amp;"E4:E1003"),MATCH(1,MMULT((Transactions!D$4:D$1003=$B$2)*1,{1}),0)+97),"")</f>
        <v>0</v>
      </c>
      <c r="D101" s="29" t="str">
        <f ca="1">IFERROR(INDEX(INDIRECT("Transactions!"&amp;"G4:G1003"),MATCH(1,MMULT((Transactions!D$4:D$1003=$B$2)*1,{1}),0)+97),"")</f>
        <v/>
      </c>
      <c r="E101" s="29" t="str">
        <f ca="1">IFERROR(INDEX(INDIRECT("Transactions!"&amp;"H4:H1003"),MATCH(1,MMULT((Transactions!D$4:D$1003=$B$2)*1,{1}),0)+97),"")</f>
        <v/>
      </c>
      <c r="F101" s="13" t="str">
        <f ca="1">IFERROR(INDEX(INDIRECT("Transactions!"&amp;"I4:I1003"),MATCH(1,MMULT((Transactions!D$4:D$1003=$B$2)*1,{1}),0)+97),"")</f>
        <v/>
      </c>
      <c r="G101" s="7">
        <f ca="1">IFERROR(INDEX(INDIRECT("Transactions!"&amp;"J4:J1003"),MATCH(1,MMULT((Transactions!D$4:D$1003=$B$2)*1,{1}),0)+97),"")</f>
        <v>0</v>
      </c>
      <c r="H101" s="7">
        <f ca="1">IFERROR(INDEX(INDIRECT("Transactions!"&amp;"N4:N1003"),MATCH(1,MMULT((Transactions!D$4:D$1003=$B$2)*1,{1}),0)+97),"")</f>
        <v>0</v>
      </c>
    </row>
    <row r="102" spans="1:8" ht="15.75" customHeight="1" x14ac:dyDescent="0.25">
      <c r="A102" s="7">
        <f ca="1">IFERROR(INDEX(INDIRECT("Transactions!"&amp;"B4:B1003"),MATCH(1,MMULT((Transactions!D$4:D$1003=$B$2)*1,{1}),0)+98),"")</f>
        <v>0</v>
      </c>
      <c r="B102" s="7">
        <f ca="1">IFERROR(INDEX(INDIRECT("Transactions!"&amp;"A4:A1003"),MATCH(1,MMULT((Transactions!D$4:D$1003=$B$2)*1,{1}),0)+98),"")</f>
        <v>0</v>
      </c>
      <c r="C102" s="7">
        <f ca="1">IFERROR(INDEX(INDIRECT("Transactions!"&amp;"E4:E1003"),MATCH(1,MMULT((Transactions!D$4:D$1003=$B$2)*1,{1}),0)+98),"")</f>
        <v>0</v>
      </c>
      <c r="D102" s="29" t="str">
        <f ca="1">IFERROR(INDEX(INDIRECT("Transactions!"&amp;"G4:G1003"),MATCH(1,MMULT((Transactions!D$4:D$1003=$B$2)*1,{1}),0)+98),"")</f>
        <v/>
      </c>
      <c r="E102" s="29" t="str">
        <f ca="1">IFERROR(INDEX(INDIRECT("Transactions!"&amp;"H4:H1003"),MATCH(1,MMULT((Transactions!D$4:D$1003=$B$2)*1,{1}),0)+98),"")</f>
        <v/>
      </c>
      <c r="F102" s="13" t="str">
        <f ca="1">IFERROR(INDEX(INDIRECT("Transactions!"&amp;"I4:I1003"),MATCH(1,MMULT((Transactions!D$4:D$1003=$B$2)*1,{1}),0)+98),"")</f>
        <v/>
      </c>
      <c r="G102" s="7">
        <f ca="1">IFERROR(INDEX(INDIRECT("Transactions!"&amp;"J4:J1003"),MATCH(1,MMULT((Transactions!D$4:D$1003=$B$2)*1,{1}),0)+98),"")</f>
        <v>0</v>
      </c>
      <c r="H102" s="7">
        <f ca="1">IFERROR(INDEX(INDIRECT("Transactions!"&amp;"N4:N1003"),MATCH(1,MMULT((Transactions!D$4:D$1003=$B$2)*1,{1}),0)+98),"")</f>
        <v>0</v>
      </c>
    </row>
    <row r="103" spans="1:8" ht="15.75" customHeight="1" x14ac:dyDescent="0.25">
      <c r="A103" s="7">
        <f ca="1">IFERROR(INDEX(INDIRECT("Transactions!"&amp;"B4:B1003"),MATCH(1,MMULT((Transactions!D$4:D$1003=$B$2)*1,{1}),0)+99),"")</f>
        <v>0</v>
      </c>
      <c r="B103" s="7">
        <f ca="1">IFERROR(INDEX(INDIRECT("Transactions!"&amp;"A4:A1003"),MATCH(1,MMULT((Transactions!D$4:D$1003=$B$2)*1,{1}),0)+99),"")</f>
        <v>0</v>
      </c>
      <c r="C103" s="7">
        <f ca="1">IFERROR(INDEX(INDIRECT("Transactions!"&amp;"E4:E1003"),MATCH(1,MMULT((Transactions!D$4:D$1003=$B$2)*1,{1}),0)+99),"")</f>
        <v>0</v>
      </c>
      <c r="D103" s="29" t="str">
        <f ca="1">IFERROR(INDEX(INDIRECT("Transactions!"&amp;"G4:G1003"),MATCH(1,MMULT((Transactions!D$4:D$1003=$B$2)*1,{1}),0)+99),"")</f>
        <v/>
      </c>
      <c r="E103" s="29" t="str">
        <f ca="1">IFERROR(INDEX(INDIRECT("Transactions!"&amp;"H4:H1003"),MATCH(1,MMULT((Transactions!D$4:D$1003=$B$2)*1,{1}),0)+99),"")</f>
        <v/>
      </c>
      <c r="F103" s="13" t="str">
        <f ca="1">IFERROR(INDEX(INDIRECT("Transactions!"&amp;"I4:I1003"),MATCH(1,MMULT((Transactions!D$4:D$1003=$B$2)*1,{1}),0)+99),"")</f>
        <v/>
      </c>
      <c r="G103" s="7">
        <f ca="1">IFERROR(INDEX(INDIRECT("Transactions!"&amp;"J4:J1003"),MATCH(1,MMULT((Transactions!D$4:D$1003=$B$2)*1,{1}),0)+99),"")</f>
        <v>0</v>
      </c>
      <c r="H103" s="7">
        <f ca="1">IFERROR(INDEX(INDIRECT("Transactions!"&amp;"N4:N1003"),MATCH(1,MMULT((Transactions!D$4:D$1003=$B$2)*1,{1}),0)+99),"")</f>
        <v>0</v>
      </c>
    </row>
  </sheetData>
  <mergeCells count="1">
    <mergeCell ref="A1:J1"/>
  </mergeCells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N102"/>
  <sheetViews>
    <sheetView zoomScaleNormal="100" workbookViewId="0">
      <pane ySplit="2" topLeftCell="A3" activePane="bottomLeft" state="frozen"/>
      <selection pane="bottomLeft" sqref="A1:M1"/>
    </sheetView>
  </sheetViews>
  <sheetFormatPr defaultColWidth="8.7109375" defaultRowHeight="15" x14ac:dyDescent="0.25"/>
  <cols>
    <col min="1" max="1" width="14" customWidth="1"/>
    <col min="2" max="2" width="22" customWidth="1"/>
    <col min="3" max="4" width="14" customWidth="1"/>
    <col min="5" max="5" width="16" customWidth="1"/>
    <col min="6" max="6" width="13" customWidth="1"/>
    <col min="7" max="7" width="10" customWidth="1"/>
    <col min="8" max="8" width="13" customWidth="1"/>
    <col min="9" max="9" width="12" customWidth="1"/>
    <col min="10" max="10" width="14" customWidth="1"/>
    <col min="11" max="12" width="16" customWidth="1"/>
    <col min="13" max="13" width="18" customWidth="1"/>
    <col min="14" max="14" width="14" customWidth="1"/>
  </cols>
  <sheetData>
    <row r="1" spans="1:14" ht="31.5" customHeight="1" x14ac:dyDescent="0.25">
      <c r="A1" s="168" t="s">
        <v>358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</row>
    <row r="2" spans="1:14" ht="24" customHeight="1" x14ac:dyDescent="0.25">
      <c r="A2" s="30" t="s">
        <v>43</v>
      </c>
      <c r="B2" s="30" t="s">
        <v>260</v>
      </c>
      <c r="C2" s="30" t="s">
        <v>76</v>
      </c>
      <c r="D2" s="30" t="s">
        <v>49</v>
      </c>
      <c r="E2" s="30" t="s">
        <v>77</v>
      </c>
      <c r="F2" s="30" t="s">
        <v>195</v>
      </c>
      <c r="G2" s="30" t="s">
        <v>359</v>
      </c>
      <c r="H2" s="30" t="s">
        <v>360</v>
      </c>
      <c r="I2" s="30" t="s">
        <v>361</v>
      </c>
      <c r="J2" s="30" t="s">
        <v>362</v>
      </c>
      <c r="K2" s="30" t="s">
        <v>363</v>
      </c>
      <c r="L2" s="30" t="s">
        <v>364</v>
      </c>
      <c r="M2" s="30" t="s">
        <v>365</v>
      </c>
      <c r="N2" s="30" t="s">
        <v>276</v>
      </c>
    </row>
    <row r="3" spans="1:14" ht="15.75" customHeight="1" x14ac:dyDescent="0.25">
      <c r="A3" s="18">
        <f>IFERROR(Loans!C4,"")</f>
        <v>0</v>
      </c>
      <c r="B3" s="31">
        <f>IFERROR(Loans!B4,"")</f>
        <v>0</v>
      </c>
      <c r="C3" s="32" t="str">
        <f>IF(A3="","",IFERROR(VLOOKUP(A3,Members!A4:E103,3,0),""))</f>
        <v/>
      </c>
      <c r="D3" s="32">
        <f>IFERROR(Loans!A4,"")</f>
        <v>0</v>
      </c>
      <c r="E3" s="18">
        <f>IFERROR(Loans!E4,0)</f>
        <v>0</v>
      </c>
      <c r="F3" s="33">
        <f>IFERROR(Loans!D4,"")</f>
        <v>0</v>
      </c>
      <c r="G3" s="34">
        <f>IFERROR(Loans!I4,0)</f>
        <v>0</v>
      </c>
      <c r="H3" s="35">
        <f t="shared" ref="H3:H34" si="0">IF(F3="","",IF(ISNUMBER(F3),F3+G3*30,""))</f>
        <v>0</v>
      </c>
      <c r="I3" s="36">
        <f t="shared" ref="I3:I34" ca="1" si="1">IF(OR(H3="",NOT(ISNUMBER(H3))),"",MAX(0,TODAY()-H3))</f>
        <v>46124</v>
      </c>
      <c r="J3" s="37" t="str">
        <f t="shared" ref="J3:J34" ca="1" si="2">IF(OR(I3="",I3=""),"",IF(I3&lt;=0,"🟢 Current",IF(I3&lt;=30,"🟡 PAR30",IF(I3&lt;=60,"🟠 PAR60",IF(I3&lt;=90,"🔴 PAR90","⛔ PAR90+")))))</f>
        <v>⛔ PAR90+</v>
      </c>
      <c r="K3" s="15" t="str">
        <f>IFERROR(Loans!L4,0)</f>
        <v/>
      </c>
      <c r="L3" s="13" t="str">
        <f>IFERROR(Loans!K4,0)</f>
        <v/>
      </c>
      <c r="M3" s="38">
        <f>IF(A3="","",IFERROR(SUMIF(Int_Repayments!A$4:A$1003,A3,Int_Repayments!F$4:F$1003)-SUMIF(Interest_Engine!A$4:A$103,A3,Interest_Engine!AR$4:AR$103),0))</f>
        <v>0</v>
      </c>
      <c r="N3" s="12" t="str">
        <f ca="1">IFERROR(Loans!M4,"")</f>
        <v/>
      </c>
    </row>
    <row r="4" spans="1:14" ht="15.75" customHeight="1" x14ac:dyDescent="0.25">
      <c r="A4" s="18">
        <f>IFERROR(Loans!C5,"")</f>
        <v>0</v>
      </c>
      <c r="B4" s="31">
        <f>IFERROR(Loans!B5,"")</f>
        <v>0</v>
      </c>
      <c r="C4" s="32" t="str">
        <f>IF(A4="","",IFERROR(VLOOKUP(A4,Members!A4:E103,3,0),""))</f>
        <v/>
      </c>
      <c r="D4" s="32">
        <f>IFERROR(Loans!A5,"")</f>
        <v>0</v>
      </c>
      <c r="E4" s="18">
        <f>IFERROR(Loans!E5,0)</f>
        <v>0</v>
      </c>
      <c r="F4" s="33">
        <f>IFERROR(Loans!D5,"")</f>
        <v>0</v>
      </c>
      <c r="G4" s="34">
        <f>IFERROR(Loans!I5,0)</f>
        <v>0</v>
      </c>
      <c r="H4" s="35">
        <f t="shared" si="0"/>
        <v>0</v>
      </c>
      <c r="I4" s="36">
        <f t="shared" ca="1" si="1"/>
        <v>46124</v>
      </c>
      <c r="J4" s="37" t="str">
        <f t="shared" ca="1" si="2"/>
        <v>⛔ PAR90+</v>
      </c>
      <c r="K4" s="15" t="str">
        <f>IFERROR(Loans!L5,0)</f>
        <v/>
      </c>
      <c r="L4" s="13" t="str">
        <f>IFERROR(Loans!K5,0)</f>
        <v/>
      </c>
      <c r="M4" s="38">
        <f>IF(A4="","",IFERROR(SUMIF(Int_Repayments!A$4:A$1003,A4,Int_Repayments!F$4:F$1003)-SUMIF(Interest_Engine!A$4:A$103,A4,Interest_Engine!AR$4:AR$103),0))</f>
        <v>0</v>
      </c>
      <c r="N4" s="12" t="str">
        <f ca="1">IFERROR(Loans!M5,"")</f>
        <v/>
      </c>
    </row>
    <row r="5" spans="1:14" ht="15.75" customHeight="1" x14ac:dyDescent="0.25">
      <c r="A5" s="18">
        <f>IFERROR(Loans!C6,"")</f>
        <v>0</v>
      </c>
      <c r="B5" s="31">
        <f>IFERROR(Loans!B6,"")</f>
        <v>0</v>
      </c>
      <c r="C5" s="32" t="str">
        <f>IF(A5="","",IFERROR(VLOOKUP(A5,Members!A4:E103,3,0),""))</f>
        <v/>
      </c>
      <c r="D5" s="32">
        <f>IFERROR(Loans!A6,"")</f>
        <v>0</v>
      </c>
      <c r="E5" s="18">
        <f>IFERROR(Loans!E6,0)</f>
        <v>0</v>
      </c>
      <c r="F5" s="33">
        <f>IFERROR(Loans!D6,"")</f>
        <v>0</v>
      </c>
      <c r="G5" s="34">
        <f>IFERROR(Loans!I6,0)</f>
        <v>0</v>
      </c>
      <c r="H5" s="35">
        <f t="shared" si="0"/>
        <v>0</v>
      </c>
      <c r="I5" s="36">
        <f t="shared" ca="1" si="1"/>
        <v>46124</v>
      </c>
      <c r="J5" s="37" t="str">
        <f t="shared" ca="1" si="2"/>
        <v>⛔ PAR90+</v>
      </c>
      <c r="K5" s="15" t="str">
        <f>IFERROR(Loans!L6,0)</f>
        <v/>
      </c>
      <c r="L5" s="13" t="str">
        <f>IFERROR(Loans!K6,0)</f>
        <v/>
      </c>
      <c r="M5" s="38">
        <f>IF(A5="","",IFERROR(SUMIF(Int_Repayments!A$4:A$1003,A5,Int_Repayments!F$4:F$1003)-SUMIF(Interest_Engine!A$4:A$103,A5,Interest_Engine!AR$4:AR$103),0))</f>
        <v>0</v>
      </c>
      <c r="N5" s="12" t="str">
        <f ca="1">IFERROR(Loans!M6,"")</f>
        <v/>
      </c>
    </row>
    <row r="6" spans="1:14" ht="15.75" customHeight="1" x14ac:dyDescent="0.25">
      <c r="A6" s="18">
        <f>IFERROR(Loans!C7,"")</f>
        <v>0</v>
      </c>
      <c r="B6" s="31">
        <f>IFERROR(Loans!B7,"")</f>
        <v>0</v>
      </c>
      <c r="C6" s="32" t="str">
        <f>IF(A6="","",IFERROR(VLOOKUP(A6,Members!A4:E103,3,0),""))</f>
        <v/>
      </c>
      <c r="D6" s="32">
        <f>IFERROR(Loans!A7,"")</f>
        <v>0</v>
      </c>
      <c r="E6" s="18">
        <f>IFERROR(Loans!E7,0)</f>
        <v>0</v>
      </c>
      <c r="F6" s="33">
        <f>IFERROR(Loans!D7,"")</f>
        <v>0</v>
      </c>
      <c r="G6" s="34">
        <f>IFERROR(Loans!I7,0)</f>
        <v>0</v>
      </c>
      <c r="H6" s="35">
        <f t="shared" si="0"/>
        <v>0</v>
      </c>
      <c r="I6" s="36">
        <f t="shared" ca="1" si="1"/>
        <v>46124</v>
      </c>
      <c r="J6" s="37" t="str">
        <f t="shared" ca="1" si="2"/>
        <v>⛔ PAR90+</v>
      </c>
      <c r="K6" s="15" t="str">
        <f>IFERROR(Loans!L7,0)</f>
        <v/>
      </c>
      <c r="L6" s="13" t="str">
        <f>IFERROR(Loans!K7,0)</f>
        <v/>
      </c>
      <c r="M6" s="38">
        <f>IF(A6="","",IFERROR(SUMIF(Int_Repayments!A$4:A$1003,A6,Int_Repayments!F$4:F$1003)-SUMIF(Interest_Engine!A$4:A$103,A6,Interest_Engine!AR$4:AR$103),0))</f>
        <v>0</v>
      </c>
      <c r="N6" s="12" t="str">
        <f ca="1">IFERROR(Loans!M7,"")</f>
        <v/>
      </c>
    </row>
    <row r="7" spans="1:14" ht="15.75" customHeight="1" x14ac:dyDescent="0.25">
      <c r="A7" s="18">
        <f>IFERROR(Loans!C8,"")</f>
        <v>0</v>
      </c>
      <c r="B7" s="31">
        <f>IFERROR(Loans!B8,"")</f>
        <v>0</v>
      </c>
      <c r="C7" s="32" t="str">
        <f>IF(A7="","",IFERROR(VLOOKUP(A7,Members!A4:E103,3,0),""))</f>
        <v/>
      </c>
      <c r="D7" s="32">
        <f>IFERROR(Loans!A8,"")</f>
        <v>0</v>
      </c>
      <c r="E7" s="18">
        <f>IFERROR(Loans!E8,0)</f>
        <v>0</v>
      </c>
      <c r="F7" s="33">
        <f>IFERROR(Loans!D8,"")</f>
        <v>0</v>
      </c>
      <c r="G7" s="34">
        <f>IFERROR(Loans!I8,0)</f>
        <v>0</v>
      </c>
      <c r="H7" s="35">
        <f t="shared" si="0"/>
        <v>0</v>
      </c>
      <c r="I7" s="36">
        <f t="shared" ca="1" si="1"/>
        <v>46124</v>
      </c>
      <c r="J7" s="37" t="str">
        <f t="shared" ca="1" si="2"/>
        <v>⛔ PAR90+</v>
      </c>
      <c r="K7" s="15" t="str">
        <f>IFERROR(Loans!L8,0)</f>
        <v/>
      </c>
      <c r="L7" s="13" t="str">
        <f>IFERROR(Loans!K8,0)</f>
        <v/>
      </c>
      <c r="M7" s="38">
        <f>IF(A7="","",IFERROR(SUMIF(Int_Repayments!A$4:A$1003,A7,Int_Repayments!F$4:F$1003)-SUMIF(Interest_Engine!A$4:A$103,A7,Interest_Engine!AR$4:AR$103),0))</f>
        <v>0</v>
      </c>
      <c r="N7" s="12" t="str">
        <f ca="1">IFERROR(Loans!M8,"")</f>
        <v/>
      </c>
    </row>
    <row r="8" spans="1:14" ht="15.75" customHeight="1" x14ac:dyDescent="0.25">
      <c r="A8" s="18">
        <f>IFERROR(Loans!C9,"")</f>
        <v>0</v>
      </c>
      <c r="B8" s="31">
        <f>IFERROR(Loans!B9,"")</f>
        <v>0</v>
      </c>
      <c r="C8" s="32" t="str">
        <f>IF(A8="","",IFERROR(VLOOKUP(A8,Members!A4:E103,3,0),""))</f>
        <v/>
      </c>
      <c r="D8" s="32">
        <f>IFERROR(Loans!A9,"")</f>
        <v>0</v>
      </c>
      <c r="E8" s="18">
        <f>IFERROR(Loans!E9,0)</f>
        <v>0</v>
      </c>
      <c r="F8" s="33">
        <f>IFERROR(Loans!D9,"")</f>
        <v>0</v>
      </c>
      <c r="G8" s="34">
        <f>IFERROR(Loans!I9,0)</f>
        <v>0</v>
      </c>
      <c r="H8" s="35">
        <f t="shared" si="0"/>
        <v>0</v>
      </c>
      <c r="I8" s="36">
        <f t="shared" ca="1" si="1"/>
        <v>46124</v>
      </c>
      <c r="J8" s="37" t="str">
        <f t="shared" ca="1" si="2"/>
        <v>⛔ PAR90+</v>
      </c>
      <c r="K8" s="15" t="str">
        <f>IFERROR(Loans!L9,0)</f>
        <v/>
      </c>
      <c r="L8" s="13" t="str">
        <f>IFERROR(Loans!K9,0)</f>
        <v/>
      </c>
      <c r="M8" s="38">
        <f>IF(A8="","",IFERROR(SUMIF(Int_Repayments!A$4:A$1003,A8,Int_Repayments!F$4:F$1003)-SUMIF(Interest_Engine!A$4:A$103,A8,Interest_Engine!AR$4:AR$103),0))</f>
        <v>0</v>
      </c>
      <c r="N8" s="12" t="str">
        <f ca="1">IFERROR(Loans!M9,"")</f>
        <v/>
      </c>
    </row>
    <row r="9" spans="1:14" ht="15.75" customHeight="1" x14ac:dyDescent="0.25">
      <c r="A9" s="18">
        <f>IFERROR(Loans!C10,"")</f>
        <v>0</v>
      </c>
      <c r="B9" s="31">
        <f>IFERROR(Loans!B10,"")</f>
        <v>0</v>
      </c>
      <c r="C9" s="32" t="str">
        <f>IF(A9="","",IFERROR(VLOOKUP(A9,Members!A4:E103,3,0),""))</f>
        <v/>
      </c>
      <c r="D9" s="32">
        <f>IFERROR(Loans!A10,"")</f>
        <v>0</v>
      </c>
      <c r="E9" s="18">
        <f>IFERROR(Loans!E10,0)</f>
        <v>0</v>
      </c>
      <c r="F9" s="33">
        <f>IFERROR(Loans!D10,"")</f>
        <v>0</v>
      </c>
      <c r="G9" s="34">
        <f>IFERROR(Loans!I10,0)</f>
        <v>0</v>
      </c>
      <c r="H9" s="35">
        <f t="shared" si="0"/>
        <v>0</v>
      </c>
      <c r="I9" s="36">
        <f t="shared" ca="1" si="1"/>
        <v>46124</v>
      </c>
      <c r="J9" s="37" t="str">
        <f t="shared" ca="1" si="2"/>
        <v>⛔ PAR90+</v>
      </c>
      <c r="K9" s="15" t="str">
        <f>IFERROR(Loans!L10,0)</f>
        <v/>
      </c>
      <c r="L9" s="13" t="str">
        <f>IFERROR(Loans!K10,0)</f>
        <v/>
      </c>
      <c r="M9" s="38">
        <f>IF(A9="","",IFERROR(SUMIF(Int_Repayments!A$4:A$1003,A9,Int_Repayments!F$4:F$1003)-SUMIF(Interest_Engine!A$4:A$103,A9,Interest_Engine!AR$4:AR$103),0))</f>
        <v>0</v>
      </c>
      <c r="N9" s="12" t="str">
        <f ca="1">IFERROR(Loans!M10,"")</f>
        <v/>
      </c>
    </row>
    <row r="10" spans="1:14" ht="15.75" customHeight="1" x14ac:dyDescent="0.25">
      <c r="A10" s="18">
        <f>IFERROR(Loans!C11,"")</f>
        <v>0</v>
      </c>
      <c r="B10" s="31">
        <f>IFERROR(Loans!B11,"")</f>
        <v>0</v>
      </c>
      <c r="C10" s="32" t="str">
        <f>IF(A10="","",IFERROR(VLOOKUP(A10,Members!A4:E103,3,0),""))</f>
        <v/>
      </c>
      <c r="D10" s="32">
        <f>IFERROR(Loans!A11,"")</f>
        <v>0</v>
      </c>
      <c r="E10" s="18">
        <f>IFERROR(Loans!E11,0)</f>
        <v>0</v>
      </c>
      <c r="F10" s="33">
        <f>IFERROR(Loans!D11,"")</f>
        <v>0</v>
      </c>
      <c r="G10" s="34">
        <f>IFERROR(Loans!I11,0)</f>
        <v>0</v>
      </c>
      <c r="H10" s="35">
        <f t="shared" si="0"/>
        <v>0</v>
      </c>
      <c r="I10" s="36">
        <f t="shared" ca="1" si="1"/>
        <v>46124</v>
      </c>
      <c r="J10" s="37" t="str">
        <f t="shared" ca="1" si="2"/>
        <v>⛔ PAR90+</v>
      </c>
      <c r="K10" s="15" t="str">
        <f>IFERROR(Loans!L11,0)</f>
        <v/>
      </c>
      <c r="L10" s="13" t="str">
        <f>IFERROR(Loans!K11,0)</f>
        <v/>
      </c>
      <c r="M10" s="38">
        <f>IF(A10="","",IFERROR(SUMIF(Int_Repayments!A$4:A$1003,A10,Int_Repayments!F$4:F$1003)-SUMIF(Interest_Engine!A$4:A$103,A10,Interest_Engine!AR$4:AR$103),0))</f>
        <v>0</v>
      </c>
      <c r="N10" s="12" t="str">
        <f ca="1">IFERROR(Loans!M11,"")</f>
        <v/>
      </c>
    </row>
    <row r="11" spans="1:14" ht="15.75" customHeight="1" x14ac:dyDescent="0.25">
      <c r="A11" s="18">
        <f>IFERROR(Loans!C12,"")</f>
        <v>0</v>
      </c>
      <c r="B11" s="31">
        <f>IFERROR(Loans!B12,"")</f>
        <v>0</v>
      </c>
      <c r="C11" s="32" t="str">
        <f>IF(A11="","",IFERROR(VLOOKUP(A11,Members!A4:E103,3,0),""))</f>
        <v/>
      </c>
      <c r="D11" s="32">
        <f>IFERROR(Loans!A12,"")</f>
        <v>0</v>
      </c>
      <c r="E11" s="18">
        <f>IFERROR(Loans!E12,0)</f>
        <v>0</v>
      </c>
      <c r="F11" s="33">
        <f>IFERROR(Loans!D12,"")</f>
        <v>0</v>
      </c>
      <c r="G11" s="34">
        <f>IFERROR(Loans!I12,0)</f>
        <v>0</v>
      </c>
      <c r="H11" s="35">
        <f t="shared" si="0"/>
        <v>0</v>
      </c>
      <c r="I11" s="36">
        <f t="shared" ca="1" si="1"/>
        <v>46124</v>
      </c>
      <c r="J11" s="37" t="str">
        <f t="shared" ca="1" si="2"/>
        <v>⛔ PAR90+</v>
      </c>
      <c r="K11" s="15" t="str">
        <f>IFERROR(Loans!L12,0)</f>
        <v/>
      </c>
      <c r="L11" s="13" t="str">
        <f>IFERROR(Loans!K12,0)</f>
        <v/>
      </c>
      <c r="M11" s="38">
        <f>IF(A11="","",IFERROR(SUMIF(Int_Repayments!A$4:A$1003,A11,Int_Repayments!F$4:F$1003)-SUMIF(Interest_Engine!A$4:A$103,A11,Interest_Engine!AR$4:AR$103),0))</f>
        <v>0</v>
      </c>
      <c r="N11" s="12" t="str">
        <f ca="1">IFERROR(Loans!M12,"")</f>
        <v/>
      </c>
    </row>
    <row r="12" spans="1:14" ht="15.75" customHeight="1" x14ac:dyDescent="0.25">
      <c r="A12" s="18">
        <f>IFERROR(Loans!C13,"")</f>
        <v>0</v>
      </c>
      <c r="B12" s="31">
        <f>IFERROR(Loans!B13,"")</f>
        <v>0</v>
      </c>
      <c r="C12" s="32" t="str">
        <f>IF(A12="","",IFERROR(VLOOKUP(A12,Members!A4:E103,3,0),""))</f>
        <v/>
      </c>
      <c r="D12" s="32">
        <f>IFERROR(Loans!A13,"")</f>
        <v>0</v>
      </c>
      <c r="E12" s="18">
        <f>IFERROR(Loans!E13,0)</f>
        <v>0</v>
      </c>
      <c r="F12" s="33">
        <f>IFERROR(Loans!D13,"")</f>
        <v>0</v>
      </c>
      <c r="G12" s="34">
        <f>IFERROR(Loans!I13,0)</f>
        <v>0</v>
      </c>
      <c r="H12" s="35">
        <f t="shared" si="0"/>
        <v>0</v>
      </c>
      <c r="I12" s="36">
        <f t="shared" ca="1" si="1"/>
        <v>46124</v>
      </c>
      <c r="J12" s="37" t="str">
        <f t="shared" ca="1" si="2"/>
        <v>⛔ PAR90+</v>
      </c>
      <c r="K12" s="15" t="str">
        <f>IFERROR(Loans!L13,0)</f>
        <v/>
      </c>
      <c r="L12" s="13" t="str">
        <f>IFERROR(Loans!K13,0)</f>
        <v/>
      </c>
      <c r="M12" s="38">
        <f>IF(A12="","",IFERROR(SUMIF(Int_Repayments!A$4:A$1003,A12,Int_Repayments!F$4:F$1003)-SUMIF(Interest_Engine!A$4:A$103,A12,Interest_Engine!AR$4:AR$103),0))</f>
        <v>0</v>
      </c>
      <c r="N12" s="12" t="str">
        <f ca="1">IFERROR(Loans!M13,"")</f>
        <v/>
      </c>
    </row>
    <row r="13" spans="1:14" ht="15.75" customHeight="1" x14ac:dyDescent="0.25">
      <c r="A13" s="18">
        <f>IFERROR(Loans!C14,"")</f>
        <v>0</v>
      </c>
      <c r="B13" s="31">
        <f>IFERROR(Loans!B14,"")</f>
        <v>0</v>
      </c>
      <c r="C13" s="32" t="str">
        <f>IF(A13="","",IFERROR(VLOOKUP(A13,Members!A4:E103,3,0),""))</f>
        <v/>
      </c>
      <c r="D13" s="32">
        <f>IFERROR(Loans!A14,"")</f>
        <v>0</v>
      </c>
      <c r="E13" s="18">
        <f>IFERROR(Loans!E14,0)</f>
        <v>0</v>
      </c>
      <c r="F13" s="33">
        <f>IFERROR(Loans!D14,"")</f>
        <v>0</v>
      </c>
      <c r="G13" s="34">
        <f>IFERROR(Loans!I14,0)</f>
        <v>0</v>
      </c>
      <c r="H13" s="35">
        <f t="shared" si="0"/>
        <v>0</v>
      </c>
      <c r="I13" s="36">
        <f t="shared" ca="1" si="1"/>
        <v>46124</v>
      </c>
      <c r="J13" s="37" t="str">
        <f t="shared" ca="1" si="2"/>
        <v>⛔ PAR90+</v>
      </c>
      <c r="K13" s="15" t="str">
        <f>IFERROR(Loans!L14,0)</f>
        <v/>
      </c>
      <c r="L13" s="13" t="str">
        <f>IFERROR(Loans!K14,0)</f>
        <v/>
      </c>
      <c r="M13" s="38">
        <f>IF(A13="","",IFERROR(SUMIF(Int_Repayments!A$4:A$1003,A13,Int_Repayments!F$4:F$1003)-SUMIF(Interest_Engine!A$4:A$103,A13,Interest_Engine!AR$4:AR$103),0))</f>
        <v>0</v>
      </c>
      <c r="N13" s="12" t="str">
        <f ca="1">IFERROR(Loans!M14,"")</f>
        <v/>
      </c>
    </row>
    <row r="14" spans="1:14" ht="15.75" customHeight="1" x14ac:dyDescent="0.25">
      <c r="A14" s="18">
        <f>IFERROR(Loans!C15,"")</f>
        <v>0</v>
      </c>
      <c r="B14" s="31">
        <f>IFERROR(Loans!B15,"")</f>
        <v>0</v>
      </c>
      <c r="C14" s="32" t="str">
        <f>IF(A14="","",IFERROR(VLOOKUP(A14,Members!A4:E103,3,0),""))</f>
        <v/>
      </c>
      <c r="D14" s="32">
        <f>IFERROR(Loans!A15,"")</f>
        <v>0</v>
      </c>
      <c r="E14" s="18">
        <f>IFERROR(Loans!E15,0)</f>
        <v>0</v>
      </c>
      <c r="F14" s="33">
        <f>IFERROR(Loans!D15,"")</f>
        <v>0</v>
      </c>
      <c r="G14" s="34">
        <f>IFERROR(Loans!I15,0)</f>
        <v>0</v>
      </c>
      <c r="H14" s="35">
        <f t="shared" si="0"/>
        <v>0</v>
      </c>
      <c r="I14" s="36">
        <f t="shared" ca="1" si="1"/>
        <v>46124</v>
      </c>
      <c r="J14" s="37" t="str">
        <f t="shared" ca="1" si="2"/>
        <v>⛔ PAR90+</v>
      </c>
      <c r="K14" s="15" t="str">
        <f>IFERROR(Loans!L15,0)</f>
        <v/>
      </c>
      <c r="L14" s="13" t="str">
        <f>IFERROR(Loans!K15,0)</f>
        <v/>
      </c>
      <c r="M14" s="38">
        <f>IF(A14="","",IFERROR(SUMIF(Int_Repayments!A$4:A$1003,A14,Int_Repayments!F$4:F$1003)-SUMIF(Interest_Engine!A$4:A$103,A14,Interest_Engine!AR$4:AR$103),0))</f>
        <v>0</v>
      </c>
      <c r="N14" s="12" t="str">
        <f ca="1">IFERROR(Loans!M15,"")</f>
        <v/>
      </c>
    </row>
    <row r="15" spans="1:14" ht="15.75" customHeight="1" x14ac:dyDescent="0.25">
      <c r="A15" s="18">
        <f>IFERROR(Loans!C16,"")</f>
        <v>0</v>
      </c>
      <c r="B15" s="31">
        <f>IFERROR(Loans!B16,"")</f>
        <v>0</v>
      </c>
      <c r="C15" s="32" t="str">
        <f>IF(A15="","",IFERROR(VLOOKUP(A15,Members!A4:E103,3,0),""))</f>
        <v/>
      </c>
      <c r="D15" s="32">
        <f>IFERROR(Loans!A16,"")</f>
        <v>0</v>
      </c>
      <c r="E15" s="18">
        <f>IFERROR(Loans!E16,0)</f>
        <v>0</v>
      </c>
      <c r="F15" s="33">
        <f>IFERROR(Loans!D16,"")</f>
        <v>0</v>
      </c>
      <c r="G15" s="34">
        <f>IFERROR(Loans!I16,0)</f>
        <v>0</v>
      </c>
      <c r="H15" s="35">
        <f t="shared" si="0"/>
        <v>0</v>
      </c>
      <c r="I15" s="36">
        <f t="shared" ca="1" si="1"/>
        <v>46124</v>
      </c>
      <c r="J15" s="37" t="str">
        <f t="shared" ca="1" si="2"/>
        <v>⛔ PAR90+</v>
      </c>
      <c r="K15" s="15" t="str">
        <f>IFERROR(Loans!L16,0)</f>
        <v/>
      </c>
      <c r="L15" s="13" t="str">
        <f>IFERROR(Loans!K16,0)</f>
        <v/>
      </c>
      <c r="M15" s="38">
        <f>IF(A15="","",IFERROR(SUMIF(Int_Repayments!A$4:A$1003,A15,Int_Repayments!F$4:F$1003)-SUMIF(Interest_Engine!A$4:A$103,A15,Interest_Engine!AR$4:AR$103),0))</f>
        <v>0</v>
      </c>
      <c r="N15" s="12" t="str">
        <f ca="1">IFERROR(Loans!M16,"")</f>
        <v/>
      </c>
    </row>
    <row r="16" spans="1:14" ht="15.75" customHeight="1" x14ac:dyDescent="0.25">
      <c r="A16" s="18">
        <f>IFERROR(Loans!C17,"")</f>
        <v>0</v>
      </c>
      <c r="B16" s="31">
        <f>IFERROR(Loans!B17,"")</f>
        <v>0</v>
      </c>
      <c r="C16" s="32" t="str">
        <f>IF(A16="","",IFERROR(VLOOKUP(A16,Members!A4:E103,3,0),""))</f>
        <v/>
      </c>
      <c r="D16" s="32">
        <f>IFERROR(Loans!A17,"")</f>
        <v>0</v>
      </c>
      <c r="E16" s="18">
        <f>IFERROR(Loans!E17,0)</f>
        <v>0</v>
      </c>
      <c r="F16" s="33">
        <f>IFERROR(Loans!D17,"")</f>
        <v>0</v>
      </c>
      <c r="G16" s="34">
        <f>IFERROR(Loans!I17,0)</f>
        <v>0</v>
      </c>
      <c r="H16" s="35">
        <f t="shared" si="0"/>
        <v>0</v>
      </c>
      <c r="I16" s="36">
        <f t="shared" ca="1" si="1"/>
        <v>46124</v>
      </c>
      <c r="J16" s="37" t="str">
        <f t="shared" ca="1" si="2"/>
        <v>⛔ PAR90+</v>
      </c>
      <c r="K16" s="15" t="str">
        <f>IFERROR(Loans!L17,0)</f>
        <v/>
      </c>
      <c r="L16" s="13" t="str">
        <f>IFERROR(Loans!K17,0)</f>
        <v/>
      </c>
      <c r="M16" s="38">
        <f>IF(A16="","",IFERROR(SUMIF(Int_Repayments!A$4:A$1003,A16,Int_Repayments!F$4:F$1003)-SUMIF(Interest_Engine!A$4:A$103,A16,Interest_Engine!AR$4:AR$103),0))</f>
        <v>0</v>
      </c>
      <c r="N16" s="12" t="str">
        <f ca="1">IFERROR(Loans!M17,"")</f>
        <v/>
      </c>
    </row>
    <row r="17" spans="1:14" ht="15.75" customHeight="1" x14ac:dyDescent="0.25">
      <c r="A17" s="18">
        <f>IFERROR(Loans!C18,"")</f>
        <v>0</v>
      </c>
      <c r="B17" s="31">
        <f>IFERROR(Loans!B18,"")</f>
        <v>0</v>
      </c>
      <c r="C17" s="32" t="str">
        <f>IF(A17="","",IFERROR(VLOOKUP(A17,Members!A4:E103,3,0),""))</f>
        <v/>
      </c>
      <c r="D17" s="32">
        <f>IFERROR(Loans!A18,"")</f>
        <v>0</v>
      </c>
      <c r="E17" s="18">
        <f>IFERROR(Loans!E18,0)</f>
        <v>0</v>
      </c>
      <c r="F17" s="33">
        <f>IFERROR(Loans!D18,"")</f>
        <v>0</v>
      </c>
      <c r="G17" s="34">
        <f>IFERROR(Loans!I18,0)</f>
        <v>0</v>
      </c>
      <c r="H17" s="35">
        <f t="shared" si="0"/>
        <v>0</v>
      </c>
      <c r="I17" s="36">
        <f t="shared" ca="1" si="1"/>
        <v>46124</v>
      </c>
      <c r="J17" s="37" t="str">
        <f t="shared" ca="1" si="2"/>
        <v>⛔ PAR90+</v>
      </c>
      <c r="K17" s="15" t="str">
        <f>IFERROR(Loans!L18,0)</f>
        <v/>
      </c>
      <c r="L17" s="13" t="str">
        <f>IFERROR(Loans!K18,0)</f>
        <v/>
      </c>
      <c r="M17" s="38">
        <f>IF(A17="","",IFERROR(SUMIF(Int_Repayments!A$4:A$1003,A17,Int_Repayments!F$4:F$1003)-SUMIF(Interest_Engine!A$4:A$103,A17,Interest_Engine!AR$4:AR$103),0))</f>
        <v>0</v>
      </c>
      <c r="N17" s="12" t="str">
        <f ca="1">IFERROR(Loans!M18,"")</f>
        <v/>
      </c>
    </row>
    <row r="18" spans="1:14" ht="15.75" customHeight="1" x14ac:dyDescent="0.25">
      <c r="A18" s="18">
        <f>IFERROR(Loans!C19,"")</f>
        <v>0</v>
      </c>
      <c r="B18" s="31">
        <f>IFERROR(Loans!B19,"")</f>
        <v>0</v>
      </c>
      <c r="C18" s="32" t="str">
        <f>IF(A18="","",IFERROR(VLOOKUP(A18,Members!A4:E103,3,0),""))</f>
        <v/>
      </c>
      <c r="D18" s="32">
        <f>IFERROR(Loans!A19,"")</f>
        <v>0</v>
      </c>
      <c r="E18" s="18">
        <f>IFERROR(Loans!E19,0)</f>
        <v>0</v>
      </c>
      <c r="F18" s="33">
        <f>IFERROR(Loans!D19,"")</f>
        <v>0</v>
      </c>
      <c r="G18" s="34">
        <f>IFERROR(Loans!I19,0)</f>
        <v>0</v>
      </c>
      <c r="H18" s="35">
        <f t="shared" si="0"/>
        <v>0</v>
      </c>
      <c r="I18" s="36">
        <f t="shared" ca="1" si="1"/>
        <v>46124</v>
      </c>
      <c r="J18" s="37" t="str">
        <f t="shared" ca="1" si="2"/>
        <v>⛔ PAR90+</v>
      </c>
      <c r="K18" s="15" t="str">
        <f>IFERROR(Loans!L19,0)</f>
        <v/>
      </c>
      <c r="L18" s="13" t="str">
        <f>IFERROR(Loans!K19,0)</f>
        <v/>
      </c>
      <c r="M18" s="38">
        <f>IF(A18="","",IFERROR(SUMIF(Int_Repayments!A$4:A$1003,A18,Int_Repayments!F$4:F$1003)-SUMIF(Interest_Engine!A$4:A$103,A18,Interest_Engine!AR$4:AR$103),0))</f>
        <v>0</v>
      </c>
      <c r="N18" s="12" t="str">
        <f ca="1">IFERROR(Loans!M19,"")</f>
        <v/>
      </c>
    </row>
    <row r="19" spans="1:14" ht="15.75" customHeight="1" x14ac:dyDescent="0.25">
      <c r="A19" s="18">
        <f>IFERROR(Loans!C20,"")</f>
        <v>0</v>
      </c>
      <c r="B19" s="31">
        <f>IFERROR(Loans!B20,"")</f>
        <v>0</v>
      </c>
      <c r="C19" s="32" t="str">
        <f>IF(A19="","",IFERROR(VLOOKUP(A19,Members!A4:E103,3,0),""))</f>
        <v/>
      </c>
      <c r="D19" s="32">
        <f>IFERROR(Loans!A20,"")</f>
        <v>0</v>
      </c>
      <c r="E19" s="18">
        <f>IFERROR(Loans!E20,0)</f>
        <v>0</v>
      </c>
      <c r="F19" s="33">
        <f>IFERROR(Loans!D20,"")</f>
        <v>0</v>
      </c>
      <c r="G19" s="34">
        <f>IFERROR(Loans!I20,0)</f>
        <v>0</v>
      </c>
      <c r="H19" s="35">
        <f t="shared" si="0"/>
        <v>0</v>
      </c>
      <c r="I19" s="36">
        <f t="shared" ca="1" si="1"/>
        <v>46124</v>
      </c>
      <c r="J19" s="37" t="str">
        <f t="shared" ca="1" si="2"/>
        <v>⛔ PAR90+</v>
      </c>
      <c r="K19" s="15" t="str">
        <f>IFERROR(Loans!L20,0)</f>
        <v/>
      </c>
      <c r="L19" s="13" t="str">
        <f>IFERROR(Loans!K20,0)</f>
        <v/>
      </c>
      <c r="M19" s="38">
        <f>IF(A19="","",IFERROR(SUMIF(Int_Repayments!A$4:A$1003,A19,Int_Repayments!F$4:F$1003)-SUMIF(Interest_Engine!A$4:A$103,A19,Interest_Engine!AR$4:AR$103),0))</f>
        <v>0</v>
      </c>
      <c r="N19" s="12" t="str">
        <f ca="1">IFERROR(Loans!M20,"")</f>
        <v/>
      </c>
    </row>
    <row r="20" spans="1:14" ht="15.75" customHeight="1" x14ac:dyDescent="0.25">
      <c r="A20" s="18">
        <f>IFERROR(Loans!C21,"")</f>
        <v>0</v>
      </c>
      <c r="B20" s="31">
        <f>IFERROR(Loans!B21,"")</f>
        <v>0</v>
      </c>
      <c r="C20" s="32" t="str">
        <f>IF(A20="","",IFERROR(VLOOKUP(A20,Members!A4:E103,3,0),""))</f>
        <v/>
      </c>
      <c r="D20" s="32">
        <f>IFERROR(Loans!A21,"")</f>
        <v>0</v>
      </c>
      <c r="E20" s="18">
        <f>IFERROR(Loans!E21,0)</f>
        <v>0</v>
      </c>
      <c r="F20" s="33">
        <f>IFERROR(Loans!D21,"")</f>
        <v>0</v>
      </c>
      <c r="G20" s="34">
        <f>IFERROR(Loans!I21,0)</f>
        <v>0</v>
      </c>
      <c r="H20" s="35">
        <f t="shared" si="0"/>
        <v>0</v>
      </c>
      <c r="I20" s="36">
        <f t="shared" ca="1" si="1"/>
        <v>46124</v>
      </c>
      <c r="J20" s="37" t="str">
        <f t="shared" ca="1" si="2"/>
        <v>⛔ PAR90+</v>
      </c>
      <c r="K20" s="15" t="str">
        <f>IFERROR(Loans!L21,0)</f>
        <v/>
      </c>
      <c r="L20" s="13" t="str">
        <f>IFERROR(Loans!K21,0)</f>
        <v/>
      </c>
      <c r="M20" s="38">
        <f>IF(A20="","",IFERROR(SUMIF(Int_Repayments!A$4:A$1003,A20,Int_Repayments!F$4:F$1003)-SUMIF(Interest_Engine!A$4:A$103,A20,Interest_Engine!AR$4:AR$103),0))</f>
        <v>0</v>
      </c>
      <c r="N20" s="12" t="str">
        <f ca="1">IFERROR(Loans!M21,"")</f>
        <v/>
      </c>
    </row>
    <row r="21" spans="1:14" ht="15.75" customHeight="1" x14ac:dyDescent="0.25">
      <c r="A21" s="18">
        <f>IFERROR(Loans!C22,"")</f>
        <v>0</v>
      </c>
      <c r="B21" s="31">
        <f>IFERROR(Loans!B22,"")</f>
        <v>0</v>
      </c>
      <c r="C21" s="32" t="str">
        <f>IF(A21="","",IFERROR(VLOOKUP(A21,Members!A4:E103,3,0),""))</f>
        <v/>
      </c>
      <c r="D21" s="32">
        <f>IFERROR(Loans!A22,"")</f>
        <v>0</v>
      </c>
      <c r="E21" s="18">
        <f>IFERROR(Loans!E22,0)</f>
        <v>0</v>
      </c>
      <c r="F21" s="33">
        <f>IFERROR(Loans!D22,"")</f>
        <v>0</v>
      </c>
      <c r="G21" s="34">
        <f>IFERROR(Loans!I22,0)</f>
        <v>0</v>
      </c>
      <c r="H21" s="35">
        <f t="shared" si="0"/>
        <v>0</v>
      </c>
      <c r="I21" s="36">
        <f t="shared" ca="1" si="1"/>
        <v>46124</v>
      </c>
      <c r="J21" s="37" t="str">
        <f t="shared" ca="1" si="2"/>
        <v>⛔ PAR90+</v>
      </c>
      <c r="K21" s="15" t="str">
        <f>IFERROR(Loans!L22,0)</f>
        <v/>
      </c>
      <c r="L21" s="13" t="str">
        <f>IFERROR(Loans!K22,0)</f>
        <v/>
      </c>
      <c r="M21" s="38">
        <f>IF(A21="","",IFERROR(SUMIF(Int_Repayments!A$4:A$1003,A21,Int_Repayments!F$4:F$1003)-SUMIF(Interest_Engine!A$4:A$103,A21,Interest_Engine!AR$4:AR$103),0))</f>
        <v>0</v>
      </c>
      <c r="N21" s="12" t="str">
        <f ca="1">IFERROR(Loans!M22,"")</f>
        <v/>
      </c>
    </row>
    <row r="22" spans="1:14" ht="15.75" customHeight="1" x14ac:dyDescent="0.25">
      <c r="A22" s="18">
        <f>IFERROR(Loans!C23,"")</f>
        <v>0</v>
      </c>
      <c r="B22" s="31">
        <f>IFERROR(Loans!B23,"")</f>
        <v>0</v>
      </c>
      <c r="C22" s="32" t="str">
        <f>IF(A22="","",IFERROR(VLOOKUP(A22,Members!A4:E103,3,0),""))</f>
        <v/>
      </c>
      <c r="D22" s="32">
        <f>IFERROR(Loans!A23,"")</f>
        <v>0</v>
      </c>
      <c r="E22" s="18">
        <f>IFERROR(Loans!E23,0)</f>
        <v>0</v>
      </c>
      <c r="F22" s="33">
        <f>IFERROR(Loans!D23,"")</f>
        <v>0</v>
      </c>
      <c r="G22" s="34">
        <f>IFERROR(Loans!I23,0)</f>
        <v>0</v>
      </c>
      <c r="H22" s="35">
        <f t="shared" si="0"/>
        <v>0</v>
      </c>
      <c r="I22" s="36">
        <f t="shared" ca="1" si="1"/>
        <v>46124</v>
      </c>
      <c r="J22" s="37" t="str">
        <f t="shared" ca="1" si="2"/>
        <v>⛔ PAR90+</v>
      </c>
      <c r="K22" s="15" t="str">
        <f>IFERROR(Loans!L23,0)</f>
        <v/>
      </c>
      <c r="L22" s="13" t="str">
        <f>IFERROR(Loans!K23,0)</f>
        <v/>
      </c>
      <c r="M22" s="38">
        <f>IF(A22="","",IFERROR(SUMIF(Int_Repayments!A$4:A$1003,A22,Int_Repayments!F$4:F$1003)-SUMIF(Interest_Engine!A$4:A$103,A22,Interest_Engine!AR$4:AR$103),0))</f>
        <v>0</v>
      </c>
      <c r="N22" s="12" t="str">
        <f ca="1">IFERROR(Loans!M23,"")</f>
        <v/>
      </c>
    </row>
    <row r="23" spans="1:14" ht="15.75" customHeight="1" x14ac:dyDescent="0.25">
      <c r="A23" s="18">
        <f>IFERROR(Loans!C24,"")</f>
        <v>0</v>
      </c>
      <c r="B23" s="31">
        <f>IFERROR(Loans!B24,"")</f>
        <v>0</v>
      </c>
      <c r="C23" s="32" t="str">
        <f>IF(A23="","",IFERROR(VLOOKUP(A23,Members!A4:E103,3,0),""))</f>
        <v/>
      </c>
      <c r="D23" s="32">
        <f>IFERROR(Loans!A24,"")</f>
        <v>0</v>
      </c>
      <c r="E23" s="18">
        <f>IFERROR(Loans!E24,0)</f>
        <v>0</v>
      </c>
      <c r="F23" s="33">
        <f>IFERROR(Loans!D24,"")</f>
        <v>0</v>
      </c>
      <c r="G23" s="34">
        <f>IFERROR(Loans!I24,0)</f>
        <v>0</v>
      </c>
      <c r="H23" s="35">
        <f t="shared" si="0"/>
        <v>0</v>
      </c>
      <c r="I23" s="36">
        <f t="shared" ca="1" si="1"/>
        <v>46124</v>
      </c>
      <c r="J23" s="37" t="str">
        <f t="shared" ca="1" si="2"/>
        <v>⛔ PAR90+</v>
      </c>
      <c r="K23" s="15" t="str">
        <f>IFERROR(Loans!L24,0)</f>
        <v/>
      </c>
      <c r="L23" s="13" t="str">
        <f>IFERROR(Loans!K24,0)</f>
        <v/>
      </c>
      <c r="M23" s="38">
        <f>IF(A23="","",IFERROR(SUMIF(Int_Repayments!A$4:A$1003,A23,Int_Repayments!F$4:F$1003)-SUMIF(Interest_Engine!A$4:A$103,A23,Interest_Engine!AR$4:AR$103),0))</f>
        <v>0</v>
      </c>
      <c r="N23" s="12" t="str">
        <f ca="1">IFERROR(Loans!M24,"")</f>
        <v/>
      </c>
    </row>
    <row r="24" spans="1:14" ht="15.75" customHeight="1" x14ac:dyDescent="0.25">
      <c r="A24" s="18">
        <f>IFERROR(Loans!C25,"")</f>
        <v>0</v>
      </c>
      <c r="B24" s="31">
        <f>IFERROR(Loans!B25,"")</f>
        <v>0</v>
      </c>
      <c r="C24" s="32" t="str">
        <f>IF(A24="","",IFERROR(VLOOKUP(A24,Members!A4:E103,3,0),""))</f>
        <v/>
      </c>
      <c r="D24" s="32">
        <f>IFERROR(Loans!A25,"")</f>
        <v>0</v>
      </c>
      <c r="E24" s="18">
        <f>IFERROR(Loans!E25,0)</f>
        <v>0</v>
      </c>
      <c r="F24" s="33">
        <f>IFERROR(Loans!D25,"")</f>
        <v>0</v>
      </c>
      <c r="G24" s="34">
        <f>IFERROR(Loans!I25,0)</f>
        <v>0</v>
      </c>
      <c r="H24" s="35">
        <f t="shared" si="0"/>
        <v>0</v>
      </c>
      <c r="I24" s="36">
        <f t="shared" ca="1" si="1"/>
        <v>46124</v>
      </c>
      <c r="J24" s="37" t="str">
        <f t="shared" ca="1" si="2"/>
        <v>⛔ PAR90+</v>
      </c>
      <c r="K24" s="15" t="str">
        <f>IFERROR(Loans!L25,0)</f>
        <v/>
      </c>
      <c r="L24" s="13" t="str">
        <f>IFERROR(Loans!K25,0)</f>
        <v/>
      </c>
      <c r="M24" s="38">
        <f>IF(A24="","",IFERROR(SUMIF(Int_Repayments!A$4:A$1003,A24,Int_Repayments!F$4:F$1003)-SUMIF(Interest_Engine!A$4:A$103,A24,Interest_Engine!AR$4:AR$103),0))</f>
        <v>0</v>
      </c>
      <c r="N24" s="12" t="str">
        <f ca="1">IFERROR(Loans!M25,"")</f>
        <v/>
      </c>
    </row>
    <row r="25" spans="1:14" ht="15.75" customHeight="1" x14ac:dyDescent="0.25">
      <c r="A25" s="18">
        <f>IFERROR(Loans!C26,"")</f>
        <v>0</v>
      </c>
      <c r="B25" s="31">
        <f>IFERROR(Loans!B26,"")</f>
        <v>0</v>
      </c>
      <c r="C25" s="32" t="str">
        <f>IF(A25="","",IFERROR(VLOOKUP(A25,Members!A4:E103,3,0),""))</f>
        <v/>
      </c>
      <c r="D25" s="32">
        <f>IFERROR(Loans!A26,"")</f>
        <v>0</v>
      </c>
      <c r="E25" s="18">
        <f>IFERROR(Loans!E26,0)</f>
        <v>0</v>
      </c>
      <c r="F25" s="33">
        <f>IFERROR(Loans!D26,"")</f>
        <v>0</v>
      </c>
      <c r="G25" s="34">
        <f>IFERROR(Loans!I26,0)</f>
        <v>0</v>
      </c>
      <c r="H25" s="35">
        <f t="shared" si="0"/>
        <v>0</v>
      </c>
      <c r="I25" s="36">
        <f t="shared" ca="1" si="1"/>
        <v>46124</v>
      </c>
      <c r="J25" s="37" t="str">
        <f t="shared" ca="1" si="2"/>
        <v>⛔ PAR90+</v>
      </c>
      <c r="K25" s="15" t="str">
        <f>IFERROR(Loans!L26,0)</f>
        <v/>
      </c>
      <c r="L25" s="13" t="str">
        <f>IFERROR(Loans!K26,0)</f>
        <v/>
      </c>
      <c r="M25" s="38">
        <f>IF(A25="","",IFERROR(SUMIF(Int_Repayments!A$4:A$1003,A25,Int_Repayments!F$4:F$1003)-SUMIF(Interest_Engine!A$4:A$103,A25,Interest_Engine!AR$4:AR$103),0))</f>
        <v>0</v>
      </c>
      <c r="N25" s="12" t="str">
        <f ca="1">IFERROR(Loans!M26,"")</f>
        <v/>
      </c>
    </row>
    <row r="26" spans="1:14" ht="15.75" customHeight="1" x14ac:dyDescent="0.25">
      <c r="A26" s="18">
        <f>IFERROR(Loans!C27,"")</f>
        <v>0</v>
      </c>
      <c r="B26" s="31">
        <f>IFERROR(Loans!B27,"")</f>
        <v>0</v>
      </c>
      <c r="C26" s="32" t="str">
        <f>IF(A26="","",IFERROR(VLOOKUP(A26,Members!A4:E103,3,0),""))</f>
        <v/>
      </c>
      <c r="D26" s="32">
        <f>IFERROR(Loans!A27,"")</f>
        <v>0</v>
      </c>
      <c r="E26" s="18">
        <f>IFERROR(Loans!E27,0)</f>
        <v>0</v>
      </c>
      <c r="F26" s="33">
        <f>IFERROR(Loans!D27,"")</f>
        <v>0</v>
      </c>
      <c r="G26" s="34">
        <f>IFERROR(Loans!I27,0)</f>
        <v>0</v>
      </c>
      <c r="H26" s="35">
        <f t="shared" si="0"/>
        <v>0</v>
      </c>
      <c r="I26" s="36">
        <f t="shared" ca="1" si="1"/>
        <v>46124</v>
      </c>
      <c r="J26" s="37" t="str">
        <f t="shared" ca="1" si="2"/>
        <v>⛔ PAR90+</v>
      </c>
      <c r="K26" s="15" t="str">
        <f>IFERROR(Loans!L27,0)</f>
        <v/>
      </c>
      <c r="L26" s="13" t="str">
        <f>IFERROR(Loans!K27,0)</f>
        <v/>
      </c>
      <c r="M26" s="38">
        <f>IF(A26="","",IFERROR(SUMIF(Int_Repayments!A$4:A$1003,A26,Int_Repayments!F$4:F$1003)-SUMIF(Interest_Engine!A$4:A$103,A26,Interest_Engine!AR$4:AR$103),0))</f>
        <v>0</v>
      </c>
      <c r="N26" s="12" t="str">
        <f ca="1">IFERROR(Loans!M27,"")</f>
        <v/>
      </c>
    </row>
    <row r="27" spans="1:14" ht="15.75" customHeight="1" x14ac:dyDescent="0.25">
      <c r="A27" s="18">
        <f>IFERROR(Loans!C28,"")</f>
        <v>0</v>
      </c>
      <c r="B27" s="31">
        <f>IFERROR(Loans!B28,"")</f>
        <v>0</v>
      </c>
      <c r="C27" s="32" t="str">
        <f>IF(A27="","",IFERROR(VLOOKUP(A27,Members!A4:E103,3,0),""))</f>
        <v/>
      </c>
      <c r="D27" s="32">
        <f>IFERROR(Loans!A28,"")</f>
        <v>0</v>
      </c>
      <c r="E27" s="18">
        <f>IFERROR(Loans!E28,0)</f>
        <v>0</v>
      </c>
      <c r="F27" s="33">
        <f>IFERROR(Loans!D28,"")</f>
        <v>0</v>
      </c>
      <c r="G27" s="34">
        <f>IFERROR(Loans!I28,0)</f>
        <v>0</v>
      </c>
      <c r="H27" s="35">
        <f t="shared" si="0"/>
        <v>0</v>
      </c>
      <c r="I27" s="36">
        <f t="shared" ca="1" si="1"/>
        <v>46124</v>
      </c>
      <c r="J27" s="37" t="str">
        <f t="shared" ca="1" si="2"/>
        <v>⛔ PAR90+</v>
      </c>
      <c r="K27" s="15" t="str">
        <f>IFERROR(Loans!L28,0)</f>
        <v/>
      </c>
      <c r="L27" s="13" t="str">
        <f>IFERROR(Loans!K28,0)</f>
        <v/>
      </c>
      <c r="M27" s="38">
        <f>IF(A27="","",IFERROR(SUMIF(Int_Repayments!A$4:A$1003,A27,Int_Repayments!F$4:F$1003)-SUMIF(Interest_Engine!A$4:A$103,A27,Interest_Engine!AR$4:AR$103),0))</f>
        <v>0</v>
      </c>
      <c r="N27" s="12" t="str">
        <f ca="1">IFERROR(Loans!M28,"")</f>
        <v/>
      </c>
    </row>
    <row r="28" spans="1:14" ht="15.75" customHeight="1" x14ac:dyDescent="0.25">
      <c r="A28" s="18">
        <f>IFERROR(Loans!C29,"")</f>
        <v>0</v>
      </c>
      <c r="B28" s="31">
        <f>IFERROR(Loans!B29,"")</f>
        <v>0</v>
      </c>
      <c r="C28" s="32" t="str">
        <f>IF(A28="","",IFERROR(VLOOKUP(A28,Members!A4:E103,3,0),""))</f>
        <v/>
      </c>
      <c r="D28" s="32">
        <f>IFERROR(Loans!A29,"")</f>
        <v>0</v>
      </c>
      <c r="E28" s="18">
        <f>IFERROR(Loans!E29,0)</f>
        <v>0</v>
      </c>
      <c r="F28" s="33">
        <f>IFERROR(Loans!D29,"")</f>
        <v>0</v>
      </c>
      <c r="G28" s="34">
        <f>IFERROR(Loans!I29,0)</f>
        <v>0</v>
      </c>
      <c r="H28" s="35">
        <f t="shared" si="0"/>
        <v>0</v>
      </c>
      <c r="I28" s="36">
        <f t="shared" ca="1" si="1"/>
        <v>46124</v>
      </c>
      <c r="J28" s="37" t="str">
        <f t="shared" ca="1" si="2"/>
        <v>⛔ PAR90+</v>
      </c>
      <c r="K28" s="15" t="str">
        <f>IFERROR(Loans!L29,0)</f>
        <v/>
      </c>
      <c r="L28" s="13" t="str">
        <f>IFERROR(Loans!K29,0)</f>
        <v/>
      </c>
      <c r="M28" s="38">
        <f>IF(A28="","",IFERROR(SUMIF(Int_Repayments!A$4:A$1003,A28,Int_Repayments!F$4:F$1003)-SUMIF(Interest_Engine!A$4:A$103,A28,Interest_Engine!AR$4:AR$103),0))</f>
        <v>0</v>
      </c>
      <c r="N28" s="12" t="str">
        <f ca="1">IFERROR(Loans!M29,"")</f>
        <v/>
      </c>
    </row>
    <row r="29" spans="1:14" ht="15.75" customHeight="1" x14ac:dyDescent="0.25">
      <c r="A29" s="18">
        <f>IFERROR(Loans!C30,"")</f>
        <v>0</v>
      </c>
      <c r="B29" s="31">
        <f>IFERROR(Loans!B30,"")</f>
        <v>0</v>
      </c>
      <c r="C29" s="32" t="str">
        <f>IF(A29="","",IFERROR(VLOOKUP(A29,Members!A4:E103,3,0),""))</f>
        <v/>
      </c>
      <c r="D29" s="32">
        <f>IFERROR(Loans!A30,"")</f>
        <v>0</v>
      </c>
      <c r="E29" s="18">
        <f>IFERROR(Loans!E30,0)</f>
        <v>0</v>
      </c>
      <c r="F29" s="33">
        <f>IFERROR(Loans!D30,"")</f>
        <v>0</v>
      </c>
      <c r="G29" s="34">
        <f>IFERROR(Loans!I30,0)</f>
        <v>0</v>
      </c>
      <c r="H29" s="35">
        <f t="shared" si="0"/>
        <v>0</v>
      </c>
      <c r="I29" s="36">
        <f t="shared" ca="1" si="1"/>
        <v>46124</v>
      </c>
      <c r="J29" s="37" t="str">
        <f t="shared" ca="1" si="2"/>
        <v>⛔ PAR90+</v>
      </c>
      <c r="K29" s="15" t="str">
        <f>IFERROR(Loans!L30,0)</f>
        <v/>
      </c>
      <c r="L29" s="13" t="str">
        <f>IFERROR(Loans!K30,0)</f>
        <v/>
      </c>
      <c r="M29" s="38">
        <f>IF(A29="","",IFERROR(SUMIF(Int_Repayments!A$4:A$1003,A29,Int_Repayments!F$4:F$1003)-SUMIF(Interest_Engine!A$4:A$103,A29,Interest_Engine!AR$4:AR$103),0))</f>
        <v>0</v>
      </c>
      <c r="N29" s="12" t="str">
        <f ca="1">IFERROR(Loans!M30,"")</f>
        <v/>
      </c>
    </row>
    <row r="30" spans="1:14" ht="15.75" customHeight="1" x14ac:dyDescent="0.25">
      <c r="A30" s="18">
        <f>IFERROR(Loans!C31,"")</f>
        <v>0</v>
      </c>
      <c r="B30" s="31">
        <f>IFERROR(Loans!B31,"")</f>
        <v>0</v>
      </c>
      <c r="C30" s="32" t="str">
        <f>IF(A30="","",IFERROR(VLOOKUP(A30,Members!A4:E103,3,0),""))</f>
        <v/>
      </c>
      <c r="D30" s="32">
        <f>IFERROR(Loans!A31,"")</f>
        <v>0</v>
      </c>
      <c r="E30" s="18">
        <f>IFERROR(Loans!E31,0)</f>
        <v>0</v>
      </c>
      <c r="F30" s="33">
        <f>IFERROR(Loans!D31,"")</f>
        <v>0</v>
      </c>
      <c r="G30" s="34">
        <f>IFERROR(Loans!I31,0)</f>
        <v>0</v>
      </c>
      <c r="H30" s="35">
        <f t="shared" si="0"/>
        <v>0</v>
      </c>
      <c r="I30" s="36">
        <f t="shared" ca="1" si="1"/>
        <v>46124</v>
      </c>
      <c r="J30" s="37" t="str">
        <f t="shared" ca="1" si="2"/>
        <v>⛔ PAR90+</v>
      </c>
      <c r="K30" s="15" t="str">
        <f>IFERROR(Loans!L31,0)</f>
        <v/>
      </c>
      <c r="L30" s="13" t="str">
        <f>IFERROR(Loans!K31,0)</f>
        <v/>
      </c>
      <c r="M30" s="38">
        <f>IF(A30="","",IFERROR(SUMIF(Int_Repayments!A$4:A$1003,A30,Int_Repayments!F$4:F$1003)-SUMIF(Interest_Engine!A$4:A$103,A30,Interest_Engine!AR$4:AR$103),0))</f>
        <v>0</v>
      </c>
      <c r="N30" s="12" t="str">
        <f ca="1">IFERROR(Loans!M31,"")</f>
        <v/>
      </c>
    </row>
    <row r="31" spans="1:14" ht="15.75" customHeight="1" x14ac:dyDescent="0.25">
      <c r="A31" s="18">
        <f>IFERROR(Loans!C32,"")</f>
        <v>0</v>
      </c>
      <c r="B31" s="31">
        <f>IFERROR(Loans!B32,"")</f>
        <v>0</v>
      </c>
      <c r="C31" s="32" t="str">
        <f>IF(A31="","",IFERROR(VLOOKUP(A31,Members!A4:E103,3,0),""))</f>
        <v/>
      </c>
      <c r="D31" s="32">
        <f>IFERROR(Loans!A32,"")</f>
        <v>0</v>
      </c>
      <c r="E31" s="18">
        <f>IFERROR(Loans!E32,0)</f>
        <v>0</v>
      </c>
      <c r="F31" s="33">
        <f>IFERROR(Loans!D32,"")</f>
        <v>0</v>
      </c>
      <c r="G31" s="34">
        <f>IFERROR(Loans!I32,0)</f>
        <v>0</v>
      </c>
      <c r="H31" s="35">
        <f t="shared" si="0"/>
        <v>0</v>
      </c>
      <c r="I31" s="36">
        <f t="shared" ca="1" si="1"/>
        <v>46124</v>
      </c>
      <c r="J31" s="37" t="str">
        <f t="shared" ca="1" si="2"/>
        <v>⛔ PAR90+</v>
      </c>
      <c r="K31" s="15" t="str">
        <f>IFERROR(Loans!L32,0)</f>
        <v/>
      </c>
      <c r="L31" s="13" t="str">
        <f>IFERROR(Loans!K32,0)</f>
        <v/>
      </c>
      <c r="M31" s="38">
        <f>IF(A31="","",IFERROR(SUMIF(Int_Repayments!A$4:A$1003,A31,Int_Repayments!F$4:F$1003)-SUMIF(Interest_Engine!A$4:A$103,A31,Interest_Engine!AR$4:AR$103),0))</f>
        <v>0</v>
      </c>
      <c r="N31" s="12" t="str">
        <f ca="1">IFERROR(Loans!M32,"")</f>
        <v/>
      </c>
    </row>
    <row r="32" spans="1:14" ht="15.75" customHeight="1" x14ac:dyDescent="0.25">
      <c r="A32" s="18">
        <f>IFERROR(Loans!C33,"")</f>
        <v>0</v>
      </c>
      <c r="B32" s="31">
        <f>IFERROR(Loans!B33,"")</f>
        <v>0</v>
      </c>
      <c r="C32" s="32" t="str">
        <f>IF(A32="","",IFERROR(VLOOKUP(A32,Members!A4:E103,3,0),""))</f>
        <v/>
      </c>
      <c r="D32" s="32">
        <f>IFERROR(Loans!A33,"")</f>
        <v>0</v>
      </c>
      <c r="E32" s="18">
        <f>IFERROR(Loans!E33,0)</f>
        <v>0</v>
      </c>
      <c r="F32" s="33">
        <f>IFERROR(Loans!D33,"")</f>
        <v>0</v>
      </c>
      <c r="G32" s="34">
        <f>IFERROR(Loans!I33,0)</f>
        <v>0</v>
      </c>
      <c r="H32" s="35">
        <f t="shared" si="0"/>
        <v>0</v>
      </c>
      <c r="I32" s="36">
        <f t="shared" ca="1" si="1"/>
        <v>46124</v>
      </c>
      <c r="J32" s="37" t="str">
        <f t="shared" ca="1" si="2"/>
        <v>⛔ PAR90+</v>
      </c>
      <c r="K32" s="15" t="str">
        <f>IFERROR(Loans!L33,0)</f>
        <v/>
      </c>
      <c r="L32" s="13" t="str">
        <f>IFERROR(Loans!K33,0)</f>
        <v/>
      </c>
      <c r="M32" s="38">
        <f>IF(A32="","",IFERROR(SUMIF(Int_Repayments!A$4:A$1003,A32,Int_Repayments!F$4:F$1003)-SUMIF(Interest_Engine!A$4:A$103,A32,Interest_Engine!AR$4:AR$103),0))</f>
        <v>0</v>
      </c>
      <c r="N32" s="12" t="str">
        <f ca="1">IFERROR(Loans!M33,"")</f>
        <v/>
      </c>
    </row>
    <row r="33" spans="1:14" ht="15.75" customHeight="1" x14ac:dyDescent="0.25">
      <c r="A33" s="18">
        <f>IFERROR(Loans!C34,"")</f>
        <v>0</v>
      </c>
      <c r="B33" s="31">
        <f>IFERROR(Loans!B34,"")</f>
        <v>0</v>
      </c>
      <c r="C33" s="32" t="str">
        <f>IF(A33="","",IFERROR(VLOOKUP(A33,Members!A4:E103,3,0),""))</f>
        <v/>
      </c>
      <c r="D33" s="32">
        <f>IFERROR(Loans!A34,"")</f>
        <v>0</v>
      </c>
      <c r="E33" s="18">
        <f>IFERROR(Loans!E34,0)</f>
        <v>0</v>
      </c>
      <c r="F33" s="33">
        <f>IFERROR(Loans!D34,"")</f>
        <v>0</v>
      </c>
      <c r="G33" s="34">
        <f>IFERROR(Loans!I34,0)</f>
        <v>0</v>
      </c>
      <c r="H33" s="35">
        <f t="shared" si="0"/>
        <v>0</v>
      </c>
      <c r="I33" s="36">
        <f t="shared" ca="1" si="1"/>
        <v>46124</v>
      </c>
      <c r="J33" s="37" t="str">
        <f t="shared" ca="1" si="2"/>
        <v>⛔ PAR90+</v>
      </c>
      <c r="K33" s="15" t="str">
        <f>IFERROR(Loans!L34,0)</f>
        <v/>
      </c>
      <c r="L33" s="13" t="str">
        <f>IFERROR(Loans!K34,0)</f>
        <v/>
      </c>
      <c r="M33" s="38">
        <f>IF(A33="","",IFERROR(SUMIF(Int_Repayments!A$4:A$1003,A33,Int_Repayments!F$4:F$1003)-SUMIF(Interest_Engine!A$4:A$103,A33,Interest_Engine!AR$4:AR$103),0))</f>
        <v>0</v>
      </c>
      <c r="N33" s="12" t="str">
        <f ca="1">IFERROR(Loans!M34,"")</f>
        <v/>
      </c>
    </row>
    <row r="34" spans="1:14" ht="15.75" customHeight="1" x14ac:dyDescent="0.25">
      <c r="A34" s="18">
        <f>IFERROR(Loans!C35,"")</f>
        <v>0</v>
      </c>
      <c r="B34" s="31">
        <f>IFERROR(Loans!B35,"")</f>
        <v>0</v>
      </c>
      <c r="C34" s="32" t="str">
        <f>IF(A34="","",IFERROR(VLOOKUP(A34,Members!A4:E103,3,0),""))</f>
        <v/>
      </c>
      <c r="D34" s="32">
        <f>IFERROR(Loans!A35,"")</f>
        <v>0</v>
      </c>
      <c r="E34" s="18">
        <f>IFERROR(Loans!E35,0)</f>
        <v>0</v>
      </c>
      <c r="F34" s="33">
        <f>IFERROR(Loans!D35,"")</f>
        <v>0</v>
      </c>
      <c r="G34" s="34">
        <f>IFERROR(Loans!I35,0)</f>
        <v>0</v>
      </c>
      <c r="H34" s="35">
        <f t="shared" si="0"/>
        <v>0</v>
      </c>
      <c r="I34" s="36">
        <f t="shared" ca="1" si="1"/>
        <v>46124</v>
      </c>
      <c r="J34" s="37" t="str">
        <f t="shared" ca="1" si="2"/>
        <v>⛔ PAR90+</v>
      </c>
      <c r="K34" s="15" t="str">
        <f>IFERROR(Loans!L35,0)</f>
        <v/>
      </c>
      <c r="L34" s="13" t="str">
        <f>IFERROR(Loans!K35,0)</f>
        <v/>
      </c>
      <c r="M34" s="38">
        <f>IF(A34="","",IFERROR(SUMIF(Int_Repayments!A$4:A$1003,A34,Int_Repayments!F$4:F$1003)-SUMIF(Interest_Engine!A$4:A$103,A34,Interest_Engine!AR$4:AR$103),0))</f>
        <v>0</v>
      </c>
      <c r="N34" s="12" t="str">
        <f ca="1">IFERROR(Loans!M35,"")</f>
        <v/>
      </c>
    </row>
    <row r="35" spans="1:14" ht="15.75" customHeight="1" x14ac:dyDescent="0.25">
      <c r="A35" s="18">
        <f>IFERROR(Loans!C36,"")</f>
        <v>0</v>
      </c>
      <c r="B35" s="31">
        <f>IFERROR(Loans!B36,"")</f>
        <v>0</v>
      </c>
      <c r="C35" s="32" t="str">
        <f>IF(A35="","",IFERROR(VLOOKUP(A35,Members!A4:E103,3,0),""))</f>
        <v/>
      </c>
      <c r="D35" s="32">
        <f>IFERROR(Loans!A36,"")</f>
        <v>0</v>
      </c>
      <c r="E35" s="18">
        <f>IFERROR(Loans!E36,0)</f>
        <v>0</v>
      </c>
      <c r="F35" s="33">
        <f>IFERROR(Loans!D36,"")</f>
        <v>0</v>
      </c>
      <c r="G35" s="34">
        <f>IFERROR(Loans!I36,0)</f>
        <v>0</v>
      </c>
      <c r="H35" s="35">
        <f t="shared" ref="H35:H66" si="3">IF(F35="","",IF(ISNUMBER(F35),F35+G35*30,""))</f>
        <v>0</v>
      </c>
      <c r="I35" s="36">
        <f t="shared" ref="I35:I66" ca="1" si="4">IF(OR(H35="",NOT(ISNUMBER(H35))),"",MAX(0,TODAY()-H35))</f>
        <v>46124</v>
      </c>
      <c r="J35" s="37" t="str">
        <f t="shared" ref="J35:J66" ca="1" si="5">IF(OR(I35="",I35=""),"",IF(I35&lt;=0,"🟢 Current",IF(I35&lt;=30,"🟡 PAR30",IF(I35&lt;=60,"🟠 PAR60",IF(I35&lt;=90,"🔴 PAR90","⛔ PAR90+")))))</f>
        <v>⛔ PAR90+</v>
      </c>
      <c r="K35" s="15" t="str">
        <f>IFERROR(Loans!L36,0)</f>
        <v/>
      </c>
      <c r="L35" s="13" t="str">
        <f>IFERROR(Loans!K36,0)</f>
        <v/>
      </c>
      <c r="M35" s="38">
        <f>IF(A35="","",IFERROR(SUMIF(Int_Repayments!A$4:A$1003,A35,Int_Repayments!F$4:F$1003)-SUMIF(Interest_Engine!A$4:A$103,A35,Interest_Engine!AR$4:AR$103),0))</f>
        <v>0</v>
      </c>
      <c r="N35" s="12" t="str">
        <f ca="1">IFERROR(Loans!M36,"")</f>
        <v/>
      </c>
    </row>
    <row r="36" spans="1:14" ht="15.75" customHeight="1" x14ac:dyDescent="0.25">
      <c r="A36" s="18">
        <f>IFERROR(Loans!C37,"")</f>
        <v>0</v>
      </c>
      <c r="B36" s="31">
        <f>IFERROR(Loans!B37,"")</f>
        <v>0</v>
      </c>
      <c r="C36" s="32" t="str">
        <f>IF(A36="","",IFERROR(VLOOKUP(A36,Members!A4:E103,3,0),""))</f>
        <v/>
      </c>
      <c r="D36" s="32">
        <f>IFERROR(Loans!A37,"")</f>
        <v>0</v>
      </c>
      <c r="E36" s="18">
        <f>IFERROR(Loans!E37,0)</f>
        <v>0</v>
      </c>
      <c r="F36" s="33">
        <f>IFERROR(Loans!D37,"")</f>
        <v>0</v>
      </c>
      <c r="G36" s="34">
        <f>IFERROR(Loans!I37,0)</f>
        <v>0</v>
      </c>
      <c r="H36" s="35">
        <f t="shared" si="3"/>
        <v>0</v>
      </c>
      <c r="I36" s="36">
        <f t="shared" ca="1" si="4"/>
        <v>46124</v>
      </c>
      <c r="J36" s="37" t="str">
        <f t="shared" ca="1" si="5"/>
        <v>⛔ PAR90+</v>
      </c>
      <c r="K36" s="15" t="str">
        <f>IFERROR(Loans!L37,0)</f>
        <v/>
      </c>
      <c r="L36" s="13" t="str">
        <f>IFERROR(Loans!K37,0)</f>
        <v/>
      </c>
      <c r="M36" s="38">
        <f>IF(A36="","",IFERROR(SUMIF(Int_Repayments!A$4:A$1003,A36,Int_Repayments!F$4:F$1003)-SUMIF(Interest_Engine!A$4:A$103,A36,Interest_Engine!AR$4:AR$103),0))</f>
        <v>0</v>
      </c>
      <c r="N36" s="12" t="str">
        <f ca="1">IFERROR(Loans!M37,"")</f>
        <v/>
      </c>
    </row>
    <row r="37" spans="1:14" ht="15.75" customHeight="1" x14ac:dyDescent="0.25">
      <c r="A37" s="18">
        <f>IFERROR(Loans!C38,"")</f>
        <v>0</v>
      </c>
      <c r="B37" s="31">
        <f>IFERROR(Loans!B38,"")</f>
        <v>0</v>
      </c>
      <c r="C37" s="32" t="str">
        <f>IF(A37="","",IFERROR(VLOOKUP(A37,Members!A4:E103,3,0),""))</f>
        <v/>
      </c>
      <c r="D37" s="32">
        <f>IFERROR(Loans!A38,"")</f>
        <v>0</v>
      </c>
      <c r="E37" s="18">
        <f>IFERROR(Loans!E38,0)</f>
        <v>0</v>
      </c>
      <c r="F37" s="33">
        <f>IFERROR(Loans!D38,"")</f>
        <v>0</v>
      </c>
      <c r="G37" s="34">
        <f>IFERROR(Loans!I38,0)</f>
        <v>0</v>
      </c>
      <c r="H37" s="35">
        <f t="shared" si="3"/>
        <v>0</v>
      </c>
      <c r="I37" s="36">
        <f t="shared" ca="1" si="4"/>
        <v>46124</v>
      </c>
      <c r="J37" s="37" t="str">
        <f t="shared" ca="1" si="5"/>
        <v>⛔ PAR90+</v>
      </c>
      <c r="K37" s="15" t="str">
        <f>IFERROR(Loans!L38,0)</f>
        <v/>
      </c>
      <c r="L37" s="13" t="str">
        <f>IFERROR(Loans!K38,0)</f>
        <v/>
      </c>
      <c r="M37" s="38">
        <f>IF(A37="","",IFERROR(SUMIF(Int_Repayments!A$4:A$1003,A37,Int_Repayments!F$4:F$1003)-SUMIF(Interest_Engine!A$4:A$103,A37,Interest_Engine!AR$4:AR$103),0))</f>
        <v>0</v>
      </c>
      <c r="N37" s="12" t="str">
        <f ca="1">IFERROR(Loans!M38,"")</f>
        <v/>
      </c>
    </row>
    <row r="38" spans="1:14" ht="15.75" customHeight="1" x14ac:dyDescent="0.25">
      <c r="A38" s="18">
        <f>IFERROR(Loans!C39,"")</f>
        <v>0</v>
      </c>
      <c r="B38" s="31">
        <f>IFERROR(Loans!B39,"")</f>
        <v>0</v>
      </c>
      <c r="C38" s="32" t="str">
        <f>IF(A38="","",IFERROR(VLOOKUP(A38,Members!A4:E103,3,0),""))</f>
        <v/>
      </c>
      <c r="D38" s="32">
        <f>IFERROR(Loans!A39,"")</f>
        <v>0</v>
      </c>
      <c r="E38" s="18">
        <f>IFERROR(Loans!E39,0)</f>
        <v>0</v>
      </c>
      <c r="F38" s="33">
        <f>IFERROR(Loans!D39,"")</f>
        <v>0</v>
      </c>
      <c r="G38" s="34">
        <f>IFERROR(Loans!I39,0)</f>
        <v>0</v>
      </c>
      <c r="H38" s="35">
        <f t="shared" si="3"/>
        <v>0</v>
      </c>
      <c r="I38" s="36">
        <f t="shared" ca="1" si="4"/>
        <v>46124</v>
      </c>
      <c r="J38" s="37" t="str">
        <f t="shared" ca="1" si="5"/>
        <v>⛔ PAR90+</v>
      </c>
      <c r="K38" s="15" t="str">
        <f>IFERROR(Loans!L39,0)</f>
        <v/>
      </c>
      <c r="L38" s="13" t="str">
        <f>IFERROR(Loans!K39,0)</f>
        <v/>
      </c>
      <c r="M38" s="38">
        <f>IF(A38="","",IFERROR(SUMIF(Int_Repayments!A$4:A$1003,A38,Int_Repayments!F$4:F$1003)-SUMIF(Interest_Engine!A$4:A$103,A38,Interest_Engine!AR$4:AR$103),0))</f>
        <v>0</v>
      </c>
      <c r="N38" s="12" t="str">
        <f ca="1">IFERROR(Loans!M39,"")</f>
        <v/>
      </c>
    </row>
    <row r="39" spans="1:14" ht="15.75" customHeight="1" x14ac:dyDescent="0.25">
      <c r="A39" s="18">
        <f>IFERROR(Loans!C40,"")</f>
        <v>0</v>
      </c>
      <c r="B39" s="31">
        <f>IFERROR(Loans!B40,"")</f>
        <v>0</v>
      </c>
      <c r="C39" s="32" t="str">
        <f>IF(A39="","",IFERROR(VLOOKUP(A39,Members!A4:E103,3,0),""))</f>
        <v/>
      </c>
      <c r="D39" s="32">
        <f>IFERROR(Loans!A40,"")</f>
        <v>0</v>
      </c>
      <c r="E39" s="18">
        <f>IFERROR(Loans!E40,0)</f>
        <v>0</v>
      </c>
      <c r="F39" s="33">
        <f>IFERROR(Loans!D40,"")</f>
        <v>0</v>
      </c>
      <c r="G39" s="34">
        <f>IFERROR(Loans!I40,0)</f>
        <v>0</v>
      </c>
      <c r="H39" s="35">
        <f t="shared" si="3"/>
        <v>0</v>
      </c>
      <c r="I39" s="36">
        <f t="shared" ca="1" si="4"/>
        <v>46124</v>
      </c>
      <c r="J39" s="37" t="str">
        <f t="shared" ca="1" si="5"/>
        <v>⛔ PAR90+</v>
      </c>
      <c r="K39" s="15" t="str">
        <f>IFERROR(Loans!L40,0)</f>
        <v/>
      </c>
      <c r="L39" s="13" t="str">
        <f>IFERROR(Loans!K40,0)</f>
        <v/>
      </c>
      <c r="M39" s="38">
        <f>IF(A39="","",IFERROR(SUMIF(Int_Repayments!A$4:A$1003,A39,Int_Repayments!F$4:F$1003)-SUMIF(Interest_Engine!A$4:A$103,A39,Interest_Engine!AR$4:AR$103),0))</f>
        <v>0</v>
      </c>
      <c r="N39" s="12" t="str">
        <f ca="1">IFERROR(Loans!M40,"")</f>
        <v/>
      </c>
    </row>
    <row r="40" spans="1:14" ht="15.75" customHeight="1" x14ac:dyDescent="0.25">
      <c r="A40" s="18">
        <f>IFERROR(Loans!C41,"")</f>
        <v>0</v>
      </c>
      <c r="B40" s="31">
        <f>IFERROR(Loans!B41,"")</f>
        <v>0</v>
      </c>
      <c r="C40" s="32" t="str">
        <f>IF(A40="","",IFERROR(VLOOKUP(A40,Members!A4:E103,3,0),""))</f>
        <v/>
      </c>
      <c r="D40" s="32">
        <f>IFERROR(Loans!A41,"")</f>
        <v>0</v>
      </c>
      <c r="E40" s="18">
        <f>IFERROR(Loans!E41,0)</f>
        <v>0</v>
      </c>
      <c r="F40" s="33">
        <f>IFERROR(Loans!D41,"")</f>
        <v>0</v>
      </c>
      <c r="G40" s="34">
        <f>IFERROR(Loans!I41,0)</f>
        <v>0</v>
      </c>
      <c r="H40" s="35">
        <f t="shared" si="3"/>
        <v>0</v>
      </c>
      <c r="I40" s="36">
        <f t="shared" ca="1" si="4"/>
        <v>46124</v>
      </c>
      <c r="J40" s="37" t="str">
        <f t="shared" ca="1" si="5"/>
        <v>⛔ PAR90+</v>
      </c>
      <c r="K40" s="15" t="str">
        <f>IFERROR(Loans!L41,0)</f>
        <v/>
      </c>
      <c r="L40" s="13" t="str">
        <f>IFERROR(Loans!K41,0)</f>
        <v/>
      </c>
      <c r="M40" s="38">
        <f>IF(A40="","",IFERROR(SUMIF(Int_Repayments!A$4:A$1003,A40,Int_Repayments!F$4:F$1003)-SUMIF(Interest_Engine!A$4:A$103,A40,Interest_Engine!AR$4:AR$103),0))</f>
        <v>0</v>
      </c>
      <c r="N40" s="12" t="str">
        <f ca="1">IFERROR(Loans!M41,"")</f>
        <v/>
      </c>
    </row>
    <row r="41" spans="1:14" ht="15.75" customHeight="1" x14ac:dyDescent="0.25">
      <c r="A41" s="18">
        <f>IFERROR(Loans!C42,"")</f>
        <v>0</v>
      </c>
      <c r="B41" s="31">
        <f>IFERROR(Loans!B42,"")</f>
        <v>0</v>
      </c>
      <c r="C41" s="32" t="str">
        <f>IF(A41="","",IFERROR(VLOOKUP(A41,Members!A4:E103,3,0),""))</f>
        <v/>
      </c>
      <c r="D41" s="32">
        <f>IFERROR(Loans!A42,"")</f>
        <v>0</v>
      </c>
      <c r="E41" s="18">
        <f>IFERROR(Loans!E42,0)</f>
        <v>0</v>
      </c>
      <c r="F41" s="33">
        <f>IFERROR(Loans!D42,"")</f>
        <v>0</v>
      </c>
      <c r="G41" s="34">
        <f>IFERROR(Loans!I42,0)</f>
        <v>0</v>
      </c>
      <c r="H41" s="35">
        <f t="shared" si="3"/>
        <v>0</v>
      </c>
      <c r="I41" s="36">
        <f t="shared" ca="1" si="4"/>
        <v>46124</v>
      </c>
      <c r="J41" s="37" t="str">
        <f t="shared" ca="1" si="5"/>
        <v>⛔ PAR90+</v>
      </c>
      <c r="K41" s="15" t="str">
        <f>IFERROR(Loans!L42,0)</f>
        <v/>
      </c>
      <c r="L41" s="13" t="str">
        <f>IFERROR(Loans!K42,0)</f>
        <v/>
      </c>
      <c r="M41" s="38">
        <f>IF(A41="","",IFERROR(SUMIF(Int_Repayments!A$4:A$1003,A41,Int_Repayments!F$4:F$1003)-SUMIF(Interest_Engine!A$4:A$103,A41,Interest_Engine!AR$4:AR$103),0))</f>
        <v>0</v>
      </c>
      <c r="N41" s="12" t="str">
        <f ca="1">IFERROR(Loans!M42,"")</f>
        <v/>
      </c>
    </row>
    <row r="42" spans="1:14" ht="15.75" customHeight="1" x14ac:dyDescent="0.25">
      <c r="A42" s="18">
        <f>IFERROR(Loans!C43,"")</f>
        <v>0</v>
      </c>
      <c r="B42" s="31">
        <f>IFERROR(Loans!B43,"")</f>
        <v>0</v>
      </c>
      <c r="C42" s="32" t="str">
        <f>IF(A42="","",IFERROR(VLOOKUP(A42,Members!A4:E103,3,0),""))</f>
        <v/>
      </c>
      <c r="D42" s="32">
        <f>IFERROR(Loans!A43,"")</f>
        <v>0</v>
      </c>
      <c r="E42" s="18">
        <f>IFERROR(Loans!E43,0)</f>
        <v>0</v>
      </c>
      <c r="F42" s="33">
        <f>IFERROR(Loans!D43,"")</f>
        <v>0</v>
      </c>
      <c r="G42" s="34">
        <f>IFERROR(Loans!I43,0)</f>
        <v>0</v>
      </c>
      <c r="H42" s="35">
        <f t="shared" si="3"/>
        <v>0</v>
      </c>
      <c r="I42" s="36">
        <f t="shared" ca="1" si="4"/>
        <v>46124</v>
      </c>
      <c r="J42" s="37" t="str">
        <f t="shared" ca="1" si="5"/>
        <v>⛔ PAR90+</v>
      </c>
      <c r="K42" s="15" t="str">
        <f>IFERROR(Loans!L43,0)</f>
        <v/>
      </c>
      <c r="L42" s="13" t="str">
        <f>IFERROR(Loans!K43,0)</f>
        <v/>
      </c>
      <c r="M42" s="38">
        <f>IF(A42="","",IFERROR(SUMIF(Int_Repayments!A$4:A$1003,A42,Int_Repayments!F$4:F$1003)-SUMIF(Interest_Engine!A$4:A$103,A42,Interest_Engine!AR$4:AR$103),0))</f>
        <v>0</v>
      </c>
      <c r="N42" s="12" t="str">
        <f ca="1">IFERROR(Loans!M43,"")</f>
        <v/>
      </c>
    </row>
    <row r="43" spans="1:14" ht="15.75" customHeight="1" x14ac:dyDescent="0.25">
      <c r="A43" s="18">
        <f>IFERROR(Loans!C44,"")</f>
        <v>0</v>
      </c>
      <c r="B43" s="31">
        <f>IFERROR(Loans!B44,"")</f>
        <v>0</v>
      </c>
      <c r="C43" s="32" t="str">
        <f>IF(A43="","",IFERROR(VLOOKUP(A43,Members!A4:E103,3,0),""))</f>
        <v/>
      </c>
      <c r="D43" s="32">
        <f>IFERROR(Loans!A44,"")</f>
        <v>0</v>
      </c>
      <c r="E43" s="18">
        <f>IFERROR(Loans!E44,0)</f>
        <v>0</v>
      </c>
      <c r="F43" s="33">
        <f>IFERROR(Loans!D44,"")</f>
        <v>0</v>
      </c>
      <c r="G43" s="34">
        <f>IFERROR(Loans!I44,0)</f>
        <v>0</v>
      </c>
      <c r="H43" s="35">
        <f t="shared" si="3"/>
        <v>0</v>
      </c>
      <c r="I43" s="36">
        <f t="shared" ca="1" si="4"/>
        <v>46124</v>
      </c>
      <c r="J43" s="37" t="str">
        <f t="shared" ca="1" si="5"/>
        <v>⛔ PAR90+</v>
      </c>
      <c r="K43" s="15" t="str">
        <f>IFERROR(Loans!L44,0)</f>
        <v/>
      </c>
      <c r="L43" s="13" t="str">
        <f>IFERROR(Loans!K44,0)</f>
        <v/>
      </c>
      <c r="M43" s="38">
        <f>IF(A43="","",IFERROR(SUMIF(Int_Repayments!A$4:A$1003,A43,Int_Repayments!F$4:F$1003)-SUMIF(Interest_Engine!A$4:A$103,A43,Interest_Engine!AR$4:AR$103),0))</f>
        <v>0</v>
      </c>
      <c r="N43" s="12" t="str">
        <f ca="1">IFERROR(Loans!M44,"")</f>
        <v/>
      </c>
    </row>
    <row r="44" spans="1:14" ht="15.75" customHeight="1" x14ac:dyDescent="0.25">
      <c r="A44" s="18">
        <f>IFERROR(Loans!C45,"")</f>
        <v>0</v>
      </c>
      <c r="B44" s="31">
        <f>IFERROR(Loans!B45,"")</f>
        <v>0</v>
      </c>
      <c r="C44" s="32" t="str">
        <f>IF(A44="","",IFERROR(VLOOKUP(A44,Members!A4:E103,3,0),""))</f>
        <v/>
      </c>
      <c r="D44" s="32">
        <f>IFERROR(Loans!A45,"")</f>
        <v>0</v>
      </c>
      <c r="E44" s="18">
        <f>IFERROR(Loans!E45,0)</f>
        <v>0</v>
      </c>
      <c r="F44" s="33">
        <f>IFERROR(Loans!D45,"")</f>
        <v>0</v>
      </c>
      <c r="G44" s="34">
        <f>IFERROR(Loans!I45,0)</f>
        <v>0</v>
      </c>
      <c r="H44" s="35">
        <f t="shared" si="3"/>
        <v>0</v>
      </c>
      <c r="I44" s="36">
        <f t="shared" ca="1" si="4"/>
        <v>46124</v>
      </c>
      <c r="J44" s="37" t="str">
        <f t="shared" ca="1" si="5"/>
        <v>⛔ PAR90+</v>
      </c>
      <c r="K44" s="15" t="str">
        <f>IFERROR(Loans!L45,0)</f>
        <v/>
      </c>
      <c r="L44" s="13" t="str">
        <f>IFERROR(Loans!K45,0)</f>
        <v/>
      </c>
      <c r="M44" s="38">
        <f>IF(A44="","",IFERROR(SUMIF(Int_Repayments!A$4:A$1003,A44,Int_Repayments!F$4:F$1003)-SUMIF(Interest_Engine!A$4:A$103,A44,Interest_Engine!AR$4:AR$103),0))</f>
        <v>0</v>
      </c>
      <c r="N44" s="12" t="str">
        <f ca="1">IFERROR(Loans!M45,"")</f>
        <v/>
      </c>
    </row>
    <row r="45" spans="1:14" ht="15.75" customHeight="1" x14ac:dyDescent="0.25">
      <c r="A45" s="18">
        <f>IFERROR(Loans!C46,"")</f>
        <v>0</v>
      </c>
      <c r="B45" s="31">
        <f>IFERROR(Loans!B46,"")</f>
        <v>0</v>
      </c>
      <c r="C45" s="32" t="str">
        <f>IF(A45="","",IFERROR(VLOOKUP(A45,Members!A4:E103,3,0),""))</f>
        <v/>
      </c>
      <c r="D45" s="32">
        <f>IFERROR(Loans!A46,"")</f>
        <v>0</v>
      </c>
      <c r="E45" s="18">
        <f>IFERROR(Loans!E46,0)</f>
        <v>0</v>
      </c>
      <c r="F45" s="33">
        <f>IFERROR(Loans!D46,"")</f>
        <v>0</v>
      </c>
      <c r="G45" s="34">
        <f>IFERROR(Loans!I46,0)</f>
        <v>0</v>
      </c>
      <c r="H45" s="35">
        <f t="shared" si="3"/>
        <v>0</v>
      </c>
      <c r="I45" s="36">
        <f t="shared" ca="1" si="4"/>
        <v>46124</v>
      </c>
      <c r="J45" s="37" t="str">
        <f t="shared" ca="1" si="5"/>
        <v>⛔ PAR90+</v>
      </c>
      <c r="K45" s="15" t="str">
        <f>IFERROR(Loans!L46,0)</f>
        <v/>
      </c>
      <c r="L45" s="13" t="str">
        <f>IFERROR(Loans!K46,0)</f>
        <v/>
      </c>
      <c r="M45" s="38">
        <f>IF(A45="","",IFERROR(SUMIF(Int_Repayments!A$4:A$1003,A45,Int_Repayments!F$4:F$1003)-SUMIF(Interest_Engine!A$4:A$103,A45,Interest_Engine!AR$4:AR$103),0))</f>
        <v>0</v>
      </c>
      <c r="N45" s="12" t="str">
        <f ca="1">IFERROR(Loans!M46,"")</f>
        <v/>
      </c>
    </row>
    <row r="46" spans="1:14" ht="15.75" customHeight="1" x14ac:dyDescent="0.25">
      <c r="A46" s="18">
        <f>IFERROR(Loans!C47,"")</f>
        <v>0</v>
      </c>
      <c r="B46" s="31">
        <f>IFERROR(Loans!B47,"")</f>
        <v>0</v>
      </c>
      <c r="C46" s="32" t="str">
        <f>IF(A46="","",IFERROR(VLOOKUP(A46,Members!A4:E103,3,0),""))</f>
        <v/>
      </c>
      <c r="D46" s="32">
        <f>IFERROR(Loans!A47,"")</f>
        <v>0</v>
      </c>
      <c r="E46" s="18">
        <f>IFERROR(Loans!E47,0)</f>
        <v>0</v>
      </c>
      <c r="F46" s="33">
        <f>IFERROR(Loans!D47,"")</f>
        <v>0</v>
      </c>
      <c r="G46" s="34">
        <f>IFERROR(Loans!I47,0)</f>
        <v>0</v>
      </c>
      <c r="H46" s="35">
        <f t="shared" si="3"/>
        <v>0</v>
      </c>
      <c r="I46" s="36">
        <f t="shared" ca="1" si="4"/>
        <v>46124</v>
      </c>
      <c r="J46" s="37" t="str">
        <f t="shared" ca="1" si="5"/>
        <v>⛔ PAR90+</v>
      </c>
      <c r="K46" s="15" t="str">
        <f>IFERROR(Loans!L47,0)</f>
        <v/>
      </c>
      <c r="L46" s="13" t="str">
        <f>IFERROR(Loans!K47,0)</f>
        <v/>
      </c>
      <c r="M46" s="38">
        <f>IF(A46="","",IFERROR(SUMIF(Int_Repayments!A$4:A$1003,A46,Int_Repayments!F$4:F$1003)-SUMIF(Interest_Engine!A$4:A$103,A46,Interest_Engine!AR$4:AR$103),0))</f>
        <v>0</v>
      </c>
      <c r="N46" s="12" t="str">
        <f ca="1">IFERROR(Loans!M47,"")</f>
        <v/>
      </c>
    </row>
    <row r="47" spans="1:14" ht="15.75" customHeight="1" x14ac:dyDescent="0.25">
      <c r="A47" s="18">
        <f>IFERROR(Loans!C48,"")</f>
        <v>0</v>
      </c>
      <c r="B47" s="31">
        <f>IFERROR(Loans!B48,"")</f>
        <v>0</v>
      </c>
      <c r="C47" s="32" t="str">
        <f>IF(A47="","",IFERROR(VLOOKUP(A47,Members!A4:E103,3,0),""))</f>
        <v/>
      </c>
      <c r="D47" s="32">
        <f>IFERROR(Loans!A48,"")</f>
        <v>0</v>
      </c>
      <c r="E47" s="18">
        <f>IFERROR(Loans!E48,0)</f>
        <v>0</v>
      </c>
      <c r="F47" s="33">
        <f>IFERROR(Loans!D48,"")</f>
        <v>0</v>
      </c>
      <c r="G47" s="34">
        <f>IFERROR(Loans!I48,0)</f>
        <v>0</v>
      </c>
      <c r="H47" s="35">
        <f t="shared" si="3"/>
        <v>0</v>
      </c>
      <c r="I47" s="36">
        <f t="shared" ca="1" si="4"/>
        <v>46124</v>
      </c>
      <c r="J47" s="37" t="str">
        <f t="shared" ca="1" si="5"/>
        <v>⛔ PAR90+</v>
      </c>
      <c r="K47" s="15" t="str">
        <f>IFERROR(Loans!L48,0)</f>
        <v/>
      </c>
      <c r="L47" s="13" t="str">
        <f>IFERROR(Loans!K48,0)</f>
        <v/>
      </c>
      <c r="M47" s="38">
        <f>IF(A47="","",IFERROR(SUMIF(Int_Repayments!A$4:A$1003,A47,Int_Repayments!F$4:F$1003)-SUMIF(Interest_Engine!A$4:A$103,A47,Interest_Engine!AR$4:AR$103),0))</f>
        <v>0</v>
      </c>
      <c r="N47" s="12" t="str">
        <f ca="1">IFERROR(Loans!M48,"")</f>
        <v/>
      </c>
    </row>
    <row r="48" spans="1:14" ht="15.75" customHeight="1" x14ac:dyDescent="0.25">
      <c r="A48" s="18">
        <f>IFERROR(Loans!C49,"")</f>
        <v>0</v>
      </c>
      <c r="B48" s="31">
        <f>IFERROR(Loans!B49,"")</f>
        <v>0</v>
      </c>
      <c r="C48" s="32" t="str">
        <f>IF(A48="","",IFERROR(VLOOKUP(A48,Members!A4:E103,3,0),""))</f>
        <v/>
      </c>
      <c r="D48" s="32">
        <f>IFERROR(Loans!A49,"")</f>
        <v>0</v>
      </c>
      <c r="E48" s="18">
        <f>IFERROR(Loans!E49,0)</f>
        <v>0</v>
      </c>
      <c r="F48" s="33">
        <f>IFERROR(Loans!D49,"")</f>
        <v>0</v>
      </c>
      <c r="G48" s="34">
        <f>IFERROR(Loans!I49,0)</f>
        <v>0</v>
      </c>
      <c r="H48" s="35">
        <f t="shared" si="3"/>
        <v>0</v>
      </c>
      <c r="I48" s="36">
        <f t="shared" ca="1" si="4"/>
        <v>46124</v>
      </c>
      <c r="J48" s="37" t="str">
        <f t="shared" ca="1" si="5"/>
        <v>⛔ PAR90+</v>
      </c>
      <c r="K48" s="15" t="str">
        <f>IFERROR(Loans!L49,0)</f>
        <v/>
      </c>
      <c r="L48" s="13" t="str">
        <f>IFERROR(Loans!K49,0)</f>
        <v/>
      </c>
      <c r="M48" s="38">
        <f>IF(A48="","",IFERROR(SUMIF(Int_Repayments!A$4:A$1003,A48,Int_Repayments!F$4:F$1003)-SUMIF(Interest_Engine!A$4:A$103,A48,Interest_Engine!AR$4:AR$103),0))</f>
        <v>0</v>
      </c>
      <c r="N48" s="12" t="str">
        <f ca="1">IFERROR(Loans!M49,"")</f>
        <v/>
      </c>
    </row>
    <row r="49" spans="1:14" ht="15.75" customHeight="1" x14ac:dyDescent="0.25">
      <c r="A49" s="18">
        <f>IFERROR(Loans!C50,"")</f>
        <v>0</v>
      </c>
      <c r="B49" s="31">
        <f>IFERROR(Loans!B50,"")</f>
        <v>0</v>
      </c>
      <c r="C49" s="32" t="str">
        <f>IF(A49="","",IFERROR(VLOOKUP(A49,Members!A4:E103,3,0),""))</f>
        <v/>
      </c>
      <c r="D49" s="32">
        <f>IFERROR(Loans!A50,"")</f>
        <v>0</v>
      </c>
      <c r="E49" s="18">
        <f>IFERROR(Loans!E50,0)</f>
        <v>0</v>
      </c>
      <c r="F49" s="33">
        <f>IFERROR(Loans!D50,"")</f>
        <v>0</v>
      </c>
      <c r="G49" s="34">
        <f>IFERROR(Loans!I50,0)</f>
        <v>0</v>
      </c>
      <c r="H49" s="35">
        <f t="shared" si="3"/>
        <v>0</v>
      </c>
      <c r="I49" s="36">
        <f t="shared" ca="1" si="4"/>
        <v>46124</v>
      </c>
      <c r="J49" s="37" t="str">
        <f t="shared" ca="1" si="5"/>
        <v>⛔ PAR90+</v>
      </c>
      <c r="K49" s="15" t="str">
        <f>IFERROR(Loans!L50,0)</f>
        <v/>
      </c>
      <c r="L49" s="13" t="str">
        <f>IFERROR(Loans!K50,0)</f>
        <v/>
      </c>
      <c r="M49" s="38">
        <f>IF(A49="","",IFERROR(SUMIF(Int_Repayments!A$4:A$1003,A49,Int_Repayments!F$4:F$1003)-SUMIF(Interest_Engine!A$4:A$103,A49,Interest_Engine!AR$4:AR$103),0))</f>
        <v>0</v>
      </c>
      <c r="N49" s="12" t="str">
        <f ca="1">IFERROR(Loans!M50,"")</f>
        <v/>
      </c>
    </row>
    <row r="50" spans="1:14" ht="15.75" customHeight="1" x14ac:dyDescent="0.25">
      <c r="A50" s="18">
        <f>IFERROR(Loans!C51,"")</f>
        <v>0</v>
      </c>
      <c r="B50" s="31">
        <f>IFERROR(Loans!B51,"")</f>
        <v>0</v>
      </c>
      <c r="C50" s="32" t="str">
        <f>IF(A50="","",IFERROR(VLOOKUP(A50,Members!A4:E103,3,0),""))</f>
        <v/>
      </c>
      <c r="D50" s="32">
        <f>IFERROR(Loans!A51,"")</f>
        <v>0</v>
      </c>
      <c r="E50" s="18">
        <f>IFERROR(Loans!E51,0)</f>
        <v>0</v>
      </c>
      <c r="F50" s="33">
        <f>IFERROR(Loans!D51,"")</f>
        <v>0</v>
      </c>
      <c r="G50" s="34">
        <f>IFERROR(Loans!I51,0)</f>
        <v>0</v>
      </c>
      <c r="H50" s="35">
        <f t="shared" si="3"/>
        <v>0</v>
      </c>
      <c r="I50" s="36">
        <f t="shared" ca="1" si="4"/>
        <v>46124</v>
      </c>
      <c r="J50" s="37" t="str">
        <f t="shared" ca="1" si="5"/>
        <v>⛔ PAR90+</v>
      </c>
      <c r="K50" s="15" t="str">
        <f>IFERROR(Loans!L51,0)</f>
        <v/>
      </c>
      <c r="L50" s="13" t="str">
        <f>IFERROR(Loans!K51,0)</f>
        <v/>
      </c>
      <c r="M50" s="38">
        <f>IF(A50="","",IFERROR(SUMIF(Int_Repayments!A$4:A$1003,A50,Int_Repayments!F$4:F$1003)-SUMIF(Interest_Engine!A$4:A$103,A50,Interest_Engine!AR$4:AR$103),0))</f>
        <v>0</v>
      </c>
      <c r="N50" s="12" t="str">
        <f ca="1">IFERROR(Loans!M51,"")</f>
        <v/>
      </c>
    </row>
    <row r="51" spans="1:14" ht="15.75" customHeight="1" x14ac:dyDescent="0.25">
      <c r="A51" s="18">
        <f>IFERROR(Loans!C52,"")</f>
        <v>0</v>
      </c>
      <c r="B51" s="31">
        <f>IFERROR(Loans!B52,"")</f>
        <v>0</v>
      </c>
      <c r="C51" s="32" t="str">
        <f>IF(A51="","",IFERROR(VLOOKUP(A51,Members!A4:E103,3,0),""))</f>
        <v/>
      </c>
      <c r="D51" s="32">
        <f>IFERROR(Loans!A52,"")</f>
        <v>0</v>
      </c>
      <c r="E51" s="18">
        <f>IFERROR(Loans!E52,0)</f>
        <v>0</v>
      </c>
      <c r="F51" s="33">
        <f>IFERROR(Loans!D52,"")</f>
        <v>0</v>
      </c>
      <c r="G51" s="34">
        <f>IFERROR(Loans!I52,0)</f>
        <v>0</v>
      </c>
      <c r="H51" s="35">
        <f t="shared" si="3"/>
        <v>0</v>
      </c>
      <c r="I51" s="36">
        <f t="shared" ca="1" si="4"/>
        <v>46124</v>
      </c>
      <c r="J51" s="37" t="str">
        <f t="shared" ca="1" si="5"/>
        <v>⛔ PAR90+</v>
      </c>
      <c r="K51" s="15" t="str">
        <f>IFERROR(Loans!L52,0)</f>
        <v/>
      </c>
      <c r="L51" s="13" t="str">
        <f>IFERROR(Loans!K52,0)</f>
        <v/>
      </c>
      <c r="M51" s="38">
        <f>IF(A51="","",IFERROR(SUMIF(Int_Repayments!A$4:A$1003,A51,Int_Repayments!F$4:F$1003)-SUMIF(Interest_Engine!A$4:A$103,A51,Interest_Engine!AR$4:AR$103),0))</f>
        <v>0</v>
      </c>
      <c r="N51" s="12" t="str">
        <f ca="1">IFERROR(Loans!M52,"")</f>
        <v/>
      </c>
    </row>
    <row r="52" spans="1:14" ht="15.75" customHeight="1" x14ac:dyDescent="0.25">
      <c r="A52" s="18">
        <f>IFERROR(Loans!C53,"")</f>
        <v>0</v>
      </c>
      <c r="B52" s="31">
        <f>IFERROR(Loans!B53,"")</f>
        <v>0</v>
      </c>
      <c r="C52" s="32" t="str">
        <f>IF(A52="","",IFERROR(VLOOKUP(A52,Members!A4:E103,3,0),""))</f>
        <v/>
      </c>
      <c r="D52" s="32">
        <f>IFERROR(Loans!A53,"")</f>
        <v>0</v>
      </c>
      <c r="E52" s="18">
        <f>IFERROR(Loans!E53,0)</f>
        <v>0</v>
      </c>
      <c r="F52" s="33">
        <f>IFERROR(Loans!D53,"")</f>
        <v>0</v>
      </c>
      <c r="G52" s="34">
        <f>IFERROR(Loans!I53,0)</f>
        <v>0</v>
      </c>
      <c r="H52" s="35">
        <f t="shared" si="3"/>
        <v>0</v>
      </c>
      <c r="I52" s="36">
        <f t="shared" ca="1" si="4"/>
        <v>46124</v>
      </c>
      <c r="J52" s="37" t="str">
        <f t="shared" ca="1" si="5"/>
        <v>⛔ PAR90+</v>
      </c>
      <c r="K52" s="15" t="str">
        <f>IFERROR(Loans!L53,0)</f>
        <v/>
      </c>
      <c r="L52" s="13" t="str">
        <f>IFERROR(Loans!K53,0)</f>
        <v/>
      </c>
      <c r="M52" s="38">
        <f>IF(A52="","",IFERROR(SUMIF(Int_Repayments!A$4:A$1003,A52,Int_Repayments!F$4:F$1003)-SUMIF(Interest_Engine!A$4:A$103,A52,Interest_Engine!AR$4:AR$103),0))</f>
        <v>0</v>
      </c>
      <c r="N52" s="12" t="str">
        <f ca="1">IFERROR(Loans!M53,"")</f>
        <v/>
      </c>
    </row>
    <row r="53" spans="1:14" ht="15.75" customHeight="1" x14ac:dyDescent="0.25">
      <c r="A53" s="18">
        <f>IFERROR(Loans!C54,"")</f>
        <v>0</v>
      </c>
      <c r="B53" s="31">
        <f>IFERROR(Loans!B54,"")</f>
        <v>0</v>
      </c>
      <c r="C53" s="32" t="str">
        <f>IF(A53="","",IFERROR(VLOOKUP(A53,Members!A4:E103,3,0),""))</f>
        <v/>
      </c>
      <c r="D53" s="32">
        <f>IFERROR(Loans!A54,"")</f>
        <v>0</v>
      </c>
      <c r="E53" s="18">
        <f>IFERROR(Loans!E54,0)</f>
        <v>0</v>
      </c>
      <c r="F53" s="33">
        <f>IFERROR(Loans!D54,"")</f>
        <v>0</v>
      </c>
      <c r="G53" s="34">
        <f>IFERROR(Loans!I54,0)</f>
        <v>0</v>
      </c>
      <c r="H53" s="35">
        <f t="shared" si="3"/>
        <v>0</v>
      </c>
      <c r="I53" s="36">
        <f t="shared" ca="1" si="4"/>
        <v>46124</v>
      </c>
      <c r="J53" s="37" t="str">
        <f t="shared" ca="1" si="5"/>
        <v>⛔ PAR90+</v>
      </c>
      <c r="K53" s="15" t="str">
        <f>IFERROR(Loans!L54,0)</f>
        <v/>
      </c>
      <c r="L53" s="13" t="str">
        <f>IFERROR(Loans!K54,0)</f>
        <v/>
      </c>
      <c r="M53" s="38">
        <f>IF(A53="","",IFERROR(SUMIF(Int_Repayments!A$4:A$1003,A53,Int_Repayments!F$4:F$1003)-SUMIF(Interest_Engine!A$4:A$103,A53,Interest_Engine!AR$4:AR$103),0))</f>
        <v>0</v>
      </c>
      <c r="N53" s="12" t="str">
        <f ca="1">IFERROR(Loans!M54,"")</f>
        <v/>
      </c>
    </row>
    <row r="54" spans="1:14" ht="15.75" customHeight="1" x14ac:dyDescent="0.25">
      <c r="A54" s="18">
        <f>IFERROR(Loans!C55,"")</f>
        <v>0</v>
      </c>
      <c r="B54" s="31">
        <f>IFERROR(Loans!B55,"")</f>
        <v>0</v>
      </c>
      <c r="C54" s="32" t="str">
        <f>IF(A54="","",IFERROR(VLOOKUP(A54,Members!A4:E103,3,0),""))</f>
        <v/>
      </c>
      <c r="D54" s="32">
        <f>IFERROR(Loans!A55,"")</f>
        <v>0</v>
      </c>
      <c r="E54" s="18">
        <f>IFERROR(Loans!E55,0)</f>
        <v>0</v>
      </c>
      <c r="F54" s="33">
        <f>IFERROR(Loans!D55,"")</f>
        <v>0</v>
      </c>
      <c r="G54" s="34">
        <f>IFERROR(Loans!I55,0)</f>
        <v>0</v>
      </c>
      <c r="H54" s="35">
        <f t="shared" si="3"/>
        <v>0</v>
      </c>
      <c r="I54" s="36">
        <f t="shared" ca="1" si="4"/>
        <v>46124</v>
      </c>
      <c r="J54" s="37" t="str">
        <f t="shared" ca="1" si="5"/>
        <v>⛔ PAR90+</v>
      </c>
      <c r="K54" s="15" t="str">
        <f>IFERROR(Loans!L55,0)</f>
        <v/>
      </c>
      <c r="L54" s="13" t="str">
        <f>IFERROR(Loans!K55,0)</f>
        <v/>
      </c>
      <c r="M54" s="38">
        <f>IF(A54="","",IFERROR(SUMIF(Int_Repayments!A$4:A$1003,A54,Int_Repayments!F$4:F$1003)-SUMIF(Interest_Engine!A$4:A$103,A54,Interest_Engine!AR$4:AR$103),0))</f>
        <v>0</v>
      </c>
      <c r="N54" s="12" t="str">
        <f ca="1">IFERROR(Loans!M55,"")</f>
        <v/>
      </c>
    </row>
    <row r="55" spans="1:14" ht="15.75" customHeight="1" x14ac:dyDescent="0.25">
      <c r="A55" s="18">
        <f>IFERROR(Loans!C56,"")</f>
        <v>0</v>
      </c>
      <c r="B55" s="31">
        <f>IFERROR(Loans!B56,"")</f>
        <v>0</v>
      </c>
      <c r="C55" s="32" t="str">
        <f>IF(A55="","",IFERROR(VLOOKUP(A55,Members!A4:E103,3,0),""))</f>
        <v/>
      </c>
      <c r="D55" s="32">
        <f>IFERROR(Loans!A56,"")</f>
        <v>0</v>
      </c>
      <c r="E55" s="18">
        <f>IFERROR(Loans!E56,0)</f>
        <v>0</v>
      </c>
      <c r="F55" s="33">
        <f>IFERROR(Loans!D56,"")</f>
        <v>0</v>
      </c>
      <c r="G55" s="34">
        <f>IFERROR(Loans!I56,0)</f>
        <v>0</v>
      </c>
      <c r="H55" s="35">
        <f t="shared" si="3"/>
        <v>0</v>
      </c>
      <c r="I55" s="36">
        <f t="shared" ca="1" si="4"/>
        <v>46124</v>
      </c>
      <c r="J55" s="37" t="str">
        <f t="shared" ca="1" si="5"/>
        <v>⛔ PAR90+</v>
      </c>
      <c r="K55" s="15" t="str">
        <f>IFERROR(Loans!L56,0)</f>
        <v/>
      </c>
      <c r="L55" s="13" t="str">
        <f>IFERROR(Loans!K56,0)</f>
        <v/>
      </c>
      <c r="M55" s="38">
        <f>IF(A55="","",IFERROR(SUMIF(Int_Repayments!A$4:A$1003,A55,Int_Repayments!F$4:F$1003)-SUMIF(Interest_Engine!A$4:A$103,A55,Interest_Engine!AR$4:AR$103),0))</f>
        <v>0</v>
      </c>
      <c r="N55" s="12" t="str">
        <f ca="1">IFERROR(Loans!M56,"")</f>
        <v/>
      </c>
    </row>
    <row r="56" spans="1:14" ht="15.75" customHeight="1" x14ac:dyDescent="0.25">
      <c r="A56" s="18">
        <f>IFERROR(Loans!C57,"")</f>
        <v>0</v>
      </c>
      <c r="B56" s="31">
        <f>IFERROR(Loans!B57,"")</f>
        <v>0</v>
      </c>
      <c r="C56" s="32" t="str">
        <f>IF(A56="","",IFERROR(VLOOKUP(A56,Members!A4:E103,3,0),""))</f>
        <v/>
      </c>
      <c r="D56" s="32">
        <f>IFERROR(Loans!A57,"")</f>
        <v>0</v>
      </c>
      <c r="E56" s="18">
        <f>IFERROR(Loans!E57,0)</f>
        <v>0</v>
      </c>
      <c r="F56" s="33">
        <f>IFERROR(Loans!D57,"")</f>
        <v>0</v>
      </c>
      <c r="G56" s="34">
        <f>IFERROR(Loans!I57,0)</f>
        <v>0</v>
      </c>
      <c r="H56" s="35">
        <f t="shared" si="3"/>
        <v>0</v>
      </c>
      <c r="I56" s="36">
        <f t="shared" ca="1" si="4"/>
        <v>46124</v>
      </c>
      <c r="J56" s="37" t="str">
        <f t="shared" ca="1" si="5"/>
        <v>⛔ PAR90+</v>
      </c>
      <c r="K56" s="15" t="str">
        <f>IFERROR(Loans!L57,0)</f>
        <v/>
      </c>
      <c r="L56" s="13" t="str">
        <f>IFERROR(Loans!K57,0)</f>
        <v/>
      </c>
      <c r="M56" s="38">
        <f>IF(A56="","",IFERROR(SUMIF(Int_Repayments!A$4:A$1003,A56,Int_Repayments!F$4:F$1003)-SUMIF(Interest_Engine!A$4:A$103,A56,Interest_Engine!AR$4:AR$103),0))</f>
        <v>0</v>
      </c>
      <c r="N56" s="12" t="str">
        <f ca="1">IFERROR(Loans!M57,"")</f>
        <v/>
      </c>
    </row>
    <row r="57" spans="1:14" ht="15.75" customHeight="1" x14ac:dyDescent="0.25">
      <c r="A57" s="18">
        <f>IFERROR(Loans!C58,"")</f>
        <v>0</v>
      </c>
      <c r="B57" s="31">
        <f>IFERROR(Loans!B58,"")</f>
        <v>0</v>
      </c>
      <c r="C57" s="32" t="str">
        <f>IF(A57="","",IFERROR(VLOOKUP(A57,Members!A4:E103,3,0),""))</f>
        <v/>
      </c>
      <c r="D57" s="32">
        <f>IFERROR(Loans!A58,"")</f>
        <v>0</v>
      </c>
      <c r="E57" s="18">
        <f>IFERROR(Loans!E58,0)</f>
        <v>0</v>
      </c>
      <c r="F57" s="33">
        <f>IFERROR(Loans!D58,"")</f>
        <v>0</v>
      </c>
      <c r="G57" s="34">
        <f>IFERROR(Loans!I58,0)</f>
        <v>0</v>
      </c>
      <c r="H57" s="35">
        <f t="shared" si="3"/>
        <v>0</v>
      </c>
      <c r="I57" s="36">
        <f t="shared" ca="1" si="4"/>
        <v>46124</v>
      </c>
      <c r="J57" s="37" t="str">
        <f t="shared" ca="1" si="5"/>
        <v>⛔ PAR90+</v>
      </c>
      <c r="K57" s="15" t="str">
        <f>IFERROR(Loans!L58,0)</f>
        <v/>
      </c>
      <c r="L57" s="13" t="str">
        <f>IFERROR(Loans!K58,0)</f>
        <v/>
      </c>
      <c r="M57" s="38">
        <f>IF(A57="","",IFERROR(SUMIF(Int_Repayments!A$4:A$1003,A57,Int_Repayments!F$4:F$1003)-SUMIF(Interest_Engine!A$4:A$103,A57,Interest_Engine!AR$4:AR$103),0))</f>
        <v>0</v>
      </c>
      <c r="N57" s="12" t="str">
        <f ca="1">IFERROR(Loans!M58,"")</f>
        <v/>
      </c>
    </row>
    <row r="58" spans="1:14" ht="15.75" customHeight="1" x14ac:dyDescent="0.25">
      <c r="A58" s="18">
        <f>IFERROR(Loans!C59,"")</f>
        <v>0</v>
      </c>
      <c r="B58" s="31">
        <f>IFERROR(Loans!B59,"")</f>
        <v>0</v>
      </c>
      <c r="C58" s="32" t="str">
        <f>IF(A58="","",IFERROR(VLOOKUP(A58,Members!A4:E103,3,0),""))</f>
        <v/>
      </c>
      <c r="D58" s="32">
        <f>IFERROR(Loans!A59,"")</f>
        <v>0</v>
      </c>
      <c r="E58" s="18">
        <f>IFERROR(Loans!E59,0)</f>
        <v>0</v>
      </c>
      <c r="F58" s="33">
        <f>IFERROR(Loans!D59,"")</f>
        <v>0</v>
      </c>
      <c r="G58" s="34">
        <f>IFERROR(Loans!I59,0)</f>
        <v>0</v>
      </c>
      <c r="H58" s="35">
        <f t="shared" si="3"/>
        <v>0</v>
      </c>
      <c r="I58" s="36">
        <f t="shared" ca="1" si="4"/>
        <v>46124</v>
      </c>
      <c r="J58" s="37" t="str">
        <f t="shared" ca="1" si="5"/>
        <v>⛔ PAR90+</v>
      </c>
      <c r="K58" s="15" t="str">
        <f>IFERROR(Loans!L59,0)</f>
        <v/>
      </c>
      <c r="L58" s="13" t="str">
        <f>IFERROR(Loans!K59,0)</f>
        <v/>
      </c>
      <c r="M58" s="38">
        <f>IF(A58="","",IFERROR(SUMIF(Int_Repayments!A$4:A$1003,A58,Int_Repayments!F$4:F$1003)-SUMIF(Interest_Engine!A$4:A$103,A58,Interest_Engine!AR$4:AR$103),0))</f>
        <v>0</v>
      </c>
      <c r="N58" s="12" t="str">
        <f ca="1">IFERROR(Loans!M59,"")</f>
        <v/>
      </c>
    </row>
    <row r="59" spans="1:14" ht="15.75" customHeight="1" x14ac:dyDescent="0.25">
      <c r="A59" s="18">
        <f>IFERROR(Loans!C60,"")</f>
        <v>0</v>
      </c>
      <c r="B59" s="31">
        <f>IFERROR(Loans!B60,"")</f>
        <v>0</v>
      </c>
      <c r="C59" s="32" t="str">
        <f>IF(A59="","",IFERROR(VLOOKUP(A59,Members!A4:E103,3,0),""))</f>
        <v/>
      </c>
      <c r="D59" s="32">
        <f>IFERROR(Loans!A60,"")</f>
        <v>0</v>
      </c>
      <c r="E59" s="18">
        <f>IFERROR(Loans!E60,0)</f>
        <v>0</v>
      </c>
      <c r="F59" s="33">
        <f>IFERROR(Loans!D60,"")</f>
        <v>0</v>
      </c>
      <c r="G59" s="34">
        <f>IFERROR(Loans!I60,0)</f>
        <v>0</v>
      </c>
      <c r="H59" s="35">
        <f t="shared" si="3"/>
        <v>0</v>
      </c>
      <c r="I59" s="36">
        <f t="shared" ca="1" si="4"/>
        <v>46124</v>
      </c>
      <c r="J59" s="37" t="str">
        <f t="shared" ca="1" si="5"/>
        <v>⛔ PAR90+</v>
      </c>
      <c r="K59" s="15" t="str">
        <f>IFERROR(Loans!L60,0)</f>
        <v/>
      </c>
      <c r="L59" s="13" t="str">
        <f>IFERROR(Loans!K60,0)</f>
        <v/>
      </c>
      <c r="M59" s="38">
        <f>IF(A59="","",IFERROR(SUMIF(Int_Repayments!A$4:A$1003,A59,Int_Repayments!F$4:F$1003)-SUMIF(Interest_Engine!A$4:A$103,A59,Interest_Engine!AR$4:AR$103),0))</f>
        <v>0</v>
      </c>
      <c r="N59" s="12" t="str">
        <f ca="1">IFERROR(Loans!M60,"")</f>
        <v/>
      </c>
    </row>
    <row r="60" spans="1:14" ht="15.75" customHeight="1" x14ac:dyDescent="0.25">
      <c r="A60" s="18">
        <f>IFERROR(Loans!C61,"")</f>
        <v>0</v>
      </c>
      <c r="B60" s="31">
        <f>IFERROR(Loans!B61,"")</f>
        <v>0</v>
      </c>
      <c r="C60" s="32" t="str">
        <f>IF(A60="","",IFERROR(VLOOKUP(A60,Members!A4:E103,3,0),""))</f>
        <v/>
      </c>
      <c r="D60" s="32">
        <f>IFERROR(Loans!A61,"")</f>
        <v>0</v>
      </c>
      <c r="E60" s="18">
        <f>IFERROR(Loans!E61,0)</f>
        <v>0</v>
      </c>
      <c r="F60" s="33">
        <f>IFERROR(Loans!D61,"")</f>
        <v>0</v>
      </c>
      <c r="G60" s="34">
        <f>IFERROR(Loans!I61,0)</f>
        <v>0</v>
      </c>
      <c r="H60" s="35">
        <f t="shared" si="3"/>
        <v>0</v>
      </c>
      <c r="I60" s="36">
        <f t="shared" ca="1" si="4"/>
        <v>46124</v>
      </c>
      <c r="J60" s="37" t="str">
        <f t="shared" ca="1" si="5"/>
        <v>⛔ PAR90+</v>
      </c>
      <c r="K60" s="15" t="str">
        <f>IFERROR(Loans!L61,0)</f>
        <v/>
      </c>
      <c r="L60" s="13" t="str">
        <f>IFERROR(Loans!K61,0)</f>
        <v/>
      </c>
      <c r="M60" s="38">
        <f>IF(A60="","",IFERROR(SUMIF(Int_Repayments!A$4:A$1003,A60,Int_Repayments!F$4:F$1003)-SUMIF(Interest_Engine!A$4:A$103,A60,Interest_Engine!AR$4:AR$103),0))</f>
        <v>0</v>
      </c>
      <c r="N60" s="12" t="str">
        <f ca="1">IFERROR(Loans!M61,"")</f>
        <v/>
      </c>
    </row>
    <row r="61" spans="1:14" ht="15.75" customHeight="1" x14ac:dyDescent="0.25">
      <c r="A61" s="18">
        <f>IFERROR(Loans!C62,"")</f>
        <v>0</v>
      </c>
      <c r="B61" s="31">
        <f>IFERROR(Loans!B62,"")</f>
        <v>0</v>
      </c>
      <c r="C61" s="32" t="str">
        <f>IF(A61="","",IFERROR(VLOOKUP(A61,Members!A4:E103,3,0),""))</f>
        <v/>
      </c>
      <c r="D61" s="32">
        <f>IFERROR(Loans!A62,"")</f>
        <v>0</v>
      </c>
      <c r="E61" s="18">
        <f>IFERROR(Loans!E62,0)</f>
        <v>0</v>
      </c>
      <c r="F61" s="33">
        <f>IFERROR(Loans!D62,"")</f>
        <v>0</v>
      </c>
      <c r="G61" s="34">
        <f>IFERROR(Loans!I62,0)</f>
        <v>0</v>
      </c>
      <c r="H61" s="35">
        <f t="shared" si="3"/>
        <v>0</v>
      </c>
      <c r="I61" s="36">
        <f t="shared" ca="1" si="4"/>
        <v>46124</v>
      </c>
      <c r="J61" s="37" t="str">
        <f t="shared" ca="1" si="5"/>
        <v>⛔ PAR90+</v>
      </c>
      <c r="K61" s="15" t="str">
        <f>IFERROR(Loans!L62,0)</f>
        <v/>
      </c>
      <c r="L61" s="13" t="str">
        <f>IFERROR(Loans!K62,0)</f>
        <v/>
      </c>
      <c r="M61" s="38">
        <f>IF(A61="","",IFERROR(SUMIF(Int_Repayments!A$4:A$1003,A61,Int_Repayments!F$4:F$1003)-SUMIF(Interest_Engine!A$4:A$103,A61,Interest_Engine!AR$4:AR$103),0))</f>
        <v>0</v>
      </c>
      <c r="N61" s="12" t="str">
        <f ca="1">IFERROR(Loans!M62,"")</f>
        <v/>
      </c>
    </row>
    <row r="62" spans="1:14" ht="15.75" customHeight="1" x14ac:dyDescent="0.25">
      <c r="A62" s="18">
        <f>IFERROR(Loans!C63,"")</f>
        <v>0</v>
      </c>
      <c r="B62" s="31">
        <f>IFERROR(Loans!B63,"")</f>
        <v>0</v>
      </c>
      <c r="C62" s="32" t="str">
        <f>IF(A62="","",IFERROR(VLOOKUP(A62,Members!A4:E103,3,0),""))</f>
        <v/>
      </c>
      <c r="D62" s="32">
        <f>IFERROR(Loans!A63,"")</f>
        <v>0</v>
      </c>
      <c r="E62" s="18">
        <f>IFERROR(Loans!E63,0)</f>
        <v>0</v>
      </c>
      <c r="F62" s="33">
        <f>IFERROR(Loans!D63,"")</f>
        <v>0</v>
      </c>
      <c r="G62" s="34">
        <f>IFERROR(Loans!I63,0)</f>
        <v>0</v>
      </c>
      <c r="H62" s="35">
        <f t="shared" si="3"/>
        <v>0</v>
      </c>
      <c r="I62" s="36">
        <f t="shared" ca="1" si="4"/>
        <v>46124</v>
      </c>
      <c r="J62" s="37" t="str">
        <f t="shared" ca="1" si="5"/>
        <v>⛔ PAR90+</v>
      </c>
      <c r="K62" s="15" t="str">
        <f>IFERROR(Loans!L63,0)</f>
        <v/>
      </c>
      <c r="L62" s="13" t="str">
        <f>IFERROR(Loans!K63,0)</f>
        <v/>
      </c>
      <c r="M62" s="38">
        <f>IF(A62="","",IFERROR(SUMIF(Int_Repayments!A$4:A$1003,A62,Int_Repayments!F$4:F$1003)-SUMIF(Interest_Engine!A$4:A$103,A62,Interest_Engine!AR$4:AR$103),0))</f>
        <v>0</v>
      </c>
      <c r="N62" s="12" t="str">
        <f ca="1">IFERROR(Loans!M63,"")</f>
        <v/>
      </c>
    </row>
    <row r="63" spans="1:14" ht="15.75" customHeight="1" x14ac:dyDescent="0.25">
      <c r="A63" s="18">
        <f>IFERROR(Loans!C64,"")</f>
        <v>0</v>
      </c>
      <c r="B63" s="31">
        <f>IFERROR(Loans!B64,"")</f>
        <v>0</v>
      </c>
      <c r="C63" s="32" t="str">
        <f>IF(A63="","",IFERROR(VLOOKUP(A63,Members!A4:E103,3,0),""))</f>
        <v/>
      </c>
      <c r="D63" s="32">
        <f>IFERROR(Loans!A64,"")</f>
        <v>0</v>
      </c>
      <c r="E63" s="18">
        <f>IFERROR(Loans!E64,0)</f>
        <v>0</v>
      </c>
      <c r="F63" s="33">
        <f>IFERROR(Loans!D64,"")</f>
        <v>0</v>
      </c>
      <c r="G63" s="34">
        <f>IFERROR(Loans!I64,0)</f>
        <v>0</v>
      </c>
      <c r="H63" s="35">
        <f t="shared" si="3"/>
        <v>0</v>
      </c>
      <c r="I63" s="36">
        <f t="shared" ca="1" si="4"/>
        <v>46124</v>
      </c>
      <c r="J63" s="37" t="str">
        <f t="shared" ca="1" si="5"/>
        <v>⛔ PAR90+</v>
      </c>
      <c r="K63" s="15" t="str">
        <f>IFERROR(Loans!L64,0)</f>
        <v/>
      </c>
      <c r="L63" s="13" t="str">
        <f>IFERROR(Loans!K64,0)</f>
        <v/>
      </c>
      <c r="M63" s="38">
        <f>IF(A63="","",IFERROR(SUMIF(Int_Repayments!A$4:A$1003,A63,Int_Repayments!F$4:F$1003)-SUMIF(Interest_Engine!A$4:A$103,A63,Interest_Engine!AR$4:AR$103),0))</f>
        <v>0</v>
      </c>
      <c r="N63" s="12" t="str">
        <f ca="1">IFERROR(Loans!M64,"")</f>
        <v/>
      </c>
    </row>
    <row r="64" spans="1:14" ht="15.75" customHeight="1" x14ac:dyDescent="0.25">
      <c r="A64" s="18">
        <f>IFERROR(Loans!C65,"")</f>
        <v>0</v>
      </c>
      <c r="B64" s="31">
        <f>IFERROR(Loans!B65,"")</f>
        <v>0</v>
      </c>
      <c r="C64" s="32" t="str">
        <f>IF(A64="","",IFERROR(VLOOKUP(A64,Members!A4:E103,3,0),""))</f>
        <v/>
      </c>
      <c r="D64" s="32">
        <f>IFERROR(Loans!A65,"")</f>
        <v>0</v>
      </c>
      <c r="E64" s="18">
        <f>IFERROR(Loans!E65,0)</f>
        <v>0</v>
      </c>
      <c r="F64" s="33">
        <f>IFERROR(Loans!D65,"")</f>
        <v>0</v>
      </c>
      <c r="G64" s="34">
        <f>IFERROR(Loans!I65,0)</f>
        <v>0</v>
      </c>
      <c r="H64" s="35">
        <f t="shared" si="3"/>
        <v>0</v>
      </c>
      <c r="I64" s="36">
        <f t="shared" ca="1" si="4"/>
        <v>46124</v>
      </c>
      <c r="J64" s="37" t="str">
        <f t="shared" ca="1" si="5"/>
        <v>⛔ PAR90+</v>
      </c>
      <c r="K64" s="15" t="str">
        <f>IFERROR(Loans!L65,0)</f>
        <v/>
      </c>
      <c r="L64" s="13" t="str">
        <f>IFERROR(Loans!K65,0)</f>
        <v/>
      </c>
      <c r="M64" s="38">
        <f>IF(A64="","",IFERROR(SUMIF(Int_Repayments!A$4:A$1003,A64,Int_Repayments!F$4:F$1003)-SUMIF(Interest_Engine!A$4:A$103,A64,Interest_Engine!AR$4:AR$103),0))</f>
        <v>0</v>
      </c>
      <c r="N64" s="12" t="str">
        <f ca="1">IFERROR(Loans!M65,"")</f>
        <v/>
      </c>
    </row>
    <row r="65" spans="1:14" ht="15.75" customHeight="1" x14ac:dyDescent="0.25">
      <c r="A65" s="18">
        <f>IFERROR(Loans!C66,"")</f>
        <v>0</v>
      </c>
      <c r="B65" s="31">
        <f>IFERROR(Loans!B66,"")</f>
        <v>0</v>
      </c>
      <c r="C65" s="32" t="str">
        <f>IF(A65="","",IFERROR(VLOOKUP(A65,Members!A4:E103,3,0),""))</f>
        <v/>
      </c>
      <c r="D65" s="32">
        <f>IFERROR(Loans!A66,"")</f>
        <v>0</v>
      </c>
      <c r="E65" s="18">
        <f>IFERROR(Loans!E66,0)</f>
        <v>0</v>
      </c>
      <c r="F65" s="33">
        <f>IFERROR(Loans!D66,"")</f>
        <v>0</v>
      </c>
      <c r="G65" s="34">
        <f>IFERROR(Loans!I66,0)</f>
        <v>0</v>
      </c>
      <c r="H65" s="35">
        <f t="shared" si="3"/>
        <v>0</v>
      </c>
      <c r="I65" s="36">
        <f t="shared" ca="1" si="4"/>
        <v>46124</v>
      </c>
      <c r="J65" s="37" t="str">
        <f t="shared" ca="1" si="5"/>
        <v>⛔ PAR90+</v>
      </c>
      <c r="K65" s="15" t="str">
        <f>IFERROR(Loans!L66,0)</f>
        <v/>
      </c>
      <c r="L65" s="13" t="str">
        <f>IFERROR(Loans!K66,0)</f>
        <v/>
      </c>
      <c r="M65" s="38">
        <f>IF(A65="","",IFERROR(SUMIF(Int_Repayments!A$4:A$1003,A65,Int_Repayments!F$4:F$1003)-SUMIF(Interest_Engine!A$4:A$103,A65,Interest_Engine!AR$4:AR$103),0))</f>
        <v>0</v>
      </c>
      <c r="N65" s="12" t="str">
        <f ca="1">IFERROR(Loans!M66,"")</f>
        <v/>
      </c>
    </row>
    <row r="66" spans="1:14" ht="15.75" customHeight="1" x14ac:dyDescent="0.25">
      <c r="A66" s="18">
        <f>IFERROR(Loans!C67,"")</f>
        <v>0</v>
      </c>
      <c r="B66" s="31">
        <f>IFERROR(Loans!B67,"")</f>
        <v>0</v>
      </c>
      <c r="C66" s="32" t="str">
        <f>IF(A66="","",IFERROR(VLOOKUP(A66,Members!A4:E103,3,0),""))</f>
        <v/>
      </c>
      <c r="D66" s="32">
        <f>IFERROR(Loans!A67,"")</f>
        <v>0</v>
      </c>
      <c r="E66" s="18">
        <f>IFERROR(Loans!E67,0)</f>
        <v>0</v>
      </c>
      <c r="F66" s="33">
        <f>IFERROR(Loans!D67,"")</f>
        <v>0</v>
      </c>
      <c r="G66" s="34">
        <f>IFERROR(Loans!I67,0)</f>
        <v>0</v>
      </c>
      <c r="H66" s="35">
        <f t="shared" si="3"/>
        <v>0</v>
      </c>
      <c r="I66" s="36">
        <f t="shared" ca="1" si="4"/>
        <v>46124</v>
      </c>
      <c r="J66" s="37" t="str">
        <f t="shared" ca="1" si="5"/>
        <v>⛔ PAR90+</v>
      </c>
      <c r="K66" s="15" t="str">
        <f>IFERROR(Loans!L67,0)</f>
        <v/>
      </c>
      <c r="L66" s="13" t="str">
        <f>IFERROR(Loans!K67,0)</f>
        <v/>
      </c>
      <c r="M66" s="38">
        <f>IF(A66="","",IFERROR(SUMIF(Int_Repayments!A$4:A$1003,A66,Int_Repayments!F$4:F$1003)-SUMIF(Interest_Engine!A$4:A$103,A66,Interest_Engine!AR$4:AR$103),0))</f>
        <v>0</v>
      </c>
      <c r="N66" s="12" t="str">
        <f ca="1">IFERROR(Loans!M67,"")</f>
        <v/>
      </c>
    </row>
    <row r="67" spans="1:14" ht="15.75" customHeight="1" x14ac:dyDescent="0.25">
      <c r="A67" s="18">
        <f>IFERROR(Loans!C68,"")</f>
        <v>0</v>
      </c>
      <c r="B67" s="31">
        <f>IFERROR(Loans!B68,"")</f>
        <v>0</v>
      </c>
      <c r="C67" s="32" t="str">
        <f>IF(A67="","",IFERROR(VLOOKUP(A67,Members!A4:E103,3,0),""))</f>
        <v/>
      </c>
      <c r="D67" s="32">
        <f>IFERROR(Loans!A68,"")</f>
        <v>0</v>
      </c>
      <c r="E67" s="18">
        <f>IFERROR(Loans!E68,0)</f>
        <v>0</v>
      </c>
      <c r="F67" s="33">
        <f>IFERROR(Loans!D68,"")</f>
        <v>0</v>
      </c>
      <c r="G67" s="34">
        <f>IFERROR(Loans!I68,0)</f>
        <v>0</v>
      </c>
      <c r="H67" s="35">
        <f t="shared" ref="H67:H98" si="6">IF(F67="","",IF(ISNUMBER(F67),F67+G67*30,""))</f>
        <v>0</v>
      </c>
      <c r="I67" s="36">
        <f t="shared" ref="I67:I98" ca="1" si="7">IF(OR(H67="",NOT(ISNUMBER(H67))),"",MAX(0,TODAY()-H67))</f>
        <v>46124</v>
      </c>
      <c r="J67" s="37" t="str">
        <f t="shared" ref="J67:J98" ca="1" si="8">IF(OR(I67="",I67=""),"",IF(I67&lt;=0,"🟢 Current",IF(I67&lt;=30,"🟡 PAR30",IF(I67&lt;=60,"🟠 PAR60",IF(I67&lt;=90,"🔴 PAR90","⛔ PAR90+")))))</f>
        <v>⛔ PAR90+</v>
      </c>
      <c r="K67" s="15" t="str">
        <f>IFERROR(Loans!L68,0)</f>
        <v/>
      </c>
      <c r="L67" s="13" t="str">
        <f>IFERROR(Loans!K68,0)</f>
        <v/>
      </c>
      <c r="M67" s="38">
        <f>IF(A67="","",IFERROR(SUMIF(Int_Repayments!A$4:A$1003,A67,Int_Repayments!F$4:F$1003)-SUMIF(Interest_Engine!A$4:A$103,A67,Interest_Engine!AR$4:AR$103),0))</f>
        <v>0</v>
      </c>
      <c r="N67" s="12" t="str">
        <f ca="1">IFERROR(Loans!M68,"")</f>
        <v/>
      </c>
    </row>
    <row r="68" spans="1:14" ht="15.75" customHeight="1" x14ac:dyDescent="0.25">
      <c r="A68" s="18">
        <f>IFERROR(Loans!C69,"")</f>
        <v>0</v>
      </c>
      <c r="B68" s="31">
        <f>IFERROR(Loans!B69,"")</f>
        <v>0</v>
      </c>
      <c r="C68" s="32" t="str">
        <f>IF(A68="","",IFERROR(VLOOKUP(A68,Members!A4:E103,3,0),""))</f>
        <v/>
      </c>
      <c r="D68" s="32">
        <f>IFERROR(Loans!A69,"")</f>
        <v>0</v>
      </c>
      <c r="E68" s="18">
        <f>IFERROR(Loans!E69,0)</f>
        <v>0</v>
      </c>
      <c r="F68" s="33">
        <f>IFERROR(Loans!D69,"")</f>
        <v>0</v>
      </c>
      <c r="G68" s="34">
        <f>IFERROR(Loans!I69,0)</f>
        <v>0</v>
      </c>
      <c r="H68" s="35">
        <f t="shared" si="6"/>
        <v>0</v>
      </c>
      <c r="I68" s="36">
        <f t="shared" ca="1" si="7"/>
        <v>46124</v>
      </c>
      <c r="J68" s="37" t="str">
        <f t="shared" ca="1" si="8"/>
        <v>⛔ PAR90+</v>
      </c>
      <c r="K68" s="15" t="str">
        <f>IFERROR(Loans!L69,0)</f>
        <v/>
      </c>
      <c r="L68" s="13" t="str">
        <f>IFERROR(Loans!K69,0)</f>
        <v/>
      </c>
      <c r="M68" s="38">
        <f>IF(A68="","",IFERROR(SUMIF(Int_Repayments!A$4:A$1003,A68,Int_Repayments!F$4:F$1003)-SUMIF(Interest_Engine!A$4:A$103,A68,Interest_Engine!AR$4:AR$103),0))</f>
        <v>0</v>
      </c>
      <c r="N68" s="12" t="str">
        <f ca="1">IFERROR(Loans!M69,"")</f>
        <v/>
      </c>
    </row>
    <row r="69" spans="1:14" ht="15.75" customHeight="1" x14ac:dyDescent="0.25">
      <c r="A69" s="18">
        <f>IFERROR(Loans!C70,"")</f>
        <v>0</v>
      </c>
      <c r="B69" s="31">
        <f>IFERROR(Loans!B70,"")</f>
        <v>0</v>
      </c>
      <c r="C69" s="32" t="str">
        <f>IF(A69="","",IFERROR(VLOOKUP(A69,Members!A4:E103,3,0),""))</f>
        <v/>
      </c>
      <c r="D69" s="32">
        <f>IFERROR(Loans!A70,"")</f>
        <v>0</v>
      </c>
      <c r="E69" s="18">
        <f>IFERROR(Loans!E70,0)</f>
        <v>0</v>
      </c>
      <c r="F69" s="33">
        <f>IFERROR(Loans!D70,"")</f>
        <v>0</v>
      </c>
      <c r="G69" s="34">
        <f>IFERROR(Loans!I70,0)</f>
        <v>0</v>
      </c>
      <c r="H69" s="35">
        <f t="shared" si="6"/>
        <v>0</v>
      </c>
      <c r="I69" s="36">
        <f t="shared" ca="1" si="7"/>
        <v>46124</v>
      </c>
      <c r="J69" s="37" t="str">
        <f t="shared" ca="1" si="8"/>
        <v>⛔ PAR90+</v>
      </c>
      <c r="K69" s="15" t="str">
        <f>IFERROR(Loans!L70,0)</f>
        <v/>
      </c>
      <c r="L69" s="13" t="str">
        <f>IFERROR(Loans!K70,0)</f>
        <v/>
      </c>
      <c r="M69" s="38">
        <f>IF(A69="","",IFERROR(SUMIF(Int_Repayments!A$4:A$1003,A69,Int_Repayments!F$4:F$1003)-SUMIF(Interest_Engine!A$4:A$103,A69,Interest_Engine!AR$4:AR$103),0))</f>
        <v>0</v>
      </c>
      <c r="N69" s="12" t="str">
        <f ca="1">IFERROR(Loans!M70,"")</f>
        <v/>
      </c>
    </row>
    <row r="70" spans="1:14" ht="15.75" customHeight="1" x14ac:dyDescent="0.25">
      <c r="A70" s="18">
        <f>IFERROR(Loans!C71,"")</f>
        <v>0</v>
      </c>
      <c r="B70" s="31">
        <f>IFERROR(Loans!B71,"")</f>
        <v>0</v>
      </c>
      <c r="C70" s="32" t="str">
        <f>IF(A70="","",IFERROR(VLOOKUP(A70,Members!A4:E103,3,0),""))</f>
        <v/>
      </c>
      <c r="D70" s="32">
        <f>IFERROR(Loans!A71,"")</f>
        <v>0</v>
      </c>
      <c r="E70" s="18">
        <f>IFERROR(Loans!E71,0)</f>
        <v>0</v>
      </c>
      <c r="F70" s="33">
        <f>IFERROR(Loans!D71,"")</f>
        <v>0</v>
      </c>
      <c r="G70" s="34">
        <f>IFERROR(Loans!I71,0)</f>
        <v>0</v>
      </c>
      <c r="H70" s="35">
        <f t="shared" si="6"/>
        <v>0</v>
      </c>
      <c r="I70" s="36">
        <f t="shared" ca="1" si="7"/>
        <v>46124</v>
      </c>
      <c r="J70" s="37" t="str">
        <f t="shared" ca="1" si="8"/>
        <v>⛔ PAR90+</v>
      </c>
      <c r="K70" s="15" t="str">
        <f>IFERROR(Loans!L71,0)</f>
        <v/>
      </c>
      <c r="L70" s="13" t="str">
        <f>IFERROR(Loans!K71,0)</f>
        <v/>
      </c>
      <c r="M70" s="38">
        <f>IF(A70="","",IFERROR(SUMIF(Int_Repayments!A$4:A$1003,A70,Int_Repayments!F$4:F$1003)-SUMIF(Interest_Engine!A$4:A$103,A70,Interest_Engine!AR$4:AR$103),0))</f>
        <v>0</v>
      </c>
      <c r="N70" s="12" t="str">
        <f ca="1">IFERROR(Loans!M71,"")</f>
        <v/>
      </c>
    </row>
    <row r="71" spans="1:14" ht="15.75" customHeight="1" x14ac:dyDescent="0.25">
      <c r="A71" s="18">
        <f>IFERROR(Loans!C72,"")</f>
        <v>0</v>
      </c>
      <c r="B71" s="31">
        <f>IFERROR(Loans!B72,"")</f>
        <v>0</v>
      </c>
      <c r="C71" s="32" t="str">
        <f>IF(A71="","",IFERROR(VLOOKUP(A71,Members!A4:E103,3,0),""))</f>
        <v/>
      </c>
      <c r="D71" s="32">
        <f>IFERROR(Loans!A72,"")</f>
        <v>0</v>
      </c>
      <c r="E71" s="18">
        <f>IFERROR(Loans!E72,0)</f>
        <v>0</v>
      </c>
      <c r="F71" s="33">
        <f>IFERROR(Loans!D72,"")</f>
        <v>0</v>
      </c>
      <c r="G71" s="34">
        <f>IFERROR(Loans!I72,0)</f>
        <v>0</v>
      </c>
      <c r="H71" s="35">
        <f t="shared" si="6"/>
        <v>0</v>
      </c>
      <c r="I71" s="36">
        <f t="shared" ca="1" si="7"/>
        <v>46124</v>
      </c>
      <c r="J71" s="37" t="str">
        <f t="shared" ca="1" si="8"/>
        <v>⛔ PAR90+</v>
      </c>
      <c r="K71" s="15" t="str">
        <f>IFERROR(Loans!L72,0)</f>
        <v/>
      </c>
      <c r="L71" s="13" t="str">
        <f>IFERROR(Loans!K72,0)</f>
        <v/>
      </c>
      <c r="M71" s="38">
        <f>IF(A71="","",IFERROR(SUMIF(Int_Repayments!A$4:A$1003,A71,Int_Repayments!F$4:F$1003)-SUMIF(Interest_Engine!A$4:A$103,A71,Interest_Engine!AR$4:AR$103),0))</f>
        <v>0</v>
      </c>
      <c r="N71" s="12" t="str">
        <f ca="1">IFERROR(Loans!M72,"")</f>
        <v/>
      </c>
    </row>
    <row r="72" spans="1:14" ht="15.75" customHeight="1" x14ac:dyDescent="0.25">
      <c r="A72" s="18">
        <f>IFERROR(Loans!C73,"")</f>
        <v>0</v>
      </c>
      <c r="B72" s="31">
        <f>IFERROR(Loans!B73,"")</f>
        <v>0</v>
      </c>
      <c r="C72" s="32" t="str">
        <f>IF(A72="","",IFERROR(VLOOKUP(A72,Members!A4:E103,3,0),""))</f>
        <v/>
      </c>
      <c r="D72" s="32">
        <f>IFERROR(Loans!A73,"")</f>
        <v>0</v>
      </c>
      <c r="E72" s="18">
        <f>IFERROR(Loans!E73,0)</f>
        <v>0</v>
      </c>
      <c r="F72" s="33">
        <f>IFERROR(Loans!D73,"")</f>
        <v>0</v>
      </c>
      <c r="G72" s="34">
        <f>IFERROR(Loans!I73,0)</f>
        <v>0</v>
      </c>
      <c r="H72" s="35">
        <f t="shared" si="6"/>
        <v>0</v>
      </c>
      <c r="I72" s="36">
        <f t="shared" ca="1" si="7"/>
        <v>46124</v>
      </c>
      <c r="J72" s="37" t="str">
        <f t="shared" ca="1" si="8"/>
        <v>⛔ PAR90+</v>
      </c>
      <c r="K72" s="15" t="str">
        <f>IFERROR(Loans!L73,0)</f>
        <v/>
      </c>
      <c r="L72" s="13" t="str">
        <f>IFERROR(Loans!K73,0)</f>
        <v/>
      </c>
      <c r="M72" s="38">
        <f>IF(A72="","",IFERROR(SUMIF(Int_Repayments!A$4:A$1003,A72,Int_Repayments!F$4:F$1003)-SUMIF(Interest_Engine!A$4:A$103,A72,Interest_Engine!AR$4:AR$103),0))</f>
        <v>0</v>
      </c>
      <c r="N72" s="12" t="str">
        <f ca="1">IFERROR(Loans!M73,"")</f>
        <v/>
      </c>
    </row>
    <row r="73" spans="1:14" ht="15.75" customHeight="1" x14ac:dyDescent="0.25">
      <c r="A73" s="18">
        <f>IFERROR(Loans!C74,"")</f>
        <v>0</v>
      </c>
      <c r="B73" s="31">
        <f>IFERROR(Loans!B74,"")</f>
        <v>0</v>
      </c>
      <c r="C73" s="32" t="str">
        <f>IF(A73="","",IFERROR(VLOOKUP(A73,Members!A4:E103,3,0),""))</f>
        <v/>
      </c>
      <c r="D73" s="32">
        <f>IFERROR(Loans!A74,"")</f>
        <v>0</v>
      </c>
      <c r="E73" s="18">
        <f>IFERROR(Loans!E74,0)</f>
        <v>0</v>
      </c>
      <c r="F73" s="33">
        <f>IFERROR(Loans!D74,"")</f>
        <v>0</v>
      </c>
      <c r="G73" s="34">
        <f>IFERROR(Loans!I74,0)</f>
        <v>0</v>
      </c>
      <c r="H73" s="35">
        <f t="shared" si="6"/>
        <v>0</v>
      </c>
      <c r="I73" s="36">
        <f t="shared" ca="1" si="7"/>
        <v>46124</v>
      </c>
      <c r="J73" s="37" t="str">
        <f t="shared" ca="1" si="8"/>
        <v>⛔ PAR90+</v>
      </c>
      <c r="K73" s="15" t="str">
        <f>IFERROR(Loans!L74,0)</f>
        <v/>
      </c>
      <c r="L73" s="13" t="str">
        <f>IFERROR(Loans!K74,0)</f>
        <v/>
      </c>
      <c r="M73" s="38">
        <f>IF(A73="","",IFERROR(SUMIF(Int_Repayments!A$4:A$1003,A73,Int_Repayments!F$4:F$1003)-SUMIF(Interest_Engine!A$4:A$103,A73,Interest_Engine!AR$4:AR$103),0))</f>
        <v>0</v>
      </c>
      <c r="N73" s="12" t="str">
        <f ca="1">IFERROR(Loans!M74,"")</f>
        <v/>
      </c>
    </row>
    <row r="74" spans="1:14" ht="15.75" customHeight="1" x14ac:dyDescent="0.25">
      <c r="A74" s="18">
        <f>IFERROR(Loans!C75,"")</f>
        <v>0</v>
      </c>
      <c r="B74" s="31">
        <f>IFERROR(Loans!B75,"")</f>
        <v>0</v>
      </c>
      <c r="C74" s="32" t="str">
        <f>IF(A74="","",IFERROR(VLOOKUP(A74,Members!A4:E103,3,0),""))</f>
        <v/>
      </c>
      <c r="D74" s="32">
        <f>IFERROR(Loans!A75,"")</f>
        <v>0</v>
      </c>
      <c r="E74" s="18">
        <f>IFERROR(Loans!E75,0)</f>
        <v>0</v>
      </c>
      <c r="F74" s="33">
        <f>IFERROR(Loans!D75,"")</f>
        <v>0</v>
      </c>
      <c r="G74" s="34">
        <f>IFERROR(Loans!I75,0)</f>
        <v>0</v>
      </c>
      <c r="H74" s="35">
        <f t="shared" si="6"/>
        <v>0</v>
      </c>
      <c r="I74" s="36">
        <f t="shared" ca="1" si="7"/>
        <v>46124</v>
      </c>
      <c r="J74" s="37" t="str">
        <f t="shared" ca="1" si="8"/>
        <v>⛔ PAR90+</v>
      </c>
      <c r="K74" s="15" t="str">
        <f>IFERROR(Loans!L75,0)</f>
        <v/>
      </c>
      <c r="L74" s="13" t="str">
        <f>IFERROR(Loans!K75,0)</f>
        <v/>
      </c>
      <c r="M74" s="38">
        <f>IF(A74="","",IFERROR(SUMIF(Int_Repayments!A$4:A$1003,A74,Int_Repayments!F$4:F$1003)-SUMIF(Interest_Engine!A$4:A$103,A74,Interest_Engine!AR$4:AR$103),0))</f>
        <v>0</v>
      </c>
      <c r="N74" s="12" t="str">
        <f ca="1">IFERROR(Loans!M75,"")</f>
        <v/>
      </c>
    </row>
    <row r="75" spans="1:14" ht="15.75" customHeight="1" x14ac:dyDescent="0.25">
      <c r="A75" s="18">
        <f>IFERROR(Loans!C76,"")</f>
        <v>0</v>
      </c>
      <c r="B75" s="31">
        <f>IFERROR(Loans!B76,"")</f>
        <v>0</v>
      </c>
      <c r="C75" s="32" t="str">
        <f>IF(A75="","",IFERROR(VLOOKUP(A75,Members!A4:E103,3,0),""))</f>
        <v/>
      </c>
      <c r="D75" s="32">
        <f>IFERROR(Loans!A76,"")</f>
        <v>0</v>
      </c>
      <c r="E75" s="18">
        <f>IFERROR(Loans!E76,0)</f>
        <v>0</v>
      </c>
      <c r="F75" s="33">
        <f>IFERROR(Loans!D76,"")</f>
        <v>0</v>
      </c>
      <c r="G75" s="34">
        <f>IFERROR(Loans!I76,0)</f>
        <v>0</v>
      </c>
      <c r="H75" s="35">
        <f t="shared" si="6"/>
        <v>0</v>
      </c>
      <c r="I75" s="36">
        <f t="shared" ca="1" si="7"/>
        <v>46124</v>
      </c>
      <c r="J75" s="37" t="str">
        <f t="shared" ca="1" si="8"/>
        <v>⛔ PAR90+</v>
      </c>
      <c r="K75" s="15" t="str">
        <f>IFERROR(Loans!L76,0)</f>
        <v/>
      </c>
      <c r="L75" s="13" t="str">
        <f>IFERROR(Loans!K76,0)</f>
        <v/>
      </c>
      <c r="M75" s="38">
        <f>IF(A75="","",IFERROR(SUMIF(Int_Repayments!A$4:A$1003,A75,Int_Repayments!F$4:F$1003)-SUMIF(Interest_Engine!A$4:A$103,A75,Interest_Engine!AR$4:AR$103),0))</f>
        <v>0</v>
      </c>
      <c r="N75" s="12" t="str">
        <f ca="1">IFERROR(Loans!M76,"")</f>
        <v/>
      </c>
    </row>
    <row r="76" spans="1:14" ht="15.75" customHeight="1" x14ac:dyDescent="0.25">
      <c r="A76" s="18">
        <f>IFERROR(Loans!C77,"")</f>
        <v>0</v>
      </c>
      <c r="B76" s="31">
        <f>IFERROR(Loans!B77,"")</f>
        <v>0</v>
      </c>
      <c r="C76" s="32" t="str">
        <f>IF(A76="","",IFERROR(VLOOKUP(A76,Members!A4:E103,3,0),""))</f>
        <v/>
      </c>
      <c r="D76" s="32">
        <f>IFERROR(Loans!A77,"")</f>
        <v>0</v>
      </c>
      <c r="E76" s="18">
        <f>IFERROR(Loans!E77,0)</f>
        <v>0</v>
      </c>
      <c r="F76" s="33">
        <f>IFERROR(Loans!D77,"")</f>
        <v>0</v>
      </c>
      <c r="G76" s="34">
        <f>IFERROR(Loans!I77,0)</f>
        <v>0</v>
      </c>
      <c r="H76" s="35">
        <f t="shared" si="6"/>
        <v>0</v>
      </c>
      <c r="I76" s="36">
        <f t="shared" ca="1" si="7"/>
        <v>46124</v>
      </c>
      <c r="J76" s="37" t="str">
        <f t="shared" ca="1" si="8"/>
        <v>⛔ PAR90+</v>
      </c>
      <c r="K76" s="15" t="str">
        <f>IFERROR(Loans!L77,0)</f>
        <v/>
      </c>
      <c r="L76" s="13" t="str">
        <f>IFERROR(Loans!K77,0)</f>
        <v/>
      </c>
      <c r="M76" s="38">
        <f>IF(A76="","",IFERROR(SUMIF(Int_Repayments!A$4:A$1003,A76,Int_Repayments!F$4:F$1003)-SUMIF(Interest_Engine!A$4:A$103,A76,Interest_Engine!AR$4:AR$103),0))</f>
        <v>0</v>
      </c>
      <c r="N76" s="12" t="str">
        <f ca="1">IFERROR(Loans!M77,"")</f>
        <v/>
      </c>
    </row>
    <row r="77" spans="1:14" ht="15.75" customHeight="1" x14ac:dyDescent="0.25">
      <c r="A77" s="18">
        <f>IFERROR(Loans!C78,"")</f>
        <v>0</v>
      </c>
      <c r="B77" s="31">
        <f>IFERROR(Loans!B78,"")</f>
        <v>0</v>
      </c>
      <c r="C77" s="32" t="str">
        <f>IF(A77="","",IFERROR(VLOOKUP(A77,Members!A4:E103,3,0),""))</f>
        <v/>
      </c>
      <c r="D77" s="32">
        <f>IFERROR(Loans!A78,"")</f>
        <v>0</v>
      </c>
      <c r="E77" s="18">
        <f>IFERROR(Loans!E78,0)</f>
        <v>0</v>
      </c>
      <c r="F77" s="33">
        <f>IFERROR(Loans!D78,"")</f>
        <v>0</v>
      </c>
      <c r="G77" s="34">
        <f>IFERROR(Loans!I78,0)</f>
        <v>0</v>
      </c>
      <c r="H77" s="35">
        <f t="shared" si="6"/>
        <v>0</v>
      </c>
      <c r="I77" s="36">
        <f t="shared" ca="1" si="7"/>
        <v>46124</v>
      </c>
      <c r="J77" s="37" t="str">
        <f t="shared" ca="1" si="8"/>
        <v>⛔ PAR90+</v>
      </c>
      <c r="K77" s="15" t="str">
        <f>IFERROR(Loans!L78,0)</f>
        <v/>
      </c>
      <c r="L77" s="13" t="str">
        <f>IFERROR(Loans!K78,0)</f>
        <v/>
      </c>
      <c r="M77" s="38">
        <f>IF(A77="","",IFERROR(SUMIF(Int_Repayments!A$4:A$1003,A77,Int_Repayments!F$4:F$1003)-SUMIF(Interest_Engine!A$4:A$103,A77,Interest_Engine!AR$4:AR$103),0))</f>
        <v>0</v>
      </c>
      <c r="N77" s="12" t="str">
        <f ca="1">IFERROR(Loans!M78,"")</f>
        <v/>
      </c>
    </row>
    <row r="78" spans="1:14" ht="15.75" customHeight="1" x14ac:dyDescent="0.25">
      <c r="A78" s="18">
        <f>IFERROR(Loans!C79,"")</f>
        <v>0</v>
      </c>
      <c r="B78" s="31">
        <f>IFERROR(Loans!B79,"")</f>
        <v>0</v>
      </c>
      <c r="C78" s="32" t="str">
        <f>IF(A78="","",IFERROR(VLOOKUP(A78,Members!A4:E103,3,0),""))</f>
        <v/>
      </c>
      <c r="D78" s="32">
        <f>IFERROR(Loans!A79,"")</f>
        <v>0</v>
      </c>
      <c r="E78" s="18">
        <f>IFERROR(Loans!E79,0)</f>
        <v>0</v>
      </c>
      <c r="F78" s="33">
        <f>IFERROR(Loans!D79,"")</f>
        <v>0</v>
      </c>
      <c r="G78" s="34">
        <f>IFERROR(Loans!I79,0)</f>
        <v>0</v>
      </c>
      <c r="H78" s="35">
        <f t="shared" si="6"/>
        <v>0</v>
      </c>
      <c r="I78" s="36">
        <f t="shared" ca="1" si="7"/>
        <v>46124</v>
      </c>
      <c r="J78" s="37" t="str">
        <f t="shared" ca="1" si="8"/>
        <v>⛔ PAR90+</v>
      </c>
      <c r="K78" s="15" t="str">
        <f>IFERROR(Loans!L79,0)</f>
        <v/>
      </c>
      <c r="L78" s="13" t="str">
        <f>IFERROR(Loans!K79,0)</f>
        <v/>
      </c>
      <c r="M78" s="38">
        <f>IF(A78="","",IFERROR(SUMIF(Int_Repayments!A$4:A$1003,A78,Int_Repayments!F$4:F$1003)-SUMIF(Interest_Engine!A$4:A$103,A78,Interest_Engine!AR$4:AR$103),0))</f>
        <v>0</v>
      </c>
      <c r="N78" s="12" t="str">
        <f ca="1">IFERROR(Loans!M79,"")</f>
        <v/>
      </c>
    </row>
    <row r="79" spans="1:14" ht="15.75" customHeight="1" x14ac:dyDescent="0.25">
      <c r="A79" s="18">
        <f>IFERROR(Loans!C80,"")</f>
        <v>0</v>
      </c>
      <c r="B79" s="31">
        <f>IFERROR(Loans!B80,"")</f>
        <v>0</v>
      </c>
      <c r="C79" s="32" t="str">
        <f>IF(A79="","",IFERROR(VLOOKUP(A79,Members!A4:E103,3,0),""))</f>
        <v/>
      </c>
      <c r="D79" s="32">
        <f>IFERROR(Loans!A80,"")</f>
        <v>0</v>
      </c>
      <c r="E79" s="18">
        <f>IFERROR(Loans!E80,0)</f>
        <v>0</v>
      </c>
      <c r="F79" s="33">
        <f>IFERROR(Loans!D80,"")</f>
        <v>0</v>
      </c>
      <c r="G79" s="34">
        <f>IFERROR(Loans!I80,0)</f>
        <v>0</v>
      </c>
      <c r="H79" s="35">
        <f t="shared" si="6"/>
        <v>0</v>
      </c>
      <c r="I79" s="36">
        <f t="shared" ca="1" si="7"/>
        <v>46124</v>
      </c>
      <c r="J79" s="37" t="str">
        <f t="shared" ca="1" si="8"/>
        <v>⛔ PAR90+</v>
      </c>
      <c r="K79" s="15" t="str">
        <f>IFERROR(Loans!L80,0)</f>
        <v/>
      </c>
      <c r="L79" s="13" t="str">
        <f>IFERROR(Loans!K80,0)</f>
        <v/>
      </c>
      <c r="M79" s="38">
        <f>IF(A79="","",IFERROR(SUMIF(Int_Repayments!A$4:A$1003,A79,Int_Repayments!F$4:F$1003)-SUMIF(Interest_Engine!A$4:A$103,A79,Interest_Engine!AR$4:AR$103),0))</f>
        <v>0</v>
      </c>
      <c r="N79" s="12" t="str">
        <f ca="1">IFERROR(Loans!M80,"")</f>
        <v/>
      </c>
    </row>
    <row r="80" spans="1:14" ht="15.75" customHeight="1" x14ac:dyDescent="0.25">
      <c r="A80" s="18">
        <f>IFERROR(Loans!C81,"")</f>
        <v>0</v>
      </c>
      <c r="B80" s="31">
        <f>IFERROR(Loans!B81,"")</f>
        <v>0</v>
      </c>
      <c r="C80" s="32" t="str">
        <f>IF(A80="","",IFERROR(VLOOKUP(A80,Members!A4:E103,3,0),""))</f>
        <v/>
      </c>
      <c r="D80" s="32">
        <f>IFERROR(Loans!A81,"")</f>
        <v>0</v>
      </c>
      <c r="E80" s="18">
        <f>IFERROR(Loans!E81,0)</f>
        <v>0</v>
      </c>
      <c r="F80" s="33">
        <f>IFERROR(Loans!D81,"")</f>
        <v>0</v>
      </c>
      <c r="G80" s="34">
        <f>IFERROR(Loans!I81,0)</f>
        <v>0</v>
      </c>
      <c r="H80" s="35">
        <f t="shared" si="6"/>
        <v>0</v>
      </c>
      <c r="I80" s="36">
        <f t="shared" ca="1" si="7"/>
        <v>46124</v>
      </c>
      <c r="J80" s="37" t="str">
        <f t="shared" ca="1" si="8"/>
        <v>⛔ PAR90+</v>
      </c>
      <c r="K80" s="15" t="str">
        <f>IFERROR(Loans!L81,0)</f>
        <v/>
      </c>
      <c r="L80" s="13" t="str">
        <f>IFERROR(Loans!K81,0)</f>
        <v/>
      </c>
      <c r="M80" s="38">
        <f>IF(A80="","",IFERROR(SUMIF(Int_Repayments!A$4:A$1003,A80,Int_Repayments!F$4:F$1003)-SUMIF(Interest_Engine!A$4:A$103,A80,Interest_Engine!AR$4:AR$103),0))</f>
        <v>0</v>
      </c>
      <c r="N80" s="12" t="str">
        <f ca="1">IFERROR(Loans!M81,"")</f>
        <v/>
      </c>
    </row>
    <row r="81" spans="1:14" ht="15.75" customHeight="1" x14ac:dyDescent="0.25">
      <c r="A81" s="18">
        <f>IFERROR(Loans!C82,"")</f>
        <v>0</v>
      </c>
      <c r="B81" s="31">
        <f>IFERROR(Loans!B82,"")</f>
        <v>0</v>
      </c>
      <c r="C81" s="32" t="str">
        <f>IF(A81="","",IFERROR(VLOOKUP(A81,Members!A4:E103,3,0),""))</f>
        <v/>
      </c>
      <c r="D81" s="32">
        <f>IFERROR(Loans!A82,"")</f>
        <v>0</v>
      </c>
      <c r="E81" s="18">
        <f>IFERROR(Loans!E82,0)</f>
        <v>0</v>
      </c>
      <c r="F81" s="33">
        <f>IFERROR(Loans!D82,"")</f>
        <v>0</v>
      </c>
      <c r="G81" s="34">
        <f>IFERROR(Loans!I82,0)</f>
        <v>0</v>
      </c>
      <c r="H81" s="35">
        <f t="shared" si="6"/>
        <v>0</v>
      </c>
      <c r="I81" s="36">
        <f t="shared" ca="1" si="7"/>
        <v>46124</v>
      </c>
      <c r="J81" s="37" t="str">
        <f t="shared" ca="1" si="8"/>
        <v>⛔ PAR90+</v>
      </c>
      <c r="K81" s="15" t="str">
        <f>IFERROR(Loans!L82,0)</f>
        <v/>
      </c>
      <c r="L81" s="13" t="str">
        <f>IFERROR(Loans!K82,0)</f>
        <v/>
      </c>
      <c r="M81" s="38">
        <f>IF(A81="","",IFERROR(SUMIF(Int_Repayments!A$4:A$1003,A81,Int_Repayments!F$4:F$1003)-SUMIF(Interest_Engine!A$4:A$103,A81,Interest_Engine!AR$4:AR$103),0))</f>
        <v>0</v>
      </c>
      <c r="N81" s="12" t="str">
        <f ca="1">IFERROR(Loans!M82,"")</f>
        <v/>
      </c>
    </row>
    <row r="82" spans="1:14" ht="15.75" customHeight="1" x14ac:dyDescent="0.25">
      <c r="A82" s="18">
        <f>IFERROR(Loans!C83,"")</f>
        <v>0</v>
      </c>
      <c r="B82" s="31">
        <f>IFERROR(Loans!B83,"")</f>
        <v>0</v>
      </c>
      <c r="C82" s="32" t="str">
        <f>IF(A82="","",IFERROR(VLOOKUP(A82,Members!A4:E103,3,0),""))</f>
        <v/>
      </c>
      <c r="D82" s="32">
        <f>IFERROR(Loans!A83,"")</f>
        <v>0</v>
      </c>
      <c r="E82" s="18">
        <f>IFERROR(Loans!E83,0)</f>
        <v>0</v>
      </c>
      <c r="F82" s="33">
        <f>IFERROR(Loans!D83,"")</f>
        <v>0</v>
      </c>
      <c r="G82" s="34">
        <f>IFERROR(Loans!I83,0)</f>
        <v>0</v>
      </c>
      <c r="H82" s="35">
        <f t="shared" si="6"/>
        <v>0</v>
      </c>
      <c r="I82" s="36">
        <f t="shared" ca="1" si="7"/>
        <v>46124</v>
      </c>
      <c r="J82" s="37" t="str">
        <f t="shared" ca="1" si="8"/>
        <v>⛔ PAR90+</v>
      </c>
      <c r="K82" s="15" t="str">
        <f>IFERROR(Loans!L83,0)</f>
        <v/>
      </c>
      <c r="L82" s="13" t="str">
        <f>IFERROR(Loans!K83,0)</f>
        <v/>
      </c>
      <c r="M82" s="38">
        <f>IF(A82="","",IFERROR(SUMIF(Int_Repayments!A$4:A$1003,A82,Int_Repayments!F$4:F$1003)-SUMIF(Interest_Engine!A$4:A$103,A82,Interest_Engine!AR$4:AR$103),0))</f>
        <v>0</v>
      </c>
      <c r="N82" s="12" t="str">
        <f ca="1">IFERROR(Loans!M83,"")</f>
        <v/>
      </c>
    </row>
    <row r="83" spans="1:14" ht="15.75" customHeight="1" x14ac:dyDescent="0.25">
      <c r="A83" s="18">
        <f>IFERROR(Loans!C84,"")</f>
        <v>0</v>
      </c>
      <c r="B83" s="31">
        <f>IFERROR(Loans!B84,"")</f>
        <v>0</v>
      </c>
      <c r="C83" s="32" t="str">
        <f>IF(A83="","",IFERROR(VLOOKUP(A83,Members!A4:E103,3,0),""))</f>
        <v/>
      </c>
      <c r="D83" s="32">
        <f>IFERROR(Loans!A84,"")</f>
        <v>0</v>
      </c>
      <c r="E83" s="18">
        <f>IFERROR(Loans!E84,0)</f>
        <v>0</v>
      </c>
      <c r="F83" s="33">
        <f>IFERROR(Loans!D84,"")</f>
        <v>0</v>
      </c>
      <c r="G83" s="34">
        <f>IFERROR(Loans!I84,0)</f>
        <v>0</v>
      </c>
      <c r="H83" s="35">
        <f t="shared" si="6"/>
        <v>0</v>
      </c>
      <c r="I83" s="36">
        <f t="shared" ca="1" si="7"/>
        <v>46124</v>
      </c>
      <c r="J83" s="37" t="str">
        <f t="shared" ca="1" si="8"/>
        <v>⛔ PAR90+</v>
      </c>
      <c r="K83" s="15" t="str">
        <f>IFERROR(Loans!L84,0)</f>
        <v/>
      </c>
      <c r="L83" s="13" t="str">
        <f>IFERROR(Loans!K84,0)</f>
        <v/>
      </c>
      <c r="M83" s="38">
        <f>IF(A83="","",IFERROR(SUMIF(Int_Repayments!A$4:A$1003,A83,Int_Repayments!F$4:F$1003)-SUMIF(Interest_Engine!A$4:A$103,A83,Interest_Engine!AR$4:AR$103),0))</f>
        <v>0</v>
      </c>
      <c r="N83" s="12" t="str">
        <f ca="1">IFERROR(Loans!M84,"")</f>
        <v/>
      </c>
    </row>
    <row r="84" spans="1:14" ht="15.75" customHeight="1" x14ac:dyDescent="0.25">
      <c r="A84" s="18">
        <f>IFERROR(Loans!C85,"")</f>
        <v>0</v>
      </c>
      <c r="B84" s="31">
        <f>IFERROR(Loans!B85,"")</f>
        <v>0</v>
      </c>
      <c r="C84" s="32" t="str">
        <f>IF(A84="","",IFERROR(VLOOKUP(A84,Members!A4:E103,3,0),""))</f>
        <v/>
      </c>
      <c r="D84" s="32">
        <f>IFERROR(Loans!A85,"")</f>
        <v>0</v>
      </c>
      <c r="E84" s="18">
        <f>IFERROR(Loans!E85,0)</f>
        <v>0</v>
      </c>
      <c r="F84" s="33">
        <f>IFERROR(Loans!D85,"")</f>
        <v>0</v>
      </c>
      <c r="G84" s="34">
        <f>IFERROR(Loans!I85,0)</f>
        <v>0</v>
      </c>
      <c r="H84" s="35">
        <f t="shared" si="6"/>
        <v>0</v>
      </c>
      <c r="I84" s="36">
        <f t="shared" ca="1" si="7"/>
        <v>46124</v>
      </c>
      <c r="J84" s="37" t="str">
        <f t="shared" ca="1" si="8"/>
        <v>⛔ PAR90+</v>
      </c>
      <c r="K84" s="15" t="str">
        <f>IFERROR(Loans!L85,0)</f>
        <v/>
      </c>
      <c r="L84" s="13" t="str">
        <f>IFERROR(Loans!K85,0)</f>
        <v/>
      </c>
      <c r="M84" s="38">
        <f>IF(A84="","",IFERROR(SUMIF(Int_Repayments!A$4:A$1003,A84,Int_Repayments!F$4:F$1003)-SUMIF(Interest_Engine!A$4:A$103,A84,Interest_Engine!AR$4:AR$103),0))</f>
        <v>0</v>
      </c>
      <c r="N84" s="12" t="str">
        <f ca="1">IFERROR(Loans!M85,"")</f>
        <v/>
      </c>
    </row>
    <row r="85" spans="1:14" ht="15.75" customHeight="1" x14ac:dyDescent="0.25">
      <c r="A85" s="18">
        <f>IFERROR(Loans!C86,"")</f>
        <v>0</v>
      </c>
      <c r="B85" s="31">
        <f>IFERROR(Loans!B86,"")</f>
        <v>0</v>
      </c>
      <c r="C85" s="32" t="str">
        <f>IF(A85="","",IFERROR(VLOOKUP(A85,Members!A4:E103,3,0),""))</f>
        <v/>
      </c>
      <c r="D85" s="32">
        <f>IFERROR(Loans!A86,"")</f>
        <v>0</v>
      </c>
      <c r="E85" s="18">
        <f>IFERROR(Loans!E86,0)</f>
        <v>0</v>
      </c>
      <c r="F85" s="33">
        <f>IFERROR(Loans!D86,"")</f>
        <v>0</v>
      </c>
      <c r="G85" s="34">
        <f>IFERROR(Loans!I86,0)</f>
        <v>0</v>
      </c>
      <c r="H85" s="35">
        <f t="shared" si="6"/>
        <v>0</v>
      </c>
      <c r="I85" s="36">
        <f t="shared" ca="1" si="7"/>
        <v>46124</v>
      </c>
      <c r="J85" s="37" t="str">
        <f t="shared" ca="1" si="8"/>
        <v>⛔ PAR90+</v>
      </c>
      <c r="K85" s="15" t="str">
        <f>IFERROR(Loans!L86,0)</f>
        <v/>
      </c>
      <c r="L85" s="13" t="str">
        <f>IFERROR(Loans!K86,0)</f>
        <v/>
      </c>
      <c r="M85" s="38">
        <f>IF(A85="","",IFERROR(SUMIF(Int_Repayments!A$4:A$1003,A85,Int_Repayments!F$4:F$1003)-SUMIF(Interest_Engine!A$4:A$103,A85,Interest_Engine!AR$4:AR$103),0))</f>
        <v>0</v>
      </c>
      <c r="N85" s="12" t="str">
        <f ca="1">IFERROR(Loans!M86,"")</f>
        <v/>
      </c>
    </row>
    <row r="86" spans="1:14" ht="15.75" customHeight="1" x14ac:dyDescent="0.25">
      <c r="A86" s="18">
        <f>IFERROR(Loans!C87,"")</f>
        <v>0</v>
      </c>
      <c r="B86" s="31">
        <f>IFERROR(Loans!B87,"")</f>
        <v>0</v>
      </c>
      <c r="C86" s="32" t="str">
        <f>IF(A86="","",IFERROR(VLOOKUP(A86,Members!A4:E103,3,0),""))</f>
        <v/>
      </c>
      <c r="D86" s="32">
        <f>IFERROR(Loans!A87,"")</f>
        <v>0</v>
      </c>
      <c r="E86" s="18">
        <f>IFERROR(Loans!E87,0)</f>
        <v>0</v>
      </c>
      <c r="F86" s="33">
        <f>IFERROR(Loans!D87,"")</f>
        <v>0</v>
      </c>
      <c r="G86" s="34">
        <f>IFERROR(Loans!I87,0)</f>
        <v>0</v>
      </c>
      <c r="H86" s="35">
        <f t="shared" si="6"/>
        <v>0</v>
      </c>
      <c r="I86" s="36">
        <f t="shared" ca="1" si="7"/>
        <v>46124</v>
      </c>
      <c r="J86" s="37" t="str">
        <f t="shared" ca="1" si="8"/>
        <v>⛔ PAR90+</v>
      </c>
      <c r="K86" s="15" t="str">
        <f>IFERROR(Loans!L87,0)</f>
        <v/>
      </c>
      <c r="L86" s="13" t="str">
        <f>IFERROR(Loans!K87,0)</f>
        <v/>
      </c>
      <c r="M86" s="38">
        <f>IF(A86="","",IFERROR(SUMIF(Int_Repayments!A$4:A$1003,A86,Int_Repayments!F$4:F$1003)-SUMIF(Interest_Engine!A$4:A$103,A86,Interest_Engine!AR$4:AR$103),0))</f>
        <v>0</v>
      </c>
      <c r="N86" s="12" t="str">
        <f ca="1">IFERROR(Loans!M87,"")</f>
        <v/>
      </c>
    </row>
    <row r="87" spans="1:14" ht="15.75" customHeight="1" x14ac:dyDescent="0.25">
      <c r="A87" s="18">
        <f>IFERROR(Loans!C88,"")</f>
        <v>0</v>
      </c>
      <c r="B87" s="31">
        <f>IFERROR(Loans!B88,"")</f>
        <v>0</v>
      </c>
      <c r="C87" s="32" t="str">
        <f>IF(A87="","",IFERROR(VLOOKUP(A87,Members!A4:E103,3,0),""))</f>
        <v/>
      </c>
      <c r="D87" s="32">
        <f>IFERROR(Loans!A88,"")</f>
        <v>0</v>
      </c>
      <c r="E87" s="18">
        <f>IFERROR(Loans!E88,0)</f>
        <v>0</v>
      </c>
      <c r="F87" s="33">
        <f>IFERROR(Loans!D88,"")</f>
        <v>0</v>
      </c>
      <c r="G87" s="34">
        <f>IFERROR(Loans!I88,0)</f>
        <v>0</v>
      </c>
      <c r="H87" s="35">
        <f t="shared" si="6"/>
        <v>0</v>
      </c>
      <c r="I87" s="36">
        <f t="shared" ca="1" si="7"/>
        <v>46124</v>
      </c>
      <c r="J87" s="37" t="str">
        <f t="shared" ca="1" si="8"/>
        <v>⛔ PAR90+</v>
      </c>
      <c r="K87" s="15" t="str">
        <f>IFERROR(Loans!L88,0)</f>
        <v/>
      </c>
      <c r="L87" s="13" t="str">
        <f>IFERROR(Loans!K88,0)</f>
        <v/>
      </c>
      <c r="M87" s="38">
        <f>IF(A87="","",IFERROR(SUMIF(Int_Repayments!A$4:A$1003,A87,Int_Repayments!F$4:F$1003)-SUMIF(Interest_Engine!A$4:A$103,A87,Interest_Engine!AR$4:AR$103),0))</f>
        <v>0</v>
      </c>
      <c r="N87" s="12" t="str">
        <f ca="1">IFERROR(Loans!M88,"")</f>
        <v/>
      </c>
    </row>
    <row r="88" spans="1:14" ht="15.75" customHeight="1" x14ac:dyDescent="0.25">
      <c r="A88" s="18">
        <f>IFERROR(Loans!C89,"")</f>
        <v>0</v>
      </c>
      <c r="B88" s="31">
        <f>IFERROR(Loans!B89,"")</f>
        <v>0</v>
      </c>
      <c r="C88" s="32" t="str">
        <f>IF(A88="","",IFERROR(VLOOKUP(A88,Members!A4:E103,3,0),""))</f>
        <v/>
      </c>
      <c r="D88" s="32">
        <f>IFERROR(Loans!A89,"")</f>
        <v>0</v>
      </c>
      <c r="E88" s="18">
        <f>IFERROR(Loans!E89,0)</f>
        <v>0</v>
      </c>
      <c r="F88" s="33">
        <f>IFERROR(Loans!D89,"")</f>
        <v>0</v>
      </c>
      <c r="G88" s="34">
        <f>IFERROR(Loans!I89,0)</f>
        <v>0</v>
      </c>
      <c r="H88" s="35">
        <f t="shared" si="6"/>
        <v>0</v>
      </c>
      <c r="I88" s="36">
        <f t="shared" ca="1" si="7"/>
        <v>46124</v>
      </c>
      <c r="J88" s="37" t="str">
        <f t="shared" ca="1" si="8"/>
        <v>⛔ PAR90+</v>
      </c>
      <c r="K88" s="15" t="str">
        <f>IFERROR(Loans!L89,0)</f>
        <v/>
      </c>
      <c r="L88" s="13" t="str">
        <f>IFERROR(Loans!K89,0)</f>
        <v/>
      </c>
      <c r="M88" s="38">
        <f>IF(A88="","",IFERROR(SUMIF(Int_Repayments!A$4:A$1003,A88,Int_Repayments!F$4:F$1003)-SUMIF(Interest_Engine!A$4:A$103,A88,Interest_Engine!AR$4:AR$103),0))</f>
        <v>0</v>
      </c>
      <c r="N88" s="12" t="str">
        <f ca="1">IFERROR(Loans!M89,"")</f>
        <v/>
      </c>
    </row>
    <row r="89" spans="1:14" ht="15.75" customHeight="1" x14ac:dyDescent="0.25">
      <c r="A89" s="18">
        <f>IFERROR(Loans!C90,"")</f>
        <v>0</v>
      </c>
      <c r="B89" s="31">
        <f>IFERROR(Loans!B90,"")</f>
        <v>0</v>
      </c>
      <c r="C89" s="32" t="str">
        <f>IF(A89="","",IFERROR(VLOOKUP(A89,Members!A4:E103,3,0),""))</f>
        <v/>
      </c>
      <c r="D89" s="32">
        <f>IFERROR(Loans!A90,"")</f>
        <v>0</v>
      </c>
      <c r="E89" s="18">
        <f>IFERROR(Loans!E90,0)</f>
        <v>0</v>
      </c>
      <c r="F89" s="33">
        <f>IFERROR(Loans!D90,"")</f>
        <v>0</v>
      </c>
      <c r="G89" s="34">
        <f>IFERROR(Loans!I90,0)</f>
        <v>0</v>
      </c>
      <c r="H89" s="35">
        <f t="shared" si="6"/>
        <v>0</v>
      </c>
      <c r="I89" s="36">
        <f t="shared" ca="1" si="7"/>
        <v>46124</v>
      </c>
      <c r="J89" s="37" t="str">
        <f t="shared" ca="1" si="8"/>
        <v>⛔ PAR90+</v>
      </c>
      <c r="K89" s="15" t="str">
        <f>IFERROR(Loans!L90,0)</f>
        <v/>
      </c>
      <c r="L89" s="13" t="str">
        <f>IFERROR(Loans!K90,0)</f>
        <v/>
      </c>
      <c r="M89" s="38">
        <f>IF(A89="","",IFERROR(SUMIF(Int_Repayments!A$4:A$1003,A89,Int_Repayments!F$4:F$1003)-SUMIF(Interest_Engine!A$4:A$103,A89,Interest_Engine!AR$4:AR$103),0))</f>
        <v>0</v>
      </c>
      <c r="N89" s="12" t="str">
        <f ca="1">IFERROR(Loans!M90,"")</f>
        <v/>
      </c>
    </row>
    <row r="90" spans="1:14" ht="15.75" customHeight="1" x14ac:dyDescent="0.25">
      <c r="A90" s="18">
        <f>IFERROR(Loans!C91,"")</f>
        <v>0</v>
      </c>
      <c r="B90" s="31">
        <f>IFERROR(Loans!B91,"")</f>
        <v>0</v>
      </c>
      <c r="C90" s="32" t="str">
        <f>IF(A90="","",IFERROR(VLOOKUP(A90,Members!A4:E103,3,0),""))</f>
        <v/>
      </c>
      <c r="D90" s="32">
        <f>IFERROR(Loans!A91,"")</f>
        <v>0</v>
      </c>
      <c r="E90" s="18">
        <f>IFERROR(Loans!E91,0)</f>
        <v>0</v>
      </c>
      <c r="F90" s="33">
        <f>IFERROR(Loans!D91,"")</f>
        <v>0</v>
      </c>
      <c r="G90" s="34">
        <f>IFERROR(Loans!I91,0)</f>
        <v>0</v>
      </c>
      <c r="H90" s="35">
        <f t="shared" si="6"/>
        <v>0</v>
      </c>
      <c r="I90" s="36">
        <f t="shared" ca="1" si="7"/>
        <v>46124</v>
      </c>
      <c r="J90" s="37" t="str">
        <f t="shared" ca="1" si="8"/>
        <v>⛔ PAR90+</v>
      </c>
      <c r="K90" s="15" t="str">
        <f>IFERROR(Loans!L91,0)</f>
        <v/>
      </c>
      <c r="L90" s="13" t="str">
        <f>IFERROR(Loans!K91,0)</f>
        <v/>
      </c>
      <c r="M90" s="38">
        <f>IF(A90="","",IFERROR(SUMIF(Int_Repayments!A$4:A$1003,A90,Int_Repayments!F$4:F$1003)-SUMIF(Interest_Engine!A$4:A$103,A90,Interest_Engine!AR$4:AR$103),0))</f>
        <v>0</v>
      </c>
      <c r="N90" s="12" t="str">
        <f ca="1">IFERROR(Loans!M91,"")</f>
        <v/>
      </c>
    </row>
    <row r="91" spans="1:14" ht="15.75" customHeight="1" x14ac:dyDescent="0.25">
      <c r="A91" s="18">
        <f>IFERROR(Loans!C92,"")</f>
        <v>0</v>
      </c>
      <c r="B91" s="31">
        <f>IFERROR(Loans!B92,"")</f>
        <v>0</v>
      </c>
      <c r="C91" s="32" t="str">
        <f>IF(A91="","",IFERROR(VLOOKUP(A91,Members!A4:E103,3,0),""))</f>
        <v/>
      </c>
      <c r="D91" s="32">
        <f>IFERROR(Loans!A92,"")</f>
        <v>0</v>
      </c>
      <c r="E91" s="18">
        <f>IFERROR(Loans!E92,0)</f>
        <v>0</v>
      </c>
      <c r="F91" s="33">
        <f>IFERROR(Loans!D92,"")</f>
        <v>0</v>
      </c>
      <c r="G91" s="34">
        <f>IFERROR(Loans!I92,0)</f>
        <v>0</v>
      </c>
      <c r="H91" s="35">
        <f t="shared" si="6"/>
        <v>0</v>
      </c>
      <c r="I91" s="36">
        <f t="shared" ca="1" si="7"/>
        <v>46124</v>
      </c>
      <c r="J91" s="37" t="str">
        <f t="shared" ca="1" si="8"/>
        <v>⛔ PAR90+</v>
      </c>
      <c r="K91" s="15" t="str">
        <f>IFERROR(Loans!L92,0)</f>
        <v/>
      </c>
      <c r="L91" s="13" t="str">
        <f>IFERROR(Loans!K92,0)</f>
        <v/>
      </c>
      <c r="M91" s="38">
        <f>IF(A91="","",IFERROR(SUMIF(Int_Repayments!A$4:A$1003,A91,Int_Repayments!F$4:F$1003)-SUMIF(Interest_Engine!A$4:A$103,A91,Interest_Engine!AR$4:AR$103),0))</f>
        <v>0</v>
      </c>
      <c r="N91" s="12" t="str">
        <f ca="1">IFERROR(Loans!M92,"")</f>
        <v/>
      </c>
    </row>
    <row r="92" spans="1:14" ht="15.75" customHeight="1" x14ac:dyDescent="0.25">
      <c r="A92" s="18">
        <f>IFERROR(Loans!C93,"")</f>
        <v>0</v>
      </c>
      <c r="B92" s="31">
        <f>IFERROR(Loans!B93,"")</f>
        <v>0</v>
      </c>
      <c r="C92" s="32" t="str">
        <f>IF(A92="","",IFERROR(VLOOKUP(A92,Members!A4:E103,3,0),""))</f>
        <v/>
      </c>
      <c r="D92" s="32">
        <f>IFERROR(Loans!A93,"")</f>
        <v>0</v>
      </c>
      <c r="E92" s="18">
        <f>IFERROR(Loans!E93,0)</f>
        <v>0</v>
      </c>
      <c r="F92" s="33">
        <f>IFERROR(Loans!D93,"")</f>
        <v>0</v>
      </c>
      <c r="G92" s="34">
        <f>IFERROR(Loans!I93,0)</f>
        <v>0</v>
      </c>
      <c r="H92" s="35">
        <f t="shared" si="6"/>
        <v>0</v>
      </c>
      <c r="I92" s="36">
        <f t="shared" ca="1" si="7"/>
        <v>46124</v>
      </c>
      <c r="J92" s="37" t="str">
        <f t="shared" ca="1" si="8"/>
        <v>⛔ PAR90+</v>
      </c>
      <c r="K92" s="15" t="str">
        <f>IFERROR(Loans!L93,0)</f>
        <v/>
      </c>
      <c r="L92" s="13" t="str">
        <f>IFERROR(Loans!K93,0)</f>
        <v/>
      </c>
      <c r="M92" s="38">
        <f>IF(A92="","",IFERROR(SUMIF(Int_Repayments!A$4:A$1003,A92,Int_Repayments!F$4:F$1003)-SUMIF(Interest_Engine!A$4:A$103,A92,Interest_Engine!AR$4:AR$103),0))</f>
        <v>0</v>
      </c>
      <c r="N92" s="12" t="str">
        <f ca="1">IFERROR(Loans!M93,"")</f>
        <v/>
      </c>
    </row>
    <row r="93" spans="1:14" ht="15.75" customHeight="1" x14ac:dyDescent="0.25">
      <c r="A93" s="18">
        <f>IFERROR(Loans!C94,"")</f>
        <v>0</v>
      </c>
      <c r="B93" s="31">
        <f>IFERROR(Loans!B94,"")</f>
        <v>0</v>
      </c>
      <c r="C93" s="32" t="str">
        <f>IF(A93="","",IFERROR(VLOOKUP(A93,Members!A4:E103,3,0),""))</f>
        <v/>
      </c>
      <c r="D93" s="32">
        <f>IFERROR(Loans!A94,"")</f>
        <v>0</v>
      </c>
      <c r="E93" s="18">
        <f>IFERROR(Loans!E94,0)</f>
        <v>0</v>
      </c>
      <c r="F93" s="33">
        <f>IFERROR(Loans!D94,"")</f>
        <v>0</v>
      </c>
      <c r="G93" s="34">
        <f>IFERROR(Loans!I94,0)</f>
        <v>0</v>
      </c>
      <c r="H93" s="35">
        <f t="shared" si="6"/>
        <v>0</v>
      </c>
      <c r="I93" s="36">
        <f t="shared" ca="1" si="7"/>
        <v>46124</v>
      </c>
      <c r="J93" s="37" t="str">
        <f t="shared" ca="1" si="8"/>
        <v>⛔ PAR90+</v>
      </c>
      <c r="K93" s="15" t="str">
        <f>IFERROR(Loans!L94,0)</f>
        <v/>
      </c>
      <c r="L93" s="13" t="str">
        <f>IFERROR(Loans!K94,0)</f>
        <v/>
      </c>
      <c r="M93" s="38">
        <f>IF(A93="","",IFERROR(SUMIF(Int_Repayments!A$4:A$1003,A93,Int_Repayments!F$4:F$1003)-SUMIF(Interest_Engine!A$4:A$103,A93,Interest_Engine!AR$4:AR$103),0))</f>
        <v>0</v>
      </c>
      <c r="N93" s="12" t="str">
        <f ca="1">IFERROR(Loans!M94,"")</f>
        <v/>
      </c>
    </row>
    <row r="94" spans="1:14" ht="15.75" customHeight="1" x14ac:dyDescent="0.25">
      <c r="A94" s="18">
        <f>IFERROR(Loans!C95,"")</f>
        <v>0</v>
      </c>
      <c r="B94" s="31">
        <f>IFERROR(Loans!B95,"")</f>
        <v>0</v>
      </c>
      <c r="C94" s="32" t="str">
        <f>IF(A94="","",IFERROR(VLOOKUP(A94,Members!A4:E103,3,0),""))</f>
        <v/>
      </c>
      <c r="D94" s="32">
        <f>IFERROR(Loans!A95,"")</f>
        <v>0</v>
      </c>
      <c r="E94" s="18">
        <f>IFERROR(Loans!E95,0)</f>
        <v>0</v>
      </c>
      <c r="F94" s="33">
        <f>IFERROR(Loans!D95,"")</f>
        <v>0</v>
      </c>
      <c r="G94" s="34">
        <f>IFERROR(Loans!I95,0)</f>
        <v>0</v>
      </c>
      <c r="H94" s="35">
        <f t="shared" si="6"/>
        <v>0</v>
      </c>
      <c r="I94" s="36">
        <f t="shared" ca="1" si="7"/>
        <v>46124</v>
      </c>
      <c r="J94" s="37" t="str">
        <f t="shared" ca="1" si="8"/>
        <v>⛔ PAR90+</v>
      </c>
      <c r="K94" s="15" t="str">
        <f>IFERROR(Loans!L95,0)</f>
        <v/>
      </c>
      <c r="L94" s="13" t="str">
        <f>IFERROR(Loans!K95,0)</f>
        <v/>
      </c>
      <c r="M94" s="38">
        <f>IF(A94="","",IFERROR(SUMIF(Int_Repayments!A$4:A$1003,A94,Int_Repayments!F$4:F$1003)-SUMIF(Interest_Engine!A$4:A$103,A94,Interest_Engine!AR$4:AR$103),0))</f>
        <v>0</v>
      </c>
      <c r="N94" s="12" t="str">
        <f ca="1">IFERROR(Loans!M95,"")</f>
        <v/>
      </c>
    </row>
    <row r="95" spans="1:14" ht="15.75" customHeight="1" x14ac:dyDescent="0.25">
      <c r="A95" s="18">
        <f>IFERROR(Loans!C96,"")</f>
        <v>0</v>
      </c>
      <c r="B95" s="31">
        <f>IFERROR(Loans!B96,"")</f>
        <v>0</v>
      </c>
      <c r="C95" s="32" t="str">
        <f>IF(A95="","",IFERROR(VLOOKUP(A95,Members!A4:E103,3,0),""))</f>
        <v/>
      </c>
      <c r="D95" s="32">
        <f>IFERROR(Loans!A96,"")</f>
        <v>0</v>
      </c>
      <c r="E95" s="18">
        <f>IFERROR(Loans!E96,0)</f>
        <v>0</v>
      </c>
      <c r="F95" s="33">
        <f>IFERROR(Loans!D96,"")</f>
        <v>0</v>
      </c>
      <c r="G95" s="34">
        <f>IFERROR(Loans!I96,0)</f>
        <v>0</v>
      </c>
      <c r="H95" s="35">
        <f t="shared" si="6"/>
        <v>0</v>
      </c>
      <c r="I95" s="36">
        <f t="shared" ca="1" si="7"/>
        <v>46124</v>
      </c>
      <c r="J95" s="37" t="str">
        <f t="shared" ca="1" si="8"/>
        <v>⛔ PAR90+</v>
      </c>
      <c r="K95" s="15" t="str">
        <f>IFERROR(Loans!L96,0)</f>
        <v/>
      </c>
      <c r="L95" s="13" t="str">
        <f>IFERROR(Loans!K96,0)</f>
        <v/>
      </c>
      <c r="M95" s="38">
        <f>IF(A95="","",IFERROR(SUMIF(Int_Repayments!A$4:A$1003,A95,Int_Repayments!F$4:F$1003)-SUMIF(Interest_Engine!A$4:A$103,A95,Interest_Engine!AR$4:AR$103),0))</f>
        <v>0</v>
      </c>
      <c r="N95" s="12" t="str">
        <f ca="1">IFERROR(Loans!M96,"")</f>
        <v/>
      </c>
    </row>
    <row r="96" spans="1:14" ht="15.75" customHeight="1" x14ac:dyDescent="0.25">
      <c r="A96" s="18">
        <f>IFERROR(Loans!C97,"")</f>
        <v>0</v>
      </c>
      <c r="B96" s="31">
        <f>IFERROR(Loans!B97,"")</f>
        <v>0</v>
      </c>
      <c r="C96" s="32" t="str">
        <f>IF(A96="","",IFERROR(VLOOKUP(A96,Members!A4:E103,3,0),""))</f>
        <v/>
      </c>
      <c r="D96" s="32">
        <f>IFERROR(Loans!A97,"")</f>
        <v>0</v>
      </c>
      <c r="E96" s="18">
        <f>IFERROR(Loans!E97,0)</f>
        <v>0</v>
      </c>
      <c r="F96" s="33">
        <f>IFERROR(Loans!D97,"")</f>
        <v>0</v>
      </c>
      <c r="G96" s="34">
        <f>IFERROR(Loans!I97,0)</f>
        <v>0</v>
      </c>
      <c r="H96" s="35">
        <f t="shared" si="6"/>
        <v>0</v>
      </c>
      <c r="I96" s="36">
        <f t="shared" ca="1" si="7"/>
        <v>46124</v>
      </c>
      <c r="J96" s="37" t="str">
        <f t="shared" ca="1" si="8"/>
        <v>⛔ PAR90+</v>
      </c>
      <c r="K96" s="15" t="str">
        <f>IFERROR(Loans!L97,0)</f>
        <v/>
      </c>
      <c r="L96" s="13" t="str">
        <f>IFERROR(Loans!K97,0)</f>
        <v/>
      </c>
      <c r="M96" s="38">
        <f>IF(A96="","",IFERROR(SUMIF(Int_Repayments!A$4:A$1003,A96,Int_Repayments!F$4:F$1003)-SUMIF(Interest_Engine!A$4:A$103,A96,Interest_Engine!AR$4:AR$103),0))</f>
        <v>0</v>
      </c>
      <c r="N96" s="12" t="str">
        <f ca="1">IFERROR(Loans!M97,"")</f>
        <v/>
      </c>
    </row>
    <row r="97" spans="1:14" ht="15.75" customHeight="1" x14ac:dyDescent="0.25">
      <c r="A97" s="18">
        <f>IFERROR(Loans!C98,"")</f>
        <v>0</v>
      </c>
      <c r="B97" s="31">
        <f>IFERROR(Loans!B98,"")</f>
        <v>0</v>
      </c>
      <c r="C97" s="32" t="str">
        <f>IF(A97="","",IFERROR(VLOOKUP(A97,Members!A4:E103,3,0),""))</f>
        <v/>
      </c>
      <c r="D97" s="32">
        <f>IFERROR(Loans!A98,"")</f>
        <v>0</v>
      </c>
      <c r="E97" s="18">
        <f>IFERROR(Loans!E98,0)</f>
        <v>0</v>
      </c>
      <c r="F97" s="33">
        <f>IFERROR(Loans!D98,"")</f>
        <v>0</v>
      </c>
      <c r="G97" s="34">
        <f>IFERROR(Loans!I98,0)</f>
        <v>0</v>
      </c>
      <c r="H97" s="35">
        <f t="shared" si="6"/>
        <v>0</v>
      </c>
      <c r="I97" s="36">
        <f t="shared" ca="1" si="7"/>
        <v>46124</v>
      </c>
      <c r="J97" s="37" t="str">
        <f t="shared" ca="1" si="8"/>
        <v>⛔ PAR90+</v>
      </c>
      <c r="K97" s="15" t="str">
        <f>IFERROR(Loans!L98,0)</f>
        <v/>
      </c>
      <c r="L97" s="13" t="str">
        <f>IFERROR(Loans!K98,0)</f>
        <v/>
      </c>
      <c r="M97" s="38">
        <f>IF(A97="","",IFERROR(SUMIF(Int_Repayments!A$4:A$1003,A97,Int_Repayments!F$4:F$1003)-SUMIF(Interest_Engine!A$4:A$103,A97,Interest_Engine!AR$4:AR$103),0))</f>
        <v>0</v>
      </c>
      <c r="N97" s="12" t="str">
        <f ca="1">IFERROR(Loans!M98,"")</f>
        <v/>
      </c>
    </row>
    <row r="98" spans="1:14" ht="15.75" customHeight="1" x14ac:dyDescent="0.25">
      <c r="A98" s="18">
        <f>IFERROR(Loans!C99,"")</f>
        <v>0</v>
      </c>
      <c r="B98" s="31">
        <f>IFERROR(Loans!B99,"")</f>
        <v>0</v>
      </c>
      <c r="C98" s="32" t="str">
        <f>IF(A98="","",IFERROR(VLOOKUP(A98,Members!A4:E103,3,0),""))</f>
        <v/>
      </c>
      <c r="D98" s="32">
        <f>IFERROR(Loans!A99,"")</f>
        <v>0</v>
      </c>
      <c r="E98" s="18">
        <f>IFERROR(Loans!E99,0)</f>
        <v>0</v>
      </c>
      <c r="F98" s="33">
        <f>IFERROR(Loans!D99,"")</f>
        <v>0</v>
      </c>
      <c r="G98" s="34">
        <f>IFERROR(Loans!I99,0)</f>
        <v>0</v>
      </c>
      <c r="H98" s="35">
        <f t="shared" si="6"/>
        <v>0</v>
      </c>
      <c r="I98" s="36">
        <f t="shared" ca="1" si="7"/>
        <v>46124</v>
      </c>
      <c r="J98" s="37" t="str">
        <f t="shared" ca="1" si="8"/>
        <v>⛔ PAR90+</v>
      </c>
      <c r="K98" s="15" t="str">
        <f>IFERROR(Loans!L99,0)</f>
        <v/>
      </c>
      <c r="L98" s="13" t="str">
        <f>IFERROR(Loans!K99,0)</f>
        <v/>
      </c>
      <c r="M98" s="38">
        <f>IF(A98="","",IFERROR(SUMIF(Int_Repayments!A$4:A$1003,A98,Int_Repayments!F$4:F$1003)-SUMIF(Interest_Engine!A$4:A$103,A98,Interest_Engine!AR$4:AR$103),0))</f>
        <v>0</v>
      </c>
      <c r="N98" s="12" t="str">
        <f ca="1">IFERROR(Loans!M99,"")</f>
        <v/>
      </c>
    </row>
    <row r="99" spans="1:14" ht="15.75" customHeight="1" x14ac:dyDescent="0.25">
      <c r="A99" s="18">
        <f>IFERROR(Loans!C100,"")</f>
        <v>0</v>
      </c>
      <c r="B99" s="31">
        <f>IFERROR(Loans!B100,"")</f>
        <v>0</v>
      </c>
      <c r="C99" s="32" t="str">
        <f>IF(A99="","",IFERROR(VLOOKUP(A99,Members!A4:E103,3,0),""))</f>
        <v/>
      </c>
      <c r="D99" s="32">
        <f>IFERROR(Loans!A100,"")</f>
        <v>0</v>
      </c>
      <c r="E99" s="18">
        <f>IFERROR(Loans!E100,0)</f>
        <v>0</v>
      </c>
      <c r="F99" s="33">
        <f>IFERROR(Loans!D100,"")</f>
        <v>0</v>
      </c>
      <c r="G99" s="34">
        <f>IFERROR(Loans!I100,0)</f>
        <v>0</v>
      </c>
      <c r="H99" s="35">
        <f t="shared" ref="H99:H130" si="9">IF(F99="","",IF(ISNUMBER(F99),F99+G99*30,""))</f>
        <v>0</v>
      </c>
      <c r="I99" s="36">
        <f t="shared" ref="I99:I130" ca="1" si="10">IF(OR(H99="",NOT(ISNUMBER(H99))),"",MAX(0,TODAY()-H99))</f>
        <v>46124</v>
      </c>
      <c r="J99" s="37" t="str">
        <f t="shared" ref="J99:J130" ca="1" si="11">IF(OR(I99="",I99=""),"",IF(I99&lt;=0,"🟢 Current",IF(I99&lt;=30,"🟡 PAR30",IF(I99&lt;=60,"🟠 PAR60",IF(I99&lt;=90,"🔴 PAR90","⛔ PAR90+")))))</f>
        <v>⛔ PAR90+</v>
      </c>
      <c r="K99" s="15" t="str">
        <f>IFERROR(Loans!L100,0)</f>
        <v/>
      </c>
      <c r="L99" s="13" t="str">
        <f>IFERROR(Loans!K100,0)</f>
        <v/>
      </c>
      <c r="M99" s="38">
        <f>IF(A99="","",IFERROR(SUMIF(Int_Repayments!A$4:A$1003,A99,Int_Repayments!F$4:F$1003)-SUMIF(Interest_Engine!A$4:A$103,A99,Interest_Engine!AR$4:AR$103),0))</f>
        <v>0</v>
      </c>
      <c r="N99" s="12" t="str">
        <f ca="1">IFERROR(Loans!M100,"")</f>
        <v/>
      </c>
    </row>
    <row r="100" spans="1:14" ht="15.75" customHeight="1" x14ac:dyDescent="0.25">
      <c r="A100" s="18">
        <f>IFERROR(Loans!C101,"")</f>
        <v>0</v>
      </c>
      <c r="B100" s="31">
        <f>IFERROR(Loans!B101,"")</f>
        <v>0</v>
      </c>
      <c r="C100" s="32" t="str">
        <f>IF(A100="","",IFERROR(VLOOKUP(A100,Members!A4:E103,3,0),""))</f>
        <v/>
      </c>
      <c r="D100" s="32">
        <f>IFERROR(Loans!A101,"")</f>
        <v>0</v>
      </c>
      <c r="E100" s="18">
        <f>IFERROR(Loans!E101,0)</f>
        <v>0</v>
      </c>
      <c r="F100" s="33">
        <f>IFERROR(Loans!D101,"")</f>
        <v>0</v>
      </c>
      <c r="G100" s="34">
        <f>IFERROR(Loans!I101,0)</f>
        <v>0</v>
      </c>
      <c r="H100" s="35">
        <f t="shared" si="9"/>
        <v>0</v>
      </c>
      <c r="I100" s="36">
        <f t="shared" ca="1" si="10"/>
        <v>46124</v>
      </c>
      <c r="J100" s="37" t="str">
        <f t="shared" ca="1" si="11"/>
        <v>⛔ PAR90+</v>
      </c>
      <c r="K100" s="15" t="str">
        <f>IFERROR(Loans!L101,0)</f>
        <v/>
      </c>
      <c r="L100" s="13" t="str">
        <f>IFERROR(Loans!K101,0)</f>
        <v/>
      </c>
      <c r="M100" s="38">
        <f>IF(A100="","",IFERROR(SUMIF(Int_Repayments!A$4:A$1003,A100,Int_Repayments!F$4:F$1003)-SUMIF(Interest_Engine!A$4:A$103,A100,Interest_Engine!AR$4:AR$103),0))</f>
        <v>0</v>
      </c>
      <c r="N100" s="12" t="str">
        <f ca="1">IFERROR(Loans!M101,"")</f>
        <v/>
      </c>
    </row>
    <row r="101" spans="1:14" ht="15.75" customHeight="1" x14ac:dyDescent="0.25">
      <c r="A101" s="18">
        <f>IFERROR(Loans!C102,"")</f>
        <v>0</v>
      </c>
      <c r="B101" s="31">
        <f>IFERROR(Loans!B102,"")</f>
        <v>0</v>
      </c>
      <c r="C101" s="32" t="str">
        <f>IF(A101="","",IFERROR(VLOOKUP(A101,Members!A4:E103,3,0),""))</f>
        <v/>
      </c>
      <c r="D101" s="32">
        <f>IFERROR(Loans!A102,"")</f>
        <v>0</v>
      </c>
      <c r="E101" s="18">
        <f>IFERROR(Loans!E102,0)</f>
        <v>0</v>
      </c>
      <c r="F101" s="33">
        <f>IFERROR(Loans!D102,"")</f>
        <v>0</v>
      </c>
      <c r="G101" s="34">
        <f>IFERROR(Loans!I102,0)</f>
        <v>0</v>
      </c>
      <c r="H101" s="35">
        <f t="shared" si="9"/>
        <v>0</v>
      </c>
      <c r="I101" s="36">
        <f t="shared" ca="1" si="10"/>
        <v>46124</v>
      </c>
      <c r="J101" s="37" t="str">
        <f t="shared" ca="1" si="11"/>
        <v>⛔ PAR90+</v>
      </c>
      <c r="K101" s="15" t="str">
        <f>IFERROR(Loans!L102,0)</f>
        <v/>
      </c>
      <c r="L101" s="13" t="str">
        <f>IFERROR(Loans!K102,0)</f>
        <v/>
      </c>
      <c r="M101" s="38">
        <f>IF(A101="","",IFERROR(SUMIF(Int_Repayments!A$4:A$1003,A101,Int_Repayments!F$4:F$1003)-SUMIF(Interest_Engine!A$4:A$103,A101,Interest_Engine!AR$4:AR$103),0))</f>
        <v>0</v>
      </c>
      <c r="N101" s="12" t="str">
        <f ca="1">IFERROR(Loans!M102,"")</f>
        <v/>
      </c>
    </row>
    <row r="102" spans="1:14" ht="15.75" customHeight="1" x14ac:dyDescent="0.25">
      <c r="A102" s="18">
        <f>IFERROR(Loans!C103,"")</f>
        <v>0</v>
      </c>
      <c r="B102" s="31">
        <f>IFERROR(Loans!B103,"")</f>
        <v>0</v>
      </c>
      <c r="C102" s="32" t="str">
        <f>IF(A102="","",IFERROR(VLOOKUP(A102,Members!A4:E103,3,0),""))</f>
        <v/>
      </c>
      <c r="D102" s="32">
        <f>IFERROR(Loans!A103,"")</f>
        <v>0</v>
      </c>
      <c r="E102" s="18">
        <f>IFERROR(Loans!E103,0)</f>
        <v>0</v>
      </c>
      <c r="F102" s="33">
        <f>IFERROR(Loans!D103,"")</f>
        <v>0</v>
      </c>
      <c r="G102" s="34">
        <f>IFERROR(Loans!I103,0)</f>
        <v>0</v>
      </c>
      <c r="H102" s="35">
        <f t="shared" si="9"/>
        <v>0</v>
      </c>
      <c r="I102" s="36">
        <f t="shared" ca="1" si="10"/>
        <v>46124</v>
      </c>
      <c r="J102" s="37" t="str">
        <f t="shared" ca="1" si="11"/>
        <v>⛔ PAR90+</v>
      </c>
      <c r="K102" s="15" t="str">
        <f>IFERROR(Loans!L103,0)</f>
        <v/>
      </c>
      <c r="L102" s="13" t="str">
        <f>IFERROR(Loans!K103,0)</f>
        <v/>
      </c>
      <c r="M102" s="38">
        <f>IF(A102="","",IFERROR(SUMIF(Int_Repayments!A$4:A$1003,A102,Int_Repayments!F$4:F$1003)-SUMIF(Interest_Engine!A$4:A$103,A102,Interest_Engine!AR$4:AR$103),0))</f>
        <v>0</v>
      </c>
      <c r="N102" s="12" t="str">
        <f ca="1">IFERROR(Loans!M103,"")</f>
        <v/>
      </c>
    </row>
  </sheetData>
  <mergeCells count="1">
    <mergeCell ref="A1:M1"/>
  </mergeCell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O103"/>
  <sheetViews>
    <sheetView zoomScaleNormal="100" workbookViewId="0">
      <pane ySplit="3" topLeftCell="A4" activePane="bottomLeft" state="frozen"/>
      <selection pane="bottomLeft" sqref="A1:H1"/>
    </sheetView>
  </sheetViews>
  <sheetFormatPr defaultColWidth="8.7109375" defaultRowHeight="15" x14ac:dyDescent="0.25"/>
  <cols>
    <col min="1" max="1" width="14" customWidth="1"/>
    <col min="2" max="2" width="22" customWidth="1"/>
    <col min="3" max="3" width="14" customWidth="1"/>
    <col min="4" max="4" width="16" customWidth="1"/>
    <col min="5" max="7" width="18" customWidth="1"/>
    <col min="8" max="8" width="13" customWidth="1"/>
    <col min="9" max="9" width="16" customWidth="1"/>
    <col min="10" max="10" width="14" customWidth="1"/>
  </cols>
  <sheetData>
    <row r="1" spans="1:15" ht="31.5" customHeight="1" x14ac:dyDescent="0.25">
      <c r="A1" s="168" t="s">
        <v>366</v>
      </c>
      <c r="B1" s="162"/>
      <c r="C1" s="162"/>
      <c r="D1" s="162"/>
      <c r="E1" s="162"/>
      <c r="F1" s="162"/>
      <c r="G1" s="162"/>
      <c r="H1" s="162"/>
    </row>
    <row r="2" spans="1:15" ht="21.75" customHeight="1" x14ac:dyDescent="0.25">
      <c r="A2" s="3" t="s">
        <v>367</v>
      </c>
      <c r="B2" s="23">
        <f ca="1">COUNTIF(Arrears_Tracker!J3:J102,"🟢 Current")</f>
        <v>0</v>
      </c>
      <c r="C2" s="21">
        <f ca="1">SUMIF(Arrears_Tracker!J3:J102,"🟢 Current",Arrears_Tracker!K3:K102)</f>
        <v>0</v>
      </c>
      <c r="D2" s="3" t="s">
        <v>368</v>
      </c>
      <c r="E2" s="23">
        <f ca="1">COUNTIF(Arrears_Tracker!J3:J102,"🟡 PAR30")</f>
        <v>0</v>
      </c>
      <c r="F2" s="21">
        <f ca="1">SUMIF(Arrears_Tracker!J3:J102,"🟡 PAR30",Arrears_Tracker!K3:K102)</f>
        <v>0</v>
      </c>
      <c r="G2" s="3" t="s">
        <v>369</v>
      </c>
      <c r="H2" s="23">
        <f ca="1">COUNTIF(Arrears_Tracker!J3:J102,"🟠 PAR60")</f>
        <v>0</v>
      </c>
      <c r="I2" s="21">
        <f ca="1">SUMIF(Arrears_Tracker!J3:J102,"🟠 PAR60",Arrears_Tracker!K3:K102)</f>
        <v>0</v>
      </c>
      <c r="J2" s="3" t="s">
        <v>370</v>
      </c>
      <c r="K2" s="23">
        <f ca="1">COUNTIF(Arrears_Tracker!J3:J102,"🔴 PAR90")</f>
        <v>0</v>
      </c>
      <c r="L2" s="21">
        <f ca="1">SUMIF(Arrears_Tracker!J3:J102,"🔴 PAR90",Arrears_Tracker!K3:K102)</f>
        <v>0</v>
      </c>
      <c r="M2" s="3" t="s">
        <v>371</v>
      </c>
      <c r="N2" s="23">
        <f ca="1">COUNTIF(Arrears_Tracker!J3:J102,"⛔ PAR90+")</f>
        <v>100</v>
      </c>
      <c r="O2" s="21">
        <f ca="1">SUMIF(Arrears_Tracker!J3:J102,"⛔ PAR90+",Arrears_Tracker!K3:K102)</f>
        <v>0</v>
      </c>
    </row>
    <row r="3" spans="1:15" ht="24" customHeight="1" x14ac:dyDescent="0.25">
      <c r="A3" s="30" t="s">
        <v>43</v>
      </c>
      <c r="B3" s="30" t="s">
        <v>260</v>
      </c>
      <c r="C3" s="30" t="s">
        <v>49</v>
      </c>
      <c r="D3" s="30" t="s">
        <v>192</v>
      </c>
      <c r="E3" s="30" t="s">
        <v>372</v>
      </c>
      <c r="F3" s="30" t="s">
        <v>373</v>
      </c>
      <c r="G3" s="30" t="s">
        <v>374</v>
      </c>
      <c r="H3" s="30" t="s">
        <v>361</v>
      </c>
      <c r="I3" s="30" t="s">
        <v>362</v>
      </c>
      <c r="J3" s="30" t="s">
        <v>75</v>
      </c>
    </row>
    <row r="4" spans="1:15" ht="15.75" customHeight="1" x14ac:dyDescent="0.25">
      <c r="A4" s="18">
        <f>IFERROR(Arrears_Tracker!A3,"")</f>
        <v>0</v>
      </c>
      <c r="B4" s="31">
        <f>IFERROR(Arrears_Tracker!B3,"")</f>
        <v>0</v>
      </c>
      <c r="C4" s="32">
        <f>IFERROR(Arrears_Tracker!D3,"")</f>
        <v>0</v>
      </c>
      <c r="D4" s="18">
        <f>IFERROR(Arrears_Tracker!E3,0)</f>
        <v>0</v>
      </c>
      <c r="E4" s="15" t="str">
        <f>IFERROR(Arrears_Tracker!K3,0)</f>
        <v/>
      </c>
      <c r="F4" s="38">
        <f>IFERROR(Arrears_Tracker!M3,0)</f>
        <v>0</v>
      </c>
      <c r="G4" s="39">
        <f t="shared" ref="G4:G35" si="0">IFERROR(E4+F4,0)</f>
        <v>0</v>
      </c>
      <c r="H4" s="36">
        <f ca="1">IFERROR(Arrears_Tracker!I3,"")</f>
        <v>46124</v>
      </c>
      <c r="I4" s="37" t="str">
        <f ca="1">IFERROR(Arrears_Tracker!J3,"")</f>
        <v>⛔ PAR90+</v>
      </c>
      <c r="J4" s="32" t="str">
        <f>IF(A4="","",IFERROR(VLOOKUP(A4,Members!A4:K103,7,0),""))</f>
        <v/>
      </c>
    </row>
    <row r="5" spans="1:15" ht="15.75" customHeight="1" x14ac:dyDescent="0.25">
      <c r="A5" s="18">
        <f>IFERROR(Arrears_Tracker!A4,"")</f>
        <v>0</v>
      </c>
      <c r="B5" s="31">
        <f>IFERROR(Arrears_Tracker!B4,"")</f>
        <v>0</v>
      </c>
      <c r="C5" s="32">
        <f>IFERROR(Arrears_Tracker!D4,"")</f>
        <v>0</v>
      </c>
      <c r="D5" s="18">
        <f>IFERROR(Arrears_Tracker!E4,0)</f>
        <v>0</v>
      </c>
      <c r="E5" s="15" t="str">
        <f>IFERROR(Arrears_Tracker!K4,0)</f>
        <v/>
      </c>
      <c r="F5" s="38">
        <f>IFERROR(Arrears_Tracker!M4,0)</f>
        <v>0</v>
      </c>
      <c r="G5" s="39">
        <f t="shared" si="0"/>
        <v>0</v>
      </c>
      <c r="H5" s="36">
        <f ca="1">IFERROR(Arrears_Tracker!I4,"")</f>
        <v>46124</v>
      </c>
      <c r="I5" s="37" t="str">
        <f ca="1">IFERROR(Arrears_Tracker!J4,"")</f>
        <v>⛔ PAR90+</v>
      </c>
      <c r="J5" s="32" t="str">
        <f>IF(A5="","",IFERROR(VLOOKUP(A5,Members!A4:K103,7,0),""))</f>
        <v/>
      </c>
    </row>
    <row r="6" spans="1:15" ht="15.75" customHeight="1" x14ac:dyDescent="0.25">
      <c r="A6" s="18">
        <f>IFERROR(Arrears_Tracker!A5,"")</f>
        <v>0</v>
      </c>
      <c r="B6" s="31">
        <f>IFERROR(Arrears_Tracker!B5,"")</f>
        <v>0</v>
      </c>
      <c r="C6" s="32">
        <f>IFERROR(Arrears_Tracker!D5,"")</f>
        <v>0</v>
      </c>
      <c r="D6" s="18">
        <f>IFERROR(Arrears_Tracker!E5,0)</f>
        <v>0</v>
      </c>
      <c r="E6" s="15" t="str">
        <f>IFERROR(Arrears_Tracker!K5,0)</f>
        <v/>
      </c>
      <c r="F6" s="38">
        <f>IFERROR(Arrears_Tracker!M5,0)</f>
        <v>0</v>
      </c>
      <c r="G6" s="39">
        <f t="shared" si="0"/>
        <v>0</v>
      </c>
      <c r="H6" s="36">
        <f ca="1">IFERROR(Arrears_Tracker!I5,"")</f>
        <v>46124</v>
      </c>
      <c r="I6" s="37" t="str">
        <f ca="1">IFERROR(Arrears_Tracker!J5,"")</f>
        <v>⛔ PAR90+</v>
      </c>
      <c r="J6" s="32" t="str">
        <f>IF(A6="","",IFERROR(VLOOKUP(A6,Members!A4:K103,7,0),""))</f>
        <v/>
      </c>
    </row>
    <row r="7" spans="1:15" ht="15.75" customHeight="1" x14ac:dyDescent="0.25">
      <c r="A7" s="18">
        <f>IFERROR(Arrears_Tracker!A6,"")</f>
        <v>0</v>
      </c>
      <c r="B7" s="31">
        <f>IFERROR(Arrears_Tracker!B6,"")</f>
        <v>0</v>
      </c>
      <c r="C7" s="32">
        <f>IFERROR(Arrears_Tracker!D6,"")</f>
        <v>0</v>
      </c>
      <c r="D7" s="18">
        <f>IFERROR(Arrears_Tracker!E6,0)</f>
        <v>0</v>
      </c>
      <c r="E7" s="15" t="str">
        <f>IFERROR(Arrears_Tracker!K6,0)</f>
        <v/>
      </c>
      <c r="F7" s="38">
        <f>IFERROR(Arrears_Tracker!M6,0)</f>
        <v>0</v>
      </c>
      <c r="G7" s="39">
        <f t="shared" si="0"/>
        <v>0</v>
      </c>
      <c r="H7" s="36">
        <f ca="1">IFERROR(Arrears_Tracker!I6,"")</f>
        <v>46124</v>
      </c>
      <c r="I7" s="37" t="str">
        <f ca="1">IFERROR(Arrears_Tracker!J6,"")</f>
        <v>⛔ PAR90+</v>
      </c>
      <c r="J7" s="32" t="str">
        <f>IF(A7="","",IFERROR(VLOOKUP(A7,Members!A4:K103,7,0),""))</f>
        <v/>
      </c>
    </row>
    <row r="8" spans="1:15" ht="15.75" customHeight="1" x14ac:dyDescent="0.25">
      <c r="A8" s="18">
        <f>IFERROR(Arrears_Tracker!A7,"")</f>
        <v>0</v>
      </c>
      <c r="B8" s="31">
        <f>IFERROR(Arrears_Tracker!B7,"")</f>
        <v>0</v>
      </c>
      <c r="C8" s="32">
        <f>IFERROR(Arrears_Tracker!D7,"")</f>
        <v>0</v>
      </c>
      <c r="D8" s="18">
        <f>IFERROR(Arrears_Tracker!E7,0)</f>
        <v>0</v>
      </c>
      <c r="E8" s="15" t="str">
        <f>IFERROR(Arrears_Tracker!K7,0)</f>
        <v/>
      </c>
      <c r="F8" s="38">
        <f>IFERROR(Arrears_Tracker!M7,0)</f>
        <v>0</v>
      </c>
      <c r="G8" s="39">
        <f t="shared" si="0"/>
        <v>0</v>
      </c>
      <c r="H8" s="36">
        <f ca="1">IFERROR(Arrears_Tracker!I7,"")</f>
        <v>46124</v>
      </c>
      <c r="I8" s="37" t="str">
        <f ca="1">IFERROR(Arrears_Tracker!J7,"")</f>
        <v>⛔ PAR90+</v>
      </c>
      <c r="J8" s="32" t="str">
        <f>IF(A8="","",IFERROR(VLOOKUP(A8,Members!A4:K103,7,0),""))</f>
        <v/>
      </c>
    </row>
    <row r="9" spans="1:15" ht="15.75" customHeight="1" x14ac:dyDescent="0.25">
      <c r="A9" s="18">
        <f>IFERROR(Arrears_Tracker!A8,"")</f>
        <v>0</v>
      </c>
      <c r="B9" s="31">
        <f>IFERROR(Arrears_Tracker!B8,"")</f>
        <v>0</v>
      </c>
      <c r="C9" s="32">
        <f>IFERROR(Arrears_Tracker!D8,"")</f>
        <v>0</v>
      </c>
      <c r="D9" s="18">
        <f>IFERROR(Arrears_Tracker!E8,0)</f>
        <v>0</v>
      </c>
      <c r="E9" s="15" t="str">
        <f>IFERROR(Arrears_Tracker!K8,0)</f>
        <v/>
      </c>
      <c r="F9" s="38">
        <f>IFERROR(Arrears_Tracker!M8,0)</f>
        <v>0</v>
      </c>
      <c r="G9" s="39">
        <f t="shared" si="0"/>
        <v>0</v>
      </c>
      <c r="H9" s="36">
        <f ca="1">IFERROR(Arrears_Tracker!I8,"")</f>
        <v>46124</v>
      </c>
      <c r="I9" s="37" t="str">
        <f ca="1">IFERROR(Arrears_Tracker!J8,"")</f>
        <v>⛔ PAR90+</v>
      </c>
      <c r="J9" s="32" t="str">
        <f>IF(A9="","",IFERROR(VLOOKUP(A9,Members!A4:K103,7,0),""))</f>
        <v/>
      </c>
    </row>
    <row r="10" spans="1:15" ht="15.75" customHeight="1" x14ac:dyDescent="0.25">
      <c r="A10" s="18">
        <f>IFERROR(Arrears_Tracker!A9,"")</f>
        <v>0</v>
      </c>
      <c r="B10" s="31">
        <f>IFERROR(Arrears_Tracker!B9,"")</f>
        <v>0</v>
      </c>
      <c r="C10" s="32">
        <f>IFERROR(Arrears_Tracker!D9,"")</f>
        <v>0</v>
      </c>
      <c r="D10" s="18">
        <f>IFERROR(Arrears_Tracker!E9,0)</f>
        <v>0</v>
      </c>
      <c r="E10" s="15" t="str">
        <f>IFERROR(Arrears_Tracker!K9,0)</f>
        <v/>
      </c>
      <c r="F10" s="38">
        <f>IFERROR(Arrears_Tracker!M9,0)</f>
        <v>0</v>
      </c>
      <c r="G10" s="39">
        <f t="shared" si="0"/>
        <v>0</v>
      </c>
      <c r="H10" s="36">
        <f ca="1">IFERROR(Arrears_Tracker!I9,"")</f>
        <v>46124</v>
      </c>
      <c r="I10" s="37" t="str">
        <f ca="1">IFERROR(Arrears_Tracker!J9,"")</f>
        <v>⛔ PAR90+</v>
      </c>
      <c r="J10" s="32" t="str">
        <f>IF(A10="","",IFERROR(VLOOKUP(A10,Members!A4:K103,7,0),""))</f>
        <v/>
      </c>
    </row>
    <row r="11" spans="1:15" ht="15.75" customHeight="1" x14ac:dyDescent="0.25">
      <c r="A11" s="18">
        <f>IFERROR(Arrears_Tracker!A10,"")</f>
        <v>0</v>
      </c>
      <c r="B11" s="31">
        <f>IFERROR(Arrears_Tracker!B10,"")</f>
        <v>0</v>
      </c>
      <c r="C11" s="32">
        <f>IFERROR(Arrears_Tracker!D10,"")</f>
        <v>0</v>
      </c>
      <c r="D11" s="18">
        <f>IFERROR(Arrears_Tracker!E10,0)</f>
        <v>0</v>
      </c>
      <c r="E11" s="15" t="str">
        <f>IFERROR(Arrears_Tracker!K10,0)</f>
        <v/>
      </c>
      <c r="F11" s="38">
        <f>IFERROR(Arrears_Tracker!M10,0)</f>
        <v>0</v>
      </c>
      <c r="G11" s="39">
        <f t="shared" si="0"/>
        <v>0</v>
      </c>
      <c r="H11" s="36">
        <f ca="1">IFERROR(Arrears_Tracker!I10,"")</f>
        <v>46124</v>
      </c>
      <c r="I11" s="37" t="str">
        <f ca="1">IFERROR(Arrears_Tracker!J10,"")</f>
        <v>⛔ PAR90+</v>
      </c>
      <c r="J11" s="32" t="str">
        <f>IF(A11="","",IFERROR(VLOOKUP(A11,Members!A4:K103,7,0),""))</f>
        <v/>
      </c>
    </row>
    <row r="12" spans="1:15" ht="15.75" customHeight="1" x14ac:dyDescent="0.25">
      <c r="A12" s="18">
        <f>IFERROR(Arrears_Tracker!A11,"")</f>
        <v>0</v>
      </c>
      <c r="B12" s="31">
        <f>IFERROR(Arrears_Tracker!B11,"")</f>
        <v>0</v>
      </c>
      <c r="C12" s="32">
        <f>IFERROR(Arrears_Tracker!D11,"")</f>
        <v>0</v>
      </c>
      <c r="D12" s="18">
        <f>IFERROR(Arrears_Tracker!E11,0)</f>
        <v>0</v>
      </c>
      <c r="E12" s="15" t="str">
        <f>IFERROR(Arrears_Tracker!K11,0)</f>
        <v/>
      </c>
      <c r="F12" s="38">
        <f>IFERROR(Arrears_Tracker!M11,0)</f>
        <v>0</v>
      </c>
      <c r="G12" s="39">
        <f t="shared" si="0"/>
        <v>0</v>
      </c>
      <c r="H12" s="36">
        <f ca="1">IFERROR(Arrears_Tracker!I11,"")</f>
        <v>46124</v>
      </c>
      <c r="I12" s="37" t="str">
        <f ca="1">IFERROR(Arrears_Tracker!J11,"")</f>
        <v>⛔ PAR90+</v>
      </c>
      <c r="J12" s="32" t="str">
        <f>IF(A12="","",IFERROR(VLOOKUP(A12,Members!A4:K103,7,0),""))</f>
        <v/>
      </c>
    </row>
    <row r="13" spans="1:15" ht="15.75" customHeight="1" x14ac:dyDescent="0.25">
      <c r="A13" s="18">
        <f>IFERROR(Arrears_Tracker!A12,"")</f>
        <v>0</v>
      </c>
      <c r="B13" s="31">
        <f>IFERROR(Arrears_Tracker!B12,"")</f>
        <v>0</v>
      </c>
      <c r="C13" s="32">
        <f>IFERROR(Arrears_Tracker!D12,"")</f>
        <v>0</v>
      </c>
      <c r="D13" s="18">
        <f>IFERROR(Arrears_Tracker!E12,0)</f>
        <v>0</v>
      </c>
      <c r="E13" s="15" t="str">
        <f>IFERROR(Arrears_Tracker!K12,0)</f>
        <v/>
      </c>
      <c r="F13" s="38">
        <f>IFERROR(Arrears_Tracker!M12,0)</f>
        <v>0</v>
      </c>
      <c r="G13" s="39">
        <f t="shared" si="0"/>
        <v>0</v>
      </c>
      <c r="H13" s="36">
        <f ca="1">IFERROR(Arrears_Tracker!I12,"")</f>
        <v>46124</v>
      </c>
      <c r="I13" s="37" t="str">
        <f ca="1">IFERROR(Arrears_Tracker!J12,"")</f>
        <v>⛔ PAR90+</v>
      </c>
      <c r="J13" s="32" t="str">
        <f>IF(A13="","",IFERROR(VLOOKUP(A13,Members!A4:K103,7,0),""))</f>
        <v/>
      </c>
    </row>
    <row r="14" spans="1:15" ht="15.75" customHeight="1" x14ac:dyDescent="0.25">
      <c r="A14" s="18">
        <f>IFERROR(Arrears_Tracker!A13,"")</f>
        <v>0</v>
      </c>
      <c r="B14" s="31">
        <f>IFERROR(Arrears_Tracker!B13,"")</f>
        <v>0</v>
      </c>
      <c r="C14" s="32">
        <f>IFERROR(Arrears_Tracker!D13,"")</f>
        <v>0</v>
      </c>
      <c r="D14" s="18">
        <f>IFERROR(Arrears_Tracker!E13,0)</f>
        <v>0</v>
      </c>
      <c r="E14" s="15" t="str">
        <f>IFERROR(Arrears_Tracker!K13,0)</f>
        <v/>
      </c>
      <c r="F14" s="38">
        <f>IFERROR(Arrears_Tracker!M13,0)</f>
        <v>0</v>
      </c>
      <c r="G14" s="39">
        <f t="shared" si="0"/>
        <v>0</v>
      </c>
      <c r="H14" s="36">
        <f ca="1">IFERROR(Arrears_Tracker!I13,"")</f>
        <v>46124</v>
      </c>
      <c r="I14" s="37" t="str">
        <f ca="1">IFERROR(Arrears_Tracker!J13,"")</f>
        <v>⛔ PAR90+</v>
      </c>
      <c r="J14" s="32" t="str">
        <f>IF(A14="","",IFERROR(VLOOKUP(A14,Members!A4:K103,7,0),""))</f>
        <v/>
      </c>
    </row>
    <row r="15" spans="1:15" ht="15.75" customHeight="1" x14ac:dyDescent="0.25">
      <c r="A15" s="18">
        <f>IFERROR(Arrears_Tracker!A14,"")</f>
        <v>0</v>
      </c>
      <c r="B15" s="31">
        <f>IFERROR(Arrears_Tracker!B14,"")</f>
        <v>0</v>
      </c>
      <c r="C15" s="32">
        <f>IFERROR(Arrears_Tracker!D14,"")</f>
        <v>0</v>
      </c>
      <c r="D15" s="18">
        <f>IFERROR(Arrears_Tracker!E14,0)</f>
        <v>0</v>
      </c>
      <c r="E15" s="15" t="str">
        <f>IFERROR(Arrears_Tracker!K14,0)</f>
        <v/>
      </c>
      <c r="F15" s="38">
        <f>IFERROR(Arrears_Tracker!M14,0)</f>
        <v>0</v>
      </c>
      <c r="G15" s="39">
        <f t="shared" si="0"/>
        <v>0</v>
      </c>
      <c r="H15" s="36">
        <f ca="1">IFERROR(Arrears_Tracker!I14,"")</f>
        <v>46124</v>
      </c>
      <c r="I15" s="37" t="str">
        <f ca="1">IFERROR(Arrears_Tracker!J14,"")</f>
        <v>⛔ PAR90+</v>
      </c>
      <c r="J15" s="32" t="str">
        <f>IF(A15="","",IFERROR(VLOOKUP(A15,Members!A4:K103,7,0),""))</f>
        <v/>
      </c>
    </row>
    <row r="16" spans="1:15" ht="15.75" customHeight="1" x14ac:dyDescent="0.25">
      <c r="A16" s="18">
        <f>IFERROR(Arrears_Tracker!A15,"")</f>
        <v>0</v>
      </c>
      <c r="B16" s="31">
        <f>IFERROR(Arrears_Tracker!B15,"")</f>
        <v>0</v>
      </c>
      <c r="C16" s="32">
        <f>IFERROR(Arrears_Tracker!D15,"")</f>
        <v>0</v>
      </c>
      <c r="D16" s="18">
        <f>IFERROR(Arrears_Tracker!E15,0)</f>
        <v>0</v>
      </c>
      <c r="E16" s="15" t="str">
        <f>IFERROR(Arrears_Tracker!K15,0)</f>
        <v/>
      </c>
      <c r="F16" s="38">
        <f>IFERROR(Arrears_Tracker!M15,0)</f>
        <v>0</v>
      </c>
      <c r="G16" s="39">
        <f t="shared" si="0"/>
        <v>0</v>
      </c>
      <c r="H16" s="36">
        <f ca="1">IFERROR(Arrears_Tracker!I15,"")</f>
        <v>46124</v>
      </c>
      <c r="I16" s="37" t="str">
        <f ca="1">IFERROR(Arrears_Tracker!J15,"")</f>
        <v>⛔ PAR90+</v>
      </c>
      <c r="J16" s="32" t="str">
        <f>IF(A16="","",IFERROR(VLOOKUP(A16,Members!A4:K103,7,0),""))</f>
        <v/>
      </c>
    </row>
    <row r="17" spans="1:10" ht="15.75" customHeight="1" x14ac:dyDescent="0.25">
      <c r="A17" s="18">
        <f>IFERROR(Arrears_Tracker!A16,"")</f>
        <v>0</v>
      </c>
      <c r="B17" s="31">
        <f>IFERROR(Arrears_Tracker!B16,"")</f>
        <v>0</v>
      </c>
      <c r="C17" s="32">
        <f>IFERROR(Arrears_Tracker!D16,"")</f>
        <v>0</v>
      </c>
      <c r="D17" s="18">
        <f>IFERROR(Arrears_Tracker!E16,0)</f>
        <v>0</v>
      </c>
      <c r="E17" s="15" t="str">
        <f>IFERROR(Arrears_Tracker!K16,0)</f>
        <v/>
      </c>
      <c r="F17" s="38">
        <f>IFERROR(Arrears_Tracker!M16,0)</f>
        <v>0</v>
      </c>
      <c r="G17" s="39">
        <f t="shared" si="0"/>
        <v>0</v>
      </c>
      <c r="H17" s="36">
        <f ca="1">IFERROR(Arrears_Tracker!I16,"")</f>
        <v>46124</v>
      </c>
      <c r="I17" s="37" t="str">
        <f ca="1">IFERROR(Arrears_Tracker!J16,"")</f>
        <v>⛔ PAR90+</v>
      </c>
      <c r="J17" s="32" t="str">
        <f>IF(A17="","",IFERROR(VLOOKUP(A17,Members!A4:K103,7,0),""))</f>
        <v/>
      </c>
    </row>
    <row r="18" spans="1:10" ht="15.75" customHeight="1" x14ac:dyDescent="0.25">
      <c r="A18" s="18">
        <f>IFERROR(Arrears_Tracker!A17,"")</f>
        <v>0</v>
      </c>
      <c r="B18" s="31">
        <f>IFERROR(Arrears_Tracker!B17,"")</f>
        <v>0</v>
      </c>
      <c r="C18" s="32">
        <f>IFERROR(Arrears_Tracker!D17,"")</f>
        <v>0</v>
      </c>
      <c r="D18" s="18">
        <f>IFERROR(Arrears_Tracker!E17,0)</f>
        <v>0</v>
      </c>
      <c r="E18" s="15" t="str">
        <f>IFERROR(Arrears_Tracker!K17,0)</f>
        <v/>
      </c>
      <c r="F18" s="38">
        <f>IFERROR(Arrears_Tracker!M17,0)</f>
        <v>0</v>
      </c>
      <c r="G18" s="39">
        <f t="shared" si="0"/>
        <v>0</v>
      </c>
      <c r="H18" s="36">
        <f ca="1">IFERROR(Arrears_Tracker!I17,"")</f>
        <v>46124</v>
      </c>
      <c r="I18" s="37" t="str">
        <f ca="1">IFERROR(Arrears_Tracker!J17,"")</f>
        <v>⛔ PAR90+</v>
      </c>
      <c r="J18" s="32" t="str">
        <f>IF(A18="","",IFERROR(VLOOKUP(A18,Members!A4:K103,7,0),""))</f>
        <v/>
      </c>
    </row>
    <row r="19" spans="1:10" ht="15.75" customHeight="1" x14ac:dyDescent="0.25">
      <c r="A19" s="18">
        <f>IFERROR(Arrears_Tracker!A18,"")</f>
        <v>0</v>
      </c>
      <c r="B19" s="31">
        <f>IFERROR(Arrears_Tracker!B18,"")</f>
        <v>0</v>
      </c>
      <c r="C19" s="32">
        <f>IFERROR(Arrears_Tracker!D18,"")</f>
        <v>0</v>
      </c>
      <c r="D19" s="18">
        <f>IFERROR(Arrears_Tracker!E18,0)</f>
        <v>0</v>
      </c>
      <c r="E19" s="15" t="str">
        <f>IFERROR(Arrears_Tracker!K18,0)</f>
        <v/>
      </c>
      <c r="F19" s="38">
        <f>IFERROR(Arrears_Tracker!M18,0)</f>
        <v>0</v>
      </c>
      <c r="G19" s="39">
        <f t="shared" si="0"/>
        <v>0</v>
      </c>
      <c r="H19" s="36">
        <f ca="1">IFERROR(Arrears_Tracker!I18,"")</f>
        <v>46124</v>
      </c>
      <c r="I19" s="37" t="str">
        <f ca="1">IFERROR(Arrears_Tracker!J18,"")</f>
        <v>⛔ PAR90+</v>
      </c>
      <c r="J19" s="32" t="str">
        <f>IF(A19="","",IFERROR(VLOOKUP(A19,Members!A4:K103,7,0),""))</f>
        <v/>
      </c>
    </row>
    <row r="20" spans="1:10" ht="15.75" customHeight="1" x14ac:dyDescent="0.25">
      <c r="A20" s="18">
        <f>IFERROR(Arrears_Tracker!A19,"")</f>
        <v>0</v>
      </c>
      <c r="B20" s="31">
        <f>IFERROR(Arrears_Tracker!B19,"")</f>
        <v>0</v>
      </c>
      <c r="C20" s="32">
        <f>IFERROR(Arrears_Tracker!D19,"")</f>
        <v>0</v>
      </c>
      <c r="D20" s="18">
        <f>IFERROR(Arrears_Tracker!E19,0)</f>
        <v>0</v>
      </c>
      <c r="E20" s="15" t="str">
        <f>IFERROR(Arrears_Tracker!K19,0)</f>
        <v/>
      </c>
      <c r="F20" s="38">
        <f>IFERROR(Arrears_Tracker!M19,0)</f>
        <v>0</v>
      </c>
      <c r="G20" s="39">
        <f t="shared" si="0"/>
        <v>0</v>
      </c>
      <c r="H20" s="36">
        <f ca="1">IFERROR(Arrears_Tracker!I19,"")</f>
        <v>46124</v>
      </c>
      <c r="I20" s="37" t="str">
        <f ca="1">IFERROR(Arrears_Tracker!J19,"")</f>
        <v>⛔ PAR90+</v>
      </c>
      <c r="J20" s="32" t="str">
        <f>IF(A20="","",IFERROR(VLOOKUP(A20,Members!A4:K103,7,0),""))</f>
        <v/>
      </c>
    </row>
    <row r="21" spans="1:10" ht="15.75" customHeight="1" x14ac:dyDescent="0.25">
      <c r="A21" s="18">
        <f>IFERROR(Arrears_Tracker!A20,"")</f>
        <v>0</v>
      </c>
      <c r="B21" s="31">
        <f>IFERROR(Arrears_Tracker!B20,"")</f>
        <v>0</v>
      </c>
      <c r="C21" s="32">
        <f>IFERROR(Arrears_Tracker!D20,"")</f>
        <v>0</v>
      </c>
      <c r="D21" s="18">
        <f>IFERROR(Arrears_Tracker!E20,0)</f>
        <v>0</v>
      </c>
      <c r="E21" s="15" t="str">
        <f>IFERROR(Arrears_Tracker!K20,0)</f>
        <v/>
      </c>
      <c r="F21" s="38">
        <f>IFERROR(Arrears_Tracker!M20,0)</f>
        <v>0</v>
      </c>
      <c r="G21" s="39">
        <f t="shared" si="0"/>
        <v>0</v>
      </c>
      <c r="H21" s="36">
        <f ca="1">IFERROR(Arrears_Tracker!I20,"")</f>
        <v>46124</v>
      </c>
      <c r="I21" s="37" t="str">
        <f ca="1">IFERROR(Arrears_Tracker!J20,"")</f>
        <v>⛔ PAR90+</v>
      </c>
      <c r="J21" s="32" t="str">
        <f>IF(A21="","",IFERROR(VLOOKUP(A21,Members!A4:K103,7,0),""))</f>
        <v/>
      </c>
    </row>
    <row r="22" spans="1:10" ht="15.75" customHeight="1" x14ac:dyDescent="0.25">
      <c r="A22" s="18">
        <f>IFERROR(Arrears_Tracker!A21,"")</f>
        <v>0</v>
      </c>
      <c r="B22" s="31">
        <f>IFERROR(Arrears_Tracker!B21,"")</f>
        <v>0</v>
      </c>
      <c r="C22" s="32">
        <f>IFERROR(Arrears_Tracker!D21,"")</f>
        <v>0</v>
      </c>
      <c r="D22" s="18">
        <f>IFERROR(Arrears_Tracker!E21,0)</f>
        <v>0</v>
      </c>
      <c r="E22" s="15" t="str">
        <f>IFERROR(Arrears_Tracker!K21,0)</f>
        <v/>
      </c>
      <c r="F22" s="38">
        <f>IFERROR(Arrears_Tracker!M21,0)</f>
        <v>0</v>
      </c>
      <c r="G22" s="39">
        <f t="shared" si="0"/>
        <v>0</v>
      </c>
      <c r="H22" s="36">
        <f ca="1">IFERROR(Arrears_Tracker!I21,"")</f>
        <v>46124</v>
      </c>
      <c r="I22" s="37" t="str">
        <f ca="1">IFERROR(Arrears_Tracker!J21,"")</f>
        <v>⛔ PAR90+</v>
      </c>
      <c r="J22" s="32" t="str">
        <f>IF(A22="","",IFERROR(VLOOKUP(A22,Members!A4:K103,7,0),""))</f>
        <v/>
      </c>
    </row>
    <row r="23" spans="1:10" ht="15.75" customHeight="1" x14ac:dyDescent="0.25">
      <c r="A23" s="18">
        <f>IFERROR(Arrears_Tracker!A22,"")</f>
        <v>0</v>
      </c>
      <c r="B23" s="31">
        <f>IFERROR(Arrears_Tracker!B22,"")</f>
        <v>0</v>
      </c>
      <c r="C23" s="32">
        <f>IFERROR(Arrears_Tracker!D22,"")</f>
        <v>0</v>
      </c>
      <c r="D23" s="18">
        <f>IFERROR(Arrears_Tracker!E22,0)</f>
        <v>0</v>
      </c>
      <c r="E23" s="15" t="str">
        <f>IFERROR(Arrears_Tracker!K22,0)</f>
        <v/>
      </c>
      <c r="F23" s="38">
        <f>IFERROR(Arrears_Tracker!M22,0)</f>
        <v>0</v>
      </c>
      <c r="G23" s="39">
        <f t="shared" si="0"/>
        <v>0</v>
      </c>
      <c r="H23" s="36">
        <f ca="1">IFERROR(Arrears_Tracker!I22,"")</f>
        <v>46124</v>
      </c>
      <c r="I23" s="37" t="str">
        <f ca="1">IFERROR(Arrears_Tracker!J22,"")</f>
        <v>⛔ PAR90+</v>
      </c>
      <c r="J23" s="32" t="str">
        <f>IF(A23="","",IFERROR(VLOOKUP(A23,Members!A4:K103,7,0),""))</f>
        <v/>
      </c>
    </row>
    <row r="24" spans="1:10" ht="15.75" customHeight="1" x14ac:dyDescent="0.25">
      <c r="A24" s="18">
        <f>IFERROR(Arrears_Tracker!A23,"")</f>
        <v>0</v>
      </c>
      <c r="B24" s="31">
        <f>IFERROR(Arrears_Tracker!B23,"")</f>
        <v>0</v>
      </c>
      <c r="C24" s="32">
        <f>IFERROR(Arrears_Tracker!D23,"")</f>
        <v>0</v>
      </c>
      <c r="D24" s="18">
        <f>IFERROR(Arrears_Tracker!E23,0)</f>
        <v>0</v>
      </c>
      <c r="E24" s="15" t="str">
        <f>IFERROR(Arrears_Tracker!K23,0)</f>
        <v/>
      </c>
      <c r="F24" s="38">
        <f>IFERROR(Arrears_Tracker!M23,0)</f>
        <v>0</v>
      </c>
      <c r="G24" s="39">
        <f t="shared" si="0"/>
        <v>0</v>
      </c>
      <c r="H24" s="36">
        <f ca="1">IFERROR(Arrears_Tracker!I23,"")</f>
        <v>46124</v>
      </c>
      <c r="I24" s="37" t="str">
        <f ca="1">IFERROR(Arrears_Tracker!J23,"")</f>
        <v>⛔ PAR90+</v>
      </c>
      <c r="J24" s="32" t="str">
        <f>IF(A24="","",IFERROR(VLOOKUP(A24,Members!A4:K103,7,0),""))</f>
        <v/>
      </c>
    </row>
    <row r="25" spans="1:10" ht="15.75" customHeight="1" x14ac:dyDescent="0.25">
      <c r="A25" s="18">
        <f>IFERROR(Arrears_Tracker!A24,"")</f>
        <v>0</v>
      </c>
      <c r="B25" s="31">
        <f>IFERROR(Arrears_Tracker!B24,"")</f>
        <v>0</v>
      </c>
      <c r="C25" s="32">
        <f>IFERROR(Arrears_Tracker!D24,"")</f>
        <v>0</v>
      </c>
      <c r="D25" s="18">
        <f>IFERROR(Arrears_Tracker!E24,0)</f>
        <v>0</v>
      </c>
      <c r="E25" s="15" t="str">
        <f>IFERROR(Arrears_Tracker!K24,0)</f>
        <v/>
      </c>
      <c r="F25" s="38">
        <f>IFERROR(Arrears_Tracker!M24,0)</f>
        <v>0</v>
      </c>
      <c r="G25" s="39">
        <f t="shared" si="0"/>
        <v>0</v>
      </c>
      <c r="H25" s="36">
        <f ca="1">IFERROR(Arrears_Tracker!I24,"")</f>
        <v>46124</v>
      </c>
      <c r="I25" s="37" t="str">
        <f ca="1">IFERROR(Arrears_Tracker!J24,"")</f>
        <v>⛔ PAR90+</v>
      </c>
      <c r="J25" s="32" t="str">
        <f>IF(A25="","",IFERROR(VLOOKUP(A25,Members!A4:K103,7,0),""))</f>
        <v/>
      </c>
    </row>
    <row r="26" spans="1:10" ht="15.75" customHeight="1" x14ac:dyDescent="0.25">
      <c r="A26" s="18">
        <f>IFERROR(Arrears_Tracker!A25,"")</f>
        <v>0</v>
      </c>
      <c r="B26" s="31">
        <f>IFERROR(Arrears_Tracker!B25,"")</f>
        <v>0</v>
      </c>
      <c r="C26" s="32">
        <f>IFERROR(Arrears_Tracker!D25,"")</f>
        <v>0</v>
      </c>
      <c r="D26" s="18">
        <f>IFERROR(Arrears_Tracker!E25,0)</f>
        <v>0</v>
      </c>
      <c r="E26" s="15" t="str">
        <f>IFERROR(Arrears_Tracker!K25,0)</f>
        <v/>
      </c>
      <c r="F26" s="38">
        <f>IFERROR(Arrears_Tracker!M25,0)</f>
        <v>0</v>
      </c>
      <c r="G26" s="39">
        <f t="shared" si="0"/>
        <v>0</v>
      </c>
      <c r="H26" s="36">
        <f ca="1">IFERROR(Arrears_Tracker!I25,"")</f>
        <v>46124</v>
      </c>
      <c r="I26" s="37" t="str">
        <f ca="1">IFERROR(Arrears_Tracker!J25,"")</f>
        <v>⛔ PAR90+</v>
      </c>
      <c r="J26" s="32" t="str">
        <f>IF(A26="","",IFERROR(VLOOKUP(A26,Members!A4:K103,7,0),""))</f>
        <v/>
      </c>
    </row>
    <row r="27" spans="1:10" ht="15.75" customHeight="1" x14ac:dyDescent="0.25">
      <c r="A27" s="18">
        <f>IFERROR(Arrears_Tracker!A26,"")</f>
        <v>0</v>
      </c>
      <c r="B27" s="31">
        <f>IFERROR(Arrears_Tracker!B26,"")</f>
        <v>0</v>
      </c>
      <c r="C27" s="32">
        <f>IFERROR(Arrears_Tracker!D26,"")</f>
        <v>0</v>
      </c>
      <c r="D27" s="18">
        <f>IFERROR(Arrears_Tracker!E26,0)</f>
        <v>0</v>
      </c>
      <c r="E27" s="15" t="str">
        <f>IFERROR(Arrears_Tracker!K26,0)</f>
        <v/>
      </c>
      <c r="F27" s="38">
        <f>IFERROR(Arrears_Tracker!M26,0)</f>
        <v>0</v>
      </c>
      <c r="G27" s="39">
        <f t="shared" si="0"/>
        <v>0</v>
      </c>
      <c r="H27" s="36">
        <f ca="1">IFERROR(Arrears_Tracker!I26,"")</f>
        <v>46124</v>
      </c>
      <c r="I27" s="37" t="str">
        <f ca="1">IFERROR(Arrears_Tracker!J26,"")</f>
        <v>⛔ PAR90+</v>
      </c>
      <c r="J27" s="32" t="str">
        <f>IF(A27="","",IFERROR(VLOOKUP(A27,Members!A4:K103,7,0),""))</f>
        <v/>
      </c>
    </row>
    <row r="28" spans="1:10" ht="15.75" customHeight="1" x14ac:dyDescent="0.25">
      <c r="A28" s="18">
        <f>IFERROR(Arrears_Tracker!A27,"")</f>
        <v>0</v>
      </c>
      <c r="B28" s="31">
        <f>IFERROR(Arrears_Tracker!B27,"")</f>
        <v>0</v>
      </c>
      <c r="C28" s="32">
        <f>IFERROR(Arrears_Tracker!D27,"")</f>
        <v>0</v>
      </c>
      <c r="D28" s="18">
        <f>IFERROR(Arrears_Tracker!E27,0)</f>
        <v>0</v>
      </c>
      <c r="E28" s="15" t="str">
        <f>IFERROR(Arrears_Tracker!K27,0)</f>
        <v/>
      </c>
      <c r="F28" s="38">
        <f>IFERROR(Arrears_Tracker!M27,0)</f>
        <v>0</v>
      </c>
      <c r="G28" s="39">
        <f t="shared" si="0"/>
        <v>0</v>
      </c>
      <c r="H28" s="36">
        <f ca="1">IFERROR(Arrears_Tracker!I27,"")</f>
        <v>46124</v>
      </c>
      <c r="I28" s="37" t="str">
        <f ca="1">IFERROR(Arrears_Tracker!J27,"")</f>
        <v>⛔ PAR90+</v>
      </c>
      <c r="J28" s="32" t="str">
        <f>IF(A28="","",IFERROR(VLOOKUP(A28,Members!A4:K103,7,0),""))</f>
        <v/>
      </c>
    </row>
    <row r="29" spans="1:10" ht="15.75" customHeight="1" x14ac:dyDescent="0.25">
      <c r="A29" s="18">
        <f>IFERROR(Arrears_Tracker!A28,"")</f>
        <v>0</v>
      </c>
      <c r="B29" s="31">
        <f>IFERROR(Arrears_Tracker!B28,"")</f>
        <v>0</v>
      </c>
      <c r="C29" s="32">
        <f>IFERROR(Arrears_Tracker!D28,"")</f>
        <v>0</v>
      </c>
      <c r="D29" s="18">
        <f>IFERROR(Arrears_Tracker!E28,0)</f>
        <v>0</v>
      </c>
      <c r="E29" s="15" t="str">
        <f>IFERROR(Arrears_Tracker!K28,0)</f>
        <v/>
      </c>
      <c r="F29" s="38">
        <f>IFERROR(Arrears_Tracker!M28,0)</f>
        <v>0</v>
      </c>
      <c r="G29" s="39">
        <f t="shared" si="0"/>
        <v>0</v>
      </c>
      <c r="H29" s="36">
        <f ca="1">IFERROR(Arrears_Tracker!I28,"")</f>
        <v>46124</v>
      </c>
      <c r="I29" s="37" t="str">
        <f ca="1">IFERROR(Arrears_Tracker!J28,"")</f>
        <v>⛔ PAR90+</v>
      </c>
      <c r="J29" s="32" t="str">
        <f>IF(A29="","",IFERROR(VLOOKUP(A29,Members!A4:K103,7,0),""))</f>
        <v/>
      </c>
    </row>
    <row r="30" spans="1:10" ht="15.75" customHeight="1" x14ac:dyDescent="0.25">
      <c r="A30" s="18">
        <f>IFERROR(Arrears_Tracker!A29,"")</f>
        <v>0</v>
      </c>
      <c r="B30" s="31">
        <f>IFERROR(Arrears_Tracker!B29,"")</f>
        <v>0</v>
      </c>
      <c r="C30" s="32">
        <f>IFERROR(Arrears_Tracker!D29,"")</f>
        <v>0</v>
      </c>
      <c r="D30" s="18">
        <f>IFERROR(Arrears_Tracker!E29,0)</f>
        <v>0</v>
      </c>
      <c r="E30" s="15" t="str">
        <f>IFERROR(Arrears_Tracker!K29,0)</f>
        <v/>
      </c>
      <c r="F30" s="38">
        <f>IFERROR(Arrears_Tracker!M29,0)</f>
        <v>0</v>
      </c>
      <c r="G30" s="39">
        <f t="shared" si="0"/>
        <v>0</v>
      </c>
      <c r="H30" s="36">
        <f ca="1">IFERROR(Arrears_Tracker!I29,"")</f>
        <v>46124</v>
      </c>
      <c r="I30" s="37" t="str">
        <f ca="1">IFERROR(Arrears_Tracker!J29,"")</f>
        <v>⛔ PAR90+</v>
      </c>
      <c r="J30" s="32" t="str">
        <f>IF(A30="","",IFERROR(VLOOKUP(A30,Members!A4:K103,7,0),""))</f>
        <v/>
      </c>
    </row>
    <row r="31" spans="1:10" ht="15.75" customHeight="1" x14ac:dyDescent="0.25">
      <c r="A31" s="18">
        <f>IFERROR(Arrears_Tracker!A30,"")</f>
        <v>0</v>
      </c>
      <c r="B31" s="31">
        <f>IFERROR(Arrears_Tracker!B30,"")</f>
        <v>0</v>
      </c>
      <c r="C31" s="32">
        <f>IFERROR(Arrears_Tracker!D30,"")</f>
        <v>0</v>
      </c>
      <c r="D31" s="18">
        <f>IFERROR(Arrears_Tracker!E30,0)</f>
        <v>0</v>
      </c>
      <c r="E31" s="15" t="str">
        <f>IFERROR(Arrears_Tracker!K30,0)</f>
        <v/>
      </c>
      <c r="F31" s="38">
        <f>IFERROR(Arrears_Tracker!M30,0)</f>
        <v>0</v>
      </c>
      <c r="G31" s="39">
        <f t="shared" si="0"/>
        <v>0</v>
      </c>
      <c r="H31" s="36">
        <f ca="1">IFERROR(Arrears_Tracker!I30,"")</f>
        <v>46124</v>
      </c>
      <c r="I31" s="37" t="str">
        <f ca="1">IFERROR(Arrears_Tracker!J30,"")</f>
        <v>⛔ PAR90+</v>
      </c>
      <c r="J31" s="32" t="str">
        <f>IF(A31="","",IFERROR(VLOOKUP(A31,Members!A4:K103,7,0),""))</f>
        <v/>
      </c>
    </row>
    <row r="32" spans="1:10" ht="15.75" customHeight="1" x14ac:dyDescent="0.25">
      <c r="A32" s="18">
        <f>IFERROR(Arrears_Tracker!A31,"")</f>
        <v>0</v>
      </c>
      <c r="B32" s="31">
        <f>IFERROR(Arrears_Tracker!B31,"")</f>
        <v>0</v>
      </c>
      <c r="C32" s="32">
        <f>IFERROR(Arrears_Tracker!D31,"")</f>
        <v>0</v>
      </c>
      <c r="D32" s="18">
        <f>IFERROR(Arrears_Tracker!E31,0)</f>
        <v>0</v>
      </c>
      <c r="E32" s="15" t="str">
        <f>IFERROR(Arrears_Tracker!K31,0)</f>
        <v/>
      </c>
      <c r="F32" s="38">
        <f>IFERROR(Arrears_Tracker!M31,0)</f>
        <v>0</v>
      </c>
      <c r="G32" s="39">
        <f t="shared" si="0"/>
        <v>0</v>
      </c>
      <c r="H32" s="36">
        <f ca="1">IFERROR(Arrears_Tracker!I31,"")</f>
        <v>46124</v>
      </c>
      <c r="I32" s="37" t="str">
        <f ca="1">IFERROR(Arrears_Tracker!J31,"")</f>
        <v>⛔ PAR90+</v>
      </c>
      <c r="J32" s="32" t="str">
        <f>IF(A32="","",IFERROR(VLOOKUP(A32,Members!A4:K103,7,0),""))</f>
        <v/>
      </c>
    </row>
    <row r="33" spans="1:10" ht="15.75" customHeight="1" x14ac:dyDescent="0.25">
      <c r="A33" s="18">
        <f>IFERROR(Arrears_Tracker!A32,"")</f>
        <v>0</v>
      </c>
      <c r="B33" s="31">
        <f>IFERROR(Arrears_Tracker!B32,"")</f>
        <v>0</v>
      </c>
      <c r="C33" s="32">
        <f>IFERROR(Arrears_Tracker!D32,"")</f>
        <v>0</v>
      </c>
      <c r="D33" s="18">
        <f>IFERROR(Arrears_Tracker!E32,0)</f>
        <v>0</v>
      </c>
      <c r="E33" s="15" t="str">
        <f>IFERROR(Arrears_Tracker!K32,0)</f>
        <v/>
      </c>
      <c r="F33" s="38">
        <f>IFERROR(Arrears_Tracker!M32,0)</f>
        <v>0</v>
      </c>
      <c r="G33" s="39">
        <f t="shared" si="0"/>
        <v>0</v>
      </c>
      <c r="H33" s="36">
        <f ca="1">IFERROR(Arrears_Tracker!I32,"")</f>
        <v>46124</v>
      </c>
      <c r="I33" s="37" t="str">
        <f ca="1">IFERROR(Arrears_Tracker!J32,"")</f>
        <v>⛔ PAR90+</v>
      </c>
      <c r="J33" s="32" t="str">
        <f>IF(A33="","",IFERROR(VLOOKUP(A33,Members!A4:K103,7,0),""))</f>
        <v/>
      </c>
    </row>
    <row r="34" spans="1:10" ht="15.75" customHeight="1" x14ac:dyDescent="0.25">
      <c r="A34" s="18">
        <f>IFERROR(Arrears_Tracker!A33,"")</f>
        <v>0</v>
      </c>
      <c r="B34" s="31">
        <f>IFERROR(Arrears_Tracker!B33,"")</f>
        <v>0</v>
      </c>
      <c r="C34" s="32">
        <f>IFERROR(Arrears_Tracker!D33,"")</f>
        <v>0</v>
      </c>
      <c r="D34" s="18">
        <f>IFERROR(Arrears_Tracker!E33,0)</f>
        <v>0</v>
      </c>
      <c r="E34" s="15" t="str">
        <f>IFERROR(Arrears_Tracker!K33,0)</f>
        <v/>
      </c>
      <c r="F34" s="38">
        <f>IFERROR(Arrears_Tracker!M33,0)</f>
        <v>0</v>
      </c>
      <c r="G34" s="39">
        <f t="shared" si="0"/>
        <v>0</v>
      </c>
      <c r="H34" s="36">
        <f ca="1">IFERROR(Arrears_Tracker!I33,"")</f>
        <v>46124</v>
      </c>
      <c r="I34" s="37" t="str">
        <f ca="1">IFERROR(Arrears_Tracker!J33,"")</f>
        <v>⛔ PAR90+</v>
      </c>
      <c r="J34" s="32" t="str">
        <f>IF(A34="","",IFERROR(VLOOKUP(A34,Members!A4:K103,7,0),""))</f>
        <v/>
      </c>
    </row>
    <row r="35" spans="1:10" ht="15.75" customHeight="1" x14ac:dyDescent="0.25">
      <c r="A35" s="18">
        <f>IFERROR(Arrears_Tracker!A34,"")</f>
        <v>0</v>
      </c>
      <c r="B35" s="31">
        <f>IFERROR(Arrears_Tracker!B34,"")</f>
        <v>0</v>
      </c>
      <c r="C35" s="32">
        <f>IFERROR(Arrears_Tracker!D34,"")</f>
        <v>0</v>
      </c>
      <c r="D35" s="18">
        <f>IFERROR(Arrears_Tracker!E34,0)</f>
        <v>0</v>
      </c>
      <c r="E35" s="15" t="str">
        <f>IFERROR(Arrears_Tracker!K34,0)</f>
        <v/>
      </c>
      <c r="F35" s="38">
        <f>IFERROR(Arrears_Tracker!M34,0)</f>
        <v>0</v>
      </c>
      <c r="G35" s="39">
        <f t="shared" si="0"/>
        <v>0</v>
      </c>
      <c r="H35" s="36">
        <f ca="1">IFERROR(Arrears_Tracker!I34,"")</f>
        <v>46124</v>
      </c>
      <c r="I35" s="37" t="str">
        <f ca="1">IFERROR(Arrears_Tracker!J34,"")</f>
        <v>⛔ PAR90+</v>
      </c>
      <c r="J35" s="32" t="str">
        <f>IF(A35="","",IFERROR(VLOOKUP(A35,Members!A4:K103,7,0),""))</f>
        <v/>
      </c>
    </row>
    <row r="36" spans="1:10" ht="15.75" customHeight="1" x14ac:dyDescent="0.25">
      <c r="A36" s="18">
        <f>IFERROR(Arrears_Tracker!A35,"")</f>
        <v>0</v>
      </c>
      <c r="B36" s="31">
        <f>IFERROR(Arrears_Tracker!B35,"")</f>
        <v>0</v>
      </c>
      <c r="C36" s="32">
        <f>IFERROR(Arrears_Tracker!D35,"")</f>
        <v>0</v>
      </c>
      <c r="D36" s="18">
        <f>IFERROR(Arrears_Tracker!E35,0)</f>
        <v>0</v>
      </c>
      <c r="E36" s="15" t="str">
        <f>IFERROR(Arrears_Tracker!K35,0)</f>
        <v/>
      </c>
      <c r="F36" s="38">
        <f>IFERROR(Arrears_Tracker!M35,0)</f>
        <v>0</v>
      </c>
      <c r="G36" s="39">
        <f t="shared" ref="G36:G67" si="1">IFERROR(E36+F36,0)</f>
        <v>0</v>
      </c>
      <c r="H36" s="36">
        <f ca="1">IFERROR(Arrears_Tracker!I35,"")</f>
        <v>46124</v>
      </c>
      <c r="I36" s="37" t="str">
        <f ca="1">IFERROR(Arrears_Tracker!J35,"")</f>
        <v>⛔ PAR90+</v>
      </c>
      <c r="J36" s="32" t="str">
        <f>IF(A36="","",IFERROR(VLOOKUP(A36,Members!A4:K103,7,0),""))</f>
        <v/>
      </c>
    </row>
    <row r="37" spans="1:10" ht="15.75" customHeight="1" x14ac:dyDescent="0.25">
      <c r="A37" s="18">
        <f>IFERROR(Arrears_Tracker!A36,"")</f>
        <v>0</v>
      </c>
      <c r="B37" s="31">
        <f>IFERROR(Arrears_Tracker!B36,"")</f>
        <v>0</v>
      </c>
      <c r="C37" s="32">
        <f>IFERROR(Arrears_Tracker!D36,"")</f>
        <v>0</v>
      </c>
      <c r="D37" s="18">
        <f>IFERROR(Arrears_Tracker!E36,0)</f>
        <v>0</v>
      </c>
      <c r="E37" s="15" t="str">
        <f>IFERROR(Arrears_Tracker!K36,0)</f>
        <v/>
      </c>
      <c r="F37" s="38">
        <f>IFERROR(Arrears_Tracker!M36,0)</f>
        <v>0</v>
      </c>
      <c r="G37" s="39">
        <f t="shared" si="1"/>
        <v>0</v>
      </c>
      <c r="H37" s="36">
        <f ca="1">IFERROR(Arrears_Tracker!I36,"")</f>
        <v>46124</v>
      </c>
      <c r="I37" s="37" t="str">
        <f ca="1">IFERROR(Arrears_Tracker!J36,"")</f>
        <v>⛔ PAR90+</v>
      </c>
      <c r="J37" s="32" t="str">
        <f>IF(A37="","",IFERROR(VLOOKUP(A37,Members!A4:K103,7,0),""))</f>
        <v/>
      </c>
    </row>
    <row r="38" spans="1:10" ht="15.75" customHeight="1" x14ac:dyDescent="0.25">
      <c r="A38" s="18">
        <f>IFERROR(Arrears_Tracker!A37,"")</f>
        <v>0</v>
      </c>
      <c r="B38" s="31">
        <f>IFERROR(Arrears_Tracker!B37,"")</f>
        <v>0</v>
      </c>
      <c r="C38" s="32">
        <f>IFERROR(Arrears_Tracker!D37,"")</f>
        <v>0</v>
      </c>
      <c r="D38" s="18">
        <f>IFERROR(Arrears_Tracker!E37,0)</f>
        <v>0</v>
      </c>
      <c r="E38" s="15" t="str">
        <f>IFERROR(Arrears_Tracker!K37,0)</f>
        <v/>
      </c>
      <c r="F38" s="38">
        <f>IFERROR(Arrears_Tracker!M37,0)</f>
        <v>0</v>
      </c>
      <c r="G38" s="39">
        <f t="shared" si="1"/>
        <v>0</v>
      </c>
      <c r="H38" s="36">
        <f ca="1">IFERROR(Arrears_Tracker!I37,"")</f>
        <v>46124</v>
      </c>
      <c r="I38" s="37" t="str">
        <f ca="1">IFERROR(Arrears_Tracker!J37,"")</f>
        <v>⛔ PAR90+</v>
      </c>
      <c r="J38" s="32" t="str">
        <f>IF(A38="","",IFERROR(VLOOKUP(A38,Members!A4:K103,7,0),""))</f>
        <v/>
      </c>
    </row>
    <row r="39" spans="1:10" ht="15.75" customHeight="1" x14ac:dyDescent="0.25">
      <c r="A39" s="18">
        <f>IFERROR(Arrears_Tracker!A38,"")</f>
        <v>0</v>
      </c>
      <c r="B39" s="31">
        <f>IFERROR(Arrears_Tracker!B38,"")</f>
        <v>0</v>
      </c>
      <c r="C39" s="32">
        <f>IFERROR(Arrears_Tracker!D38,"")</f>
        <v>0</v>
      </c>
      <c r="D39" s="18">
        <f>IFERROR(Arrears_Tracker!E38,0)</f>
        <v>0</v>
      </c>
      <c r="E39" s="15" t="str">
        <f>IFERROR(Arrears_Tracker!K38,0)</f>
        <v/>
      </c>
      <c r="F39" s="38">
        <f>IFERROR(Arrears_Tracker!M38,0)</f>
        <v>0</v>
      </c>
      <c r="G39" s="39">
        <f t="shared" si="1"/>
        <v>0</v>
      </c>
      <c r="H39" s="36">
        <f ca="1">IFERROR(Arrears_Tracker!I38,"")</f>
        <v>46124</v>
      </c>
      <c r="I39" s="37" t="str">
        <f ca="1">IFERROR(Arrears_Tracker!J38,"")</f>
        <v>⛔ PAR90+</v>
      </c>
      <c r="J39" s="32" t="str">
        <f>IF(A39="","",IFERROR(VLOOKUP(A39,Members!A4:K103,7,0),""))</f>
        <v/>
      </c>
    </row>
    <row r="40" spans="1:10" ht="15.75" customHeight="1" x14ac:dyDescent="0.25">
      <c r="A40" s="18">
        <f>IFERROR(Arrears_Tracker!A39,"")</f>
        <v>0</v>
      </c>
      <c r="B40" s="31">
        <f>IFERROR(Arrears_Tracker!B39,"")</f>
        <v>0</v>
      </c>
      <c r="C40" s="32">
        <f>IFERROR(Arrears_Tracker!D39,"")</f>
        <v>0</v>
      </c>
      <c r="D40" s="18">
        <f>IFERROR(Arrears_Tracker!E39,0)</f>
        <v>0</v>
      </c>
      <c r="E40" s="15" t="str">
        <f>IFERROR(Arrears_Tracker!K39,0)</f>
        <v/>
      </c>
      <c r="F40" s="38">
        <f>IFERROR(Arrears_Tracker!M39,0)</f>
        <v>0</v>
      </c>
      <c r="G40" s="39">
        <f t="shared" si="1"/>
        <v>0</v>
      </c>
      <c r="H40" s="36">
        <f ca="1">IFERROR(Arrears_Tracker!I39,"")</f>
        <v>46124</v>
      </c>
      <c r="I40" s="37" t="str">
        <f ca="1">IFERROR(Arrears_Tracker!J39,"")</f>
        <v>⛔ PAR90+</v>
      </c>
      <c r="J40" s="32" t="str">
        <f>IF(A40="","",IFERROR(VLOOKUP(A40,Members!A4:K103,7,0),""))</f>
        <v/>
      </c>
    </row>
    <row r="41" spans="1:10" ht="15.75" customHeight="1" x14ac:dyDescent="0.25">
      <c r="A41" s="18">
        <f>IFERROR(Arrears_Tracker!A40,"")</f>
        <v>0</v>
      </c>
      <c r="B41" s="31">
        <f>IFERROR(Arrears_Tracker!B40,"")</f>
        <v>0</v>
      </c>
      <c r="C41" s="32">
        <f>IFERROR(Arrears_Tracker!D40,"")</f>
        <v>0</v>
      </c>
      <c r="D41" s="18">
        <f>IFERROR(Arrears_Tracker!E40,0)</f>
        <v>0</v>
      </c>
      <c r="E41" s="15" t="str">
        <f>IFERROR(Arrears_Tracker!K40,0)</f>
        <v/>
      </c>
      <c r="F41" s="38">
        <f>IFERROR(Arrears_Tracker!M40,0)</f>
        <v>0</v>
      </c>
      <c r="G41" s="39">
        <f t="shared" si="1"/>
        <v>0</v>
      </c>
      <c r="H41" s="36">
        <f ca="1">IFERROR(Arrears_Tracker!I40,"")</f>
        <v>46124</v>
      </c>
      <c r="I41" s="37" t="str">
        <f ca="1">IFERROR(Arrears_Tracker!J40,"")</f>
        <v>⛔ PAR90+</v>
      </c>
      <c r="J41" s="32" t="str">
        <f>IF(A41="","",IFERROR(VLOOKUP(A41,Members!A4:K103,7,0),""))</f>
        <v/>
      </c>
    </row>
    <row r="42" spans="1:10" ht="15.75" customHeight="1" x14ac:dyDescent="0.25">
      <c r="A42" s="18">
        <f>IFERROR(Arrears_Tracker!A41,"")</f>
        <v>0</v>
      </c>
      <c r="B42" s="31">
        <f>IFERROR(Arrears_Tracker!B41,"")</f>
        <v>0</v>
      </c>
      <c r="C42" s="32">
        <f>IFERROR(Arrears_Tracker!D41,"")</f>
        <v>0</v>
      </c>
      <c r="D42" s="18">
        <f>IFERROR(Arrears_Tracker!E41,0)</f>
        <v>0</v>
      </c>
      <c r="E42" s="15" t="str">
        <f>IFERROR(Arrears_Tracker!K41,0)</f>
        <v/>
      </c>
      <c r="F42" s="38">
        <f>IFERROR(Arrears_Tracker!M41,0)</f>
        <v>0</v>
      </c>
      <c r="G42" s="39">
        <f t="shared" si="1"/>
        <v>0</v>
      </c>
      <c r="H42" s="36">
        <f ca="1">IFERROR(Arrears_Tracker!I41,"")</f>
        <v>46124</v>
      </c>
      <c r="I42" s="37" t="str">
        <f ca="1">IFERROR(Arrears_Tracker!J41,"")</f>
        <v>⛔ PAR90+</v>
      </c>
      <c r="J42" s="32" t="str">
        <f>IF(A42="","",IFERROR(VLOOKUP(A42,Members!A4:K103,7,0),""))</f>
        <v/>
      </c>
    </row>
    <row r="43" spans="1:10" ht="15.75" customHeight="1" x14ac:dyDescent="0.25">
      <c r="A43" s="18">
        <f>IFERROR(Arrears_Tracker!A42,"")</f>
        <v>0</v>
      </c>
      <c r="B43" s="31">
        <f>IFERROR(Arrears_Tracker!B42,"")</f>
        <v>0</v>
      </c>
      <c r="C43" s="32">
        <f>IFERROR(Arrears_Tracker!D42,"")</f>
        <v>0</v>
      </c>
      <c r="D43" s="18">
        <f>IFERROR(Arrears_Tracker!E42,0)</f>
        <v>0</v>
      </c>
      <c r="E43" s="15" t="str">
        <f>IFERROR(Arrears_Tracker!K42,0)</f>
        <v/>
      </c>
      <c r="F43" s="38">
        <f>IFERROR(Arrears_Tracker!M42,0)</f>
        <v>0</v>
      </c>
      <c r="G43" s="39">
        <f t="shared" si="1"/>
        <v>0</v>
      </c>
      <c r="H43" s="36">
        <f ca="1">IFERROR(Arrears_Tracker!I42,"")</f>
        <v>46124</v>
      </c>
      <c r="I43" s="37" t="str">
        <f ca="1">IFERROR(Arrears_Tracker!J42,"")</f>
        <v>⛔ PAR90+</v>
      </c>
      <c r="J43" s="32" t="str">
        <f>IF(A43="","",IFERROR(VLOOKUP(A43,Members!A4:K103,7,0),""))</f>
        <v/>
      </c>
    </row>
    <row r="44" spans="1:10" ht="15.75" customHeight="1" x14ac:dyDescent="0.25">
      <c r="A44" s="18">
        <f>IFERROR(Arrears_Tracker!A43,"")</f>
        <v>0</v>
      </c>
      <c r="B44" s="31">
        <f>IFERROR(Arrears_Tracker!B43,"")</f>
        <v>0</v>
      </c>
      <c r="C44" s="32">
        <f>IFERROR(Arrears_Tracker!D43,"")</f>
        <v>0</v>
      </c>
      <c r="D44" s="18">
        <f>IFERROR(Arrears_Tracker!E43,0)</f>
        <v>0</v>
      </c>
      <c r="E44" s="15" t="str">
        <f>IFERROR(Arrears_Tracker!K43,0)</f>
        <v/>
      </c>
      <c r="F44" s="38">
        <f>IFERROR(Arrears_Tracker!M43,0)</f>
        <v>0</v>
      </c>
      <c r="G44" s="39">
        <f t="shared" si="1"/>
        <v>0</v>
      </c>
      <c r="H44" s="36">
        <f ca="1">IFERROR(Arrears_Tracker!I43,"")</f>
        <v>46124</v>
      </c>
      <c r="I44" s="37" t="str">
        <f ca="1">IFERROR(Arrears_Tracker!J43,"")</f>
        <v>⛔ PAR90+</v>
      </c>
      <c r="J44" s="32" t="str">
        <f>IF(A44="","",IFERROR(VLOOKUP(A44,Members!A4:K103,7,0),""))</f>
        <v/>
      </c>
    </row>
    <row r="45" spans="1:10" ht="15.75" customHeight="1" x14ac:dyDescent="0.25">
      <c r="A45" s="18">
        <f>IFERROR(Arrears_Tracker!A44,"")</f>
        <v>0</v>
      </c>
      <c r="B45" s="31">
        <f>IFERROR(Arrears_Tracker!B44,"")</f>
        <v>0</v>
      </c>
      <c r="C45" s="32">
        <f>IFERROR(Arrears_Tracker!D44,"")</f>
        <v>0</v>
      </c>
      <c r="D45" s="18">
        <f>IFERROR(Arrears_Tracker!E44,0)</f>
        <v>0</v>
      </c>
      <c r="E45" s="15" t="str">
        <f>IFERROR(Arrears_Tracker!K44,0)</f>
        <v/>
      </c>
      <c r="F45" s="38">
        <f>IFERROR(Arrears_Tracker!M44,0)</f>
        <v>0</v>
      </c>
      <c r="G45" s="39">
        <f t="shared" si="1"/>
        <v>0</v>
      </c>
      <c r="H45" s="36">
        <f ca="1">IFERROR(Arrears_Tracker!I44,"")</f>
        <v>46124</v>
      </c>
      <c r="I45" s="37" t="str">
        <f ca="1">IFERROR(Arrears_Tracker!J44,"")</f>
        <v>⛔ PAR90+</v>
      </c>
      <c r="J45" s="32" t="str">
        <f>IF(A45="","",IFERROR(VLOOKUP(A45,Members!A4:K103,7,0),""))</f>
        <v/>
      </c>
    </row>
    <row r="46" spans="1:10" ht="15.75" customHeight="1" x14ac:dyDescent="0.25">
      <c r="A46" s="18">
        <f>IFERROR(Arrears_Tracker!A45,"")</f>
        <v>0</v>
      </c>
      <c r="B46" s="31">
        <f>IFERROR(Arrears_Tracker!B45,"")</f>
        <v>0</v>
      </c>
      <c r="C46" s="32">
        <f>IFERROR(Arrears_Tracker!D45,"")</f>
        <v>0</v>
      </c>
      <c r="D46" s="18">
        <f>IFERROR(Arrears_Tracker!E45,0)</f>
        <v>0</v>
      </c>
      <c r="E46" s="15" t="str">
        <f>IFERROR(Arrears_Tracker!K45,0)</f>
        <v/>
      </c>
      <c r="F46" s="38">
        <f>IFERROR(Arrears_Tracker!M45,0)</f>
        <v>0</v>
      </c>
      <c r="G46" s="39">
        <f t="shared" si="1"/>
        <v>0</v>
      </c>
      <c r="H46" s="36">
        <f ca="1">IFERROR(Arrears_Tracker!I45,"")</f>
        <v>46124</v>
      </c>
      <c r="I46" s="37" t="str">
        <f ca="1">IFERROR(Arrears_Tracker!J45,"")</f>
        <v>⛔ PAR90+</v>
      </c>
      <c r="J46" s="32" t="str">
        <f>IF(A46="","",IFERROR(VLOOKUP(A46,Members!A4:K103,7,0),""))</f>
        <v/>
      </c>
    </row>
    <row r="47" spans="1:10" ht="15.75" customHeight="1" x14ac:dyDescent="0.25">
      <c r="A47" s="18">
        <f>IFERROR(Arrears_Tracker!A46,"")</f>
        <v>0</v>
      </c>
      <c r="B47" s="31">
        <f>IFERROR(Arrears_Tracker!B46,"")</f>
        <v>0</v>
      </c>
      <c r="C47" s="32">
        <f>IFERROR(Arrears_Tracker!D46,"")</f>
        <v>0</v>
      </c>
      <c r="D47" s="18">
        <f>IFERROR(Arrears_Tracker!E46,0)</f>
        <v>0</v>
      </c>
      <c r="E47" s="15" t="str">
        <f>IFERROR(Arrears_Tracker!K46,0)</f>
        <v/>
      </c>
      <c r="F47" s="38">
        <f>IFERROR(Arrears_Tracker!M46,0)</f>
        <v>0</v>
      </c>
      <c r="G47" s="39">
        <f t="shared" si="1"/>
        <v>0</v>
      </c>
      <c r="H47" s="36">
        <f ca="1">IFERROR(Arrears_Tracker!I46,"")</f>
        <v>46124</v>
      </c>
      <c r="I47" s="37" t="str">
        <f ca="1">IFERROR(Arrears_Tracker!J46,"")</f>
        <v>⛔ PAR90+</v>
      </c>
      <c r="J47" s="32" t="str">
        <f>IF(A47="","",IFERROR(VLOOKUP(A47,Members!A4:K103,7,0),""))</f>
        <v/>
      </c>
    </row>
    <row r="48" spans="1:10" ht="15.75" customHeight="1" x14ac:dyDescent="0.25">
      <c r="A48" s="18">
        <f>IFERROR(Arrears_Tracker!A47,"")</f>
        <v>0</v>
      </c>
      <c r="B48" s="31">
        <f>IFERROR(Arrears_Tracker!B47,"")</f>
        <v>0</v>
      </c>
      <c r="C48" s="32">
        <f>IFERROR(Arrears_Tracker!D47,"")</f>
        <v>0</v>
      </c>
      <c r="D48" s="18">
        <f>IFERROR(Arrears_Tracker!E47,0)</f>
        <v>0</v>
      </c>
      <c r="E48" s="15" t="str">
        <f>IFERROR(Arrears_Tracker!K47,0)</f>
        <v/>
      </c>
      <c r="F48" s="38">
        <f>IFERROR(Arrears_Tracker!M47,0)</f>
        <v>0</v>
      </c>
      <c r="G48" s="39">
        <f t="shared" si="1"/>
        <v>0</v>
      </c>
      <c r="H48" s="36">
        <f ca="1">IFERROR(Arrears_Tracker!I47,"")</f>
        <v>46124</v>
      </c>
      <c r="I48" s="37" t="str">
        <f ca="1">IFERROR(Arrears_Tracker!J47,"")</f>
        <v>⛔ PAR90+</v>
      </c>
      <c r="J48" s="32" t="str">
        <f>IF(A48="","",IFERROR(VLOOKUP(A48,Members!A4:K103,7,0),""))</f>
        <v/>
      </c>
    </row>
    <row r="49" spans="1:10" ht="15.75" customHeight="1" x14ac:dyDescent="0.25">
      <c r="A49" s="18">
        <f>IFERROR(Arrears_Tracker!A48,"")</f>
        <v>0</v>
      </c>
      <c r="B49" s="31">
        <f>IFERROR(Arrears_Tracker!B48,"")</f>
        <v>0</v>
      </c>
      <c r="C49" s="32">
        <f>IFERROR(Arrears_Tracker!D48,"")</f>
        <v>0</v>
      </c>
      <c r="D49" s="18">
        <f>IFERROR(Arrears_Tracker!E48,0)</f>
        <v>0</v>
      </c>
      <c r="E49" s="15" t="str">
        <f>IFERROR(Arrears_Tracker!K48,0)</f>
        <v/>
      </c>
      <c r="F49" s="38">
        <f>IFERROR(Arrears_Tracker!M48,0)</f>
        <v>0</v>
      </c>
      <c r="G49" s="39">
        <f t="shared" si="1"/>
        <v>0</v>
      </c>
      <c r="H49" s="36">
        <f ca="1">IFERROR(Arrears_Tracker!I48,"")</f>
        <v>46124</v>
      </c>
      <c r="I49" s="37" t="str">
        <f ca="1">IFERROR(Arrears_Tracker!J48,"")</f>
        <v>⛔ PAR90+</v>
      </c>
      <c r="J49" s="32" t="str">
        <f>IF(A49="","",IFERROR(VLOOKUP(A49,Members!A4:K103,7,0),""))</f>
        <v/>
      </c>
    </row>
    <row r="50" spans="1:10" ht="15.75" customHeight="1" x14ac:dyDescent="0.25">
      <c r="A50" s="18">
        <f>IFERROR(Arrears_Tracker!A49,"")</f>
        <v>0</v>
      </c>
      <c r="B50" s="31">
        <f>IFERROR(Arrears_Tracker!B49,"")</f>
        <v>0</v>
      </c>
      <c r="C50" s="32">
        <f>IFERROR(Arrears_Tracker!D49,"")</f>
        <v>0</v>
      </c>
      <c r="D50" s="18">
        <f>IFERROR(Arrears_Tracker!E49,0)</f>
        <v>0</v>
      </c>
      <c r="E50" s="15" t="str">
        <f>IFERROR(Arrears_Tracker!K49,0)</f>
        <v/>
      </c>
      <c r="F50" s="38">
        <f>IFERROR(Arrears_Tracker!M49,0)</f>
        <v>0</v>
      </c>
      <c r="G50" s="39">
        <f t="shared" si="1"/>
        <v>0</v>
      </c>
      <c r="H50" s="36">
        <f ca="1">IFERROR(Arrears_Tracker!I49,"")</f>
        <v>46124</v>
      </c>
      <c r="I50" s="37" t="str">
        <f ca="1">IFERROR(Arrears_Tracker!J49,"")</f>
        <v>⛔ PAR90+</v>
      </c>
      <c r="J50" s="32" t="str">
        <f>IF(A50="","",IFERROR(VLOOKUP(A50,Members!A4:K103,7,0),""))</f>
        <v/>
      </c>
    </row>
    <row r="51" spans="1:10" ht="15.75" customHeight="1" x14ac:dyDescent="0.25">
      <c r="A51" s="18">
        <f>IFERROR(Arrears_Tracker!A50,"")</f>
        <v>0</v>
      </c>
      <c r="B51" s="31">
        <f>IFERROR(Arrears_Tracker!B50,"")</f>
        <v>0</v>
      </c>
      <c r="C51" s="32">
        <f>IFERROR(Arrears_Tracker!D50,"")</f>
        <v>0</v>
      </c>
      <c r="D51" s="18">
        <f>IFERROR(Arrears_Tracker!E50,0)</f>
        <v>0</v>
      </c>
      <c r="E51" s="15" t="str">
        <f>IFERROR(Arrears_Tracker!K50,0)</f>
        <v/>
      </c>
      <c r="F51" s="38">
        <f>IFERROR(Arrears_Tracker!M50,0)</f>
        <v>0</v>
      </c>
      <c r="G51" s="39">
        <f t="shared" si="1"/>
        <v>0</v>
      </c>
      <c r="H51" s="36">
        <f ca="1">IFERROR(Arrears_Tracker!I50,"")</f>
        <v>46124</v>
      </c>
      <c r="I51" s="37" t="str">
        <f ca="1">IFERROR(Arrears_Tracker!J50,"")</f>
        <v>⛔ PAR90+</v>
      </c>
      <c r="J51" s="32" t="str">
        <f>IF(A51="","",IFERROR(VLOOKUP(A51,Members!A4:K103,7,0),""))</f>
        <v/>
      </c>
    </row>
    <row r="52" spans="1:10" ht="15.75" customHeight="1" x14ac:dyDescent="0.25">
      <c r="A52" s="18">
        <f>IFERROR(Arrears_Tracker!A51,"")</f>
        <v>0</v>
      </c>
      <c r="B52" s="31">
        <f>IFERROR(Arrears_Tracker!B51,"")</f>
        <v>0</v>
      </c>
      <c r="C52" s="32">
        <f>IFERROR(Arrears_Tracker!D51,"")</f>
        <v>0</v>
      </c>
      <c r="D52" s="18">
        <f>IFERROR(Arrears_Tracker!E51,0)</f>
        <v>0</v>
      </c>
      <c r="E52" s="15" t="str">
        <f>IFERROR(Arrears_Tracker!K51,0)</f>
        <v/>
      </c>
      <c r="F52" s="38">
        <f>IFERROR(Arrears_Tracker!M51,0)</f>
        <v>0</v>
      </c>
      <c r="G52" s="39">
        <f t="shared" si="1"/>
        <v>0</v>
      </c>
      <c r="H52" s="36">
        <f ca="1">IFERROR(Arrears_Tracker!I51,"")</f>
        <v>46124</v>
      </c>
      <c r="I52" s="37" t="str">
        <f ca="1">IFERROR(Arrears_Tracker!J51,"")</f>
        <v>⛔ PAR90+</v>
      </c>
      <c r="J52" s="32" t="str">
        <f>IF(A52="","",IFERROR(VLOOKUP(A52,Members!A4:K103,7,0),""))</f>
        <v/>
      </c>
    </row>
    <row r="53" spans="1:10" ht="15.75" customHeight="1" x14ac:dyDescent="0.25">
      <c r="A53" s="18">
        <f>IFERROR(Arrears_Tracker!A52,"")</f>
        <v>0</v>
      </c>
      <c r="B53" s="31">
        <f>IFERROR(Arrears_Tracker!B52,"")</f>
        <v>0</v>
      </c>
      <c r="C53" s="32">
        <f>IFERROR(Arrears_Tracker!D52,"")</f>
        <v>0</v>
      </c>
      <c r="D53" s="18">
        <f>IFERROR(Arrears_Tracker!E52,0)</f>
        <v>0</v>
      </c>
      <c r="E53" s="15" t="str">
        <f>IFERROR(Arrears_Tracker!K52,0)</f>
        <v/>
      </c>
      <c r="F53" s="38">
        <f>IFERROR(Arrears_Tracker!M52,0)</f>
        <v>0</v>
      </c>
      <c r="G53" s="39">
        <f t="shared" si="1"/>
        <v>0</v>
      </c>
      <c r="H53" s="36">
        <f ca="1">IFERROR(Arrears_Tracker!I52,"")</f>
        <v>46124</v>
      </c>
      <c r="I53" s="37" t="str">
        <f ca="1">IFERROR(Arrears_Tracker!J52,"")</f>
        <v>⛔ PAR90+</v>
      </c>
      <c r="J53" s="32" t="str">
        <f>IF(A53="","",IFERROR(VLOOKUP(A53,Members!A4:K103,7,0),""))</f>
        <v/>
      </c>
    </row>
    <row r="54" spans="1:10" ht="15.75" customHeight="1" x14ac:dyDescent="0.25">
      <c r="A54" s="18">
        <f>IFERROR(Arrears_Tracker!A53,"")</f>
        <v>0</v>
      </c>
      <c r="B54" s="31">
        <f>IFERROR(Arrears_Tracker!B53,"")</f>
        <v>0</v>
      </c>
      <c r="C54" s="32">
        <f>IFERROR(Arrears_Tracker!D53,"")</f>
        <v>0</v>
      </c>
      <c r="D54" s="18">
        <f>IFERROR(Arrears_Tracker!E53,0)</f>
        <v>0</v>
      </c>
      <c r="E54" s="15" t="str">
        <f>IFERROR(Arrears_Tracker!K53,0)</f>
        <v/>
      </c>
      <c r="F54" s="38">
        <f>IFERROR(Arrears_Tracker!M53,0)</f>
        <v>0</v>
      </c>
      <c r="G54" s="39">
        <f t="shared" si="1"/>
        <v>0</v>
      </c>
      <c r="H54" s="36">
        <f ca="1">IFERROR(Arrears_Tracker!I53,"")</f>
        <v>46124</v>
      </c>
      <c r="I54" s="37" t="str">
        <f ca="1">IFERROR(Arrears_Tracker!J53,"")</f>
        <v>⛔ PAR90+</v>
      </c>
      <c r="J54" s="32" t="str">
        <f>IF(A54="","",IFERROR(VLOOKUP(A54,Members!A4:K103,7,0),""))</f>
        <v/>
      </c>
    </row>
    <row r="55" spans="1:10" ht="15.75" customHeight="1" x14ac:dyDescent="0.25">
      <c r="A55" s="18">
        <f>IFERROR(Arrears_Tracker!A54,"")</f>
        <v>0</v>
      </c>
      <c r="B55" s="31">
        <f>IFERROR(Arrears_Tracker!B54,"")</f>
        <v>0</v>
      </c>
      <c r="C55" s="32">
        <f>IFERROR(Arrears_Tracker!D54,"")</f>
        <v>0</v>
      </c>
      <c r="D55" s="18">
        <f>IFERROR(Arrears_Tracker!E54,0)</f>
        <v>0</v>
      </c>
      <c r="E55" s="15" t="str">
        <f>IFERROR(Arrears_Tracker!K54,0)</f>
        <v/>
      </c>
      <c r="F55" s="38">
        <f>IFERROR(Arrears_Tracker!M54,0)</f>
        <v>0</v>
      </c>
      <c r="G55" s="39">
        <f t="shared" si="1"/>
        <v>0</v>
      </c>
      <c r="H55" s="36">
        <f ca="1">IFERROR(Arrears_Tracker!I54,"")</f>
        <v>46124</v>
      </c>
      <c r="I55" s="37" t="str">
        <f ca="1">IFERROR(Arrears_Tracker!J54,"")</f>
        <v>⛔ PAR90+</v>
      </c>
      <c r="J55" s="32" t="str">
        <f>IF(A55="","",IFERROR(VLOOKUP(A55,Members!A4:K103,7,0),""))</f>
        <v/>
      </c>
    </row>
    <row r="56" spans="1:10" ht="15.75" customHeight="1" x14ac:dyDescent="0.25">
      <c r="A56" s="18">
        <f>IFERROR(Arrears_Tracker!A55,"")</f>
        <v>0</v>
      </c>
      <c r="B56" s="31">
        <f>IFERROR(Arrears_Tracker!B55,"")</f>
        <v>0</v>
      </c>
      <c r="C56" s="32">
        <f>IFERROR(Arrears_Tracker!D55,"")</f>
        <v>0</v>
      </c>
      <c r="D56" s="18">
        <f>IFERROR(Arrears_Tracker!E55,0)</f>
        <v>0</v>
      </c>
      <c r="E56" s="15" t="str">
        <f>IFERROR(Arrears_Tracker!K55,0)</f>
        <v/>
      </c>
      <c r="F56" s="38">
        <f>IFERROR(Arrears_Tracker!M55,0)</f>
        <v>0</v>
      </c>
      <c r="G56" s="39">
        <f t="shared" si="1"/>
        <v>0</v>
      </c>
      <c r="H56" s="36">
        <f ca="1">IFERROR(Arrears_Tracker!I55,"")</f>
        <v>46124</v>
      </c>
      <c r="I56" s="37" t="str">
        <f ca="1">IFERROR(Arrears_Tracker!J55,"")</f>
        <v>⛔ PAR90+</v>
      </c>
      <c r="J56" s="32" t="str">
        <f>IF(A56="","",IFERROR(VLOOKUP(A56,Members!A4:K103,7,0),""))</f>
        <v/>
      </c>
    </row>
    <row r="57" spans="1:10" ht="15.75" customHeight="1" x14ac:dyDescent="0.25">
      <c r="A57" s="18">
        <f>IFERROR(Arrears_Tracker!A56,"")</f>
        <v>0</v>
      </c>
      <c r="B57" s="31">
        <f>IFERROR(Arrears_Tracker!B56,"")</f>
        <v>0</v>
      </c>
      <c r="C57" s="32">
        <f>IFERROR(Arrears_Tracker!D56,"")</f>
        <v>0</v>
      </c>
      <c r="D57" s="18">
        <f>IFERROR(Arrears_Tracker!E56,0)</f>
        <v>0</v>
      </c>
      <c r="E57" s="15" t="str">
        <f>IFERROR(Arrears_Tracker!K56,0)</f>
        <v/>
      </c>
      <c r="F57" s="38">
        <f>IFERROR(Arrears_Tracker!M56,0)</f>
        <v>0</v>
      </c>
      <c r="G57" s="39">
        <f t="shared" si="1"/>
        <v>0</v>
      </c>
      <c r="H57" s="36">
        <f ca="1">IFERROR(Arrears_Tracker!I56,"")</f>
        <v>46124</v>
      </c>
      <c r="I57" s="37" t="str">
        <f ca="1">IFERROR(Arrears_Tracker!J56,"")</f>
        <v>⛔ PAR90+</v>
      </c>
      <c r="J57" s="32" t="str">
        <f>IF(A57="","",IFERROR(VLOOKUP(A57,Members!A4:K103,7,0),""))</f>
        <v/>
      </c>
    </row>
    <row r="58" spans="1:10" ht="15.75" customHeight="1" x14ac:dyDescent="0.25">
      <c r="A58" s="18">
        <f>IFERROR(Arrears_Tracker!A57,"")</f>
        <v>0</v>
      </c>
      <c r="B58" s="31">
        <f>IFERROR(Arrears_Tracker!B57,"")</f>
        <v>0</v>
      </c>
      <c r="C58" s="32">
        <f>IFERROR(Arrears_Tracker!D57,"")</f>
        <v>0</v>
      </c>
      <c r="D58" s="18">
        <f>IFERROR(Arrears_Tracker!E57,0)</f>
        <v>0</v>
      </c>
      <c r="E58" s="15" t="str">
        <f>IFERROR(Arrears_Tracker!K57,0)</f>
        <v/>
      </c>
      <c r="F58" s="38">
        <f>IFERROR(Arrears_Tracker!M57,0)</f>
        <v>0</v>
      </c>
      <c r="G58" s="39">
        <f t="shared" si="1"/>
        <v>0</v>
      </c>
      <c r="H58" s="36">
        <f ca="1">IFERROR(Arrears_Tracker!I57,"")</f>
        <v>46124</v>
      </c>
      <c r="I58" s="37" t="str">
        <f ca="1">IFERROR(Arrears_Tracker!J57,"")</f>
        <v>⛔ PAR90+</v>
      </c>
      <c r="J58" s="32" t="str">
        <f>IF(A58="","",IFERROR(VLOOKUP(A58,Members!A4:K103,7,0),""))</f>
        <v/>
      </c>
    </row>
    <row r="59" spans="1:10" ht="15.75" customHeight="1" x14ac:dyDescent="0.25">
      <c r="A59" s="18">
        <f>IFERROR(Arrears_Tracker!A58,"")</f>
        <v>0</v>
      </c>
      <c r="B59" s="31">
        <f>IFERROR(Arrears_Tracker!B58,"")</f>
        <v>0</v>
      </c>
      <c r="C59" s="32">
        <f>IFERROR(Arrears_Tracker!D58,"")</f>
        <v>0</v>
      </c>
      <c r="D59" s="18">
        <f>IFERROR(Arrears_Tracker!E58,0)</f>
        <v>0</v>
      </c>
      <c r="E59" s="15" t="str">
        <f>IFERROR(Arrears_Tracker!K58,0)</f>
        <v/>
      </c>
      <c r="F59" s="38">
        <f>IFERROR(Arrears_Tracker!M58,0)</f>
        <v>0</v>
      </c>
      <c r="G59" s="39">
        <f t="shared" si="1"/>
        <v>0</v>
      </c>
      <c r="H59" s="36">
        <f ca="1">IFERROR(Arrears_Tracker!I58,"")</f>
        <v>46124</v>
      </c>
      <c r="I59" s="37" t="str">
        <f ca="1">IFERROR(Arrears_Tracker!J58,"")</f>
        <v>⛔ PAR90+</v>
      </c>
      <c r="J59" s="32" t="str">
        <f>IF(A59="","",IFERROR(VLOOKUP(A59,Members!A4:K103,7,0),""))</f>
        <v/>
      </c>
    </row>
    <row r="60" spans="1:10" ht="15.75" customHeight="1" x14ac:dyDescent="0.25">
      <c r="A60" s="18">
        <f>IFERROR(Arrears_Tracker!A59,"")</f>
        <v>0</v>
      </c>
      <c r="B60" s="31">
        <f>IFERROR(Arrears_Tracker!B59,"")</f>
        <v>0</v>
      </c>
      <c r="C60" s="32">
        <f>IFERROR(Arrears_Tracker!D59,"")</f>
        <v>0</v>
      </c>
      <c r="D60" s="18">
        <f>IFERROR(Arrears_Tracker!E59,0)</f>
        <v>0</v>
      </c>
      <c r="E60" s="15" t="str">
        <f>IFERROR(Arrears_Tracker!K59,0)</f>
        <v/>
      </c>
      <c r="F60" s="38">
        <f>IFERROR(Arrears_Tracker!M59,0)</f>
        <v>0</v>
      </c>
      <c r="G60" s="39">
        <f t="shared" si="1"/>
        <v>0</v>
      </c>
      <c r="H60" s="36">
        <f ca="1">IFERROR(Arrears_Tracker!I59,"")</f>
        <v>46124</v>
      </c>
      <c r="I60" s="37" t="str">
        <f ca="1">IFERROR(Arrears_Tracker!J59,"")</f>
        <v>⛔ PAR90+</v>
      </c>
      <c r="J60" s="32" t="str">
        <f>IF(A60="","",IFERROR(VLOOKUP(A60,Members!A4:K103,7,0),""))</f>
        <v/>
      </c>
    </row>
    <row r="61" spans="1:10" ht="15.75" customHeight="1" x14ac:dyDescent="0.25">
      <c r="A61" s="18">
        <f>IFERROR(Arrears_Tracker!A60,"")</f>
        <v>0</v>
      </c>
      <c r="B61" s="31">
        <f>IFERROR(Arrears_Tracker!B60,"")</f>
        <v>0</v>
      </c>
      <c r="C61" s="32">
        <f>IFERROR(Arrears_Tracker!D60,"")</f>
        <v>0</v>
      </c>
      <c r="D61" s="18">
        <f>IFERROR(Arrears_Tracker!E60,0)</f>
        <v>0</v>
      </c>
      <c r="E61" s="15" t="str">
        <f>IFERROR(Arrears_Tracker!K60,0)</f>
        <v/>
      </c>
      <c r="F61" s="38">
        <f>IFERROR(Arrears_Tracker!M60,0)</f>
        <v>0</v>
      </c>
      <c r="G61" s="39">
        <f t="shared" si="1"/>
        <v>0</v>
      </c>
      <c r="H61" s="36">
        <f ca="1">IFERROR(Arrears_Tracker!I60,"")</f>
        <v>46124</v>
      </c>
      <c r="I61" s="37" t="str">
        <f ca="1">IFERROR(Arrears_Tracker!J60,"")</f>
        <v>⛔ PAR90+</v>
      </c>
      <c r="J61" s="32" t="str">
        <f>IF(A61="","",IFERROR(VLOOKUP(A61,Members!A4:K103,7,0),""))</f>
        <v/>
      </c>
    </row>
    <row r="62" spans="1:10" ht="15.75" customHeight="1" x14ac:dyDescent="0.25">
      <c r="A62" s="18">
        <f>IFERROR(Arrears_Tracker!A61,"")</f>
        <v>0</v>
      </c>
      <c r="B62" s="31">
        <f>IFERROR(Arrears_Tracker!B61,"")</f>
        <v>0</v>
      </c>
      <c r="C62" s="32">
        <f>IFERROR(Arrears_Tracker!D61,"")</f>
        <v>0</v>
      </c>
      <c r="D62" s="18">
        <f>IFERROR(Arrears_Tracker!E61,0)</f>
        <v>0</v>
      </c>
      <c r="E62" s="15" t="str">
        <f>IFERROR(Arrears_Tracker!K61,0)</f>
        <v/>
      </c>
      <c r="F62" s="38">
        <f>IFERROR(Arrears_Tracker!M61,0)</f>
        <v>0</v>
      </c>
      <c r="G62" s="39">
        <f t="shared" si="1"/>
        <v>0</v>
      </c>
      <c r="H62" s="36">
        <f ca="1">IFERROR(Arrears_Tracker!I61,"")</f>
        <v>46124</v>
      </c>
      <c r="I62" s="37" t="str">
        <f ca="1">IFERROR(Arrears_Tracker!J61,"")</f>
        <v>⛔ PAR90+</v>
      </c>
      <c r="J62" s="32" t="str">
        <f>IF(A62="","",IFERROR(VLOOKUP(A62,Members!A4:K103,7,0),""))</f>
        <v/>
      </c>
    </row>
    <row r="63" spans="1:10" ht="15.75" customHeight="1" x14ac:dyDescent="0.25">
      <c r="A63" s="18">
        <f>IFERROR(Arrears_Tracker!A62,"")</f>
        <v>0</v>
      </c>
      <c r="B63" s="31">
        <f>IFERROR(Arrears_Tracker!B62,"")</f>
        <v>0</v>
      </c>
      <c r="C63" s="32">
        <f>IFERROR(Arrears_Tracker!D62,"")</f>
        <v>0</v>
      </c>
      <c r="D63" s="18">
        <f>IFERROR(Arrears_Tracker!E62,0)</f>
        <v>0</v>
      </c>
      <c r="E63" s="15" t="str">
        <f>IFERROR(Arrears_Tracker!K62,0)</f>
        <v/>
      </c>
      <c r="F63" s="38">
        <f>IFERROR(Arrears_Tracker!M62,0)</f>
        <v>0</v>
      </c>
      <c r="G63" s="39">
        <f t="shared" si="1"/>
        <v>0</v>
      </c>
      <c r="H63" s="36">
        <f ca="1">IFERROR(Arrears_Tracker!I62,"")</f>
        <v>46124</v>
      </c>
      <c r="I63" s="37" t="str">
        <f ca="1">IFERROR(Arrears_Tracker!J62,"")</f>
        <v>⛔ PAR90+</v>
      </c>
      <c r="J63" s="32" t="str">
        <f>IF(A63="","",IFERROR(VLOOKUP(A63,Members!A4:K103,7,0),""))</f>
        <v/>
      </c>
    </row>
    <row r="64" spans="1:10" ht="15.75" customHeight="1" x14ac:dyDescent="0.25">
      <c r="A64" s="18">
        <f>IFERROR(Arrears_Tracker!A63,"")</f>
        <v>0</v>
      </c>
      <c r="B64" s="31">
        <f>IFERROR(Arrears_Tracker!B63,"")</f>
        <v>0</v>
      </c>
      <c r="C64" s="32">
        <f>IFERROR(Arrears_Tracker!D63,"")</f>
        <v>0</v>
      </c>
      <c r="D64" s="18">
        <f>IFERROR(Arrears_Tracker!E63,0)</f>
        <v>0</v>
      </c>
      <c r="E64" s="15" t="str">
        <f>IFERROR(Arrears_Tracker!K63,0)</f>
        <v/>
      </c>
      <c r="F64" s="38">
        <f>IFERROR(Arrears_Tracker!M63,0)</f>
        <v>0</v>
      </c>
      <c r="G64" s="39">
        <f t="shared" si="1"/>
        <v>0</v>
      </c>
      <c r="H64" s="36">
        <f ca="1">IFERROR(Arrears_Tracker!I63,"")</f>
        <v>46124</v>
      </c>
      <c r="I64" s="37" t="str">
        <f ca="1">IFERROR(Arrears_Tracker!J63,"")</f>
        <v>⛔ PAR90+</v>
      </c>
      <c r="J64" s="32" t="str">
        <f>IF(A64="","",IFERROR(VLOOKUP(A64,Members!A4:K103,7,0),""))</f>
        <v/>
      </c>
    </row>
    <row r="65" spans="1:10" ht="15.75" customHeight="1" x14ac:dyDescent="0.25">
      <c r="A65" s="18">
        <f>IFERROR(Arrears_Tracker!A64,"")</f>
        <v>0</v>
      </c>
      <c r="B65" s="31">
        <f>IFERROR(Arrears_Tracker!B64,"")</f>
        <v>0</v>
      </c>
      <c r="C65" s="32">
        <f>IFERROR(Arrears_Tracker!D64,"")</f>
        <v>0</v>
      </c>
      <c r="D65" s="18">
        <f>IFERROR(Arrears_Tracker!E64,0)</f>
        <v>0</v>
      </c>
      <c r="E65" s="15" t="str">
        <f>IFERROR(Arrears_Tracker!K64,0)</f>
        <v/>
      </c>
      <c r="F65" s="38">
        <f>IFERROR(Arrears_Tracker!M64,0)</f>
        <v>0</v>
      </c>
      <c r="G65" s="39">
        <f t="shared" si="1"/>
        <v>0</v>
      </c>
      <c r="H65" s="36">
        <f ca="1">IFERROR(Arrears_Tracker!I64,"")</f>
        <v>46124</v>
      </c>
      <c r="I65" s="37" t="str">
        <f ca="1">IFERROR(Arrears_Tracker!J64,"")</f>
        <v>⛔ PAR90+</v>
      </c>
      <c r="J65" s="32" t="str">
        <f>IF(A65="","",IFERROR(VLOOKUP(A65,Members!A4:K103,7,0),""))</f>
        <v/>
      </c>
    </row>
    <row r="66" spans="1:10" ht="15.75" customHeight="1" x14ac:dyDescent="0.25">
      <c r="A66" s="18">
        <f>IFERROR(Arrears_Tracker!A65,"")</f>
        <v>0</v>
      </c>
      <c r="B66" s="31">
        <f>IFERROR(Arrears_Tracker!B65,"")</f>
        <v>0</v>
      </c>
      <c r="C66" s="32">
        <f>IFERROR(Arrears_Tracker!D65,"")</f>
        <v>0</v>
      </c>
      <c r="D66" s="18">
        <f>IFERROR(Arrears_Tracker!E65,0)</f>
        <v>0</v>
      </c>
      <c r="E66" s="15" t="str">
        <f>IFERROR(Arrears_Tracker!K65,0)</f>
        <v/>
      </c>
      <c r="F66" s="38">
        <f>IFERROR(Arrears_Tracker!M65,0)</f>
        <v>0</v>
      </c>
      <c r="G66" s="39">
        <f t="shared" si="1"/>
        <v>0</v>
      </c>
      <c r="H66" s="36">
        <f ca="1">IFERROR(Arrears_Tracker!I65,"")</f>
        <v>46124</v>
      </c>
      <c r="I66" s="37" t="str">
        <f ca="1">IFERROR(Arrears_Tracker!J65,"")</f>
        <v>⛔ PAR90+</v>
      </c>
      <c r="J66" s="32" t="str">
        <f>IF(A66="","",IFERROR(VLOOKUP(A66,Members!A4:K103,7,0),""))</f>
        <v/>
      </c>
    </row>
    <row r="67" spans="1:10" ht="15.75" customHeight="1" x14ac:dyDescent="0.25">
      <c r="A67" s="18">
        <f>IFERROR(Arrears_Tracker!A66,"")</f>
        <v>0</v>
      </c>
      <c r="B67" s="31">
        <f>IFERROR(Arrears_Tracker!B66,"")</f>
        <v>0</v>
      </c>
      <c r="C67" s="32">
        <f>IFERROR(Arrears_Tracker!D66,"")</f>
        <v>0</v>
      </c>
      <c r="D67" s="18">
        <f>IFERROR(Arrears_Tracker!E66,0)</f>
        <v>0</v>
      </c>
      <c r="E67" s="15" t="str">
        <f>IFERROR(Arrears_Tracker!K66,0)</f>
        <v/>
      </c>
      <c r="F67" s="38">
        <f>IFERROR(Arrears_Tracker!M66,0)</f>
        <v>0</v>
      </c>
      <c r="G67" s="39">
        <f t="shared" si="1"/>
        <v>0</v>
      </c>
      <c r="H67" s="36">
        <f ca="1">IFERROR(Arrears_Tracker!I66,"")</f>
        <v>46124</v>
      </c>
      <c r="I67" s="37" t="str">
        <f ca="1">IFERROR(Arrears_Tracker!J66,"")</f>
        <v>⛔ PAR90+</v>
      </c>
      <c r="J67" s="32" t="str">
        <f>IF(A67="","",IFERROR(VLOOKUP(A67,Members!A4:K103,7,0),""))</f>
        <v/>
      </c>
    </row>
    <row r="68" spans="1:10" ht="15.75" customHeight="1" x14ac:dyDescent="0.25">
      <c r="A68" s="18">
        <f>IFERROR(Arrears_Tracker!A67,"")</f>
        <v>0</v>
      </c>
      <c r="B68" s="31">
        <f>IFERROR(Arrears_Tracker!B67,"")</f>
        <v>0</v>
      </c>
      <c r="C68" s="32">
        <f>IFERROR(Arrears_Tracker!D67,"")</f>
        <v>0</v>
      </c>
      <c r="D68" s="18">
        <f>IFERROR(Arrears_Tracker!E67,0)</f>
        <v>0</v>
      </c>
      <c r="E68" s="15" t="str">
        <f>IFERROR(Arrears_Tracker!K67,0)</f>
        <v/>
      </c>
      <c r="F68" s="38">
        <f>IFERROR(Arrears_Tracker!M67,0)</f>
        <v>0</v>
      </c>
      <c r="G68" s="39">
        <f t="shared" ref="G68:G99" si="2">IFERROR(E68+F68,0)</f>
        <v>0</v>
      </c>
      <c r="H68" s="36">
        <f ca="1">IFERROR(Arrears_Tracker!I67,"")</f>
        <v>46124</v>
      </c>
      <c r="I68" s="37" t="str">
        <f ca="1">IFERROR(Arrears_Tracker!J67,"")</f>
        <v>⛔ PAR90+</v>
      </c>
      <c r="J68" s="32" t="str">
        <f>IF(A68="","",IFERROR(VLOOKUP(A68,Members!A4:K103,7,0),""))</f>
        <v/>
      </c>
    </row>
    <row r="69" spans="1:10" ht="15.75" customHeight="1" x14ac:dyDescent="0.25">
      <c r="A69" s="18">
        <f>IFERROR(Arrears_Tracker!A68,"")</f>
        <v>0</v>
      </c>
      <c r="B69" s="31">
        <f>IFERROR(Arrears_Tracker!B68,"")</f>
        <v>0</v>
      </c>
      <c r="C69" s="32">
        <f>IFERROR(Arrears_Tracker!D68,"")</f>
        <v>0</v>
      </c>
      <c r="D69" s="18">
        <f>IFERROR(Arrears_Tracker!E68,0)</f>
        <v>0</v>
      </c>
      <c r="E69" s="15" t="str">
        <f>IFERROR(Arrears_Tracker!K68,0)</f>
        <v/>
      </c>
      <c r="F69" s="38">
        <f>IFERROR(Arrears_Tracker!M68,0)</f>
        <v>0</v>
      </c>
      <c r="G69" s="39">
        <f t="shared" si="2"/>
        <v>0</v>
      </c>
      <c r="H69" s="36">
        <f ca="1">IFERROR(Arrears_Tracker!I68,"")</f>
        <v>46124</v>
      </c>
      <c r="I69" s="37" t="str">
        <f ca="1">IFERROR(Arrears_Tracker!J68,"")</f>
        <v>⛔ PAR90+</v>
      </c>
      <c r="J69" s="32" t="str">
        <f>IF(A69="","",IFERROR(VLOOKUP(A69,Members!A4:K103,7,0),""))</f>
        <v/>
      </c>
    </row>
    <row r="70" spans="1:10" ht="15.75" customHeight="1" x14ac:dyDescent="0.25">
      <c r="A70" s="18">
        <f>IFERROR(Arrears_Tracker!A69,"")</f>
        <v>0</v>
      </c>
      <c r="B70" s="31">
        <f>IFERROR(Arrears_Tracker!B69,"")</f>
        <v>0</v>
      </c>
      <c r="C70" s="32">
        <f>IFERROR(Arrears_Tracker!D69,"")</f>
        <v>0</v>
      </c>
      <c r="D70" s="18">
        <f>IFERROR(Arrears_Tracker!E69,0)</f>
        <v>0</v>
      </c>
      <c r="E70" s="15" t="str">
        <f>IFERROR(Arrears_Tracker!K69,0)</f>
        <v/>
      </c>
      <c r="F70" s="38">
        <f>IFERROR(Arrears_Tracker!M69,0)</f>
        <v>0</v>
      </c>
      <c r="G70" s="39">
        <f t="shared" si="2"/>
        <v>0</v>
      </c>
      <c r="H70" s="36">
        <f ca="1">IFERROR(Arrears_Tracker!I69,"")</f>
        <v>46124</v>
      </c>
      <c r="I70" s="37" t="str">
        <f ca="1">IFERROR(Arrears_Tracker!J69,"")</f>
        <v>⛔ PAR90+</v>
      </c>
      <c r="J70" s="32" t="str">
        <f>IF(A70="","",IFERROR(VLOOKUP(A70,Members!A4:K103,7,0),""))</f>
        <v/>
      </c>
    </row>
    <row r="71" spans="1:10" ht="15.75" customHeight="1" x14ac:dyDescent="0.25">
      <c r="A71" s="18">
        <f>IFERROR(Arrears_Tracker!A70,"")</f>
        <v>0</v>
      </c>
      <c r="B71" s="31">
        <f>IFERROR(Arrears_Tracker!B70,"")</f>
        <v>0</v>
      </c>
      <c r="C71" s="32">
        <f>IFERROR(Arrears_Tracker!D70,"")</f>
        <v>0</v>
      </c>
      <c r="D71" s="18">
        <f>IFERROR(Arrears_Tracker!E70,0)</f>
        <v>0</v>
      </c>
      <c r="E71" s="15" t="str">
        <f>IFERROR(Arrears_Tracker!K70,0)</f>
        <v/>
      </c>
      <c r="F71" s="38">
        <f>IFERROR(Arrears_Tracker!M70,0)</f>
        <v>0</v>
      </c>
      <c r="G71" s="39">
        <f t="shared" si="2"/>
        <v>0</v>
      </c>
      <c r="H71" s="36">
        <f ca="1">IFERROR(Arrears_Tracker!I70,"")</f>
        <v>46124</v>
      </c>
      <c r="I71" s="37" t="str">
        <f ca="1">IFERROR(Arrears_Tracker!J70,"")</f>
        <v>⛔ PAR90+</v>
      </c>
      <c r="J71" s="32" t="str">
        <f>IF(A71="","",IFERROR(VLOOKUP(A71,Members!A4:K103,7,0),""))</f>
        <v/>
      </c>
    </row>
    <row r="72" spans="1:10" ht="15.75" customHeight="1" x14ac:dyDescent="0.25">
      <c r="A72" s="18">
        <f>IFERROR(Arrears_Tracker!A71,"")</f>
        <v>0</v>
      </c>
      <c r="B72" s="31">
        <f>IFERROR(Arrears_Tracker!B71,"")</f>
        <v>0</v>
      </c>
      <c r="C72" s="32">
        <f>IFERROR(Arrears_Tracker!D71,"")</f>
        <v>0</v>
      </c>
      <c r="D72" s="18">
        <f>IFERROR(Arrears_Tracker!E71,0)</f>
        <v>0</v>
      </c>
      <c r="E72" s="15" t="str">
        <f>IFERROR(Arrears_Tracker!K71,0)</f>
        <v/>
      </c>
      <c r="F72" s="38">
        <f>IFERROR(Arrears_Tracker!M71,0)</f>
        <v>0</v>
      </c>
      <c r="G72" s="39">
        <f t="shared" si="2"/>
        <v>0</v>
      </c>
      <c r="H72" s="36">
        <f ca="1">IFERROR(Arrears_Tracker!I71,"")</f>
        <v>46124</v>
      </c>
      <c r="I72" s="37" t="str">
        <f ca="1">IFERROR(Arrears_Tracker!J71,"")</f>
        <v>⛔ PAR90+</v>
      </c>
      <c r="J72" s="32" t="str">
        <f>IF(A72="","",IFERROR(VLOOKUP(A72,Members!A4:K103,7,0),""))</f>
        <v/>
      </c>
    </row>
    <row r="73" spans="1:10" ht="15.75" customHeight="1" x14ac:dyDescent="0.25">
      <c r="A73" s="18">
        <f>IFERROR(Arrears_Tracker!A72,"")</f>
        <v>0</v>
      </c>
      <c r="B73" s="31">
        <f>IFERROR(Arrears_Tracker!B72,"")</f>
        <v>0</v>
      </c>
      <c r="C73" s="32">
        <f>IFERROR(Arrears_Tracker!D72,"")</f>
        <v>0</v>
      </c>
      <c r="D73" s="18">
        <f>IFERROR(Arrears_Tracker!E72,0)</f>
        <v>0</v>
      </c>
      <c r="E73" s="15" t="str">
        <f>IFERROR(Arrears_Tracker!K72,0)</f>
        <v/>
      </c>
      <c r="F73" s="38">
        <f>IFERROR(Arrears_Tracker!M72,0)</f>
        <v>0</v>
      </c>
      <c r="G73" s="39">
        <f t="shared" si="2"/>
        <v>0</v>
      </c>
      <c r="H73" s="36">
        <f ca="1">IFERROR(Arrears_Tracker!I72,"")</f>
        <v>46124</v>
      </c>
      <c r="I73" s="37" t="str">
        <f ca="1">IFERROR(Arrears_Tracker!J72,"")</f>
        <v>⛔ PAR90+</v>
      </c>
      <c r="J73" s="32" t="str">
        <f>IF(A73="","",IFERROR(VLOOKUP(A73,Members!A4:K103,7,0),""))</f>
        <v/>
      </c>
    </row>
    <row r="74" spans="1:10" ht="15.75" customHeight="1" x14ac:dyDescent="0.25">
      <c r="A74" s="18">
        <f>IFERROR(Arrears_Tracker!A73,"")</f>
        <v>0</v>
      </c>
      <c r="B74" s="31">
        <f>IFERROR(Arrears_Tracker!B73,"")</f>
        <v>0</v>
      </c>
      <c r="C74" s="32">
        <f>IFERROR(Arrears_Tracker!D73,"")</f>
        <v>0</v>
      </c>
      <c r="D74" s="18">
        <f>IFERROR(Arrears_Tracker!E73,0)</f>
        <v>0</v>
      </c>
      <c r="E74" s="15" t="str">
        <f>IFERROR(Arrears_Tracker!K73,0)</f>
        <v/>
      </c>
      <c r="F74" s="38">
        <f>IFERROR(Arrears_Tracker!M73,0)</f>
        <v>0</v>
      </c>
      <c r="G74" s="39">
        <f t="shared" si="2"/>
        <v>0</v>
      </c>
      <c r="H74" s="36">
        <f ca="1">IFERROR(Arrears_Tracker!I73,"")</f>
        <v>46124</v>
      </c>
      <c r="I74" s="37" t="str">
        <f ca="1">IFERROR(Arrears_Tracker!J73,"")</f>
        <v>⛔ PAR90+</v>
      </c>
      <c r="J74" s="32" t="str">
        <f>IF(A74="","",IFERROR(VLOOKUP(A74,Members!A4:K103,7,0),""))</f>
        <v/>
      </c>
    </row>
    <row r="75" spans="1:10" ht="15.75" customHeight="1" x14ac:dyDescent="0.25">
      <c r="A75" s="18">
        <f>IFERROR(Arrears_Tracker!A74,"")</f>
        <v>0</v>
      </c>
      <c r="B75" s="31">
        <f>IFERROR(Arrears_Tracker!B74,"")</f>
        <v>0</v>
      </c>
      <c r="C75" s="32">
        <f>IFERROR(Arrears_Tracker!D74,"")</f>
        <v>0</v>
      </c>
      <c r="D75" s="18">
        <f>IFERROR(Arrears_Tracker!E74,0)</f>
        <v>0</v>
      </c>
      <c r="E75" s="15" t="str">
        <f>IFERROR(Arrears_Tracker!K74,0)</f>
        <v/>
      </c>
      <c r="F75" s="38">
        <f>IFERROR(Arrears_Tracker!M74,0)</f>
        <v>0</v>
      </c>
      <c r="G75" s="39">
        <f t="shared" si="2"/>
        <v>0</v>
      </c>
      <c r="H75" s="36">
        <f ca="1">IFERROR(Arrears_Tracker!I74,"")</f>
        <v>46124</v>
      </c>
      <c r="I75" s="37" t="str">
        <f ca="1">IFERROR(Arrears_Tracker!J74,"")</f>
        <v>⛔ PAR90+</v>
      </c>
      <c r="J75" s="32" t="str">
        <f>IF(A75="","",IFERROR(VLOOKUP(A75,Members!A4:K103,7,0),""))</f>
        <v/>
      </c>
    </row>
    <row r="76" spans="1:10" ht="15.75" customHeight="1" x14ac:dyDescent="0.25">
      <c r="A76" s="18">
        <f>IFERROR(Arrears_Tracker!A75,"")</f>
        <v>0</v>
      </c>
      <c r="B76" s="31">
        <f>IFERROR(Arrears_Tracker!B75,"")</f>
        <v>0</v>
      </c>
      <c r="C76" s="32">
        <f>IFERROR(Arrears_Tracker!D75,"")</f>
        <v>0</v>
      </c>
      <c r="D76" s="18">
        <f>IFERROR(Arrears_Tracker!E75,0)</f>
        <v>0</v>
      </c>
      <c r="E76" s="15" t="str">
        <f>IFERROR(Arrears_Tracker!K75,0)</f>
        <v/>
      </c>
      <c r="F76" s="38">
        <f>IFERROR(Arrears_Tracker!M75,0)</f>
        <v>0</v>
      </c>
      <c r="G76" s="39">
        <f t="shared" si="2"/>
        <v>0</v>
      </c>
      <c r="H76" s="36">
        <f ca="1">IFERROR(Arrears_Tracker!I75,"")</f>
        <v>46124</v>
      </c>
      <c r="I76" s="37" t="str">
        <f ca="1">IFERROR(Arrears_Tracker!J75,"")</f>
        <v>⛔ PAR90+</v>
      </c>
      <c r="J76" s="32" t="str">
        <f>IF(A76="","",IFERROR(VLOOKUP(A76,Members!A4:K103,7,0),""))</f>
        <v/>
      </c>
    </row>
    <row r="77" spans="1:10" ht="15.75" customHeight="1" x14ac:dyDescent="0.25">
      <c r="A77" s="18">
        <f>IFERROR(Arrears_Tracker!A76,"")</f>
        <v>0</v>
      </c>
      <c r="B77" s="31">
        <f>IFERROR(Arrears_Tracker!B76,"")</f>
        <v>0</v>
      </c>
      <c r="C77" s="32">
        <f>IFERROR(Arrears_Tracker!D76,"")</f>
        <v>0</v>
      </c>
      <c r="D77" s="18">
        <f>IFERROR(Arrears_Tracker!E76,0)</f>
        <v>0</v>
      </c>
      <c r="E77" s="15" t="str">
        <f>IFERROR(Arrears_Tracker!K76,0)</f>
        <v/>
      </c>
      <c r="F77" s="38">
        <f>IFERROR(Arrears_Tracker!M76,0)</f>
        <v>0</v>
      </c>
      <c r="G77" s="39">
        <f t="shared" si="2"/>
        <v>0</v>
      </c>
      <c r="H77" s="36">
        <f ca="1">IFERROR(Arrears_Tracker!I76,"")</f>
        <v>46124</v>
      </c>
      <c r="I77" s="37" t="str">
        <f ca="1">IFERROR(Arrears_Tracker!J76,"")</f>
        <v>⛔ PAR90+</v>
      </c>
      <c r="J77" s="32" t="str">
        <f>IF(A77="","",IFERROR(VLOOKUP(A77,Members!A4:K103,7,0),""))</f>
        <v/>
      </c>
    </row>
    <row r="78" spans="1:10" ht="15.75" customHeight="1" x14ac:dyDescent="0.25">
      <c r="A78" s="18">
        <f>IFERROR(Arrears_Tracker!A77,"")</f>
        <v>0</v>
      </c>
      <c r="B78" s="31">
        <f>IFERROR(Arrears_Tracker!B77,"")</f>
        <v>0</v>
      </c>
      <c r="C78" s="32">
        <f>IFERROR(Arrears_Tracker!D77,"")</f>
        <v>0</v>
      </c>
      <c r="D78" s="18">
        <f>IFERROR(Arrears_Tracker!E77,0)</f>
        <v>0</v>
      </c>
      <c r="E78" s="15" t="str">
        <f>IFERROR(Arrears_Tracker!K77,0)</f>
        <v/>
      </c>
      <c r="F78" s="38">
        <f>IFERROR(Arrears_Tracker!M77,0)</f>
        <v>0</v>
      </c>
      <c r="G78" s="39">
        <f t="shared" si="2"/>
        <v>0</v>
      </c>
      <c r="H78" s="36">
        <f ca="1">IFERROR(Arrears_Tracker!I77,"")</f>
        <v>46124</v>
      </c>
      <c r="I78" s="37" t="str">
        <f ca="1">IFERROR(Arrears_Tracker!J77,"")</f>
        <v>⛔ PAR90+</v>
      </c>
      <c r="J78" s="32" t="str">
        <f>IF(A78="","",IFERROR(VLOOKUP(A78,Members!A4:K103,7,0),""))</f>
        <v/>
      </c>
    </row>
    <row r="79" spans="1:10" ht="15.75" customHeight="1" x14ac:dyDescent="0.25">
      <c r="A79" s="18">
        <f>IFERROR(Arrears_Tracker!A78,"")</f>
        <v>0</v>
      </c>
      <c r="B79" s="31">
        <f>IFERROR(Arrears_Tracker!B78,"")</f>
        <v>0</v>
      </c>
      <c r="C79" s="32">
        <f>IFERROR(Arrears_Tracker!D78,"")</f>
        <v>0</v>
      </c>
      <c r="D79" s="18">
        <f>IFERROR(Arrears_Tracker!E78,0)</f>
        <v>0</v>
      </c>
      <c r="E79" s="15" t="str">
        <f>IFERROR(Arrears_Tracker!K78,0)</f>
        <v/>
      </c>
      <c r="F79" s="38">
        <f>IFERROR(Arrears_Tracker!M78,0)</f>
        <v>0</v>
      </c>
      <c r="G79" s="39">
        <f t="shared" si="2"/>
        <v>0</v>
      </c>
      <c r="H79" s="36">
        <f ca="1">IFERROR(Arrears_Tracker!I78,"")</f>
        <v>46124</v>
      </c>
      <c r="I79" s="37" t="str">
        <f ca="1">IFERROR(Arrears_Tracker!J78,"")</f>
        <v>⛔ PAR90+</v>
      </c>
      <c r="J79" s="32" t="str">
        <f>IF(A79="","",IFERROR(VLOOKUP(A79,Members!A4:K103,7,0),""))</f>
        <v/>
      </c>
    </row>
    <row r="80" spans="1:10" ht="15.75" customHeight="1" x14ac:dyDescent="0.25">
      <c r="A80" s="18">
        <f>IFERROR(Arrears_Tracker!A79,"")</f>
        <v>0</v>
      </c>
      <c r="B80" s="31">
        <f>IFERROR(Arrears_Tracker!B79,"")</f>
        <v>0</v>
      </c>
      <c r="C80" s="32">
        <f>IFERROR(Arrears_Tracker!D79,"")</f>
        <v>0</v>
      </c>
      <c r="D80" s="18">
        <f>IFERROR(Arrears_Tracker!E79,0)</f>
        <v>0</v>
      </c>
      <c r="E80" s="15" t="str">
        <f>IFERROR(Arrears_Tracker!K79,0)</f>
        <v/>
      </c>
      <c r="F80" s="38">
        <f>IFERROR(Arrears_Tracker!M79,0)</f>
        <v>0</v>
      </c>
      <c r="G80" s="39">
        <f t="shared" si="2"/>
        <v>0</v>
      </c>
      <c r="H80" s="36">
        <f ca="1">IFERROR(Arrears_Tracker!I79,"")</f>
        <v>46124</v>
      </c>
      <c r="I80" s="37" t="str">
        <f ca="1">IFERROR(Arrears_Tracker!J79,"")</f>
        <v>⛔ PAR90+</v>
      </c>
      <c r="J80" s="32" t="str">
        <f>IF(A80="","",IFERROR(VLOOKUP(A80,Members!A4:K103,7,0),""))</f>
        <v/>
      </c>
    </row>
    <row r="81" spans="1:10" ht="15.75" customHeight="1" x14ac:dyDescent="0.25">
      <c r="A81" s="18">
        <f>IFERROR(Arrears_Tracker!A80,"")</f>
        <v>0</v>
      </c>
      <c r="B81" s="31">
        <f>IFERROR(Arrears_Tracker!B80,"")</f>
        <v>0</v>
      </c>
      <c r="C81" s="32">
        <f>IFERROR(Arrears_Tracker!D80,"")</f>
        <v>0</v>
      </c>
      <c r="D81" s="18">
        <f>IFERROR(Arrears_Tracker!E80,0)</f>
        <v>0</v>
      </c>
      <c r="E81" s="15" t="str">
        <f>IFERROR(Arrears_Tracker!K80,0)</f>
        <v/>
      </c>
      <c r="F81" s="38">
        <f>IFERROR(Arrears_Tracker!M80,0)</f>
        <v>0</v>
      </c>
      <c r="G81" s="39">
        <f t="shared" si="2"/>
        <v>0</v>
      </c>
      <c r="H81" s="36">
        <f ca="1">IFERROR(Arrears_Tracker!I80,"")</f>
        <v>46124</v>
      </c>
      <c r="I81" s="37" t="str">
        <f ca="1">IFERROR(Arrears_Tracker!J80,"")</f>
        <v>⛔ PAR90+</v>
      </c>
      <c r="J81" s="32" t="str">
        <f>IF(A81="","",IFERROR(VLOOKUP(A81,Members!A4:K103,7,0),""))</f>
        <v/>
      </c>
    </row>
    <row r="82" spans="1:10" ht="15.75" customHeight="1" x14ac:dyDescent="0.25">
      <c r="A82" s="18">
        <f>IFERROR(Arrears_Tracker!A81,"")</f>
        <v>0</v>
      </c>
      <c r="B82" s="31">
        <f>IFERROR(Arrears_Tracker!B81,"")</f>
        <v>0</v>
      </c>
      <c r="C82" s="32">
        <f>IFERROR(Arrears_Tracker!D81,"")</f>
        <v>0</v>
      </c>
      <c r="D82" s="18">
        <f>IFERROR(Arrears_Tracker!E81,0)</f>
        <v>0</v>
      </c>
      <c r="E82" s="15" t="str">
        <f>IFERROR(Arrears_Tracker!K81,0)</f>
        <v/>
      </c>
      <c r="F82" s="38">
        <f>IFERROR(Arrears_Tracker!M81,0)</f>
        <v>0</v>
      </c>
      <c r="G82" s="39">
        <f t="shared" si="2"/>
        <v>0</v>
      </c>
      <c r="H82" s="36">
        <f ca="1">IFERROR(Arrears_Tracker!I81,"")</f>
        <v>46124</v>
      </c>
      <c r="I82" s="37" t="str">
        <f ca="1">IFERROR(Arrears_Tracker!J81,"")</f>
        <v>⛔ PAR90+</v>
      </c>
      <c r="J82" s="32" t="str">
        <f>IF(A82="","",IFERROR(VLOOKUP(A82,Members!A4:K103,7,0),""))</f>
        <v/>
      </c>
    </row>
    <row r="83" spans="1:10" ht="15.75" customHeight="1" x14ac:dyDescent="0.25">
      <c r="A83" s="18">
        <f>IFERROR(Arrears_Tracker!A82,"")</f>
        <v>0</v>
      </c>
      <c r="B83" s="31">
        <f>IFERROR(Arrears_Tracker!B82,"")</f>
        <v>0</v>
      </c>
      <c r="C83" s="32">
        <f>IFERROR(Arrears_Tracker!D82,"")</f>
        <v>0</v>
      </c>
      <c r="D83" s="18">
        <f>IFERROR(Arrears_Tracker!E82,0)</f>
        <v>0</v>
      </c>
      <c r="E83" s="15" t="str">
        <f>IFERROR(Arrears_Tracker!K82,0)</f>
        <v/>
      </c>
      <c r="F83" s="38">
        <f>IFERROR(Arrears_Tracker!M82,0)</f>
        <v>0</v>
      </c>
      <c r="G83" s="39">
        <f t="shared" si="2"/>
        <v>0</v>
      </c>
      <c r="H83" s="36">
        <f ca="1">IFERROR(Arrears_Tracker!I82,"")</f>
        <v>46124</v>
      </c>
      <c r="I83" s="37" t="str">
        <f ca="1">IFERROR(Arrears_Tracker!J82,"")</f>
        <v>⛔ PAR90+</v>
      </c>
      <c r="J83" s="32" t="str">
        <f>IF(A83="","",IFERROR(VLOOKUP(A83,Members!A4:K103,7,0),""))</f>
        <v/>
      </c>
    </row>
    <row r="84" spans="1:10" ht="15.75" customHeight="1" x14ac:dyDescent="0.25">
      <c r="A84" s="18">
        <f>IFERROR(Arrears_Tracker!A83,"")</f>
        <v>0</v>
      </c>
      <c r="B84" s="31">
        <f>IFERROR(Arrears_Tracker!B83,"")</f>
        <v>0</v>
      </c>
      <c r="C84" s="32">
        <f>IFERROR(Arrears_Tracker!D83,"")</f>
        <v>0</v>
      </c>
      <c r="D84" s="18">
        <f>IFERROR(Arrears_Tracker!E83,0)</f>
        <v>0</v>
      </c>
      <c r="E84" s="15" t="str">
        <f>IFERROR(Arrears_Tracker!K83,0)</f>
        <v/>
      </c>
      <c r="F84" s="38">
        <f>IFERROR(Arrears_Tracker!M83,0)</f>
        <v>0</v>
      </c>
      <c r="G84" s="39">
        <f t="shared" si="2"/>
        <v>0</v>
      </c>
      <c r="H84" s="36">
        <f ca="1">IFERROR(Arrears_Tracker!I83,"")</f>
        <v>46124</v>
      </c>
      <c r="I84" s="37" t="str">
        <f ca="1">IFERROR(Arrears_Tracker!J83,"")</f>
        <v>⛔ PAR90+</v>
      </c>
      <c r="J84" s="32" t="str">
        <f>IF(A84="","",IFERROR(VLOOKUP(A84,Members!A4:K103,7,0),""))</f>
        <v/>
      </c>
    </row>
    <row r="85" spans="1:10" ht="15.75" customHeight="1" x14ac:dyDescent="0.25">
      <c r="A85" s="18">
        <f>IFERROR(Arrears_Tracker!A84,"")</f>
        <v>0</v>
      </c>
      <c r="B85" s="31">
        <f>IFERROR(Arrears_Tracker!B84,"")</f>
        <v>0</v>
      </c>
      <c r="C85" s="32">
        <f>IFERROR(Arrears_Tracker!D84,"")</f>
        <v>0</v>
      </c>
      <c r="D85" s="18">
        <f>IFERROR(Arrears_Tracker!E84,0)</f>
        <v>0</v>
      </c>
      <c r="E85" s="15" t="str">
        <f>IFERROR(Arrears_Tracker!K84,0)</f>
        <v/>
      </c>
      <c r="F85" s="38">
        <f>IFERROR(Arrears_Tracker!M84,0)</f>
        <v>0</v>
      </c>
      <c r="G85" s="39">
        <f t="shared" si="2"/>
        <v>0</v>
      </c>
      <c r="H85" s="36">
        <f ca="1">IFERROR(Arrears_Tracker!I84,"")</f>
        <v>46124</v>
      </c>
      <c r="I85" s="37" t="str">
        <f ca="1">IFERROR(Arrears_Tracker!J84,"")</f>
        <v>⛔ PAR90+</v>
      </c>
      <c r="J85" s="32" t="str">
        <f>IF(A85="","",IFERROR(VLOOKUP(A85,Members!A4:K103,7,0),""))</f>
        <v/>
      </c>
    </row>
    <row r="86" spans="1:10" ht="15.75" customHeight="1" x14ac:dyDescent="0.25">
      <c r="A86" s="18">
        <f>IFERROR(Arrears_Tracker!A85,"")</f>
        <v>0</v>
      </c>
      <c r="B86" s="31">
        <f>IFERROR(Arrears_Tracker!B85,"")</f>
        <v>0</v>
      </c>
      <c r="C86" s="32">
        <f>IFERROR(Arrears_Tracker!D85,"")</f>
        <v>0</v>
      </c>
      <c r="D86" s="18">
        <f>IFERROR(Arrears_Tracker!E85,0)</f>
        <v>0</v>
      </c>
      <c r="E86" s="15" t="str">
        <f>IFERROR(Arrears_Tracker!K85,0)</f>
        <v/>
      </c>
      <c r="F86" s="38">
        <f>IFERROR(Arrears_Tracker!M85,0)</f>
        <v>0</v>
      </c>
      <c r="G86" s="39">
        <f t="shared" si="2"/>
        <v>0</v>
      </c>
      <c r="H86" s="36">
        <f ca="1">IFERROR(Arrears_Tracker!I85,"")</f>
        <v>46124</v>
      </c>
      <c r="I86" s="37" t="str">
        <f ca="1">IFERROR(Arrears_Tracker!J85,"")</f>
        <v>⛔ PAR90+</v>
      </c>
      <c r="J86" s="32" t="str">
        <f>IF(A86="","",IFERROR(VLOOKUP(A86,Members!A4:K103,7,0),""))</f>
        <v/>
      </c>
    </row>
    <row r="87" spans="1:10" ht="15.75" customHeight="1" x14ac:dyDescent="0.25">
      <c r="A87" s="18">
        <f>IFERROR(Arrears_Tracker!A86,"")</f>
        <v>0</v>
      </c>
      <c r="B87" s="31">
        <f>IFERROR(Arrears_Tracker!B86,"")</f>
        <v>0</v>
      </c>
      <c r="C87" s="32">
        <f>IFERROR(Arrears_Tracker!D86,"")</f>
        <v>0</v>
      </c>
      <c r="D87" s="18">
        <f>IFERROR(Arrears_Tracker!E86,0)</f>
        <v>0</v>
      </c>
      <c r="E87" s="15" t="str">
        <f>IFERROR(Arrears_Tracker!K86,0)</f>
        <v/>
      </c>
      <c r="F87" s="38">
        <f>IFERROR(Arrears_Tracker!M86,0)</f>
        <v>0</v>
      </c>
      <c r="G87" s="39">
        <f t="shared" si="2"/>
        <v>0</v>
      </c>
      <c r="H87" s="36">
        <f ca="1">IFERROR(Arrears_Tracker!I86,"")</f>
        <v>46124</v>
      </c>
      <c r="I87" s="37" t="str">
        <f ca="1">IFERROR(Arrears_Tracker!J86,"")</f>
        <v>⛔ PAR90+</v>
      </c>
      <c r="J87" s="32" t="str">
        <f>IF(A87="","",IFERROR(VLOOKUP(A87,Members!A4:K103,7,0),""))</f>
        <v/>
      </c>
    </row>
    <row r="88" spans="1:10" ht="15.75" customHeight="1" x14ac:dyDescent="0.25">
      <c r="A88" s="18">
        <f>IFERROR(Arrears_Tracker!A87,"")</f>
        <v>0</v>
      </c>
      <c r="B88" s="31">
        <f>IFERROR(Arrears_Tracker!B87,"")</f>
        <v>0</v>
      </c>
      <c r="C88" s="32">
        <f>IFERROR(Arrears_Tracker!D87,"")</f>
        <v>0</v>
      </c>
      <c r="D88" s="18">
        <f>IFERROR(Arrears_Tracker!E87,0)</f>
        <v>0</v>
      </c>
      <c r="E88" s="15" t="str">
        <f>IFERROR(Arrears_Tracker!K87,0)</f>
        <v/>
      </c>
      <c r="F88" s="38">
        <f>IFERROR(Arrears_Tracker!M87,0)</f>
        <v>0</v>
      </c>
      <c r="G88" s="39">
        <f t="shared" si="2"/>
        <v>0</v>
      </c>
      <c r="H88" s="36">
        <f ca="1">IFERROR(Arrears_Tracker!I87,"")</f>
        <v>46124</v>
      </c>
      <c r="I88" s="37" t="str">
        <f ca="1">IFERROR(Arrears_Tracker!J87,"")</f>
        <v>⛔ PAR90+</v>
      </c>
      <c r="J88" s="32" t="str">
        <f>IF(A88="","",IFERROR(VLOOKUP(A88,Members!A4:K103,7,0),""))</f>
        <v/>
      </c>
    </row>
    <row r="89" spans="1:10" ht="15.75" customHeight="1" x14ac:dyDescent="0.25">
      <c r="A89" s="18">
        <f>IFERROR(Arrears_Tracker!A88,"")</f>
        <v>0</v>
      </c>
      <c r="B89" s="31">
        <f>IFERROR(Arrears_Tracker!B88,"")</f>
        <v>0</v>
      </c>
      <c r="C89" s="32">
        <f>IFERROR(Arrears_Tracker!D88,"")</f>
        <v>0</v>
      </c>
      <c r="D89" s="18">
        <f>IFERROR(Arrears_Tracker!E88,0)</f>
        <v>0</v>
      </c>
      <c r="E89" s="15" t="str">
        <f>IFERROR(Arrears_Tracker!K88,0)</f>
        <v/>
      </c>
      <c r="F89" s="38">
        <f>IFERROR(Arrears_Tracker!M88,0)</f>
        <v>0</v>
      </c>
      <c r="G89" s="39">
        <f t="shared" si="2"/>
        <v>0</v>
      </c>
      <c r="H89" s="36">
        <f ca="1">IFERROR(Arrears_Tracker!I88,"")</f>
        <v>46124</v>
      </c>
      <c r="I89" s="37" t="str">
        <f ca="1">IFERROR(Arrears_Tracker!J88,"")</f>
        <v>⛔ PAR90+</v>
      </c>
      <c r="J89" s="32" t="str">
        <f>IF(A89="","",IFERROR(VLOOKUP(A89,Members!A4:K103,7,0),""))</f>
        <v/>
      </c>
    </row>
    <row r="90" spans="1:10" ht="15.75" customHeight="1" x14ac:dyDescent="0.25">
      <c r="A90" s="18">
        <f>IFERROR(Arrears_Tracker!A89,"")</f>
        <v>0</v>
      </c>
      <c r="B90" s="31">
        <f>IFERROR(Arrears_Tracker!B89,"")</f>
        <v>0</v>
      </c>
      <c r="C90" s="32">
        <f>IFERROR(Arrears_Tracker!D89,"")</f>
        <v>0</v>
      </c>
      <c r="D90" s="18">
        <f>IFERROR(Arrears_Tracker!E89,0)</f>
        <v>0</v>
      </c>
      <c r="E90" s="15" t="str">
        <f>IFERROR(Arrears_Tracker!K89,0)</f>
        <v/>
      </c>
      <c r="F90" s="38">
        <f>IFERROR(Arrears_Tracker!M89,0)</f>
        <v>0</v>
      </c>
      <c r="G90" s="39">
        <f t="shared" si="2"/>
        <v>0</v>
      </c>
      <c r="H90" s="36">
        <f ca="1">IFERROR(Arrears_Tracker!I89,"")</f>
        <v>46124</v>
      </c>
      <c r="I90" s="37" t="str">
        <f ca="1">IFERROR(Arrears_Tracker!J89,"")</f>
        <v>⛔ PAR90+</v>
      </c>
      <c r="J90" s="32" t="str">
        <f>IF(A90="","",IFERROR(VLOOKUP(A90,Members!A4:K103,7,0),""))</f>
        <v/>
      </c>
    </row>
    <row r="91" spans="1:10" ht="15.75" customHeight="1" x14ac:dyDescent="0.25">
      <c r="A91" s="18">
        <f>IFERROR(Arrears_Tracker!A90,"")</f>
        <v>0</v>
      </c>
      <c r="B91" s="31">
        <f>IFERROR(Arrears_Tracker!B90,"")</f>
        <v>0</v>
      </c>
      <c r="C91" s="32">
        <f>IFERROR(Arrears_Tracker!D90,"")</f>
        <v>0</v>
      </c>
      <c r="D91" s="18">
        <f>IFERROR(Arrears_Tracker!E90,0)</f>
        <v>0</v>
      </c>
      <c r="E91" s="15" t="str">
        <f>IFERROR(Arrears_Tracker!K90,0)</f>
        <v/>
      </c>
      <c r="F91" s="38">
        <f>IFERROR(Arrears_Tracker!M90,0)</f>
        <v>0</v>
      </c>
      <c r="G91" s="39">
        <f t="shared" si="2"/>
        <v>0</v>
      </c>
      <c r="H91" s="36">
        <f ca="1">IFERROR(Arrears_Tracker!I90,"")</f>
        <v>46124</v>
      </c>
      <c r="I91" s="37" t="str">
        <f ca="1">IFERROR(Arrears_Tracker!J90,"")</f>
        <v>⛔ PAR90+</v>
      </c>
      <c r="J91" s="32" t="str">
        <f>IF(A91="","",IFERROR(VLOOKUP(A91,Members!A4:K103,7,0),""))</f>
        <v/>
      </c>
    </row>
    <row r="92" spans="1:10" ht="15.75" customHeight="1" x14ac:dyDescent="0.25">
      <c r="A92" s="18">
        <f>IFERROR(Arrears_Tracker!A91,"")</f>
        <v>0</v>
      </c>
      <c r="B92" s="31">
        <f>IFERROR(Arrears_Tracker!B91,"")</f>
        <v>0</v>
      </c>
      <c r="C92" s="32">
        <f>IFERROR(Arrears_Tracker!D91,"")</f>
        <v>0</v>
      </c>
      <c r="D92" s="18">
        <f>IFERROR(Arrears_Tracker!E91,0)</f>
        <v>0</v>
      </c>
      <c r="E92" s="15" t="str">
        <f>IFERROR(Arrears_Tracker!K91,0)</f>
        <v/>
      </c>
      <c r="F92" s="38">
        <f>IFERROR(Arrears_Tracker!M91,0)</f>
        <v>0</v>
      </c>
      <c r="G92" s="39">
        <f t="shared" si="2"/>
        <v>0</v>
      </c>
      <c r="H92" s="36">
        <f ca="1">IFERROR(Arrears_Tracker!I91,"")</f>
        <v>46124</v>
      </c>
      <c r="I92" s="37" t="str">
        <f ca="1">IFERROR(Arrears_Tracker!J91,"")</f>
        <v>⛔ PAR90+</v>
      </c>
      <c r="J92" s="32" t="str">
        <f>IF(A92="","",IFERROR(VLOOKUP(A92,Members!A4:K103,7,0),""))</f>
        <v/>
      </c>
    </row>
    <row r="93" spans="1:10" ht="15.75" customHeight="1" x14ac:dyDescent="0.25">
      <c r="A93" s="18">
        <f>IFERROR(Arrears_Tracker!A92,"")</f>
        <v>0</v>
      </c>
      <c r="B93" s="31">
        <f>IFERROR(Arrears_Tracker!B92,"")</f>
        <v>0</v>
      </c>
      <c r="C93" s="32">
        <f>IFERROR(Arrears_Tracker!D92,"")</f>
        <v>0</v>
      </c>
      <c r="D93" s="18">
        <f>IFERROR(Arrears_Tracker!E92,0)</f>
        <v>0</v>
      </c>
      <c r="E93" s="15" t="str">
        <f>IFERROR(Arrears_Tracker!K92,0)</f>
        <v/>
      </c>
      <c r="F93" s="38">
        <f>IFERROR(Arrears_Tracker!M92,0)</f>
        <v>0</v>
      </c>
      <c r="G93" s="39">
        <f t="shared" si="2"/>
        <v>0</v>
      </c>
      <c r="H93" s="36">
        <f ca="1">IFERROR(Arrears_Tracker!I92,"")</f>
        <v>46124</v>
      </c>
      <c r="I93" s="37" t="str">
        <f ca="1">IFERROR(Arrears_Tracker!J92,"")</f>
        <v>⛔ PAR90+</v>
      </c>
      <c r="J93" s="32" t="str">
        <f>IF(A93="","",IFERROR(VLOOKUP(A93,Members!A4:K103,7,0),""))</f>
        <v/>
      </c>
    </row>
    <row r="94" spans="1:10" ht="15.75" customHeight="1" x14ac:dyDescent="0.25">
      <c r="A94" s="18">
        <f>IFERROR(Arrears_Tracker!A93,"")</f>
        <v>0</v>
      </c>
      <c r="B94" s="31">
        <f>IFERROR(Arrears_Tracker!B93,"")</f>
        <v>0</v>
      </c>
      <c r="C94" s="32">
        <f>IFERROR(Arrears_Tracker!D93,"")</f>
        <v>0</v>
      </c>
      <c r="D94" s="18">
        <f>IFERROR(Arrears_Tracker!E93,0)</f>
        <v>0</v>
      </c>
      <c r="E94" s="15" t="str">
        <f>IFERROR(Arrears_Tracker!K93,0)</f>
        <v/>
      </c>
      <c r="F94" s="38">
        <f>IFERROR(Arrears_Tracker!M93,0)</f>
        <v>0</v>
      </c>
      <c r="G94" s="39">
        <f t="shared" si="2"/>
        <v>0</v>
      </c>
      <c r="H94" s="36">
        <f ca="1">IFERROR(Arrears_Tracker!I93,"")</f>
        <v>46124</v>
      </c>
      <c r="I94" s="37" t="str">
        <f ca="1">IFERROR(Arrears_Tracker!J93,"")</f>
        <v>⛔ PAR90+</v>
      </c>
      <c r="J94" s="32" t="str">
        <f>IF(A94="","",IFERROR(VLOOKUP(A94,Members!A4:K103,7,0),""))</f>
        <v/>
      </c>
    </row>
    <row r="95" spans="1:10" ht="15.75" customHeight="1" x14ac:dyDescent="0.25">
      <c r="A95" s="18">
        <f>IFERROR(Arrears_Tracker!A94,"")</f>
        <v>0</v>
      </c>
      <c r="B95" s="31">
        <f>IFERROR(Arrears_Tracker!B94,"")</f>
        <v>0</v>
      </c>
      <c r="C95" s="32">
        <f>IFERROR(Arrears_Tracker!D94,"")</f>
        <v>0</v>
      </c>
      <c r="D95" s="18">
        <f>IFERROR(Arrears_Tracker!E94,0)</f>
        <v>0</v>
      </c>
      <c r="E95" s="15" t="str">
        <f>IFERROR(Arrears_Tracker!K94,0)</f>
        <v/>
      </c>
      <c r="F95" s="38">
        <f>IFERROR(Arrears_Tracker!M94,0)</f>
        <v>0</v>
      </c>
      <c r="G95" s="39">
        <f t="shared" si="2"/>
        <v>0</v>
      </c>
      <c r="H95" s="36">
        <f ca="1">IFERROR(Arrears_Tracker!I94,"")</f>
        <v>46124</v>
      </c>
      <c r="I95" s="37" t="str">
        <f ca="1">IFERROR(Arrears_Tracker!J94,"")</f>
        <v>⛔ PAR90+</v>
      </c>
      <c r="J95" s="32" t="str">
        <f>IF(A95="","",IFERROR(VLOOKUP(A95,Members!A4:K103,7,0),""))</f>
        <v/>
      </c>
    </row>
    <row r="96" spans="1:10" ht="15.75" customHeight="1" x14ac:dyDescent="0.25">
      <c r="A96" s="18">
        <f>IFERROR(Arrears_Tracker!A95,"")</f>
        <v>0</v>
      </c>
      <c r="B96" s="31">
        <f>IFERROR(Arrears_Tracker!B95,"")</f>
        <v>0</v>
      </c>
      <c r="C96" s="32">
        <f>IFERROR(Arrears_Tracker!D95,"")</f>
        <v>0</v>
      </c>
      <c r="D96" s="18">
        <f>IFERROR(Arrears_Tracker!E95,0)</f>
        <v>0</v>
      </c>
      <c r="E96" s="15" t="str">
        <f>IFERROR(Arrears_Tracker!K95,0)</f>
        <v/>
      </c>
      <c r="F96" s="38">
        <f>IFERROR(Arrears_Tracker!M95,0)</f>
        <v>0</v>
      </c>
      <c r="G96" s="39">
        <f t="shared" si="2"/>
        <v>0</v>
      </c>
      <c r="H96" s="36">
        <f ca="1">IFERROR(Arrears_Tracker!I95,"")</f>
        <v>46124</v>
      </c>
      <c r="I96" s="37" t="str">
        <f ca="1">IFERROR(Arrears_Tracker!J95,"")</f>
        <v>⛔ PAR90+</v>
      </c>
      <c r="J96" s="32" t="str">
        <f>IF(A96="","",IFERROR(VLOOKUP(A96,Members!A4:K103,7,0),""))</f>
        <v/>
      </c>
    </row>
    <row r="97" spans="1:10" ht="15.75" customHeight="1" x14ac:dyDescent="0.25">
      <c r="A97" s="18">
        <f>IFERROR(Arrears_Tracker!A96,"")</f>
        <v>0</v>
      </c>
      <c r="B97" s="31">
        <f>IFERROR(Arrears_Tracker!B96,"")</f>
        <v>0</v>
      </c>
      <c r="C97" s="32">
        <f>IFERROR(Arrears_Tracker!D96,"")</f>
        <v>0</v>
      </c>
      <c r="D97" s="18">
        <f>IFERROR(Arrears_Tracker!E96,0)</f>
        <v>0</v>
      </c>
      <c r="E97" s="15" t="str">
        <f>IFERROR(Arrears_Tracker!K96,0)</f>
        <v/>
      </c>
      <c r="F97" s="38">
        <f>IFERROR(Arrears_Tracker!M96,0)</f>
        <v>0</v>
      </c>
      <c r="G97" s="39">
        <f t="shared" si="2"/>
        <v>0</v>
      </c>
      <c r="H97" s="36">
        <f ca="1">IFERROR(Arrears_Tracker!I96,"")</f>
        <v>46124</v>
      </c>
      <c r="I97" s="37" t="str">
        <f ca="1">IFERROR(Arrears_Tracker!J96,"")</f>
        <v>⛔ PAR90+</v>
      </c>
      <c r="J97" s="32" t="str">
        <f>IF(A97="","",IFERROR(VLOOKUP(A97,Members!A4:K103,7,0),""))</f>
        <v/>
      </c>
    </row>
    <row r="98" spans="1:10" ht="15.75" customHeight="1" x14ac:dyDescent="0.25">
      <c r="A98" s="18">
        <f>IFERROR(Arrears_Tracker!A97,"")</f>
        <v>0</v>
      </c>
      <c r="B98" s="31">
        <f>IFERROR(Arrears_Tracker!B97,"")</f>
        <v>0</v>
      </c>
      <c r="C98" s="32">
        <f>IFERROR(Arrears_Tracker!D97,"")</f>
        <v>0</v>
      </c>
      <c r="D98" s="18">
        <f>IFERROR(Arrears_Tracker!E97,0)</f>
        <v>0</v>
      </c>
      <c r="E98" s="15" t="str">
        <f>IFERROR(Arrears_Tracker!K97,0)</f>
        <v/>
      </c>
      <c r="F98" s="38">
        <f>IFERROR(Arrears_Tracker!M97,0)</f>
        <v>0</v>
      </c>
      <c r="G98" s="39">
        <f t="shared" si="2"/>
        <v>0</v>
      </c>
      <c r="H98" s="36">
        <f ca="1">IFERROR(Arrears_Tracker!I97,"")</f>
        <v>46124</v>
      </c>
      <c r="I98" s="37" t="str">
        <f ca="1">IFERROR(Arrears_Tracker!J97,"")</f>
        <v>⛔ PAR90+</v>
      </c>
      <c r="J98" s="32" t="str">
        <f>IF(A98="","",IFERROR(VLOOKUP(A98,Members!A4:K103,7,0),""))</f>
        <v/>
      </c>
    </row>
    <row r="99" spans="1:10" ht="15.75" customHeight="1" x14ac:dyDescent="0.25">
      <c r="A99" s="18">
        <f>IFERROR(Arrears_Tracker!A98,"")</f>
        <v>0</v>
      </c>
      <c r="B99" s="31">
        <f>IFERROR(Arrears_Tracker!B98,"")</f>
        <v>0</v>
      </c>
      <c r="C99" s="32">
        <f>IFERROR(Arrears_Tracker!D98,"")</f>
        <v>0</v>
      </c>
      <c r="D99" s="18">
        <f>IFERROR(Arrears_Tracker!E98,0)</f>
        <v>0</v>
      </c>
      <c r="E99" s="15" t="str">
        <f>IFERROR(Arrears_Tracker!K98,0)</f>
        <v/>
      </c>
      <c r="F99" s="38">
        <f>IFERROR(Arrears_Tracker!M98,0)</f>
        <v>0</v>
      </c>
      <c r="G99" s="39">
        <f t="shared" si="2"/>
        <v>0</v>
      </c>
      <c r="H99" s="36">
        <f ca="1">IFERROR(Arrears_Tracker!I98,"")</f>
        <v>46124</v>
      </c>
      <c r="I99" s="37" t="str">
        <f ca="1">IFERROR(Arrears_Tracker!J98,"")</f>
        <v>⛔ PAR90+</v>
      </c>
      <c r="J99" s="32" t="str">
        <f>IF(A99="","",IFERROR(VLOOKUP(A99,Members!A4:K103,7,0),""))</f>
        <v/>
      </c>
    </row>
    <row r="100" spans="1:10" ht="15.75" customHeight="1" x14ac:dyDescent="0.25">
      <c r="A100" s="18">
        <f>IFERROR(Arrears_Tracker!A99,"")</f>
        <v>0</v>
      </c>
      <c r="B100" s="31">
        <f>IFERROR(Arrears_Tracker!B99,"")</f>
        <v>0</v>
      </c>
      <c r="C100" s="32">
        <f>IFERROR(Arrears_Tracker!D99,"")</f>
        <v>0</v>
      </c>
      <c r="D100" s="18">
        <f>IFERROR(Arrears_Tracker!E99,0)</f>
        <v>0</v>
      </c>
      <c r="E100" s="15" t="str">
        <f>IFERROR(Arrears_Tracker!K99,0)</f>
        <v/>
      </c>
      <c r="F100" s="38">
        <f>IFERROR(Arrears_Tracker!M99,0)</f>
        <v>0</v>
      </c>
      <c r="G100" s="39">
        <f t="shared" ref="G100:G131" si="3">IFERROR(E100+F100,0)</f>
        <v>0</v>
      </c>
      <c r="H100" s="36">
        <f ca="1">IFERROR(Arrears_Tracker!I99,"")</f>
        <v>46124</v>
      </c>
      <c r="I100" s="37" t="str">
        <f ca="1">IFERROR(Arrears_Tracker!J99,"")</f>
        <v>⛔ PAR90+</v>
      </c>
      <c r="J100" s="32" t="str">
        <f>IF(A100="","",IFERROR(VLOOKUP(A100,Members!A4:K103,7,0),""))</f>
        <v/>
      </c>
    </row>
    <row r="101" spans="1:10" ht="15.75" customHeight="1" x14ac:dyDescent="0.25">
      <c r="A101" s="18">
        <f>IFERROR(Arrears_Tracker!A100,"")</f>
        <v>0</v>
      </c>
      <c r="B101" s="31">
        <f>IFERROR(Arrears_Tracker!B100,"")</f>
        <v>0</v>
      </c>
      <c r="C101" s="32">
        <f>IFERROR(Arrears_Tracker!D100,"")</f>
        <v>0</v>
      </c>
      <c r="D101" s="18">
        <f>IFERROR(Arrears_Tracker!E100,0)</f>
        <v>0</v>
      </c>
      <c r="E101" s="15" t="str">
        <f>IFERROR(Arrears_Tracker!K100,0)</f>
        <v/>
      </c>
      <c r="F101" s="38">
        <f>IFERROR(Arrears_Tracker!M100,0)</f>
        <v>0</v>
      </c>
      <c r="G101" s="39">
        <f t="shared" si="3"/>
        <v>0</v>
      </c>
      <c r="H101" s="36">
        <f ca="1">IFERROR(Arrears_Tracker!I100,"")</f>
        <v>46124</v>
      </c>
      <c r="I101" s="37" t="str">
        <f ca="1">IFERROR(Arrears_Tracker!J100,"")</f>
        <v>⛔ PAR90+</v>
      </c>
      <c r="J101" s="32" t="str">
        <f>IF(A101="","",IFERROR(VLOOKUP(A101,Members!A4:K103,7,0),""))</f>
        <v/>
      </c>
    </row>
    <row r="102" spans="1:10" ht="15.75" customHeight="1" x14ac:dyDescent="0.25">
      <c r="A102" s="18">
        <f>IFERROR(Arrears_Tracker!A101,"")</f>
        <v>0</v>
      </c>
      <c r="B102" s="31">
        <f>IFERROR(Arrears_Tracker!B101,"")</f>
        <v>0</v>
      </c>
      <c r="C102" s="32">
        <f>IFERROR(Arrears_Tracker!D101,"")</f>
        <v>0</v>
      </c>
      <c r="D102" s="18">
        <f>IFERROR(Arrears_Tracker!E101,0)</f>
        <v>0</v>
      </c>
      <c r="E102" s="15" t="str">
        <f>IFERROR(Arrears_Tracker!K101,0)</f>
        <v/>
      </c>
      <c r="F102" s="38">
        <f>IFERROR(Arrears_Tracker!M101,0)</f>
        <v>0</v>
      </c>
      <c r="G102" s="39">
        <f t="shared" si="3"/>
        <v>0</v>
      </c>
      <c r="H102" s="36">
        <f ca="1">IFERROR(Arrears_Tracker!I101,"")</f>
        <v>46124</v>
      </c>
      <c r="I102" s="37" t="str">
        <f ca="1">IFERROR(Arrears_Tracker!J101,"")</f>
        <v>⛔ PAR90+</v>
      </c>
      <c r="J102" s="32" t="str">
        <f>IF(A102="","",IFERROR(VLOOKUP(A102,Members!A4:K103,7,0),""))</f>
        <v/>
      </c>
    </row>
    <row r="103" spans="1:10" ht="15.75" customHeight="1" x14ac:dyDescent="0.25">
      <c r="A103" s="18">
        <f>IFERROR(Arrears_Tracker!A102,"")</f>
        <v>0</v>
      </c>
      <c r="B103" s="31">
        <f>IFERROR(Arrears_Tracker!B102,"")</f>
        <v>0</v>
      </c>
      <c r="C103" s="32">
        <f>IFERROR(Arrears_Tracker!D102,"")</f>
        <v>0</v>
      </c>
      <c r="D103" s="18">
        <f>IFERROR(Arrears_Tracker!E102,0)</f>
        <v>0</v>
      </c>
      <c r="E103" s="15" t="str">
        <f>IFERROR(Arrears_Tracker!K102,0)</f>
        <v/>
      </c>
      <c r="F103" s="38">
        <f>IFERROR(Arrears_Tracker!M102,0)</f>
        <v>0</v>
      </c>
      <c r="G103" s="39">
        <f t="shared" si="3"/>
        <v>0</v>
      </c>
      <c r="H103" s="36">
        <f ca="1">IFERROR(Arrears_Tracker!I102,"")</f>
        <v>46124</v>
      </c>
      <c r="I103" s="37" t="str">
        <f ca="1">IFERROR(Arrears_Tracker!J102,"")</f>
        <v>⛔ PAR90+</v>
      </c>
      <c r="J103" s="32" t="str">
        <f>IF(A103="","",IFERROR(VLOOKUP(A103,Members!A4:K103,7,0),""))</f>
        <v/>
      </c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I70"/>
  <sheetViews>
    <sheetView topLeftCell="A27" zoomScaleNormal="100" workbookViewId="0">
      <selection sqref="A1:I1"/>
    </sheetView>
  </sheetViews>
  <sheetFormatPr defaultColWidth="8.7109375" defaultRowHeight="15" x14ac:dyDescent="0.25"/>
  <cols>
    <col min="1" max="1" width="3" customWidth="1"/>
    <col min="2" max="2" width="30" customWidth="1"/>
    <col min="3" max="3" width="20" customWidth="1"/>
    <col min="4" max="5" width="18" customWidth="1"/>
    <col min="6" max="6" width="12" customWidth="1"/>
  </cols>
  <sheetData>
    <row r="1" spans="1:9" ht="31.5" customHeight="1" x14ac:dyDescent="0.25">
      <c r="A1" s="167" t="s">
        <v>375</v>
      </c>
      <c r="B1" s="162"/>
      <c r="C1" s="162"/>
      <c r="D1" s="162"/>
      <c r="E1" s="162"/>
      <c r="F1" s="162"/>
      <c r="G1" s="162"/>
      <c r="H1" s="162"/>
      <c r="I1" s="162"/>
    </row>
    <row r="2" spans="1:9" ht="21.75" customHeight="1" x14ac:dyDescent="0.25">
      <c r="A2" s="174" t="s">
        <v>376</v>
      </c>
      <c r="B2" s="162"/>
      <c r="C2" s="162"/>
      <c r="D2" s="162"/>
    </row>
    <row r="3" spans="1:9" ht="19.5" customHeight="1" x14ac:dyDescent="0.25">
      <c r="B3" s="170" t="s">
        <v>377</v>
      </c>
      <c r="C3" s="130"/>
      <c r="D3" s="130"/>
      <c r="E3" s="2">
        <f>IFERROR(SUMIF(Transactions!E4:E1003,"Savings Deposit",Transactions!F4:F1003),0)</f>
        <v>0</v>
      </c>
      <c r="F3" s="40" t="s">
        <v>378</v>
      </c>
    </row>
    <row r="4" spans="1:9" ht="19.5" customHeight="1" x14ac:dyDescent="0.25">
      <c r="B4" s="170" t="s">
        <v>379</v>
      </c>
      <c r="C4" s="130"/>
      <c r="D4" s="130"/>
      <c r="E4" s="2">
        <f>IFERROR(SUM(Int_Repayments!F4:F1003),0)</f>
        <v>0</v>
      </c>
      <c r="F4" s="40" t="s">
        <v>378</v>
      </c>
    </row>
    <row r="5" spans="1:9" ht="19.5" customHeight="1" x14ac:dyDescent="0.25">
      <c r="B5" s="170" t="s">
        <v>380</v>
      </c>
      <c r="C5" s="130"/>
      <c r="D5" s="130"/>
      <c r="E5" s="2">
        <f>IFERROR(SUMIF(Loans!A4:A1003,"&lt;&gt;",Loans!F4:F1003),0)</f>
        <v>0</v>
      </c>
      <c r="F5" s="40" t="s">
        <v>378</v>
      </c>
    </row>
    <row r="6" spans="1:9" ht="19.5" customHeight="1" x14ac:dyDescent="0.25">
      <c r="B6" s="170" t="s">
        <v>381</v>
      </c>
      <c r="C6" s="130"/>
      <c r="D6" s="130"/>
      <c r="E6" s="2">
        <f>IFERROR(SUMIF(Transactions!E4:E1003,"Loan Repayment",Transactions!F4:F1003),0)</f>
        <v>0</v>
      </c>
      <c r="F6" s="40" t="s">
        <v>378</v>
      </c>
    </row>
    <row r="8" spans="1:9" ht="21.75" customHeight="1" x14ac:dyDescent="0.25">
      <c r="A8" s="171" t="s">
        <v>382</v>
      </c>
      <c r="B8" s="162"/>
      <c r="C8" s="162"/>
      <c r="D8" s="162"/>
    </row>
    <row r="9" spans="1:9" ht="19.5" customHeight="1" x14ac:dyDescent="0.25">
      <c r="B9" s="169" t="s">
        <v>383</v>
      </c>
      <c r="C9" s="130"/>
      <c r="D9" s="130"/>
      <c r="E9" s="26">
        <f>IFERROR(SUMIF(Transactions!E4:E1003,"Loan Disbursement",Transactions!F4:F1003),0)</f>
        <v>0</v>
      </c>
      <c r="F9" s="41" t="s">
        <v>378</v>
      </c>
    </row>
    <row r="10" spans="1:9" ht="19.5" customHeight="1" x14ac:dyDescent="0.25">
      <c r="B10" s="169" t="s">
        <v>384</v>
      </c>
      <c r="C10" s="130"/>
      <c r="D10" s="130"/>
      <c r="E10" s="26">
        <f>IFERROR(SUMIF(Transactions!E4:E1003,"Withdrawal",Transactions!F4:F1003),0)</f>
        <v>0</v>
      </c>
      <c r="F10" s="41" t="s">
        <v>378</v>
      </c>
    </row>
    <row r="11" spans="1:9" ht="19.5" customHeight="1" x14ac:dyDescent="0.25">
      <c r="B11" s="169" t="s">
        <v>385</v>
      </c>
      <c r="C11" s="130"/>
      <c r="D11" s="130"/>
      <c r="E11" s="26">
        <f>IFERROR(SUM([1]misc_expenses!D4:D1003),0)</f>
        <v>0</v>
      </c>
      <c r="F11" s="41" t="s">
        <v>378</v>
      </c>
    </row>
    <row r="13" spans="1:9" ht="25.5" customHeight="1" x14ac:dyDescent="0.25">
      <c r="A13" s="175" t="s">
        <v>386</v>
      </c>
      <c r="B13" s="162"/>
      <c r="C13" s="162"/>
      <c r="D13" s="162"/>
      <c r="E13" s="42">
        <f>IFERROR(E3+E4+E5+E6,0)</f>
        <v>0</v>
      </c>
      <c r="F13" s="43" t="s">
        <v>378</v>
      </c>
    </row>
    <row r="15" spans="1:9" ht="25.5" customHeight="1" x14ac:dyDescent="0.25">
      <c r="A15" s="173" t="s">
        <v>387</v>
      </c>
      <c r="B15" s="162"/>
      <c r="C15" s="162"/>
      <c r="D15" s="162"/>
      <c r="E15" s="44">
        <f>IFERROR(E9+E10+E11,0)</f>
        <v>0</v>
      </c>
      <c r="F15" s="45" t="s">
        <v>378</v>
      </c>
    </row>
    <row r="17" spans="1:6" ht="30" customHeight="1" x14ac:dyDescent="0.25">
      <c r="A17" s="161" t="s">
        <v>388</v>
      </c>
      <c r="B17" s="162"/>
      <c r="C17" s="162"/>
      <c r="D17" s="162"/>
      <c r="E17" s="46">
        <f>IFERROR(E13-E15,0)</f>
        <v>0</v>
      </c>
      <c r="F17" s="47" t="s">
        <v>378</v>
      </c>
    </row>
    <row r="19" spans="1:6" ht="24" customHeight="1" x14ac:dyDescent="0.25">
      <c r="A19" s="172" t="s">
        <v>389</v>
      </c>
      <c r="B19" s="162"/>
      <c r="C19" s="162"/>
      <c r="D19" s="162"/>
      <c r="E19" s="162"/>
    </row>
    <row r="20" spans="1:6" ht="21.75" customHeight="1" x14ac:dyDescent="0.25">
      <c r="B20" s="10" t="s">
        <v>259</v>
      </c>
      <c r="C20" s="10" t="s">
        <v>390</v>
      </c>
      <c r="D20" s="10" t="s">
        <v>391</v>
      </c>
      <c r="E20" s="10" t="s">
        <v>45</v>
      </c>
      <c r="F20" s="10" t="s">
        <v>352</v>
      </c>
    </row>
    <row r="21" spans="1:6" ht="18" customHeight="1" x14ac:dyDescent="0.25">
      <c r="B21" s="11"/>
      <c r="C21" s="11"/>
      <c r="D21" s="11"/>
      <c r="E21" s="48"/>
      <c r="F21" s="11"/>
    </row>
    <row r="22" spans="1:6" ht="18" customHeight="1" x14ac:dyDescent="0.25">
      <c r="B22" s="11"/>
      <c r="C22" s="11"/>
      <c r="D22" s="11"/>
      <c r="E22" s="48"/>
      <c r="F22" s="11"/>
    </row>
    <row r="23" spans="1:6" ht="18" customHeight="1" x14ac:dyDescent="0.25">
      <c r="B23" s="11"/>
      <c r="C23" s="11"/>
      <c r="D23" s="11"/>
      <c r="E23" s="48"/>
      <c r="F23" s="11"/>
    </row>
    <row r="24" spans="1:6" ht="18" customHeight="1" x14ac:dyDescent="0.25">
      <c r="B24" s="11"/>
      <c r="C24" s="11"/>
      <c r="D24" s="11"/>
      <c r="E24" s="48"/>
      <c r="F24" s="11"/>
    </row>
    <row r="25" spans="1:6" ht="18" customHeight="1" x14ac:dyDescent="0.25">
      <c r="B25" s="11"/>
      <c r="C25" s="11"/>
      <c r="D25" s="11"/>
      <c r="E25" s="48"/>
      <c r="F25" s="11"/>
    </row>
    <row r="26" spans="1:6" ht="18" customHeight="1" x14ac:dyDescent="0.25">
      <c r="B26" s="11"/>
      <c r="C26" s="11"/>
      <c r="D26" s="11"/>
      <c r="E26" s="48"/>
      <c r="F26" s="11"/>
    </row>
    <row r="27" spans="1:6" ht="18" customHeight="1" x14ac:dyDescent="0.25">
      <c r="B27" s="11"/>
      <c r="C27" s="11"/>
      <c r="D27" s="11"/>
      <c r="E27" s="48"/>
      <c r="F27" s="11"/>
    </row>
    <row r="28" spans="1:6" ht="18" customHeight="1" x14ac:dyDescent="0.25">
      <c r="B28" s="11"/>
      <c r="C28" s="11"/>
      <c r="D28" s="11"/>
      <c r="E28" s="48"/>
      <c r="F28" s="11"/>
    </row>
    <row r="29" spans="1:6" ht="18" customHeight="1" x14ac:dyDescent="0.25">
      <c r="B29" s="11"/>
      <c r="C29" s="11"/>
      <c r="D29" s="11"/>
      <c r="E29" s="48"/>
      <c r="F29" s="11"/>
    </row>
    <row r="30" spans="1:6" ht="18" customHeight="1" x14ac:dyDescent="0.25">
      <c r="B30" s="11"/>
      <c r="C30" s="11"/>
      <c r="D30" s="11"/>
      <c r="E30" s="48"/>
      <c r="F30" s="11"/>
    </row>
    <row r="31" spans="1:6" ht="18" customHeight="1" x14ac:dyDescent="0.25">
      <c r="B31" s="11"/>
      <c r="C31" s="11"/>
      <c r="D31" s="11"/>
      <c r="E31" s="48"/>
      <c r="F31" s="11"/>
    </row>
    <row r="32" spans="1:6" ht="18" customHeight="1" x14ac:dyDescent="0.25">
      <c r="B32" s="11"/>
      <c r="C32" s="11"/>
      <c r="D32" s="11"/>
      <c r="E32" s="48"/>
      <c r="F32" s="11"/>
    </row>
    <row r="33" spans="2:6" ht="18" customHeight="1" x14ac:dyDescent="0.25">
      <c r="B33" s="11"/>
      <c r="C33" s="11"/>
      <c r="D33" s="11"/>
      <c r="E33" s="48"/>
      <c r="F33" s="11"/>
    </row>
    <row r="34" spans="2:6" ht="18" customHeight="1" x14ac:dyDescent="0.25">
      <c r="B34" s="11"/>
      <c r="C34" s="11"/>
      <c r="D34" s="11"/>
      <c r="E34" s="48"/>
      <c r="F34" s="11"/>
    </row>
    <row r="35" spans="2:6" ht="18" customHeight="1" x14ac:dyDescent="0.25">
      <c r="B35" s="11"/>
      <c r="C35" s="11"/>
      <c r="D35" s="11"/>
      <c r="E35" s="48"/>
      <c r="F35" s="11"/>
    </row>
    <row r="36" spans="2:6" ht="18" customHeight="1" x14ac:dyDescent="0.25">
      <c r="B36" s="11"/>
      <c r="C36" s="11"/>
      <c r="D36" s="11"/>
      <c r="E36" s="48"/>
      <c r="F36" s="11"/>
    </row>
    <row r="37" spans="2:6" ht="18" customHeight="1" x14ac:dyDescent="0.25">
      <c r="B37" s="11"/>
      <c r="C37" s="11"/>
      <c r="D37" s="11"/>
      <c r="E37" s="48"/>
      <c r="F37" s="11"/>
    </row>
    <row r="38" spans="2:6" ht="18" customHeight="1" x14ac:dyDescent="0.25">
      <c r="B38" s="11"/>
      <c r="C38" s="11"/>
      <c r="D38" s="11"/>
      <c r="E38" s="48"/>
      <c r="F38" s="11"/>
    </row>
    <row r="39" spans="2:6" ht="18" customHeight="1" x14ac:dyDescent="0.25">
      <c r="B39" s="11"/>
      <c r="C39" s="11"/>
      <c r="D39" s="11"/>
      <c r="E39" s="48"/>
      <c r="F39" s="11"/>
    </row>
    <row r="40" spans="2:6" ht="18" customHeight="1" x14ac:dyDescent="0.25">
      <c r="B40" s="11"/>
      <c r="C40" s="11"/>
      <c r="D40" s="11"/>
      <c r="E40" s="48"/>
      <c r="F40" s="11"/>
    </row>
    <row r="41" spans="2:6" ht="18" customHeight="1" x14ac:dyDescent="0.25">
      <c r="B41" s="11"/>
      <c r="C41" s="11"/>
      <c r="D41" s="11"/>
      <c r="E41" s="48"/>
      <c r="F41" s="11"/>
    </row>
    <row r="42" spans="2:6" ht="18" customHeight="1" x14ac:dyDescent="0.25">
      <c r="B42" s="11"/>
      <c r="C42" s="11"/>
      <c r="D42" s="11"/>
      <c r="E42" s="48"/>
      <c r="F42" s="11"/>
    </row>
    <row r="43" spans="2:6" ht="18" customHeight="1" x14ac:dyDescent="0.25">
      <c r="B43" s="11"/>
      <c r="C43" s="11"/>
      <c r="D43" s="11"/>
      <c r="E43" s="48"/>
      <c r="F43" s="11"/>
    </row>
    <row r="44" spans="2:6" ht="18" customHeight="1" x14ac:dyDescent="0.25">
      <c r="B44" s="11"/>
      <c r="C44" s="11"/>
      <c r="D44" s="11"/>
      <c r="E44" s="48"/>
      <c r="F44" s="11"/>
    </row>
    <row r="45" spans="2:6" ht="18" customHeight="1" x14ac:dyDescent="0.25">
      <c r="B45" s="11"/>
      <c r="C45" s="11"/>
      <c r="D45" s="11"/>
      <c r="E45" s="48"/>
      <c r="F45" s="11"/>
    </row>
    <row r="46" spans="2:6" ht="18" customHeight="1" x14ac:dyDescent="0.25">
      <c r="B46" s="11"/>
      <c r="C46" s="11"/>
      <c r="D46" s="11"/>
      <c r="E46" s="48"/>
      <c r="F46" s="11"/>
    </row>
    <row r="47" spans="2:6" ht="18" customHeight="1" x14ac:dyDescent="0.25">
      <c r="B47" s="11"/>
      <c r="C47" s="11"/>
      <c r="D47" s="11"/>
      <c r="E47" s="48"/>
      <c r="F47" s="11"/>
    </row>
    <row r="48" spans="2:6" ht="18" customHeight="1" x14ac:dyDescent="0.25">
      <c r="B48" s="11"/>
      <c r="C48" s="11"/>
      <c r="D48" s="11"/>
      <c r="E48" s="48"/>
      <c r="F48" s="11"/>
    </row>
    <row r="49" spans="2:6" ht="18" customHeight="1" x14ac:dyDescent="0.25">
      <c r="B49" s="11"/>
      <c r="C49" s="11"/>
      <c r="D49" s="11"/>
      <c r="E49" s="48"/>
      <c r="F49" s="11"/>
    </row>
    <row r="50" spans="2:6" ht="18" customHeight="1" x14ac:dyDescent="0.25">
      <c r="B50" s="11"/>
      <c r="C50" s="11"/>
      <c r="D50" s="11"/>
      <c r="E50" s="48"/>
      <c r="F50" s="11"/>
    </row>
    <row r="51" spans="2:6" ht="18" customHeight="1" x14ac:dyDescent="0.25">
      <c r="B51" s="11"/>
      <c r="C51" s="11"/>
      <c r="D51" s="11"/>
      <c r="E51" s="48"/>
      <c r="F51" s="11"/>
    </row>
    <row r="52" spans="2:6" ht="18" customHeight="1" x14ac:dyDescent="0.25">
      <c r="B52" s="11"/>
      <c r="C52" s="11"/>
      <c r="D52" s="11"/>
      <c r="E52" s="48"/>
      <c r="F52" s="11"/>
    </row>
    <row r="53" spans="2:6" ht="18" customHeight="1" x14ac:dyDescent="0.25">
      <c r="B53" s="11"/>
      <c r="C53" s="11"/>
      <c r="D53" s="11"/>
      <c r="E53" s="48"/>
      <c r="F53" s="11"/>
    </row>
    <row r="54" spans="2:6" ht="18" customHeight="1" x14ac:dyDescent="0.25">
      <c r="B54" s="11"/>
      <c r="C54" s="11"/>
      <c r="D54" s="11"/>
      <c r="E54" s="48"/>
      <c r="F54" s="11"/>
    </row>
    <row r="55" spans="2:6" ht="18" customHeight="1" x14ac:dyDescent="0.25">
      <c r="B55" s="11"/>
      <c r="C55" s="11"/>
      <c r="D55" s="11"/>
      <c r="E55" s="48"/>
      <c r="F55" s="11"/>
    </row>
    <row r="56" spans="2:6" ht="18" customHeight="1" x14ac:dyDescent="0.25">
      <c r="B56" s="11"/>
      <c r="C56" s="11"/>
      <c r="D56" s="11"/>
      <c r="E56" s="48"/>
      <c r="F56" s="11"/>
    </row>
    <row r="57" spans="2:6" ht="18" customHeight="1" x14ac:dyDescent="0.25">
      <c r="B57" s="11"/>
      <c r="C57" s="11"/>
      <c r="D57" s="11"/>
      <c r="E57" s="48"/>
      <c r="F57" s="11"/>
    </row>
    <row r="58" spans="2:6" ht="18" customHeight="1" x14ac:dyDescent="0.25">
      <c r="B58" s="11"/>
      <c r="C58" s="11"/>
      <c r="D58" s="11"/>
      <c r="E58" s="48"/>
      <c r="F58" s="11"/>
    </row>
    <row r="59" spans="2:6" ht="18" customHeight="1" x14ac:dyDescent="0.25">
      <c r="B59" s="11"/>
      <c r="C59" s="11"/>
      <c r="D59" s="11"/>
      <c r="E59" s="48"/>
      <c r="F59" s="11"/>
    </row>
    <row r="60" spans="2:6" ht="18" customHeight="1" x14ac:dyDescent="0.25">
      <c r="B60" s="11"/>
      <c r="C60" s="11"/>
      <c r="D60" s="11"/>
      <c r="E60" s="48"/>
      <c r="F60" s="11"/>
    </row>
    <row r="61" spans="2:6" ht="18" customHeight="1" x14ac:dyDescent="0.25">
      <c r="B61" s="11"/>
      <c r="C61" s="11"/>
      <c r="D61" s="11"/>
      <c r="E61" s="48"/>
      <c r="F61" s="11"/>
    </row>
    <row r="62" spans="2:6" ht="18" customHeight="1" x14ac:dyDescent="0.25">
      <c r="B62" s="11"/>
      <c r="C62" s="11"/>
      <c r="D62" s="11"/>
      <c r="E62" s="48"/>
      <c r="F62" s="11"/>
    </row>
    <row r="63" spans="2:6" ht="18" customHeight="1" x14ac:dyDescent="0.25">
      <c r="B63" s="11"/>
      <c r="C63" s="11"/>
      <c r="D63" s="11"/>
      <c r="E63" s="48"/>
      <c r="F63" s="11"/>
    </row>
    <row r="64" spans="2:6" ht="18" customHeight="1" x14ac:dyDescent="0.25">
      <c r="B64" s="11"/>
      <c r="C64" s="11"/>
      <c r="D64" s="11"/>
      <c r="E64" s="48"/>
      <c r="F64" s="11"/>
    </row>
    <row r="65" spans="2:6" ht="18" customHeight="1" x14ac:dyDescent="0.25">
      <c r="B65" s="11"/>
      <c r="C65" s="11"/>
      <c r="D65" s="11"/>
      <c r="E65" s="48"/>
      <c r="F65" s="11"/>
    </row>
    <row r="66" spans="2:6" ht="18" customHeight="1" x14ac:dyDescent="0.25">
      <c r="B66" s="11"/>
      <c r="C66" s="11"/>
      <c r="D66" s="11"/>
      <c r="E66" s="48"/>
      <c r="F66" s="11"/>
    </row>
    <row r="67" spans="2:6" ht="18" customHeight="1" x14ac:dyDescent="0.25">
      <c r="B67" s="11"/>
      <c r="C67" s="11"/>
      <c r="D67" s="11"/>
      <c r="E67" s="48"/>
      <c r="F67" s="11"/>
    </row>
    <row r="68" spans="2:6" ht="18" customHeight="1" x14ac:dyDescent="0.25">
      <c r="B68" s="11"/>
      <c r="C68" s="11"/>
      <c r="D68" s="11"/>
      <c r="E68" s="48"/>
      <c r="F68" s="11"/>
    </row>
    <row r="69" spans="2:6" ht="18" customHeight="1" x14ac:dyDescent="0.25">
      <c r="B69" s="11"/>
      <c r="C69" s="11"/>
      <c r="D69" s="11"/>
      <c r="E69" s="48"/>
      <c r="F69" s="11"/>
    </row>
    <row r="70" spans="2:6" ht="18" customHeight="1" x14ac:dyDescent="0.25">
      <c r="B70" s="11"/>
      <c r="C70" s="11"/>
      <c r="D70" s="11"/>
      <c r="E70" s="48"/>
      <c r="F70" s="11"/>
    </row>
  </sheetData>
  <mergeCells count="14">
    <mergeCell ref="A19:E19"/>
    <mergeCell ref="A1:I1"/>
    <mergeCell ref="B9:D9"/>
    <mergeCell ref="A15:D15"/>
    <mergeCell ref="A2:D2"/>
    <mergeCell ref="B6:D6"/>
    <mergeCell ref="A13:D13"/>
    <mergeCell ref="B10:D10"/>
    <mergeCell ref="B11:D11"/>
    <mergeCell ref="A17:D17"/>
    <mergeCell ref="B3:D3"/>
    <mergeCell ref="B5:D5"/>
    <mergeCell ref="A8:D8"/>
    <mergeCell ref="B4:D4"/>
  </mergeCells>
  <pageMargins left="0.75" right="0.75" top="1" bottom="1" header="0.511811023622047" footer="0.511811023622047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O10"/>
  <sheetViews>
    <sheetView zoomScaleNormal="100" workbookViewId="0">
      <selection sqref="A1:O1"/>
    </sheetView>
  </sheetViews>
  <sheetFormatPr defaultColWidth="8.7109375" defaultRowHeight="15" x14ac:dyDescent="0.25"/>
  <cols>
    <col min="1" max="1" width="30" customWidth="1"/>
    <col min="2" max="15" width="14" customWidth="1"/>
  </cols>
  <sheetData>
    <row r="1" spans="1:15" ht="31.5" customHeight="1" x14ac:dyDescent="0.25">
      <c r="A1" s="161" t="s">
        <v>392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</row>
    <row r="2" spans="1:15" ht="21.75" customHeight="1" x14ac:dyDescent="0.25">
      <c r="A2" s="49" t="s">
        <v>393</v>
      </c>
      <c r="B2" s="5" t="s">
        <v>394</v>
      </c>
      <c r="C2" s="5" t="s">
        <v>395</v>
      </c>
      <c r="D2" s="5" t="s">
        <v>396</v>
      </c>
      <c r="E2" s="5" t="s">
        <v>397</v>
      </c>
      <c r="F2" s="5" t="s">
        <v>152</v>
      </c>
      <c r="G2" s="5" t="s">
        <v>398</v>
      </c>
      <c r="H2" s="5" t="s">
        <v>399</v>
      </c>
      <c r="I2" s="5" t="s">
        <v>400</v>
      </c>
      <c r="J2" s="5" t="s">
        <v>401</v>
      </c>
      <c r="K2" s="5" t="s">
        <v>402</v>
      </c>
      <c r="L2" s="5" t="s">
        <v>403</v>
      </c>
      <c r="M2" s="5" t="s">
        <v>404</v>
      </c>
      <c r="N2" s="5" t="s">
        <v>405</v>
      </c>
    </row>
    <row r="3" spans="1:15" ht="19.5" customHeight="1" x14ac:dyDescent="0.25">
      <c r="A3" s="50" t="s">
        <v>406</v>
      </c>
      <c r="B3" s="2">
        <f>IFERROR(SUMPRODUCT((MONTH(Transactions!B$4:B$1003)=1)*(Transactions!E$4:E$1003="Savings Deposit")*Transactions!F$4:F$1003),0)</f>
        <v>0</v>
      </c>
      <c r="C3" s="2">
        <f>IFERROR(SUMPRODUCT((MONTH(Transactions!B$4:B$1003)=2)*(Transactions!E$4:E$1003="Savings Deposit")*Transactions!F$4:F$1003),0)</f>
        <v>0</v>
      </c>
      <c r="D3" s="2">
        <f>IFERROR(SUMPRODUCT((MONTH(Transactions!B$4:B$1003)=3)*(Transactions!E$4:E$1003="Savings Deposit")*Transactions!F$4:F$1003),0)</f>
        <v>0</v>
      </c>
      <c r="E3" s="2">
        <f>IFERROR(SUMPRODUCT((MONTH(Transactions!B$4:B$1003)=4)*(Transactions!E$4:E$1003="Savings Deposit")*Transactions!F$4:F$1003),0)</f>
        <v>0</v>
      </c>
      <c r="F3" s="2">
        <f>IFERROR(SUMPRODUCT((MONTH(Transactions!B$4:B$1003)=5)*(Transactions!E$4:E$1003="Savings Deposit")*Transactions!F$4:F$1003),0)</f>
        <v>0</v>
      </c>
      <c r="G3" s="2">
        <f>IFERROR(SUMPRODUCT((MONTH(Transactions!B$4:B$1003)=6)*(Transactions!E$4:E$1003="Savings Deposit")*Transactions!F$4:F$1003),0)</f>
        <v>0</v>
      </c>
      <c r="H3" s="2">
        <f>IFERROR(SUMPRODUCT((MONTH(Transactions!B$4:B$1003)=7)*(Transactions!E$4:E$1003="Savings Deposit")*Transactions!F$4:F$1003),0)</f>
        <v>0</v>
      </c>
      <c r="I3" s="2">
        <f>IFERROR(SUMPRODUCT((MONTH(Transactions!B$4:B$1003)=8)*(Transactions!E$4:E$1003="Savings Deposit")*Transactions!F$4:F$1003),0)</f>
        <v>0</v>
      </c>
      <c r="J3" s="2">
        <f>IFERROR(SUMPRODUCT((MONTH(Transactions!B$4:B$1003)=9)*(Transactions!E$4:E$1003="Savings Deposit")*Transactions!F$4:F$1003),0)</f>
        <v>0</v>
      </c>
      <c r="K3" s="2">
        <f>IFERROR(SUMPRODUCT((MONTH(Transactions!B$4:B$1003)=10)*(Transactions!E$4:E$1003="Savings Deposit")*Transactions!F$4:F$1003),0)</f>
        <v>0</v>
      </c>
      <c r="L3" s="2">
        <f>IFERROR(SUMPRODUCT((MONTH(Transactions!B$4:B$1003)=11)*(Transactions!E$4:E$1003="Savings Deposit")*Transactions!F$4:F$1003),0)</f>
        <v>0</v>
      </c>
      <c r="M3" s="2">
        <f>IFERROR(SUMPRODUCT((MONTH(Transactions!B$4:B$1003)=12)*(Transactions!E$4:E$1003="Savings Deposit")*Transactions!F$4:F$1003),0)</f>
        <v>0</v>
      </c>
      <c r="O3" s="2">
        <f t="shared" ref="O3:O9" si="0">SUM(B3:M3)</f>
        <v>0</v>
      </c>
    </row>
    <row r="4" spans="1:15" ht="19.5" customHeight="1" x14ac:dyDescent="0.25">
      <c r="A4" s="50" t="s">
        <v>407</v>
      </c>
      <c r="B4" s="2">
        <f>IFERROR(SUMPRODUCT((MONTH(Transactions!B$4:B$1003)=1)*(Transactions!E$4:E$1003="Loan Repayment")*Transactions!F$4:F$1003),0)</f>
        <v>0</v>
      </c>
      <c r="C4" s="2">
        <f>IFERROR(SUMPRODUCT((MONTH(Transactions!B$4:B$1003)=2)*(Transactions!E$4:E$1003="Loan Repayment")*Transactions!F$4:F$1003),0)</f>
        <v>0</v>
      </c>
      <c r="D4" s="2">
        <f>IFERROR(SUMPRODUCT((MONTH(Transactions!B$4:B$1003)=3)*(Transactions!E$4:E$1003="Loan Repayment")*Transactions!F$4:F$1003),0)</f>
        <v>0</v>
      </c>
      <c r="E4" s="2">
        <f>IFERROR(SUMPRODUCT((MONTH(Transactions!B$4:B$1003)=4)*(Transactions!E$4:E$1003="Loan Repayment")*Transactions!F$4:F$1003),0)</f>
        <v>0</v>
      </c>
      <c r="F4" s="2">
        <f>IFERROR(SUMPRODUCT((MONTH(Transactions!B$4:B$1003)=5)*(Transactions!E$4:E$1003="Loan Repayment")*Transactions!F$4:F$1003),0)</f>
        <v>0</v>
      </c>
      <c r="G4" s="2">
        <f>IFERROR(SUMPRODUCT((MONTH(Transactions!B$4:B$1003)=6)*(Transactions!E$4:E$1003="Loan Repayment")*Transactions!F$4:F$1003),0)</f>
        <v>0</v>
      </c>
      <c r="H4" s="2">
        <f>IFERROR(SUMPRODUCT((MONTH(Transactions!B$4:B$1003)=7)*(Transactions!E$4:E$1003="Loan Repayment")*Transactions!F$4:F$1003),0)</f>
        <v>0</v>
      </c>
      <c r="I4" s="2">
        <f>IFERROR(SUMPRODUCT((MONTH(Transactions!B$4:B$1003)=8)*(Transactions!E$4:E$1003="Loan Repayment")*Transactions!F$4:F$1003),0)</f>
        <v>0</v>
      </c>
      <c r="J4" s="2">
        <f>IFERROR(SUMPRODUCT((MONTH(Transactions!B$4:B$1003)=9)*(Transactions!E$4:E$1003="Loan Repayment")*Transactions!F$4:F$1003),0)</f>
        <v>0</v>
      </c>
      <c r="K4" s="2">
        <f>IFERROR(SUMPRODUCT((MONTH(Transactions!B$4:B$1003)=10)*(Transactions!E$4:E$1003="Loan Repayment")*Transactions!F$4:F$1003),0)</f>
        <v>0</v>
      </c>
      <c r="L4" s="2">
        <f>IFERROR(SUMPRODUCT((MONTH(Transactions!B$4:B$1003)=11)*(Transactions!E$4:E$1003="Loan Repayment")*Transactions!F$4:F$1003),0)</f>
        <v>0</v>
      </c>
      <c r="M4" s="2">
        <f>IFERROR(SUMPRODUCT((MONTH(Transactions!B$4:B$1003)=12)*(Transactions!E$4:E$1003="Loan Repayment")*Transactions!F$4:F$1003),0)</f>
        <v>0</v>
      </c>
      <c r="O4" s="2">
        <f t="shared" si="0"/>
        <v>0</v>
      </c>
    </row>
    <row r="5" spans="1:15" ht="19.5" customHeight="1" x14ac:dyDescent="0.25">
      <c r="A5" s="31" t="s">
        <v>408</v>
      </c>
      <c r="B5" s="25">
        <f>IFERROR(SUMPRODUCT((MONTH(Int_Repayments!H$4:H$1003)=1)*Int_Repayments!F$4:F$1003),0)</f>
        <v>0</v>
      </c>
      <c r="C5" s="25">
        <f>IFERROR(SUMPRODUCT((MONTH(Int_Repayments!H$4:H$1003)=2)*Int_Repayments!F$4:F$1003),0)</f>
        <v>0</v>
      </c>
      <c r="D5" s="25">
        <f>IFERROR(SUMPRODUCT((MONTH(Int_Repayments!H$4:H$1003)=3)*Int_Repayments!F$4:F$1003),0)</f>
        <v>0</v>
      </c>
      <c r="E5" s="25">
        <f>IFERROR(SUMPRODUCT((MONTH(Int_Repayments!H$4:H$1003)=4)*Int_Repayments!F$4:F$1003),0)</f>
        <v>0</v>
      </c>
      <c r="F5" s="25">
        <f>IFERROR(SUMPRODUCT((MONTH(Int_Repayments!H$4:H$1003)=5)*Int_Repayments!F$4:F$1003),0)</f>
        <v>0</v>
      </c>
      <c r="G5" s="25">
        <f>IFERROR(SUMPRODUCT((MONTH(Int_Repayments!H$4:H$1003)=6)*Int_Repayments!F$4:F$1003),0)</f>
        <v>0</v>
      </c>
      <c r="H5" s="25">
        <f>IFERROR(SUMPRODUCT((MONTH(Int_Repayments!H$4:H$1003)=7)*Int_Repayments!F$4:F$1003),0)</f>
        <v>0</v>
      </c>
      <c r="I5" s="25">
        <f>IFERROR(SUMPRODUCT((MONTH(Int_Repayments!H$4:H$1003)=8)*Int_Repayments!F$4:F$1003),0)</f>
        <v>0</v>
      </c>
      <c r="J5" s="25">
        <f>IFERROR(SUMPRODUCT((MONTH(Int_Repayments!H$4:H$1003)=9)*Int_Repayments!F$4:F$1003),0)</f>
        <v>0</v>
      </c>
      <c r="K5" s="25">
        <f>IFERROR(SUMPRODUCT((MONTH(Int_Repayments!H$4:H$1003)=10)*Int_Repayments!F$4:F$1003),0)</f>
        <v>0</v>
      </c>
      <c r="L5" s="25">
        <f>IFERROR(SUMPRODUCT((MONTH(Int_Repayments!H$4:H$1003)=11)*Int_Repayments!F$4:F$1003),0)</f>
        <v>0</v>
      </c>
      <c r="M5" s="25">
        <f>IFERROR(SUMPRODUCT((MONTH(Int_Repayments!H$4:H$1003)=12)*Int_Repayments!F$4:F$1003),0)</f>
        <v>0</v>
      </c>
      <c r="O5" s="25">
        <f t="shared" si="0"/>
        <v>0</v>
      </c>
    </row>
    <row r="6" spans="1:15" ht="19.5" customHeight="1" x14ac:dyDescent="0.25">
      <c r="A6" s="31" t="s">
        <v>409</v>
      </c>
      <c r="B6" s="25">
        <f>IFERROR(SUMPRODUCT((MONTH(Loans!D$4:D$1003)=1)*Loans!F$4:F$1003),0)</f>
        <v>0</v>
      </c>
      <c r="C6" s="25">
        <f>IFERROR(SUMPRODUCT((MONTH(Loans!D$4:D$1003)=2)*Loans!F$4:F$1003),0)</f>
        <v>0</v>
      </c>
      <c r="D6" s="25">
        <f>IFERROR(SUMPRODUCT((MONTH(Loans!D$4:D$1003)=3)*Loans!F$4:F$1003),0)</f>
        <v>0</v>
      </c>
      <c r="E6" s="25">
        <f>IFERROR(SUMPRODUCT((MONTH(Loans!D$4:D$1003)=4)*Loans!F$4:F$1003),0)</f>
        <v>0</v>
      </c>
      <c r="F6" s="25">
        <f>IFERROR(SUMPRODUCT((MONTH(Loans!D$4:D$1003)=5)*Loans!F$4:F$1003),0)</f>
        <v>0</v>
      </c>
      <c r="G6" s="25">
        <f>IFERROR(SUMPRODUCT((MONTH(Loans!D$4:D$1003)=6)*Loans!F$4:F$1003),0)</f>
        <v>0</v>
      </c>
      <c r="H6" s="25">
        <f>IFERROR(SUMPRODUCT((MONTH(Loans!D$4:D$1003)=7)*Loans!F$4:F$1003),0)</f>
        <v>0</v>
      </c>
      <c r="I6" s="25">
        <f>IFERROR(SUMPRODUCT((MONTH(Loans!D$4:D$1003)=8)*Loans!F$4:F$1003),0)</f>
        <v>0</v>
      </c>
      <c r="J6" s="25">
        <f>IFERROR(SUMPRODUCT((MONTH(Loans!D$4:D$1003)=9)*Loans!F$4:F$1003),0)</f>
        <v>0</v>
      </c>
      <c r="K6" s="25">
        <f>IFERROR(SUMPRODUCT((MONTH(Loans!D$4:D$1003)=10)*Loans!F$4:F$1003),0)</f>
        <v>0</v>
      </c>
      <c r="L6" s="25">
        <f>IFERROR(SUMPRODUCT((MONTH(Loans!D$4:D$1003)=11)*Loans!F$4:F$1003),0)</f>
        <v>0</v>
      </c>
      <c r="M6" s="25">
        <f>IFERROR(SUMPRODUCT((MONTH(Loans!D$4:D$1003)=12)*Loans!F$4:F$1003),0)</f>
        <v>0</v>
      </c>
      <c r="O6" s="25">
        <f t="shared" si="0"/>
        <v>0</v>
      </c>
    </row>
    <row r="7" spans="1:15" ht="19.5" customHeight="1" x14ac:dyDescent="0.25">
      <c r="A7" s="51" t="s">
        <v>410</v>
      </c>
      <c r="B7" s="26">
        <f>IFERROR(SUMPRODUCT((MONTH(Transactions!B$4:B$1003)=1)*(Transactions!E$4:E$1003="Loan Disbursement")*Transactions!F$4:F$1003),0)</f>
        <v>0</v>
      </c>
      <c r="C7" s="26">
        <f>IFERROR(SUMPRODUCT((MONTH(Transactions!B$4:B$1003)=2)*(Transactions!E$4:E$1003="Loan Disbursement")*Transactions!F$4:F$1003),0)</f>
        <v>0</v>
      </c>
      <c r="D7" s="26">
        <f>IFERROR(SUMPRODUCT((MONTH(Transactions!B$4:B$1003)=3)*(Transactions!E$4:E$1003="Loan Disbursement")*Transactions!F$4:F$1003),0)</f>
        <v>0</v>
      </c>
      <c r="E7" s="26">
        <f>IFERROR(SUMPRODUCT((MONTH(Transactions!B$4:B$1003)=4)*(Transactions!E$4:E$1003="Loan Disbursement")*Transactions!F$4:F$1003),0)</f>
        <v>0</v>
      </c>
      <c r="F7" s="26">
        <f>IFERROR(SUMPRODUCT((MONTH(Transactions!B$4:B$1003)=5)*(Transactions!E$4:E$1003="Loan Disbursement")*Transactions!F$4:F$1003),0)</f>
        <v>0</v>
      </c>
      <c r="G7" s="26">
        <f>IFERROR(SUMPRODUCT((MONTH(Transactions!B$4:B$1003)=6)*(Transactions!E$4:E$1003="Loan Disbursement")*Transactions!F$4:F$1003),0)</f>
        <v>0</v>
      </c>
      <c r="H7" s="26">
        <f>IFERROR(SUMPRODUCT((MONTH(Transactions!B$4:B$1003)=7)*(Transactions!E$4:E$1003="Loan Disbursement")*Transactions!F$4:F$1003),0)</f>
        <v>0</v>
      </c>
      <c r="I7" s="26">
        <f>IFERROR(SUMPRODUCT((MONTH(Transactions!B$4:B$1003)=8)*(Transactions!E$4:E$1003="Loan Disbursement")*Transactions!F$4:F$1003),0)</f>
        <v>0</v>
      </c>
      <c r="J7" s="26">
        <f>IFERROR(SUMPRODUCT((MONTH(Transactions!B$4:B$1003)=9)*(Transactions!E$4:E$1003="Loan Disbursement")*Transactions!F$4:F$1003),0)</f>
        <v>0</v>
      </c>
      <c r="K7" s="26">
        <f>IFERROR(SUMPRODUCT((MONTH(Transactions!B$4:B$1003)=10)*(Transactions!E$4:E$1003="Loan Disbursement")*Transactions!F$4:F$1003),0)</f>
        <v>0</v>
      </c>
      <c r="L7" s="26">
        <f>IFERROR(SUMPRODUCT((MONTH(Transactions!B$4:B$1003)=11)*(Transactions!E$4:E$1003="Loan Disbursement")*Transactions!F$4:F$1003),0)</f>
        <v>0</v>
      </c>
      <c r="M7" s="26">
        <f>IFERROR(SUMPRODUCT((MONTH(Transactions!B$4:B$1003)=12)*(Transactions!E$4:E$1003="Loan Disbursement")*Transactions!F$4:F$1003),0)</f>
        <v>0</v>
      </c>
      <c r="O7" s="26">
        <f t="shared" si="0"/>
        <v>0</v>
      </c>
    </row>
    <row r="8" spans="1:15" ht="19.5" customHeight="1" x14ac:dyDescent="0.25">
      <c r="A8" s="51" t="s">
        <v>411</v>
      </c>
      <c r="B8" s="26">
        <f>IFERROR(SUMPRODUCT((MONTH(Transactions!B$4:B$1003)=1)*(Transactions!E$4:E$1003="Withdrawal")*Transactions!F$4:F$1003),0)</f>
        <v>0</v>
      </c>
      <c r="C8" s="26">
        <f>IFERROR(SUMPRODUCT((MONTH(Transactions!B$4:B$1003)=2)*(Transactions!E$4:E$1003="Withdrawal")*Transactions!F$4:F$1003),0)</f>
        <v>0</v>
      </c>
      <c r="D8" s="26">
        <f>IFERROR(SUMPRODUCT((MONTH(Transactions!B$4:B$1003)=3)*(Transactions!E$4:E$1003="Withdrawal")*Transactions!F$4:F$1003),0)</f>
        <v>0</v>
      </c>
      <c r="E8" s="26">
        <f>IFERROR(SUMPRODUCT((MONTH(Transactions!B$4:B$1003)=4)*(Transactions!E$4:E$1003="Withdrawal")*Transactions!F$4:F$1003),0)</f>
        <v>0</v>
      </c>
      <c r="F8" s="26">
        <f>IFERROR(SUMPRODUCT((MONTH(Transactions!B$4:B$1003)=5)*(Transactions!E$4:E$1003="Withdrawal")*Transactions!F$4:F$1003),0)</f>
        <v>0</v>
      </c>
      <c r="G8" s="26">
        <f>IFERROR(SUMPRODUCT((MONTH(Transactions!B$4:B$1003)=6)*(Transactions!E$4:E$1003="Withdrawal")*Transactions!F$4:F$1003),0)</f>
        <v>0</v>
      </c>
      <c r="H8" s="26">
        <f>IFERROR(SUMPRODUCT((MONTH(Transactions!B$4:B$1003)=7)*(Transactions!E$4:E$1003="Withdrawal")*Transactions!F$4:F$1003),0)</f>
        <v>0</v>
      </c>
      <c r="I8" s="26">
        <f>IFERROR(SUMPRODUCT((MONTH(Transactions!B$4:B$1003)=8)*(Transactions!E$4:E$1003="Withdrawal")*Transactions!F$4:F$1003),0)</f>
        <v>0</v>
      </c>
      <c r="J8" s="26">
        <f>IFERROR(SUMPRODUCT((MONTH(Transactions!B$4:B$1003)=9)*(Transactions!E$4:E$1003="Withdrawal")*Transactions!F$4:F$1003),0)</f>
        <v>0</v>
      </c>
      <c r="K8" s="26">
        <f>IFERROR(SUMPRODUCT((MONTH(Transactions!B$4:B$1003)=10)*(Transactions!E$4:E$1003="Withdrawal")*Transactions!F$4:F$1003),0)</f>
        <v>0</v>
      </c>
      <c r="L8" s="26">
        <f>IFERROR(SUMPRODUCT((MONTH(Transactions!B$4:B$1003)=11)*(Transactions!E$4:E$1003="Withdrawal")*Transactions!F$4:F$1003),0)</f>
        <v>0</v>
      </c>
      <c r="M8" s="26">
        <f>IFERROR(SUMPRODUCT((MONTH(Transactions!B$4:B$1003)=12)*(Transactions!E$4:E$1003="Withdrawal")*Transactions!F$4:F$1003),0)</f>
        <v>0</v>
      </c>
      <c r="O8" s="26">
        <f t="shared" si="0"/>
        <v>0</v>
      </c>
    </row>
    <row r="9" spans="1:15" ht="19.5" customHeight="1" x14ac:dyDescent="0.25">
      <c r="A9" s="51" t="s">
        <v>412</v>
      </c>
      <c r="B9" s="26">
        <f>IFERROR(SUM(Income_Expenses!E41:E41),0)</f>
        <v>0</v>
      </c>
      <c r="C9" s="26">
        <f>IFERROR(SUM(Income_Expenses!E41:E41),0)</f>
        <v>0</v>
      </c>
      <c r="D9" s="26">
        <f>IFERROR(SUM(Income_Expenses!E41:E41),0)</f>
        <v>0</v>
      </c>
      <c r="E9" s="26">
        <f>IFERROR(SUM(Income_Expenses!E41:E41),0)</f>
        <v>0</v>
      </c>
      <c r="F9" s="26">
        <f>IFERROR(SUM(Income_Expenses!E41:E41),0)</f>
        <v>0</v>
      </c>
      <c r="G9" s="26">
        <f>IFERROR(SUM(Income_Expenses!E41:E41),0)</f>
        <v>0</v>
      </c>
      <c r="H9" s="26">
        <f>IFERROR(SUM(Income_Expenses!E41:E41),0)</f>
        <v>0</v>
      </c>
      <c r="I9" s="26">
        <f>IFERROR(SUM(Income_Expenses!E41:E41),0)</f>
        <v>0</v>
      </c>
      <c r="J9" s="26">
        <f>IFERROR(SUM(Income_Expenses!E41:E41),0)</f>
        <v>0</v>
      </c>
      <c r="K9" s="26">
        <f>IFERROR(SUM(Income_Expenses!E41:E41),0)</f>
        <v>0</v>
      </c>
      <c r="L9" s="26">
        <f>IFERROR(SUM(Income_Expenses!E41:E41),0)</f>
        <v>0</v>
      </c>
      <c r="M9" s="26">
        <f>IFERROR(SUM(Income_Expenses!E41:E41),0)</f>
        <v>0</v>
      </c>
      <c r="O9" s="26">
        <f t="shared" si="0"/>
        <v>0</v>
      </c>
    </row>
    <row r="10" spans="1:15" ht="25.5" customHeight="1" x14ac:dyDescent="0.25">
      <c r="A10" s="52" t="s">
        <v>413</v>
      </c>
      <c r="B10" s="53">
        <f t="shared" ref="B10:O10" si="1">IFERROR((B3+B4+B5+B6)-(B7+B8+B9),0)</f>
        <v>0</v>
      </c>
      <c r="C10" s="53">
        <f t="shared" si="1"/>
        <v>0</v>
      </c>
      <c r="D10" s="53">
        <f t="shared" si="1"/>
        <v>0</v>
      </c>
      <c r="E10" s="53">
        <f t="shared" si="1"/>
        <v>0</v>
      </c>
      <c r="F10" s="53">
        <f t="shared" si="1"/>
        <v>0</v>
      </c>
      <c r="G10" s="53">
        <f t="shared" si="1"/>
        <v>0</v>
      </c>
      <c r="H10" s="53">
        <f t="shared" si="1"/>
        <v>0</v>
      </c>
      <c r="I10" s="53">
        <f t="shared" si="1"/>
        <v>0</v>
      </c>
      <c r="J10" s="53">
        <f t="shared" si="1"/>
        <v>0</v>
      </c>
      <c r="K10" s="53">
        <f t="shared" si="1"/>
        <v>0</v>
      </c>
      <c r="L10" s="53">
        <f t="shared" si="1"/>
        <v>0</v>
      </c>
      <c r="M10" s="53">
        <f t="shared" si="1"/>
        <v>0</v>
      </c>
      <c r="N10" s="53">
        <f t="shared" si="1"/>
        <v>0</v>
      </c>
      <c r="O10" s="53">
        <f t="shared" si="1"/>
        <v>0</v>
      </c>
    </row>
  </sheetData>
  <mergeCells count="1">
    <mergeCell ref="A1:O1"/>
  </mergeCells>
  <pageMargins left="0.75" right="0.75" top="1" bottom="1" header="0.511811023622047" footer="0.511811023622047"/>
  <pageSetup paperSize="9" orientation="portrait" horizontalDpi="3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L16"/>
  <sheetViews>
    <sheetView zoomScaleNormal="100" workbookViewId="0"/>
  </sheetViews>
  <sheetFormatPr defaultColWidth="8.7109375" defaultRowHeight="15" x14ac:dyDescent="0.25"/>
  <cols>
    <col min="1" max="1" width="13" customWidth="1"/>
    <col min="2" max="2" width="14" customWidth="1"/>
    <col min="3" max="4" width="18" customWidth="1"/>
    <col min="5" max="7" width="16" customWidth="1"/>
    <col min="8" max="8" width="18" customWidth="1"/>
    <col min="9" max="10" width="16" customWidth="1"/>
  </cols>
  <sheetData>
    <row r="1" spans="1:12" ht="31.5" customHeight="1" x14ac:dyDescent="0.25">
      <c r="A1" s="161" t="s">
        <v>414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</row>
    <row r="2" spans="1:12" ht="21.75" customHeight="1" x14ac:dyDescent="0.25">
      <c r="A2" s="3" t="s">
        <v>415</v>
      </c>
      <c r="B2" s="54">
        <f ca="1">YEAR(TODAY())</f>
        <v>2026</v>
      </c>
      <c r="D2" s="3" t="s">
        <v>416</v>
      </c>
      <c r="E2" s="54">
        <f ca="1">MONTH(TODAY())</f>
        <v>4</v>
      </c>
    </row>
    <row r="3" spans="1:12" ht="24" customHeight="1" x14ac:dyDescent="0.25">
      <c r="A3" s="176" t="s">
        <v>417</v>
      </c>
      <c r="B3" s="162"/>
      <c r="C3" s="162"/>
      <c r="D3" s="162"/>
      <c r="E3" s="162"/>
      <c r="F3" s="162"/>
      <c r="G3" s="162"/>
      <c r="H3" s="162"/>
      <c r="I3" s="162"/>
      <c r="J3" s="162"/>
    </row>
    <row r="4" spans="1:12" ht="24" customHeight="1" x14ac:dyDescent="0.25">
      <c r="A4" s="1" t="s">
        <v>147</v>
      </c>
      <c r="B4" s="1" t="s">
        <v>418</v>
      </c>
      <c r="C4" s="1" t="s">
        <v>419</v>
      </c>
      <c r="D4" s="1" t="s">
        <v>384</v>
      </c>
      <c r="E4" s="1" t="s">
        <v>420</v>
      </c>
      <c r="F4" s="1" t="s">
        <v>421</v>
      </c>
      <c r="G4" s="1" t="s">
        <v>422</v>
      </c>
      <c r="H4" s="1" t="s">
        <v>423</v>
      </c>
      <c r="I4" s="1" t="s">
        <v>424</v>
      </c>
      <c r="J4" s="1" t="s">
        <v>425</v>
      </c>
    </row>
    <row r="5" spans="1:12" ht="18" customHeight="1" x14ac:dyDescent="0.25">
      <c r="A5" s="55" t="s">
        <v>148</v>
      </c>
      <c r="B5" s="21">
        <f ca="1">IFERROR(COUNTIFS(Members!I4:I103,"&gt;="&amp;DATE($B$2,1,1),Members!I4:I103,"&lt;"&amp;DATE($B$2,2,IF(1&lt;12,1,1))),0)</f>
        <v>0</v>
      </c>
      <c r="C5" s="2">
        <f ca="1">IFERROR(SUMPRODUCT((MONTH(Transactions!B$4:B$1003)=1)*(YEAR(Transactions!B$4:B$1003)=$B$2)*(Transactions!E$4:E$1003="Savings Deposit")*Transactions!F$4:F$1003),0)</f>
        <v>0</v>
      </c>
      <c r="D5" s="26">
        <f ca="1">IFERROR(SUMPRODUCT((MONTH(Transactions!B$4:B$1003)=1)*(YEAR(Transactions!B$4:B$1003)=$B$2)*(Transactions!E$4:E$1003="Withdrawal")*Transactions!F$4:F$1003),0)</f>
        <v>0</v>
      </c>
      <c r="E5" s="26">
        <f ca="1">IFERROR(SUMPRODUCT((MONTH(Loans!D$4:D$1003)=1)*(YEAR(Loans!D$4:D$1003)=$B$2)*Loans!E$4:E$1003),0)</f>
        <v>0</v>
      </c>
      <c r="F5" s="25">
        <f ca="1">IFERROR(SUMPRODUCT((MONTH(Transactions!B$4:B$1003)=1)*(YEAR(Transactions!B$4:B$1003)=$B$2)*(Transactions!E$4:E$1003="Loan Repayment")*Transactions!F$4:F$1003),0)</f>
        <v>0</v>
      </c>
      <c r="G5" s="25">
        <f ca="1">IFERROR(SUMPRODUCT((MONTH(Int_Repayments!H$4:H$1003)=1)*(YEAR(Int_Repayments!H$4:H$1003)=$B$2)*Int_Repayments!F$4:F$1003),0)</f>
        <v>0</v>
      </c>
      <c r="H5" s="21">
        <f>IFERROR(Config!B7,0)</f>
        <v>-1000</v>
      </c>
      <c r="I5" s="24">
        <f ca="1">IFERROR(SUMIFS(Arrears_Tracker!K$3:K$102,Arrears_Tracker!J$3:J$102,"🟡 PAR30"),0)</f>
        <v>0</v>
      </c>
      <c r="J5" s="56">
        <f t="shared" ref="J5:J16" ca="1" si="0">IFERROR(C5-D5-E5+F5+G5,0)</f>
        <v>0</v>
      </c>
    </row>
    <row r="6" spans="1:12" ht="18" customHeight="1" x14ac:dyDescent="0.25">
      <c r="A6" s="55" t="s">
        <v>149</v>
      </c>
      <c r="B6" s="21">
        <f ca="1">IFERROR(COUNTIFS(Members!I4:I103,"&gt;="&amp;DATE($B$2,2,1),Members!I4:I103,"&lt;"&amp;DATE($B$2,3,IF(2&lt;12,1,1))),0)</f>
        <v>0</v>
      </c>
      <c r="C6" s="2">
        <f ca="1">IFERROR(SUMPRODUCT((MONTH(Transactions!B$4:B$1003)=2)*(YEAR(Transactions!B$4:B$1003)=$B$2)*(Transactions!E$4:E$1003="Savings Deposit")*Transactions!F$4:F$1003),0)</f>
        <v>0</v>
      </c>
      <c r="D6" s="26">
        <f ca="1">IFERROR(SUMPRODUCT((MONTH(Transactions!B$4:B$1003)=2)*(YEAR(Transactions!B$4:B$1003)=$B$2)*(Transactions!E$4:E$1003="Withdrawal")*Transactions!F$4:F$1003),0)</f>
        <v>0</v>
      </c>
      <c r="E6" s="26">
        <f ca="1">IFERROR(SUMPRODUCT((MONTH(Loans!D$4:D$1003)=2)*(YEAR(Loans!D$4:D$1003)=$B$2)*Loans!E$4:E$1003),0)</f>
        <v>0</v>
      </c>
      <c r="F6" s="25">
        <f ca="1">IFERROR(SUMPRODUCT((MONTH(Transactions!B$4:B$1003)=2)*(YEAR(Transactions!B$4:B$1003)=$B$2)*(Transactions!E$4:E$1003="Loan Repayment")*Transactions!F$4:F$1003),0)</f>
        <v>0</v>
      </c>
      <c r="G6" s="25">
        <f ca="1">IFERROR(SUMPRODUCT((MONTH(Int_Repayments!H$4:H$1003)=2)*(YEAR(Int_Repayments!H$4:H$1003)=$B$2)*Int_Repayments!F$4:F$1003),0)</f>
        <v>0</v>
      </c>
      <c r="H6" s="21">
        <f>IFERROR(Config!B7,0)</f>
        <v>-1000</v>
      </c>
      <c r="I6" s="24">
        <f ca="1">IFERROR(SUMIFS(Arrears_Tracker!K$3:K$102,Arrears_Tracker!J$3:J$102,"🟡 PAR30"),0)</f>
        <v>0</v>
      </c>
      <c r="J6" s="56">
        <f t="shared" ca="1" si="0"/>
        <v>0</v>
      </c>
    </row>
    <row r="7" spans="1:12" ht="18" customHeight="1" x14ac:dyDescent="0.25">
      <c r="A7" s="55" t="s">
        <v>150</v>
      </c>
      <c r="B7" s="21">
        <f ca="1">IFERROR(COUNTIFS(Members!I4:I103,"&gt;="&amp;DATE($B$2,3,1),Members!I4:I103,"&lt;"&amp;DATE($B$2,4,IF(3&lt;12,1,1))),0)</f>
        <v>0</v>
      </c>
      <c r="C7" s="2">
        <f ca="1">IFERROR(SUMPRODUCT((MONTH(Transactions!B$4:B$1003)=3)*(YEAR(Transactions!B$4:B$1003)=$B$2)*(Transactions!E$4:E$1003="Savings Deposit")*Transactions!F$4:F$1003),0)</f>
        <v>0</v>
      </c>
      <c r="D7" s="26">
        <f ca="1">IFERROR(SUMPRODUCT((MONTH(Transactions!B$4:B$1003)=3)*(YEAR(Transactions!B$4:B$1003)=$B$2)*(Transactions!E$4:E$1003="Withdrawal")*Transactions!F$4:F$1003),0)</f>
        <v>0</v>
      </c>
      <c r="E7" s="26">
        <f ca="1">IFERROR(SUMPRODUCT((MONTH(Loans!D$4:D$1003)=3)*(YEAR(Loans!D$4:D$1003)=$B$2)*Loans!E$4:E$1003),0)</f>
        <v>0</v>
      </c>
      <c r="F7" s="25">
        <f ca="1">IFERROR(SUMPRODUCT((MONTH(Transactions!B$4:B$1003)=3)*(YEAR(Transactions!B$4:B$1003)=$B$2)*(Transactions!E$4:E$1003="Loan Repayment")*Transactions!F$4:F$1003),0)</f>
        <v>0</v>
      </c>
      <c r="G7" s="25">
        <f ca="1">IFERROR(SUMPRODUCT((MONTH(Int_Repayments!H$4:H$1003)=3)*(YEAR(Int_Repayments!H$4:H$1003)=$B$2)*Int_Repayments!F$4:F$1003),0)</f>
        <v>0</v>
      </c>
      <c r="H7" s="21">
        <f>IFERROR(Config!B7,0)</f>
        <v>-1000</v>
      </c>
      <c r="I7" s="24">
        <f ca="1">IFERROR(SUMIFS(Arrears_Tracker!K$3:K$102,Arrears_Tracker!J$3:J$102,"🟡 PAR30"),0)</f>
        <v>0</v>
      </c>
      <c r="J7" s="56">
        <f t="shared" ca="1" si="0"/>
        <v>0</v>
      </c>
    </row>
    <row r="8" spans="1:12" ht="18" customHeight="1" x14ac:dyDescent="0.25">
      <c r="A8" s="55" t="s">
        <v>151</v>
      </c>
      <c r="B8" s="21">
        <f ca="1">IFERROR(COUNTIFS(Members!I4:I103,"&gt;="&amp;DATE($B$2,4,1),Members!I4:I103,"&lt;"&amp;DATE($B$2,5,IF(4&lt;12,1,1))),0)</f>
        <v>0</v>
      </c>
      <c r="C8" s="2">
        <f ca="1">IFERROR(SUMPRODUCT((MONTH(Transactions!B$4:B$1003)=4)*(YEAR(Transactions!B$4:B$1003)=$B$2)*(Transactions!E$4:E$1003="Savings Deposit")*Transactions!F$4:F$1003),0)</f>
        <v>0</v>
      </c>
      <c r="D8" s="26">
        <f ca="1">IFERROR(SUMPRODUCT((MONTH(Transactions!B$4:B$1003)=4)*(YEAR(Transactions!B$4:B$1003)=$B$2)*(Transactions!E$4:E$1003="Withdrawal")*Transactions!F$4:F$1003),0)</f>
        <v>0</v>
      </c>
      <c r="E8" s="26">
        <f ca="1">IFERROR(SUMPRODUCT((MONTH(Loans!D$4:D$1003)=4)*(YEAR(Loans!D$4:D$1003)=$B$2)*Loans!E$4:E$1003),0)</f>
        <v>0</v>
      </c>
      <c r="F8" s="25">
        <f ca="1">IFERROR(SUMPRODUCT((MONTH(Transactions!B$4:B$1003)=4)*(YEAR(Transactions!B$4:B$1003)=$B$2)*(Transactions!E$4:E$1003="Loan Repayment")*Transactions!F$4:F$1003),0)</f>
        <v>0</v>
      </c>
      <c r="G8" s="25">
        <f ca="1">IFERROR(SUMPRODUCT((MONTH(Int_Repayments!H$4:H$1003)=4)*(YEAR(Int_Repayments!H$4:H$1003)=$B$2)*Int_Repayments!F$4:F$1003),0)</f>
        <v>0</v>
      </c>
      <c r="H8" s="21">
        <f>IFERROR(Config!B7,0)</f>
        <v>-1000</v>
      </c>
      <c r="I8" s="24">
        <f ca="1">IFERROR(SUMIFS(Arrears_Tracker!K$3:K$102,Arrears_Tracker!J$3:J$102,"🟡 PAR30"),0)</f>
        <v>0</v>
      </c>
      <c r="J8" s="56">
        <f t="shared" ca="1" si="0"/>
        <v>0</v>
      </c>
    </row>
    <row r="9" spans="1:12" ht="18" customHeight="1" x14ac:dyDescent="0.25">
      <c r="A9" s="55" t="s">
        <v>152</v>
      </c>
      <c r="B9" s="21">
        <f ca="1">IFERROR(COUNTIFS(Members!I4:I103,"&gt;="&amp;DATE($B$2,5,1),Members!I4:I103,"&lt;"&amp;DATE($B$2,6,IF(5&lt;12,1,1))),0)</f>
        <v>0</v>
      </c>
      <c r="C9" s="2">
        <f ca="1">IFERROR(SUMPRODUCT((MONTH(Transactions!B$4:B$1003)=5)*(YEAR(Transactions!B$4:B$1003)=$B$2)*(Transactions!E$4:E$1003="Savings Deposit")*Transactions!F$4:F$1003),0)</f>
        <v>0</v>
      </c>
      <c r="D9" s="26">
        <f ca="1">IFERROR(SUMPRODUCT((MONTH(Transactions!B$4:B$1003)=5)*(YEAR(Transactions!B$4:B$1003)=$B$2)*(Transactions!E$4:E$1003="Withdrawal")*Transactions!F$4:F$1003),0)</f>
        <v>0</v>
      </c>
      <c r="E9" s="26">
        <f ca="1">IFERROR(SUMPRODUCT((MONTH(Loans!D$4:D$1003)=5)*(YEAR(Loans!D$4:D$1003)=$B$2)*Loans!E$4:E$1003),0)</f>
        <v>0</v>
      </c>
      <c r="F9" s="25">
        <f ca="1">IFERROR(SUMPRODUCT((MONTH(Transactions!B$4:B$1003)=5)*(YEAR(Transactions!B$4:B$1003)=$B$2)*(Transactions!E$4:E$1003="Loan Repayment")*Transactions!F$4:F$1003),0)</f>
        <v>0</v>
      </c>
      <c r="G9" s="25">
        <f ca="1">IFERROR(SUMPRODUCT((MONTH(Int_Repayments!H$4:H$1003)=5)*(YEAR(Int_Repayments!H$4:H$1003)=$B$2)*Int_Repayments!F$4:F$1003),0)</f>
        <v>0</v>
      </c>
      <c r="H9" s="21">
        <f>IFERROR(Config!B7,0)</f>
        <v>-1000</v>
      </c>
      <c r="I9" s="24">
        <f ca="1">IFERROR(SUMIFS(Arrears_Tracker!K$3:K$102,Arrears_Tracker!J$3:J$102,"🟡 PAR30"),0)</f>
        <v>0</v>
      </c>
      <c r="J9" s="56">
        <f t="shared" ca="1" si="0"/>
        <v>0</v>
      </c>
    </row>
    <row r="10" spans="1:12" ht="18" customHeight="1" x14ac:dyDescent="0.25">
      <c r="A10" s="55" t="s">
        <v>153</v>
      </c>
      <c r="B10" s="21">
        <f ca="1">IFERROR(COUNTIFS(Members!I4:I103,"&gt;="&amp;DATE($B$2,6,1),Members!I4:I103,"&lt;"&amp;DATE($B$2,7,IF(6&lt;12,1,1))),0)</f>
        <v>0</v>
      </c>
      <c r="C10" s="2">
        <f ca="1">IFERROR(SUMPRODUCT((MONTH(Transactions!B$4:B$1003)=6)*(YEAR(Transactions!B$4:B$1003)=$B$2)*(Transactions!E$4:E$1003="Savings Deposit")*Transactions!F$4:F$1003),0)</f>
        <v>0</v>
      </c>
      <c r="D10" s="26">
        <f ca="1">IFERROR(SUMPRODUCT((MONTH(Transactions!B$4:B$1003)=6)*(YEAR(Transactions!B$4:B$1003)=$B$2)*(Transactions!E$4:E$1003="Withdrawal")*Transactions!F$4:F$1003),0)</f>
        <v>0</v>
      </c>
      <c r="E10" s="26">
        <f ca="1">IFERROR(SUMPRODUCT((MONTH(Loans!D$4:D$1003)=6)*(YEAR(Loans!D$4:D$1003)=$B$2)*Loans!E$4:E$1003),0)</f>
        <v>0</v>
      </c>
      <c r="F10" s="25">
        <f ca="1">IFERROR(SUMPRODUCT((MONTH(Transactions!B$4:B$1003)=6)*(YEAR(Transactions!B$4:B$1003)=$B$2)*(Transactions!E$4:E$1003="Loan Repayment")*Transactions!F$4:F$1003),0)</f>
        <v>0</v>
      </c>
      <c r="G10" s="25">
        <f ca="1">IFERROR(SUMPRODUCT((MONTH(Int_Repayments!H$4:H$1003)=6)*(YEAR(Int_Repayments!H$4:H$1003)=$B$2)*Int_Repayments!F$4:F$1003),0)</f>
        <v>0</v>
      </c>
      <c r="H10" s="21">
        <f>IFERROR(Config!B7,0)</f>
        <v>-1000</v>
      </c>
      <c r="I10" s="24">
        <f ca="1">IFERROR(SUMIFS(Arrears_Tracker!K$3:K$102,Arrears_Tracker!J$3:J$102,"🟡 PAR30"),0)</f>
        <v>0</v>
      </c>
      <c r="J10" s="56">
        <f t="shared" ca="1" si="0"/>
        <v>0</v>
      </c>
    </row>
    <row r="11" spans="1:12" ht="18" customHeight="1" x14ac:dyDescent="0.25">
      <c r="A11" s="55" t="s">
        <v>154</v>
      </c>
      <c r="B11" s="21">
        <f ca="1">IFERROR(COUNTIFS(Members!I4:I103,"&gt;="&amp;DATE($B$2,7,1),Members!I4:I103,"&lt;"&amp;DATE($B$2,8,IF(7&lt;12,1,1))),0)</f>
        <v>0</v>
      </c>
      <c r="C11" s="2">
        <f ca="1">IFERROR(SUMPRODUCT((MONTH(Transactions!B$4:B$1003)=7)*(YEAR(Transactions!B$4:B$1003)=$B$2)*(Transactions!E$4:E$1003="Savings Deposit")*Transactions!F$4:F$1003),0)</f>
        <v>0</v>
      </c>
      <c r="D11" s="26">
        <f ca="1">IFERROR(SUMPRODUCT((MONTH(Transactions!B$4:B$1003)=7)*(YEAR(Transactions!B$4:B$1003)=$B$2)*(Transactions!E$4:E$1003="Withdrawal")*Transactions!F$4:F$1003),0)</f>
        <v>0</v>
      </c>
      <c r="E11" s="26">
        <f ca="1">IFERROR(SUMPRODUCT((MONTH(Loans!D$4:D$1003)=7)*(YEAR(Loans!D$4:D$1003)=$B$2)*Loans!E$4:E$1003),0)</f>
        <v>0</v>
      </c>
      <c r="F11" s="25">
        <f ca="1">IFERROR(SUMPRODUCT((MONTH(Transactions!B$4:B$1003)=7)*(YEAR(Transactions!B$4:B$1003)=$B$2)*(Transactions!E$4:E$1003="Loan Repayment")*Transactions!F$4:F$1003),0)</f>
        <v>0</v>
      </c>
      <c r="G11" s="25">
        <f ca="1">IFERROR(SUMPRODUCT((MONTH(Int_Repayments!H$4:H$1003)=7)*(YEAR(Int_Repayments!H$4:H$1003)=$B$2)*Int_Repayments!F$4:F$1003),0)</f>
        <v>0</v>
      </c>
      <c r="H11" s="21">
        <f>IFERROR(Config!B7,0)</f>
        <v>-1000</v>
      </c>
      <c r="I11" s="24">
        <f ca="1">IFERROR(SUMIFS(Arrears_Tracker!K$3:K$102,Arrears_Tracker!J$3:J$102,"🟡 PAR30"),0)</f>
        <v>0</v>
      </c>
      <c r="J11" s="56">
        <f t="shared" ca="1" si="0"/>
        <v>0</v>
      </c>
    </row>
    <row r="12" spans="1:12" ht="18" customHeight="1" x14ac:dyDescent="0.25">
      <c r="A12" s="55" t="s">
        <v>155</v>
      </c>
      <c r="B12" s="21">
        <f ca="1">IFERROR(COUNTIFS(Members!I4:I103,"&gt;="&amp;DATE($B$2,8,1),Members!I4:I103,"&lt;"&amp;DATE($B$2,9,IF(8&lt;12,1,1))),0)</f>
        <v>0</v>
      </c>
      <c r="C12" s="2">
        <f ca="1">IFERROR(SUMPRODUCT((MONTH(Transactions!B$4:B$1003)=8)*(YEAR(Transactions!B$4:B$1003)=$B$2)*(Transactions!E$4:E$1003="Savings Deposit")*Transactions!F$4:F$1003),0)</f>
        <v>0</v>
      </c>
      <c r="D12" s="26">
        <f ca="1">IFERROR(SUMPRODUCT((MONTH(Transactions!B$4:B$1003)=8)*(YEAR(Transactions!B$4:B$1003)=$B$2)*(Transactions!E$4:E$1003="Withdrawal")*Transactions!F$4:F$1003),0)</f>
        <v>0</v>
      </c>
      <c r="E12" s="26">
        <f ca="1">IFERROR(SUMPRODUCT((MONTH(Loans!D$4:D$1003)=8)*(YEAR(Loans!D$4:D$1003)=$B$2)*Loans!E$4:E$1003),0)</f>
        <v>0</v>
      </c>
      <c r="F12" s="25">
        <f ca="1">IFERROR(SUMPRODUCT((MONTH(Transactions!B$4:B$1003)=8)*(YEAR(Transactions!B$4:B$1003)=$B$2)*(Transactions!E$4:E$1003="Loan Repayment")*Transactions!F$4:F$1003),0)</f>
        <v>0</v>
      </c>
      <c r="G12" s="25">
        <f ca="1">IFERROR(SUMPRODUCT((MONTH(Int_Repayments!H$4:H$1003)=8)*(YEAR(Int_Repayments!H$4:H$1003)=$B$2)*Int_Repayments!F$4:F$1003),0)</f>
        <v>0</v>
      </c>
      <c r="H12" s="21">
        <f>IFERROR(Config!B7,0)</f>
        <v>-1000</v>
      </c>
      <c r="I12" s="24">
        <f ca="1">IFERROR(SUMIFS(Arrears_Tracker!K$3:K$102,Arrears_Tracker!J$3:J$102,"🟡 PAR30"),0)</f>
        <v>0</v>
      </c>
      <c r="J12" s="56">
        <f t="shared" ca="1" si="0"/>
        <v>0</v>
      </c>
    </row>
    <row r="13" spans="1:12" ht="18" customHeight="1" x14ac:dyDescent="0.25">
      <c r="A13" s="55" t="s">
        <v>156</v>
      </c>
      <c r="B13" s="21">
        <f ca="1">IFERROR(COUNTIFS(Members!I4:I103,"&gt;="&amp;DATE($B$2,9,1),Members!I4:I103,"&lt;"&amp;DATE($B$2,10,IF(9&lt;12,1,1))),0)</f>
        <v>0</v>
      </c>
      <c r="C13" s="2">
        <f ca="1">IFERROR(SUMPRODUCT((MONTH(Transactions!B$4:B$1003)=9)*(YEAR(Transactions!B$4:B$1003)=$B$2)*(Transactions!E$4:E$1003="Savings Deposit")*Transactions!F$4:F$1003),0)</f>
        <v>0</v>
      </c>
      <c r="D13" s="26">
        <f ca="1">IFERROR(SUMPRODUCT((MONTH(Transactions!B$4:B$1003)=9)*(YEAR(Transactions!B$4:B$1003)=$B$2)*(Transactions!E$4:E$1003="Withdrawal")*Transactions!F$4:F$1003),0)</f>
        <v>0</v>
      </c>
      <c r="E13" s="26">
        <f ca="1">IFERROR(SUMPRODUCT((MONTH(Loans!D$4:D$1003)=9)*(YEAR(Loans!D$4:D$1003)=$B$2)*Loans!E$4:E$1003),0)</f>
        <v>0</v>
      </c>
      <c r="F13" s="25">
        <f ca="1">IFERROR(SUMPRODUCT((MONTH(Transactions!B$4:B$1003)=9)*(YEAR(Transactions!B$4:B$1003)=$B$2)*(Transactions!E$4:E$1003="Loan Repayment")*Transactions!F$4:F$1003),0)</f>
        <v>0</v>
      </c>
      <c r="G13" s="25">
        <f ca="1">IFERROR(SUMPRODUCT((MONTH(Int_Repayments!H$4:H$1003)=9)*(YEAR(Int_Repayments!H$4:H$1003)=$B$2)*Int_Repayments!F$4:F$1003),0)</f>
        <v>0</v>
      </c>
      <c r="H13" s="21">
        <f>IFERROR(Config!B7,0)</f>
        <v>-1000</v>
      </c>
      <c r="I13" s="24">
        <f ca="1">IFERROR(SUMIFS(Arrears_Tracker!K$3:K$102,Arrears_Tracker!J$3:J$102,"🟡 PAR30"),0)</f>
        <v>0</v>
      </c>
      <c r="J13" s="56">
        <f t="shared" ca="1" si="0"/>
        <v>0</v>
      </c>
    </row>
    <row r="14" spans="1:12" ht="18" customHeight="1" x14ac:dyDescent="0.25">
      <c r="A14" s="55" t="s">
        <v>157</v>
      </c>
      <c r="B14" s="21">
        <f ca="1">IFERROR(COUNTIFS(Members!I4:I103,"&gt;="&amp;DATE($B$2,10,1),Members!I4:I103,"&lt;"&amp;DATE($B$2,11,IF(10&lt;12,1,1))),0)</f>
        <v>0</v>
      </c>
      <c r="C14" s="2">
        <f ca="1">IFERROR(SUMPRODUCT((MONTH(Transactions!B$4:B$1003)=10)*(YEAR(Transactions!B$4:B$1003)=$B$2)*(Transactions!E$4:E$1003="Savings Deposit")*Transactions!F$4:F$1003),0)</f>
        <v>0</v>
      </c>
      <c r="D14" s="26">
        <f ca="1">IFERROR(SUMPRODUCT((MONTH(Transactions!B$4:B$1003)=10)*(YEAR(Transactions!B$4:B$1003)=$B$2)*(Transactions!E$4:E$1003="Withdrawal")*Transactions!F$4:F$1003),0)</f>
        <v>0</v>
      </c>
      <c r="E14" s="26">
        <f ca="1">IFERROR(SUMPRODUCT((MONTH(Loans!D$4:D$1003)=10)*(YEAR(Loans!D$4:D$1003)=$B$2)*Loans!E$4:E$1003),0)</f>
        <v>0</v>
      </c>
      <c r="F14" s="25">
        <f ca="1">IFERROR(SUMPRODUCT((MONTH(Transactions!B$4:B$1003)=10)*(YEAR(Transactions!B$4:B$1003)=$B$2)*(Transactions!E$4:E$1003="Loan Repayment")*Transactions!F$4:F$1003),0)</f>
        <v>0</v>
      </c>
      <c r="G14" s="25">
        <f ca="1">IFERROR(SUMPRODUCT((MONTH(Int_Repayments!H$4:H$1003)=10)*(YEAR(Int_Repayments!H$4:H$1003)=$B$2)*Int_Repayments!F$4:F$1003),0)</f>
        <v>0</v>
      </c>
      <c r="H14" s="21">
        <f>IFERROR(Config!B7,0)</f>
        <v>-1000</v>
      </c>
      <c r="I14" s="24">
        <f ca="1">IFERROR(SUMIFS(Arrears_Tracker!K$3:K$102,Arrears_Tracker!J$3:J$102,"🟡 PAR30"),0)</f>
        <v>0</v>
      </c>
      <c r="J14" s="56">
        <f t="shared" ca="1" si="0"/>
        <v>0</v>
      </c>
    </row>
    <row r="15" spans="1:12" ht="18" customHeight="1" x14ac:dyDescent="0.25">
      <c r="A15" s="55" t="s">
        <v>158</v>
      </c>
      <c r="B15" s="21">
        <f ca="1">IFERROR(COUNTIFS(Members!I4:I103,"&gt;="&amp;DATE($B$2,11,1),Members!I4:I103,"&lt;"&amp;DATE($B$2,12,IF(11&lt;12,1,1))),0)</f>
        <v>0</v>
      </c>
      <c r="C15" s="2">
        <f ca="1">IFERROR(SUMPRODUCT((MONTH(Transactions!B$4:B$1003)=11)*(YEAR(Transactions!B$4:B$1003)=$B$2)*(Transactions!E$4:E$1003="Savings Deposit")*Transactions!F$4:F$1003),0)</f>
        <v>0</v>
      </c>
      <c r="D15" s="26">
        <f ca="1">IFERROR(SUMPRODUCT((MONTH(Transactions!B$4:B$1003)=11)*(YEAR(Transactions!B$4:B$1003)=$B$2)*(Transactions!E$4:E$1003="Withdrawal")*Transactions!F$4:F$1003),0)</f>
        <v>0</v>
      </c>
      <c r="E15" s="26">
        <f ca="1">IFERROR(SUMPRODUCT((MONTH(Loans!D$4:D$1003)=11)*(YEAR(Loans!D$4:D$1003)=$B$2)*Loans!E$4:E$1003),0)</f>
        <v>0</v>
      </c>
      <c r="F15" s="25">
        <f ca="1">IFERROR(SUMPRODUCT((MONTH(Transactions!B$4:B$1003)=11)*(YEAR(Transactions!B$4:B$1003)=$B$2)*(Transactions!E$4:E$1003="Loan Repayment")*Transactions!F$4:F$1003),0)</f>
        <v>0</v>
      </c>
      <c r="G15" s="25">
        <f ca="1">IFERROR(SUMPRODUCT((MONTH(Int_Repayments!H$4:H$1003)=11)*(YEAR(Int_Repayments!H$4:H$1003)=$B$2)*Int_Repayments!F$4:F$1003),0)</f>
        <v>0</v>
      </c>
      <c r="H15" s="21">
        <f>IFERROR(Config!B7,0)</f>
        <v>-1000</v>
      </c>
      <c r="I15" s="24">
        <f ca="1">IFERROR(SUMIFS(Arrears_Tracker!K$3:K$102,Arrears_Tracker!J$3:J$102,"🟡 PAR30"),0)</f>
        <v>0</v>
      </c>
      <c r="J15" s="56">
        <f t="shared" ca="1" si="0"/>
        <v>0</v>
      </c>
    </row>
    <row r="16" spans="1:12" ht="18" customHeight="1" x14ac:dyDescent="0.25">
      <c r="A16" s="55" t="s">
        <v>159</v>
      </c>
      <c r="B16" s="21">
        <f ca="1">IFERROR(COUNTIFS(Members!I4:I103,"&gt;="&amp;DATE($B$2,12,1),Members!I4:I103,"&lt;"&amp;DATE($B$2,1,IF(12&lt;12,1,1))),0)</f>
        <v>0</v>
      </c>
      <c r="C16" s="2">
        <f ca="1">IFERROR(SUMPRODUCT((MONTH(Transactions!B$4:B$1003)=12)*(YEAR(Transactions!B$4:B$1003)=$B$2)*(Transactions!E$4:E$1003="Savings Deposit")*Transactions!F$4:F$1003),0)</f>
        <v>0</v>
      </c>
      <c r="D16" s="26">
        <f ca="1">IFERROR(SUMPRODUCT((MONTH(Transactions!B$4:B$1003)=12)*(YEAR(Transactions!B$4:B$1003)=$B$2)*(Transactions!E$4:E$1003="Withdrawal")*Transactions!F$4:F$1003),0)</f>
        <v>0</v>
      </c>
      <c r="E16" s="26">
        <f ca="1">IFERROR(SUMPRODUCT((MONTH(Loans!D$4:D$1003)=12)*(YEAR(Loans!D$4:D$1003)=$B$2)*Loans!E$4:E$1003),0)</f>
        <v>0</v>
      </c>
      <c r="F16" s="25">
        <f ca="1">IFERROR(SUMPRODUCT((MONTH(Transactions!B$4:B$1003)=12)*(YEAR(Transactions!B$4:B$1003)=$B$2)*(Transactions!E$4:E$1003="Loan Repayment")*Transactions!F$4:F$1003),0)</f>
        <v>0</v>
      </c>
      <c r="G16" s="25">
        <f ca="1">IFERROR(SUMPRODUCT((MONTH(Int_Repayments!H$4:H$1003)=12)*(YEAR(Int_Repayments!H$4:H$1003)=$B$2)*Int_Repayments!F$4:F$1003),0)</f>
        <v>0</v>
      </c>
      <c r="H16" s="21">
        <f>IFERROR(Config!B7,0)</f>
        <v>-1000</v>
      </c>
      <c r="I16" s="24">
        <f ca="1">IFERROR(SUMIFS(Arrears_Tracker!K$3:K$102,Arrears_Tracker!J$3:J$102,"🟡 PAR30"),0)</f>
        <v>0</v>
      </c>
      <c r="J16" s="56">
        <f t="shared" ca="1" si="0"/>
        <v>0</v>
      </c>
    </row>
  </sheetData>
  <mergeCells count="2">
    <mergeCell ref="A1:L1"/>
    <mergeCell ref="A3:J3"/>
  </mergeCells>
  <pageMargins left="0.75" right="0.75" top="1" bottom="1" header="0.511811023622047" footer="0.511811023622047"/>
  <pageSetup paperSize="9" orientation="portrait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K102"/>
  <sheetViews>
    <sheetView zoomScaleNormal="100" workbookViewId="0">
      <pane ySplit="2" topLeftCell="A3" activePane="bottomLeft" state="frozen"/>
      <selection pane="bottomLeft" sqref="A1:K1"/>
    </sheetView>
  </sheetViews>
  <sheetFormatPr defaultColWidth="8.7109375" defaultRowHeight="15" x14ac:dyDescent="0.25"/>
  <cols>
    <col min="1" max="1" width="14" customWidth="1"/>
    <col min="2" max="2" width="22" customWidth="1"/>
    <col min="3" max="3" width="16" customWidth="1"/>
    <col min="4" max="4" width="14" customWidth="1"/>
    <col min="5" max="5" width="16" customWidth="1"/>
    <col min="6" max="6" width="18" customWidth="1"/>
    <col min="7" max="9" width="16" customWidth="1"/>
    <col min="10" max="10" width="18" customWidth="1"/>
    <col min="11" max="11" width="12" customWidth="1"/>
  </cols>
  <sheetData>
    <row r="1" spans="1:11" ht="31.5" customHeight="1" x14ac:dyDescent="0.25">
      <c r="A1" s="161" t="s">
        <v>426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</row>
    <row r="2" spans="1:11" ht="24" customHeight="1" x14ac:dyDescent="0.25">
      <c r="A2" s="5" t="s">
        <v>43</v>
      </c>
      <c r="B2" s="5" t="s">
        <v>260</v>
      </c>
      <c r="C2" s="5" t="s">
        <v>427</v>
      </c>
      <c r="D2" s="5" t="s">
        <v>428</v>
      </c>
      <c r="E2" s="5" t="s">
        <v>429</v>
      </c>
      <c r="F2" s="5" t="s">
        <v>430</v>
      </c>
      <c r="G2" s="5" t="s">
        <v>364</v>
      </c>
      <c r="H2" s="5" t="s">
        <v>431</v>
      </c>
      <c r="I2" s="5" t="s">
        <v>432</v>
      </c>
      <c r="J2" s="5" t="s">
        <v>275</v>
      </c>
      <c r="K2" s="5" t="s">
        <v>48</v>
      </c>
    </row>
    <row r="3" spans="1:11" ht="15.75" customHeight="1" x14ac:dyDescent="0.25">
      <c r="A3" s="6">
        <f>IFERROR(Members!A4,"")</f>
        <v>0</v>
      </c>
      <c r="B3" s="4">
        <f>IFERROR(Members!B4,"")</f>
        <v>0</v>
      </c>
      <c r="C3" s="56">
        <f>IF(A3="","",IFERROR(SUMIF(Loans!C$4:C$1003,A3,Loans!E$4:E$1003),0))</f>
        <v>0</v>
      </c>
      <c r="D3" s="21">
        <f>0</f>
        <v>0</v>
      </c>
      <c r="E3" s="2">
        <f t="shared" ref="E3:E34" si="0">IF(A3="","",C3+D3)</f>
        <v>0</v>
      </c>
      <c r="F3" s="24">
        <f>IF(A3="","",IFERROR(SUMIF(Interest_Engine!A$4:A$103,A3,Interest_Engine!AQ$4:AQ$103),0))</f>
        <v>0</v>
      </c>
      <c r="G3" s="25">
        <f>IF(A3="","",IFERROR(SUMIF(Loans!C$4:C$1003,A3,Loans!K$4:K$1003),0))</f>
        <v>0</v>
      </c>
      <c r="H3" s="25">
        <f>IF(A3="","",IFERROR(SUMIF(Int_Repayments!A$4:A$1003,A3,Int_Repayments!F$4:F$1003),0))</f>
        <v>0</v>
      </c>
      <c r="I3" s="2">
        <f t="shared" ref="I3:I34" si="1">IF(A3="","",G3+H3)</f>
        <v>0</v>
      </c>
      <c r="J3" s="26">
        <f t="shared" ref="J3:J34" si="2">IF(A3="","",MAX(0,(E3+F3)-I3))</f>
        <v>0</v>
      </c>
      <c r="K3" s="57" t="str">
        <f t="shared" ref="K3:K34" si="3">IF(A3="","",IF(J3&lt;=0,"✅ Cleared","⏳ Active"))</f>
        <v>✅ Cleared</v>
      </c>
    </row>
    <row r="4" spans="1:11" ht="15.75" customHeight="1" x14ac:dyDescent="0.25">
      <c r="A4" s="6">
        <f>IFERROR(Members!A5,"")</f>
        <v>0</v>
      </c>
      <c r="B4" s="4">
        <f>IFERROR(Members!B5,"")</f>
        <v>0</v>
      </c>
      <c r="C4" s="56">
        <f>IF(A4="","",IFERROR(SUMIF(Loans!C$4:C$1003,A4,Loans!E$4:E$1003),0))</f>
        <v>0</v>
      </c>
      <c r="D4" s="21">
        <f>0</f>
        <v>0</v>
      </c>
      <c r="E4" s="2">
        <f t="shared" si="0"/>
        <v>0</v>
      </c>
      <c r="F4" s="24">
        <f>IF(A4="","",IFERROR(SUMIF(Interest_Engine!A$4:A$103,A4,Interest_Engine!AQ$4:AQ$103),0))</f>
        <v>0</v>
      </c>
      <c r="G4" s="25">
        <f>IF(A4="","",IFERROR(SUMIF(Loans!C$4:C$1003,A4,Loans!K$4:K$1003),0))</f>
        <v>0</v>
      </c>
      <c r="H4" s="25">
        <f>IF(A4="","",IFERROR(SUMIF(Int_Repayments!A$4:A$1003,A4,Int_Repayments!F$4:F$1003),0))</f>
        <v>0</v>
      </c>
      <c r="I4" s="2">
        <f t="shared" si="1"/>
        <v>0</v>
      </c>
      <c r="J4" s="26">
        <f t="shared" si="2"/>
        <v>0</v>
      </c>
      <c r="K4" s="57" t="str">
        <f t="shared" si="3"/>
        <v>✅ Cleared</v>
      </c>
    </row>
    <row r="5" spans="1:11" ht="15.75" customHeight="1" x14ac:dyDescent="0.25">
      <c r="A5" s="6">
        <f>IFERROR(Members!A6,"")</f>
        <v>0</v>
      </c>
      <c r="B5" s="4">
        <f>IFERROR(Members!B6,"")</f>
        <v>0</v>
      </c>
      <c r="C5" s="56">
        <f>IF(A5="","",IFERROR(SUMIF(Loans!C$4:C$1003,A5,Loans!E$4:E$1003),0))</f>
        <v>0</v>
      </c>
      <c r="D5" s="21">
        <f>0</f>
        <v>0</v>
      </c>
      <c r="E5" s="2">
        <f t="shared" si="0"/>
        <v>0</v>
      </c>
      <c r="F5" s="24">
        <f>IF(A5="","",IFERROR(SUMIF(Interest_Engine!A$4:A$103,A5,Interest_Engine!AQ$4:AQ$103),0))</f>
        <v>0</v>
      </c>
      <c r="G5" s="25">
        <f>IF(A5="","",IFERROR(SUMIF(Loans!C$4:C$1003,A5,Loans!K$4:K$1003),0))</f>
        <v>0</v>
      </c>
      <c r="H5" s="25">
        <f>IF(A5="","",IFERROR(SUMIF(Int_Repayments!A$4:A$1003,A5,Int_Repayments!F$4:F$1003),0))</f>
        <v>0</v>
      </c>
      <c r="I5" s="2">
        <f t="shared" si="1"/>
        <v>0</v>
      </c>
      <c r="J5" s="26">
        <f t="shared" si="2"/>
        <v>0</v>
      </c>
      <c r="K5" s="57" t="str">
        <f t="shared" si="3"/>
        <v>✅ Cleared</v>
      </c>
    </row>
    <row r="6" spans="1:11" ht="15.75" customHeight="1" x14ac:dyDescent="0.25">
      <c r="A6" s="6">
        <f>IFERROR(Members!A7,"")</f>
        <v>0</v>
      </c>
      <c r="B6" s="4">
        <f>IFERROR(Members!B7,"")</f>
        <v>0</v>
      </c>
      <c r="C6" s="56">
        <f>IF(A6="","",IFERROR(SUMIF(Loans!C$4:C$1003,A6,Loans!E$4:E$1003),0))</f>
        <v>0</v>
      </c>
      <c r="D6" s="21">
        <f>0</f>
        <v>0</v>
      </c>
      <c r="E6" s="2">
        <f t="shared" si="0"/>
        <v>0</v>
      </c>
      <c r="F6" s="24">
        <f>IF(A6="","",IFERROR(SUMIF(Interest_Engine!A$4:A$103,A6,Interest_Engine!AQ$4:AQ$103),0))</f>
        <v>0</v>
      </c>
      <c r="G6" s="25">
        <f>IF(A6="","",IFERROR(SUMIF(Loans!C$4:C$1003,A6,Loans!K$4:K$1003),0))</f>
        <v>0</v>
      </c>
      <c r="H6" s="25">
        <f>IF(A6="","",IFERROR(SUMIF(Int_Repayments!A$4:A$1003,A6,Int_Repayments!F$4:F$1003),0))</f>
        <v>0</v>
      </c>
      <c r="I6" s="2">
        <f t="shared" si="1"/>
        <v>0</v>
      </c>
      <c r="J6" s="26">
        <f t="shared" si="2"/>
        <v>0</v>
      </c>
      <c r="K6" s="57" t="str">
        <f t="shared" si="3"/>
        <v>✅ Cleared</v>
      </c>
    </row>
    <row r="7" spans="1:11" ht="15.75" customHeight="1" x14ac:dyDescent="0.25">
      <c r="A7" s="6">
        <f>IFERROR(Members!A8,"")</f>
        <v>0</v>
      </c>
      <c r="B7" s="4">
        <f>IFERROR(Members!B8,"")</f>
        <v>0</v>
      </c>
      <c r="C7" s="56">
        <f>IF(A7="","",IFERROR(SUMIF(Loans!C$4:C$1003,A7,Loans!E$4:E$1003),0))</f>
        <v>0</v>
      </c>
      <c r="D7" s="21">
        <f>0</f>
        <v>0</v>
      </c>
      <c r="E7" s="2">
        <f t="shared" si="0"/>
        <v>0</v>
      </c>
      <c r="F7" s="24">
        <f>IF(A7="","",IFERROR(SUMIF(Interest_Engine!A$4:A$103,A7,Interest_Engine!AQ$4:AQ$103),0))</f>
        <v>0</v>
      </c>
      <c r="G7" s="25">
        <f>IF(A7="","",IFERROR(SUMIF(Loans!C$4:C$1003,A7,Loans!K$4:K$1003),0))</f>
        <v>0</v>
      </c>
      <c r="H7" s="25">
        <f>IF(A7="","",IFERROR(SUMIF(Int_Repayments!A$4:A$1003,A7,Int_Repayments!F$4:F$1003),0))</f>
        <v>0</v>
      </c>
      <c r="I7" s="2">
        <f t="shared" si="1"/>
        <v>0</v>
      </c>
      <c r="J7" s="26">
        <f t="shared" si="2"/>
        <v>0</v>
      </c>
      <c r="K7" s="57" t="str">
        <f t="shared" si="3"/>
        <v>✅ Cleared</v>
      </c>
    </row>
    <row r="8" spans="1:11" ht="15.75" customHeight="1" x14ac:dyDescent="0.25">
      <c r="A8" s="6">
        <f>IFERROR(Members!A9,"")</f>
        <v>0</v>
      </c>
      <c r="B8" s="4">
        <f>IFERROR(Members!B9,"")</f>
        <v>0</v>
      </c>
      <c r="C8" s="56">
        <f>IF(A8="","",IFERROR(SUMIF(Loans!C$4:C$1003,A8,Loans!E$4:E$1003),0))</f>
        <v>0</v>
      </c>
      <c r="D8" s="21">
        <f>0</f>
        <v>0</v>
      </c>
      <c r="E8" s="2">
        <f t="shared" si="0"/>
        <v>0</v>
      </c>
      <c r="F8" s="24">
        <f>IF(A8="","",IFERROR(SUMIF(Interest_Engine!A$4:A$103,A8,Interest_Engine!AQ$4:AQ$103),0))</f>
        <v>0</v>
      </c>
      <c r="G8" s="25">
        <f>IF(A8="","",IFERROR(SUMIF(Loans!C$4:C$1003,A8,Loans!K$4:K$1003),0))</f>
        <v>0</v>
      </c>
      <c r="H8" s="25">
        <f>IF(A8="","",IFERROR(SUMIF(Int_Repayments!A$4:A$1003,A8,Int_Repayments!F$4:F$1003),0))</f>
        <v>0</v>
      </c>
      <c r="I8" s="2">
        <f t="shared" si="1"/>
        <v>0</v>
      </c>
      <c r="J8" s="26">
        <f t="shared" si="2"/>
        <v>0</v>
      </c>
      <c r="K8" s="57" t="str">
        <f t="shared" si="3"/>
        <v>✅ Cleared</v>
      </c>
    </row>
    <row r="9" spans="1:11" ht="15.75" customHeight="1" x14ac:dyDescent="0.25">
      <c r="A9" s="6">
        <f>IFERROR(Members!A10,"")</f>
        <v>0</v>
      </c>
      <c r="B9" s="4">
        <f>IFERROR(Members!B10,"")</f>
        <v>0</v>
      </c>
      <c r="C9" s="56">
        <f>IF(A9="","",IFERROR(SUMIF(Loans!C$4:C$1003,A9,Loans!E$4:E$1003),0))</f>
        <v>0</v>
      </c>
      <c r="D9" s="21">
        <f>0</f>
        <v>0</v>
      </c>
      <c r="E9" s="2">
        <f t="shared" si="0"/>
        <v>0</v>
      </c>
      <c r="F9" s="24">
        <f>IF(A9="","",IFERROR(SUMIF(Interest_Engine!A$4:A$103,A9,Interest_Engine!AQ$4:AQ$103),0))</f>
        <v>0</v>
      </c>
      <c r="G9" s="25">
        <f>IF(A9="","",IFERROR(SUMIF(Loans!C$4:C$1003,A9,Loans!K$4:K$1003),0))</f>
        <v>0</v>
      </c>
      <c r="H9" s="25">
        <f>IF(A9="","",IFERROR(SUMIF(Int_Repayments!A$4:A$1003,A9,Int_Repayments!F$4:F$1003),0))</f>
        <v>0</v>
      </c>
      <c r="I9" s="2">
        <f t="shared" si="1"/>
        <v>0</v>
      </c>
      <c r="J9" s="26">
        <f t="shared" si="2"/>
        <v>0</v>
      </c>
      <c r="K9" s="57" t="str">
        <f t="shared" si="3"/>
        <v>✅ Cleared</v>
      </c>
    </row>
    <row r="10" spans="1:11" ht="15.75" customHeight="1" x14ac:dyDescent="0.25">
      <c r="A10" s="6">
        <f>IFERROR(Members!A11,"")</f>
        <v>0</v>
      </c>
      <c r="B10" s="4">
        <f>IFERROR(Members!B11,"")</f>
        <v>0</v>
      </c>
      <c r="C10" s="56">
        <f>IF(A10="","",IFERROR(SUMIF(Loans!C$4:C$1003,A10,Loans!E$4:E$1003),0))</f>
        <v>0</v>
      </c>
      <c r="D10" s="21">
        <f>0</f>
        <v>0</v>
      </c>
      <c r="E10" s="2">
        <f t="shared" si="0"/>
        <v>0</v>
      </c>
      <c r="F10" s="24">
        <f>IF(A10="","",IFERROR(SUMIF(Interest_Engine!A$4:A$103,A10,Interest_Engine!AQ$4:AQ$103),0))</f>
        <v>0</v>
      </c>
      <c r="G10" s="25">
        <f>IF(A10="","",IFERROR(SUMIF(Loans!C$4:C$1003,A10,Loans!K$4:K$1003),0))</f>
        <v>0</v>
      </c>
      <c r="H10" s="25">
        <f>IF(A10="","",IFERROR(SUMIF(Int_Repayments!A$4:A$1003,A10,Int_Repayments!F$4:F$1003),0))</f>
        <v>0</v>
      </c>
      <c r="I10" s="2">
        <f t="shared" si="1"/>
        <v>0</v>
      </c>
      <c r="J10" s="26">
        <f t="shared" si="2"/>
        <v>0</v>
      </c>
      <c r="K10" s="57" t="str">
        <f t="shared" si="3"/>
        <v>✅ Cleared</v>
      </c>
    </row>
    <row r="11" spans="1:11" ht="15.75" customHeight="1" x14ac:dyDescent="0.25">
      <c r="A11" s="6">
        <f>IFERROR(Members!A12,"")</f>
        <v>0</v>
      </c>
      <c r="B11" s="4">
        <f>IFERROR(Members!B12,"")</f>
        <v>0</v>
      </c>
      <c r="C11" s="56">
        <f>IF(A11="","",IFERROR(SUMIF(Loans!C$4:C$1003,A11,Loans!E$4:E$1003),0))</f>
        <v>0</v>
      </c>
      <c r="D11" s="21">
        <f>0</f>
        <v>0</v>
      </c>
      <c r="E11" s="2">
        <f t="shared" si="0"/>
        <v>0</v>
      </c>
      <c r="F11" s="24">
        <f>IF(A11="","",IFERROR(SUMIF(Interest_Engine!A$4:A$103,A11,Interest_Engine!AQ$4:AQ$103),0))</f>
        <v>0</v>
      </c>
      <c r="G11" s="25">
        <f>IF(A11="","",IFERROR(SUMIF(Loans!C$4:C$1003,A11,Loans!K$4:K$1003),0))</f>
        <v>0</v>
      </c>
      <c r="H11" s="25">
        <f>IF(A11="","",IFERROR(SUMIF(Int_Repayments!A$4:A$1003,A11,Int_Repayments!F$4:F$1003),0))</f>
        <v>0</v>
      </c>
      <c r="I11" s="2">
        <f t="shared" si="1"/>
        <v>0</v>
      </c>
      <c r="J11" s="26">
        <f t="shared" si="2"/>
        <v>0</v>
      </c>
      <c r="K11" s="57" t="str">
        <f t="shared" si="3"/>
        <v>✅ Cleared</v>
      </c>
    </row>
    <row r="12" spans="1:11" ht="15.75" customHeight="1" x14ac:dyDescent="0.25">
      <c r="A12" s="6">
        <f>IFERROR(Members!A13,"")</f>
        <v>0</v>
      </c>
      <c r="B12" s="4">
        <f>IFERROR(Members!B13,"")</f>
        <v>0</v>
      </c>
      <c r="C12" s="56">
        <f>IF(A12="","",IFERROR(SUMIF(Loans!C$4:C$1003,A12,Loans!E$4:E$1003),0))</f>
        <v>0</v>
      </c>
      <c r="D12" s="21">
        <f>0</f>
        <v>0</v>
      </c>
      <c r="E12" s="2">
        <f t="shared" si="0"/>
        <v>0</v>
      </c>
      <c r="F12" s="24">
        <f>IF(A12="","",IFERROR(SUMIF(Interest_Engine!A$4:A$103,A12,Interest_Engine!AQ$4:AQ$103),0))</f>
        <v>0</v>
      </c>
      <c r="G12" s="25">
        <f>IF(A12="","",IFERROR(SUMIF(Loans!C$4:C$1003,A12,Loans!K$4:K$1003),0))</f>
        <v>0</v>
      </c>
      <c r="H12" s="25">
        <f>IF(A12="","",IFERROR(SUMIF(Int_Repayments!A$4:A$1003,A12,Int_Repayments!F$4:F$1003),0))</f>
        <v>0</v>
      </c>
      <c r="I12" s="2">
        <f t="shared" si="1"/>
        <v>0</v>
      </c>
      <c r="J12" s="26">
        <f t="shared" si="2"/>
        <v>0</v>
      </c>
      <c r="K12" s="57" t="str">
        <f t="shared" si="3"/>
        <v>✅ Cleared</v>
      </c>
    </row>
    <row r="13" spans="1:11" ht="15.75" customHeight="1" x14ac:dyDescent="0.25">
      <c r="A13" s="6">
        <f>IFERROR(Members!A14,"")</f>
        <v>0</v>
      </c>
      <c r="B13" s="4">
        <f>IFERROR(Members!B14,"")</f>
        <v>0</v>
      </c>
      <c r="C13" s="56">
        <f>IF(A13="","",IFERROR(SUMIF(Loans!C$4:C$1003,A13,Loans!E$4:E$1003),0))</f>
        <v>0</v>
      </c>
      <c r="D13" s="21">
        <f>0</f>
        <v>0</v>
      </c>
      <c r="E13" s="2">
        <f t="shared" si="0"/>
        <v>0</v>
      </c>
      <c r="F13" s="24">
        <f>IF(A13="","",IFERROR(SUMIF(Interest_Engine!A$4:A$103,A13,Interest_Engine!AQ$4:AQ$103),0))</f>
        <v>0</v>
      </c>
      <c r="G13" s="25">
        <f>IF(A13="","",IFERROR(SUMIF(Loans!C$4:C$1003,A13,Loans!K$4:K$1003),0))</f>
        <v>0</v>
      </c>
      <c r="H13" s="25">
        <f>IF(A13="","",IFERROR(SUMIF(Int_Repayments!A$4:A$1003,A13,Int_Repayments!F$4:F$1003),0))</f>
        <v>0</v>
      </c>
      <c r="I13" s="2">
        <f t="shared" si="1"/>
        <v>0</v>
      </c>
      <c r="J13" s="26">
        <f t="shared" si="2"/>
        <v>0</v>
      </c>
      <c r="K13" s="57" t="str">
        <f t="shared" si="3"/>
        <v>✅ Cleared</v>
      </c>
    </row>
    <row r="14" spans="1:11" ht="15.75" customHeight="1" x14ac:dyDescent="0.25">
      <c r="A14" s="6">
        <f>IFERROR(Members!A15,"")</f>
        <v>0</v>
      </c>
      <c r="B14" s="4">
        <f>IFERROR(Members!B15,"")</f>
        <v>0</v>
      </c>
      <c r="C14" s="56">
        <f>IF(A14="","",IFERROR(SUMIF(Loans!C$4:C$1003,A14,Loans!E$4:E$1003),0))</f>
        <v>0</v>
      </c>
      <c r="D14" s="21">
        <f>0</f>
        <v>0</v>
      </c>
      <c r="E14" s="2">
        <f t="shared" si="0"/>
        <v>0</v>
      </c>
      <c r="F14" s="24">
        <f>IF(A14="","",IFERROR(SUMIF(Interest_Engine!A$4:A$103,A14,Interest_Engine!AQ$4:AQ$103),0))</f>
        <v>0</v>
      </c>
      <c r="G14" s="25">
        <f>IF(A14="","",IFERROR(SUMIF(Loans!C$4:C$1003,A14,Loans!K$4:K$1003),0))</f>
        <v>0</v>
      </c>
      <c r="H14" s="25">
        <f>IF(A14="","",IFERROR(SUMIF(Int_Repayments!A$4:A$1003,A14,Int_Repayments!F$4:F$1003),0))</f>
        <v>0</v>
      </c>
      <c r="I14" s="2">
        <f t="shared" si="1"/>
        <v>0</v>
      </c>
      <c r="J14" s="26">
        <f t="shared" si="2"/>
        <v>0</v>
      </c>
      <c r="K14" s="57" t="str">
        <f t="shared" si="3"/>
        <v>✅ Cleared</v>
      </c>
    </row>
    <row r="15" spans="1:11" ht="15.75" customHeight="1" x14ac:dyDescent="0.25">
      <c r="A15" s="6">
        <f>IFERROR(Members!A16,"")</f>
        <v>0</v>
      </c>
      <c r="B15" s="4">
        <f>IFERROR(Members!B16,"")</f>
        <v>0</v>
      </c>
      <c r="C15" s="56">
        <f>IF(A15="","",IFERROR(SUMIF(Loans!C$4:C$1003,A15,Loans!E$4:E$1003),0))</f>
        <v>0</v>
      </c>
      <c r="D15" s="21">
        <f>0</f>
        <v>0</v>
      </c>
      <c r="E15" s="2">
        <f t="shared" si="0"/>
        <v>0</v>
      </c>
      <c r="F15" s="24">
        <f>IF(A15="","",IFERROR(SUMIF(Interest_Engine!A$4:A$103,A15,Interest_Engine!AQ$4:AQ$103),0))</f>
        <v>0</v>
      </c>
      <c r="G15" s="25">
        <f>IF(A15="","",IFERROR(SUMIF(Loans!C$4:C$1003,A15,Loans!K$4:K$1003),0))</f>
        <v>0</v>
      </c>
      <c r="H15" s="25">
        <f>IF(A15="","",IFERROR(SUMIF(Int_Repayments!A$4:A$1003,A15,Int_Repayments!F$4:F$1003),0))</f>
        <v>0</v>
      </c>
      <c r="I15" s="2">
        <f t="shared" si="1"/>
        <v>0</v>
      </c>
      <c r="J15" s="26">
        <f t="shared" si="2"/>
        <v>0</v>
      </c>
      <c r="K15" s="57" t="str">
        <f t="shared" si="3"/>
        <v>✅ Cleared</v>
      </c>
    </row>
    <row r="16" spans="1:11" ht="15.75" customHeight="1" x14ac:dyDescent="0.25">
      <c r="A16" s="6">
        <f>IFERROR(Members!A17,"")</f>
        <v>0</v>
      </c>
      <c r="B16" s="4">
        <f>IFERROR(Members!B17,"")</f>
        <v>0</v>
      </c>
      <c r="C16" s="56">
        <f>IF(A16="","",IFERROR(SUMIF(Loans!C$4:C$1003,A16,Loans!E$4:E$1003),0))</f>
        <v>0</v>
      </c>
      <c r="D16" s="21">
        <f>0</f>
        <v>0</v>
      </c>
      <c r="E16" s="2">
        <f t="shared" si="0"/>
        <v>0</v>
      </c>
      <c r="F16" s="24">
        <f>IF(A16="","",IFERROR(SUMIF(Interest_Engine!A$4:A$103,A16,Interest_Engine!AQ$4:AQ$103),0))</f>
        <v>0</v>
      </c>
      <c r="G16" s="25">
        <f>IF(A16="","",IFERROR(SUMIF(Loans!C$4:C$1003,A16,Loans!K$4:K$1003),0))</f>
        <v>0</v>
      </c>
      <c r="H16" s="25">
        <f>IF(A16="","",IFERROR(SUMIF(Int_Repayments!A$4:A$1003,A16,Int_Repayments!F$4:F$1003),0))</f>
        <v>0</v>
      </c>
      <c r="I16" s="2">
        <f t="shared" si="1"/>
        <v>0</v>
      </c>
      <c r="J16" s="26">
        <f t="shared" si="2"/>
        <v>0</v>
      </c>
      <c r="K16" s="57" t="str">
        <f t="shared" si="3"/>
        <v>✅ Cleared</v>
      </c>
    </row>
    <row r="17" spans="1:11" ht="15.75" customHeight="1" x14ac:dyDescent="0.25">
      <c r="A17" s="6">
        <f>IFERROR(Members!A18,"")</f>
        <v>0</v>
      </c>
      <c r="B17" s="4">
        <f>IFERROR(Members!B18,"")</f>
        <v>0</v>
      </c>
      <c r="C17" s="56">
        <f>IF(A17="","",IFERROR(SUMIF(Loans!C$4:C$1003,A17,Loans!E$4:E$1003),0))</f>
        <v>0</v>
      </c>
      <c r="D17" s="21">
        <f>0</f>
        <v>0</v>
      </c>
      <c r="E17" s="2">
        <f t="shared" si="0"/>
        <v>0</v>
      </c>
      <c r="F17" s="24">
        <f>IF(A17="","",IFERROR(SUMIF(Interest_Engine!A$4:A$103,A17,Interest_Engine!AQ$4:AQ$103),0))</f>
        <v>0</v>
      </c>
      <c r="G17" s="25">
        <f>IF(A17="","",IFERROR(SUMIF(Loans!C$4:C$1003,A17,Loans!K$4:K$1003),0))</f>
        <v>0</v>
      </c>
      <c r="H17" s="25">
        <f>IF(A17="","",IFERROR(SUMIF(Int_Repayments!A$4:A$1003,A17,Int_Repayments!F$4:F$1003),0))</f>
        <v>0</v>
      </c>
      <c r="I17" s="2">
        <f t="shared" si="1"/>
        <v>0</v>
      </c>
      <c r="J17" s="26">
        <f t="shared" si="2"/>
        <v>0</v>
      </c>
      <c r="K17" s="57" t="str">
        <f t="shared" si="3"/>
        <v>✅ Cleared</v>
      </c>
    </row>
    <row r="18" spans="1:11" ht="15.75" customHeight="1" x14ac:dyDescent="0.25">
      <c r="A18" s="6">
        <f>IFERROR(Members!A19,"")</f>
        <v>0</v>
      </c>
      <c r="B18" s="4">
        <f>IFERROR(Members!B19,"")</f>
        <v>0</v>
      </c>
      <c r="C18" s="56">
        <f>IF(A18="","",IFERROR(SUMIF(Loans!C$4:C$1003,A18,Loans!E$4:E$1003),0))</f>
        <v>0</v>
      </c>
      <c r="D18" s="21">
        <f>0</f>
        <v>0</v>
      </c>
      <c r="E18" s="2">
        <f t="shared" si="0"/>
        <v>0</v>
      </c>
      <c r="F18" s="24">
        <f>IF(A18="","",IFERROR(SUMIF(Interest_Engine!A$4:A$103,A18,Interest_Engine!AQ$4:AQ$103),0))</f>
        <v>0</v>
      </c>
      <c r="G18" s="25">
        <f>IF(A18="","",IFERROR(SUMIF(Loans!C$4:C$1003,A18,Loans!K$4:K$1003),0))</f>
        <v>0</v>
      </c>
      <c r="H18" s="25">
        <f>IF(A18="","",IFERROR(SUMIF(Int_Repayments!A$4:A$1003,A18,Int_Repayments!F$4:F$1003),0))</f>
        <v>0</v>
      </c>
      <c r="I18" s="2">
        <f t="shared" si="1"/>
        <v>0</v>
      </c>
      <c r="J18" s="26">
        <f t="shared" si="2"/>
        <v>0</v>
      </c>
      <c r="K18" s="57" t="str">
        <f t="shared" si="3"/>
        <v>✅ Cleared</v>
      </c>
    </row>
    <row r="19" spans="1:11" ht="15.75" customHeight="1" x14ac:dyDescent="0.25">
      <c r="A19" s="6">
        <f>IFERROR(Members!A20,"")</f>
        <v>0</v>
      </c>
      <c r="B19" s="4">
        <f>IFERROR(Members!B20,"")</f>
        <v>0</v>
      </c>
      <c r="C19" s="56">
        <f>IF(A19="","",IFERROR(SUMIF(Loans!C$4:C$1003,A19,Loans!E$4:E$1003),0))</f>
        <v>0</v>
      </c>
      <c r="D19" s="21">
        <f>0</f>
        <v>0</v>
      </c>
      <c r="E19" s="2">
        <f t="shared" si="0"/>
        <v>0</v>
      </c>
      <c r="F19" s="24">
        <f>IF(A19="","",IFERROR(SUMIF(Interest_Engine!A$4:A$103,A19,Interest_Engine!AQ$4:AQ$103),0))</f>
        <v>0</v>
      </c>
      <c r="G19" s="25">
        <f>IF(A19="","",IFERROR(SUMIF(Loans!C$4:C$1003,A19,Loans!K$4:K$1003),0))</f>
        <v>0</v>
      </c>
      <c r="H19" s="25">
        <f>IF(A19="","",IFERROR(SUMIF(Int_Repayments!A$4:A$1003,A19,Int_Repayments!F$4:F$1003),0))</f>
        <v>0</v>
      </c>
      <c r="I19" s="2">
        <f t="shared" si="1"/>
        <v>0</v>
      </c>
      <c r="J19" s="26">
        <f t="shared" si="2"/>
        <v>0</v>
      </c>
      <c r="K19" s="57" t="str">
        <f t="shared" si="3"/>
        <v>✅ Cleared</v>
      </c>
    </row>
    <row r="20" spans="1:11" ht="15.75" customHeight="1" x14ac:dyDescent="0.25">
      <c r="A20" s="6">
        <f>IFERROR(Members!A21,"")</f>
        <v>0</v>
      </c>
      <c r="B20" s="4">
        <f>IFERROR(Members!B21,"")</f>
        <v>0</v>
      </c>
      <c r="C20" s="56">
        <f>IF(A20="","",IFERROR(SUMIF(Loans!C$4:C$1003,A20,Loans!E$4:E$1003),0))</f>
        <v>0</v>
      </c>
      <c r="D20" s="21">
        <f>0</f>
        <v>0</v>
      </c>
      <c r="E20" s="2">
        <f t="shared" si="0"/>
        <v>0</v>
      </c>
      <c r="F20" s="24">
        <f>IF(A20="","",IFERROR(SUMIF(Interest_Engine!A$4:A$103,A20,Interest_Engine!AQ$4:AQ$103),0))</f>
        <v>0</v>
      </c>
      <c r="G20" s="25">
        <f>IF(A20="","",IFERROR(SUMIF(Loans!C$4:C$1003,A20,Loans!K$4:K$1003),0))</f>
        <v>0</v>
      </c>
      <c r="H20" s="25">
        <f>IF(A20="","",IFERROR(SUMIF(Int_Repayments!A$4:A$1003,A20,Int_Repayments!F$4:F$1003),0))</f>
        <v>0</v>
      </c>
      <c r="I20" s="2">
        <f t="shared" si="1"/>
        <v>0</v>
      </c>
      <c r="J20" s="26">
        <f t="shared" si="2"/>
        <v>0</v>
      </c>
      <c r="K20" s="57" t="str">
        <f t="shared" si="3"/>
        <v>✅ Cleared</v>
      </c>
    </row>
    <row r="21" spans="1:11" ht="15.75" customHeight="1" x14ac:dyDescent="0.25">
      <c r="A21" s="6">
        <f>IFERROR(Members!A22,"")</f>
        <v>0</v>
      </c>
      <c r="B21" s="4">
        <f>IFERROR(Members!B22,"")</f>
        <v>0</v>
      </c>
      <c r="C21" s="56">
        <f>IF(A21="","",IFERROR(SUMIF(Loans!C$4:C$1003,A21,Loans!E$4:E$1003),0))</f>
        <v>0</v>
      </c>
      <c r="D21" s="21">
        <f>0</f>
        <v>0</v>
      </c>
      <c r="E21" s="2">
        <f t="shared" si="0"/>
        <v>0</v>
      </c>
      <c r="F21" s="24">
        <f>IF(A21="","",IFERROR(SUMIF(Interest_Engine!A$4:A$103,A21,Interest_Engine!AQ$4:AQ$103),0))</f>
        <v>0</v>
      </c>
      <c r="G21" s="25">
        <f>IF(A21="","",IFERROR(SUMIF(Loans!C$4:C$1003,A21,Loans!K$4:K$1003),0))</f>
        <v>0</v>
      </c>
      <c r="H21" s="25">
        <f>IF(A21="","",IFERROR(SUMIF(Int_Repayments!A$4:A$1003,A21,Int_Repayments!F$4:F$1003),0))</f>
        <v>0</v>
      </c>
      <c r="I21" s="2">
        <f t="shared" si="1"/>
        <v>0</v>
      </c>
      <c r="J21" s="26">
        <f t="shared" si="2"/>
        <v>0</v>
      </c>
      <c r="K21" s="57" t="str">
        <f t="shared" si="3"/>
        <v>✅ Cleared</v>
      </c>
    </row>
    <row r="22" spans="1:11" ht="15.75" customHeight="1" x14ac:dyDescent="0.25">
      <c r="A22" s="6">
        <f>IFERROR(Members!A23,"")</f>
        <v>0</v>
      </c>
      <c r="B22" s="4">
        <f>IFERROR(Members!B23,"")</f>
        <v>0</v>
      </c>
      <c r="C22" s="56">
        <f>IF(A22="","",IFERROR(SUMIF(Loans!C$4:C$1003,A22,Loans!E$4:E$1003),0))</f>
        <v>0</v>
      </c>
      <c r="D22" s="21">
        <f>0</f>
        <v>0</v>
      </c>
      <c r="E22" s="2">
        <f t="shared" si="0"/>
        <v>0</v>
      </c>
      <c r="F22" s="24">
        <f>IF(A22="","",IFERROR(SUMIF(Interest_Engine!A$4:A$103,A22,Interest_Engine!AQ$4:AQ$103),0))</f>
        <v>0</v>
      </c>
      <c r="G22" s="25">
        <f>IF(A22="","",IFERROR(SUMIF(Loans!C$4:C$1003,A22,Loans!K$4:K$1003),0))</f>
        <v>0</v>
      </c>
      <c r="H22" s="25">
        <f>IF(A22="","",IFERROR(SUMIF(Int_Repayments!A$4:A$1003,A22,Int_Repayments!F$4:F$1003),0))</f>
        <v>0</v>
      </c>
      <c r="I22" s="2">
        <f t="shared" si="1"/>
        <v>0</v>
      </c>
      <c r="J22" s="26">
        <f t="shared" si="2"/>
        <v>0</v>
      </c>
      <c r="K22" s="57" t="str">
        <f t="shared" si="3"/>
        <v>✅ Cleared</v>
      </c>
    </row>
    <row r="23" spans="1:11" ht="15.75" customHeight="1" x14ac:dyDescent="0.25">
      <c r="A23" s="6">
        <f>IFERROR(Members!A24,"")</f>
        <v>0</v>
      </c>
      <c r="B23" s="4">
        <f>IFERROR(Members!B24,"")</f>
        <v>0</v>
      </c>
      <c r="C23" s="56">
        <f>IF(A23="","",IFERROR(SUMIF(Loans!C$4:C$1003,A23,Loans!E$4:E$1003),0))</f>
        <v>0</v>
      </c>
      <c r="D23" s="21">
        <f>0</f>
        <v>0</v>
      </c>
      <c r="E23" s="2">
        <f t="shared" si="0"/>
        <v>0</v>
      </c>
      <c r="F23" s="24">
        <f>IF(A23="","",IFERROR(SUMIF(Interest_Engine!A$4:A$103,A23,Interest_Engine!AQ$4:AQ$103),0))</f>
        <v>0</v>
      </c>
      <c r="G23" s="25">
        <f>IF(A23="","",IFERROR(SUMIF(Loans!C$4:C$1003,A23,Loans!K$4:K$1003),0))</f>
        <v>0</v>
      </c>
      <c r="H23" s="25">
        <f>IF(A23="","",IFERROR(SUMIF(Int_Repayments!A$4:A$1003,A23,Int_Repayments!F$4:F$1003),0))</f>
        <v>0</v>
      </c>
      <c r="I23" s="2">
        <f t="shared" si="1"/>
        <v>0</v>
      </c>
      <c r="J23" s="26">
        <f t="shared" si="2"/>
        <v>0</v>
      </c>
      <c r="K23" s="57" t="str">
        <f t="shared" si="3"/>
        <v>✅ Cleared</v>
      </c>
    </row>
    <row r="24" spans="1:11" ht="15.75" customHeight="1" x14ac:dyDescent="0.25">
      <c r="A24" s="6">
        <f>IFERROR(Members!A25,"")</f>
        <v>0</v>
      </c>
      <c r="B24" s="4">
        <f>IFERROR(Members!B25,"")</f>
        <v>0</v>
      </c>
      <c r="C24" s="56">
        <f>IF(A24="","",IFERROR(SUMIF(Loans!C$4:C$1003,A24,Loans!E$4:E$1003),0))</f>
        <v>0</v>
      </c>
      <c r="D24" s="21">
        <f>0</f>
        <v>0</v>
      </c>
      <c r="E24" s="2">
        <f t="shared" si="0"/>
        <v>0</v>
      </c>
      <c r="F24" s="24">
        <f>IF(A24="","",IFERROR(SUMIF(Interest_Engine!A$4:A$103,A24,Interest_Engine!AQ$4:AQ$103),0))</f>
        <v>0</v>
      </c>
      <c r="G24" s="25">
        <f>IF(A24="","",IFERROR(SUMIF(Loans!C$4:C$1003,A24,Loans!K$4:K$1003),0))</f>
        <v>0</v>
      </c>
      <c r="H24" s="25">
        <f>IF(A24="","",IFERROR(SUMIF(Int_Repayments!A$4:A$1003,A24,Int_Repayments!F$4:F$1003),0))</f>
        <v>0</v>
      </c>
      <c r="I24" s="2">
        <f t="shared" si="1"/>
        <v>0</v>
      </c>
      <c r="J24" s="26">
        <f t="shared" si="2"/>
        <v>0</v>
      </c>
      <c r="K24" s="57" t="str">
        <f t="shared" si="3"/>
        <v>✅ Cleared</v>
      </c>
    </row>
    <row r="25" spans="1:11" ht="15.75" customHeight="1" x14ac:dyDescent="0.25">
      <c r="A25" s="6">
        <f>IFERROR(Members!A26,"")</f>
        <v>0</v>
      </c>
      <c r="B25" s="4">
        <f>IFERROR(Members!B26,"")</f>
        <v>0</v>
      </c>
      <c r="C25" s="56">
        <f>IF(A25="","",IFERROR(SUMIF(Loans!C$4:C$1003,A25,Loans!E$4:E$1003),0))</f>
        <v>0</v>
      </c>
      <c r="D25" s="21">
        <f>0</f>
        <v>0</v>
      </c>
      <c r="E25" s="2">
        <f t="shared" si="0"/>
        <v>0</v>
      </c>
      <c r="F25" s="24">
        <f>IF(A25="","",IFERROR(SUMIF(Interest_Engine!A$4:A$103,A25,Interest_Engine!AQ$4:AQ$103),0))</f>
        <v>0</v>
      </c>
      <c r="G25" s="25">
        <f>IF(A25="","",IFERROR(SUMIF(Loans!C$4:C$1003,A25,Loans!K$4:K$1003),0))</f>
        <v>0</v>
      </c>
      <c r="H25" s="25">
        <f>IF(A25="","",IFERROR(SUMIF(Int_Repayments!A$4:A$1003,A25,Int_Repayments!F$4:F$1003),0))</f>
        <v>0</v>
      </c>
      <c r="I25" s="2">
        <f t="shared" si="1"/>
        <v>0</v>
      </c>
      <c r="J25" s="26">
        <f t="shared" si="2"/>
        <v>0</v>
      </c>
      <c r="K25" s="57" t="str">
        <f t="shared" si="3"/>
        <v>✅ Cleared</v>
      </c>
    </row>
    <row r="26" spans="1:11" ht="15.75" customHeight="1" x14ac:dyDescent="0.25">
      <c r="A26" s="6">
        <f>IFERROR(Members!A27,"")</f>
        <v>0</v>
      </c>
      <c r="B26" s="4">
        <f>IFERROR(Members!B27,"")</f>
        <v>0</v>
      </c>
      <c r="C26" s="56">
        <f>IF(A26="","",IFERROR(SUMIF(Loans!C$4:C$1003,A26,Loans!E$4:E$1003),0))</f>
        <v>0</v>
      </c>
      <c r="D26" s="21">
        <f>0</f>
        <v>0</v>
      </c>
      <c r="E26" s="2">
        <f t="shared" si="0"/>
        <v>0</v>
      </c>
      <c r="F26" s="24">
        <f>IF(A26="","",IFERROR(SUMIF(Interest_Engine!A$4:A$103,A26,Interest_Engine!AQ$4:AQ$103),0))</f>
        <v>0</v>
      </c>
      <c r="G26" s="25">
        <f>IF(A26="","",IFERROR(SUMIF(Loans!C$4:C$1003,A26,Loans!K$4:K$1003),0))</f>
        <v>0</v>
      </c>
      <c r="H26" s="25">
        <f>IF(A26="","",IFERROR(SUMIF(Int_Repayments!A$4:A$1003,A26,Int_Repayments!F$4:F$1003),0))</f>
        <v>0</v>
      </c>
      <c r="I26" s="2">
        <f t="shared" si="1"/>
        <v>0</v>
      </c>
      <c r="J26" s="26">
        <f t="shared" si="2"/>
        <v>0</v>
      </c>
      <c r="K26" s="57" t="str">
        <f t="shared" si="3"/>
        <v>✅ Cleared</v>
      </c>
    </row>
    <row r="27" spans="1:11" ht="15.75" customHeight="1" x14ac:dyDescent="0.25">
      <c r="A27" s="6">
        <f>IFERROR(Members!A28,"")</f>
        <v>0</v>
      </c>
      <c r="B27" s="4">
        <f>IFERROR(Members!B28,"")</f>
        <v>0</v>
      </c>
      <c r="C27" s="56">
        <f>IF(A27="","",IFERROR(SUMIF(Loans!C$4:C$1003,A27,Loans!E$4:E$1003),0))</f>
        <v>0</v>
      </c>
      <c r="D27" s="21">
        <f>0</f>
        <v>0</v>
      </c>
      <c r="E27" s="2">
        <f t="shared" si="0"/>
        <v>0</v>
      </c>
      <c r="F27" s="24">
        <f>IF(A27="","",IFERROR(SUMIF(Interest_Engine!A$4:A$103,A27,Interest_Engine!AQ$4:AQ$103),0))</f>
        <v>0</v>
      </c>
      <c r="G27" s="25">
        <f>IF(A27="","",IFERROR(SUMIF(Loans!C$4:C$1003,A27,Loans!K$4:K$1003),0))</f>
        <v>0</v>
      </c>
      <c r="H27" s="25">
        <f>IF(A27="","",IFERROR(SUMIF(Int_Repayments!A$4:A$1003,A27,Int_Repayments!F$4:F$1003),0))</f>
        <v>0</v>
      </c>
      <c r="I27" s="2">
        <f t="shared" si="1"/>
        <v>0</v>
      </c>
      <c r="J27" s="26">
        <f t="shared" si="2"/>
        <v>0</v>
      </c>
      <c r="K27" s="57" t="str">
        <f t="shared" si="3"/>
        <v>✅ Cleared</v>
      </c>
    </row>
    <row r="28" spans="1:11" ht="15.75" customHeight="1" x14ac:dyDescent="0.25">
      <c r="A28" s="6">
        <f>IFERROR(Members!A29,"")</f>
        <v>0</v>
      </c>
      <c r="B28" s="4">
        <f>IFERROR(Members!B29,"")</f>
        <v>0</v>
      </c>
      <c r="C28" s="56">
        <f>IF(A28="","",IFERROR(SUMIF(Loans!C$4:C$1003,A28,Loans!E$4:E$1003),0))</f>
        <v>0</v>
      </c>
      <c r="D28" s="21">
        <f>0</f>
        <v>0</v>
      </c>
      <c r="E28" s="2">
        <f t="shared" si="0"/>
        <v>0</v>
      </c>
      <c r="F28" s="24">
        <f>IF(A28="","",IFERROR(SUMIF(Interest_Engine!A$4:A$103,A28,Interest_Engine!AQ$4:AQ$103),0))</f>
        <v>0</v>
      </c>
      <c r="G28" s="25">
        <f>IF(A28="","",IFERROR(SUMIF(Loans!C$4:C$1003,A28,Loans!K$4:K$1003),0))</f>
        <v>0</v>
      </c>
      <c r="H28" s="25">
        <f>IF(A28="","",IFERROR(SUMIF(Int_Repayments!A$4:A$1003,A28,Int_Repayments!F$4:F$1003),0))</f>
        <v>0</v>
      </c>
      <c r="I28" s="2">
        <f t="shared" si="1"/>
        <v>0</v>
      </c>
      <c r="J28" s="26">
        <f t="shared" si="2"/>
        <v>0</v>
      </c>
      <c r="K28" s="57" t="str">
        <f t="shared" si="3"/>
        <v>✅ Cleared</v>
      </c>
    </row>
    <row r="29" spans="1:11" ht="15.75" customHeight="1" x14ac:dyDescent="0.25">
      <c r="A29" s="6">
        <f>IFERROR(Members!A30,"")</f>
        <v>0</v>
      </c>
      <c r="B29" s="4">
        <f>IFERROR(Members!B30,"")</f>
        <v>0</v>
      </c>
      <c r="C29" s="56">
        <f>IF(A29="","",IFERROR(SUMIF(Loans!C$4:C$1003,A29,Loans!E$4:E$1003),0))</f>
        <v>0</v>
      </c>
      <c r="D29" s="21">
        <f>0</f>
        <v>0</v>
      </c>
      <c r="E29" s="2">
        <f t="shared" si="0"/>
        <v>0</v>
      </c>
      <c r="F29" s="24">
        <f>IF(A29="","",IFERROR(SUMIF(Interest_Engine!A$4:A$103,A29,Interest_Engine!AQ$4:AQ$103),0))</f>
        <v>0</v>
      </c>
      <c r="G29" s="25">
        <f>IF(A29="","",IFERROR(SUMIF(Loans!C$4:C$1003,A29,Loans!K$4:K$1003),0))</f>
        <v>0</v>
      </c>
      <c r="H29" s="25">
        <f>IF(A29="","",IFERROR(SUMIF(Int_Repayments!A$4:A$1003,A29,Int_Repayments!F$4:F$1003),0))</f>
        <v>0</v>
      </c>
      <c r="I29" s="2">
        <f t="shared" si="1"/>
        <v>0</v>
      </c>
      <c r="J29" s="26">
        <f t="shared" si="2"/>
        <v>0</v>
      </c>
      <c r="K29" s="57" t="str">
        <f t="shared" si="3"/>
        <v>✅ Cleared</v>
      </c>
    </row>
    <row r="30" spans="1:11" ht="15.75" customHeight="1" x14ac:dyDescent="0.25">
      <c r="A30" s="6">
        <f>IFERROR(Members!A31,"")</f>
        <v>0</v>
      </c>
      <c r="B30" s="4">
        <f>IFERROR(Members!B31,"")</f>
        <v>0</v>
      </c>
      <c r="C30" s="56">
        <f>IF(A30="","",IFERROR(SUMIF(Loans!C$4:C$1003,A30,Loans!E$4:E$1003),0))</f>
        <v>0</v>
      </c>
      <c r="D30" s="21">
        <f>0</f>
        <v>0</v>
      </c>
      <c r="E30" s="2">
        <f t="shared" si="0"/>
        <v>0</v>
      </c>
      <c r="F30" s="24">
        <f>IF(A30="","",IFERROR(SUMIF(Interest_Engine!A$4:A$103,A30,Interest_Engine!AQ$4:AQ$103),0))</f>
        <v>0</v>
      </c>
      <c r="G30" s="25">
        <f>IF(A30="","",IFERROR(SUMIF(Loans!C$4:C$1003,A30,Loans!K$4:K$1003),0))</f>
        <v>0</v>
      </c>
      <c r="H30" s="25">
        <f>IF(A30="","",IFERROR(SUMIF(Int_Repayments!A$4:A$1003,A30,Int_Repayments!F$4:F$1003),0))</f>
        <v>0</v>
      </c>
      <c r="I30" s="2">
        <f t="shared" si="1"/>
        <v>0</v>
      </c>
      <c r="J30" s="26">
        <f t="shared" si="2"/>
        <v>0</v>
      </c>
      <c r="K30" s="57" t="str">
        <f t="shared" si="3"/>
        <v>✅ Cleared</v>
      </c>
    </row>
    <row r="31" spans="1:11" ht="15.75" customHeight="1" x14ac:dyDescent="0.25">
      <c r="A31" s="6">
        <f>IFERROR(Members!A32,"")</f>
        <v>0</v>
      </c>
      <c r="B31" s="4">
        <f>IFERROR(Members!B32,"")</f>
        <v>0</v>
      </c>
      <c r="C31" s="56">
        <f>IF(A31="","",IFERROR(SUMIF(Loans!C$4:C$1003,A31,Loans!E$4:E$1003),0))</f>
        <v>0</v>
      </c>
      <c r="D31" s="21">
        <f>0</f>
        <v>0</v>
      </c>
      <c r="E31" s="2">
        <f t="shared" si="0"/>
        <v>0</v>
      </c>
      <c r="F31" s="24">
        <f>IF(A31="","",IFERROR(SUMIF(Interest_Engine!A$4:A$103,A31,Interest_Engine!AQ$4:AQ$103),0))</f>
        <v>0</v>
      </c>
      <c r="G31" s="25">
        <f>IF(A31="","",IFERROR(SUMIF(Loans!C$4:C$1003,A31,Loans!K$4:K$1003),0))</f>
        <v>0</v>
      </c>
      <c r="H31" s="25">
        <f>IF(A31="","",IFERROR(SUMIF(Int_Repayments!A$4:A$1003,A31,Int_Repayments!F$4:F$1003),0))</f>
        <v>0</v>
      </c>
      <c r="I31" s="2">
        <f t="shared" si="1"/>
        <v>0</v>
      </c>
      <c r="J31" s="26">
        <f t="shared" si="2"/>
        <v>0</v>
      </c>
      <c r="K31" s="57" t="str">
        <f t="shared" si="3"/>
        <v>✅ Cleared</v>
      </c>
    </row>
    <row r="32" spans="1:11" ht="15.75" customHeight="1" x14ac:dyDescent="0.25">
      <c r="A32" s="6">
        <f>IFERROR(Members!A33,"")</f>
        <v>0</v>
      </c>
      <c r="B32" s="4">
        <f>IFERROR(Members!B33,"")</f>
        <v>0</v>
      </c>
      <c r="C32" s="56">
        <f>IF(A32="","",IFERROR(SUMIF(Loans!C$4:C$1003,A32,Loans!E$4:E$1003),0))</f>
        <v>0</v>
      </c>
      <c r="D32" s="21">
        <f>0</f>
        <v>0</v>
      </c>
      <c r="E32" s="2">
        <f t="shared" si="0"/>
        <v>0</v>
      </c>
      <c r="F32" s="24">
        <f>IF(A32="","",IFERROR(SUMIF(Interest_Engine!A$4:A$103,A32,Interest_Engine!AQ$4:AQ$103),0))</f>
        <v>0</v>
      </c>
      <c r="G32" s="25">
        <f>IF(A32="","",IFERROR(SUMIF(Loans!C$4:C$1003,A32,Loans!K$4:K$1003),0))</f>
        <v>0</v>
      </c>
      <c r="H32" s="25">
        <f>IF(A32="","",IFERROR(SUMIF(Int_Repayments!A$4:A$1003,A32,Int_Repayments!F$4:F$1003),0))</f>
        <v>0</v>
      </c>
      <c r="I32" s="2">
        <f t="shared" si="1"/>
        <v>0</v>
      </c>
      <c r="J32" s="26">
        <f t="shared" si="2"/>
        <v>0</v>
      </c>
      <c r="K32" s="57" t="str">
        <f t="shared" si="3"/>
        <v>✅ Cleared</v>
      </c>
    </row>
    <row r="33" spans="1:11" ht="15.75" customHeight="1" x14ac:dyDescent="0.25">
      <c r="A33" s="6">
        <f>IFERROR(Members!A34,"")</f>
        <v>0</v>
      </c>
      <c r="B33" s="4">
        <f>IFERROR(Members!B34,"")</f>
        <v>0</v>
      </c>
      <c r="C33" s="56">
        <f>IF(A33="","",IFERROR(SUMIF(Loans!C$4:C$1003,A33,Loans!E$4:E$1003),0))</f>
        <v>0</v>
      </c>
      <c r="D33" s="21">
        <f>0</f>
        <v>0</v>
      </c>
      <c r="E33" s="2">
        <f t="shared" si="0"/>
        <v>0</v>
      </c>
      <c r="F33" s="24">
        <f>IF(A33="","",IFERROR(SUMIF(Interest_Engine!A$4:A$103,A33,Interest_Engine!AQ$4:AQ$103),0))</f>
        <v>0</v>
      </c>
      <c r="G33" s="25">
        <f>IF(A33="","",IFERROR(SUMIF(Loans!C$4:C$1003,A33,Loans!K$4:K$1003),0))</f>
        <v>0</v>
      </c>
      <c r="H33" s="25">
        <f>IF(A33="","",IFERROR(SUMIF(Int_Repayments!A$4:A$1003,A33,Int_Repayments!F$4:F$1003),0))</f>
        <v>0</v>
      </c>
      <c r="I33" s="2">
        <f t="shared" si="1"/>
        <v>0</v>
      </c>
      <c r="J33" s="26">
        <f t="shared" si="2"/>
        <v>0</v>
      </c>
      <c r="K33" s="57" t="str">
        <f t="shared" si="3"/>
        <v>✅ Cleared</v>
      </c>
    </row>
    <row r="34" spans="1:11" ht="15.75" customHeight="1" x14ac:dyDescent="0.25">
      <c r="A34" s="6">
        <f>IFERROR(Members!A35,"")</f>
        <v>0</v>
      </c>
      <c r="B34" s="4">
        <f>IFERROR(Members!B35,"")</f>
        <v>0</v>
      </c>
      <c r="C34" s="56">
        <f>IF(A34="","",IFERROR(SUMIF(Loans!C$4:C$1003,A34,Loans!E$4:E$1003),0))</f>
        <v>0</v>
      </c>
      <c r="D34" s="21">
        <f>0</f>
        <v>0</v>
      </c>
      <c r="E34" s="2">
        <f t="shared" si="0"/>
        <v>0</v>
      </c>
      <c r="F34" s="24">
        <f>IF(A34="","",IFERROR(SUMIF(Interest_Engine!A$4:A$103,A34,Interest_Engine!AQ$4:AQ$103),0))</f>
        <v>0</v>
      </c>
      <c r="G34" s="25">
        <f>IF(A34="","",IFERROR(SUMIF(Loans!C$4:C$1003,A34,Loans!K$4:K$1003),0))</f>
        <v>0</v>
      </c>
      <c r="H34" s="25">
        <f>IF(A34="","",IFERROR(SUMIF(Int_Repayments!A$4:A$1003,A34,Int_Repayments!F$4:F$1003),0))</f>
        <v>0</v>
      </c>
      <c r="I34" s="2">
        <f t="shared" si="1"/>
        <v>0</v>
      </c>
      <c r="J34" s="26">
        <f t="shared" si="2"/>
        <v>0</v>
      </c>
      <c r="K34" s="57" t="str">
        <f t="shared" si="3"/>
        <v>✅ Cleared</v>
      </c>
    </row>
    <row r="35" spans="1:11" ht="15.75" customHeight="1" x14ac:dyDescent="0.25">
      <c r="A35" s="6">
        <f>IFERROR(Members!A36,"")</f>
        <v>0</v>
      </c>
      <c r="B35" s="4">
        <f>IFERROR(Members!B36,"")</f>
        <v>0</v>
      </c>
      <c r="C35" s="56">
        <f>IF(A35="","",IFERROR(SUMIF(Loans!C$4:C$1003,A35,Loans!E$4:E$1003),0))</f>
        <v>0</v>
      </c>
      <c r="D35" s="21">
        <f>0</f>
        <v>0</v>
      </c>
      <c r="E35" s="2">
        <f t="shared" ref="E35:E66" si="4">IF(A35="","",C35+D35)</f>
        <v>0</v>
      </c>
      <c r="F35" s="24">
        <f>IF(A35="","",IFERROR(SUMIF(Interest_Engine!A$4:A$103,A35,Interest_Engine!AQ$4:AQ$103),0))</f>
        <v>0</v>
      </c>
      <c r="G35" s="25">
        <f>IF(A35="","",IFERROR(SUMIF(Loans!C$4:C$1003,A35,Loans!K$4:K$1003),0))</f>
        <v>0</v>
      </c>
      <c r="H35" s="25">
        <f>IF(A35="","",IFERROR(SUMIF(Int_Repayments!A$4:A$1003,A35,Int_Repayments!F$4:F$1003),0))</f>
        <v>0</v>
      </c>
      <c r="I35" s="2">
        <f t="shared" ref="I35:I66" si="5">IF(A35="","",G35+H35)</f>
        <v>0</v>
      </c>
      <c r="J35" s="26">
        <f t="shared" ref="J35:J66" si="6">IF(A35="","",MAX(0,(E35+F35)-I35))</f>
        <v>0</v>
      </c>
      <c r="K35" s="57" t="str">
        <f t="shared" ref="K35:K66" si="7">IF(A35="","",IF(J35&lt;=0,"✅ Cleared","⏳ Active"))</f>
        <v>✅ Cleared</v>
      </c>
    </row>
    <row r="36" spans="1:11" ht="15.75" customHeight="1" x14ac:dyDescent="0.25">
      <c r="A36" s="6">
        <f>IFERROR(Members!A37,"")</f>
        <v>0</v>
      </c>
      <c r="B36" s="4">
        <f>IFERROR(Members!B37,"")</f>
        <v>0</v>
      </c>
      <c r="C36" s="56">
        <f>IF(A36="","",IFERROR(SUMIF(Loans!C$4:C$1003,A36,Loans!E$4:E$1003),0))</f>
        <v>0</v>
      </c>
      <c r="D36" s="21">
        <f>0</f>
        <v>0</v>
      </c>
      <c r="E36" s="2">
        <f t="shared" si="4"/>
        <v>0</v>
      </c>
      <c r="F36" s="24">
        <f>IF(A36="","",IFERROR(SUMIF(Interest_Engine!A$4:A$103,A36,Interest_Engine!AQ$4:AQ$103),0))</f>
        <v>0</v>
      </c>
      <c r="G36" s="25">
        <f>IF(A36="","",IFERROR(SUMIF(Loans!C$4:C$1003,A36,Loans!K$4:K$1003),0))</f>
        <v>0</v>
      </c>
      <c r="H36" s="25">
        <f>IF(A36="","",IFERROR(SUMIF(Int_Repayments!A$4:A$1003,A36,Int_Repayments!F$4:F$1003),0))</f>
        <v>0</v>
      </c>
      <c r="I36" s="2">
        <f t="shared" si="5"/>
        <v>0</v>
      </c>
      <c r="J36" s="26">
        <f t="shared" si="6"/>
        <v>0</v>
      </c>
      <c r="K36" s="57" t="str">
        <f t="shared" si="7"/>
        <v>✅ Cleared</v>
      </c>
    </row>
    <row r="37" spans="1:11" ht="15.75" customHeight="1" x14ac:dyDescent="0.25">
      <c r="A37" s="6">
        <f>IFERROR(Members!A38,"")</f>
        <v>0</v>
      </c>
      <c r="B37" s="4">
        <f>IFERROR(Members!B38,"")</f>
        <v>0</v>
      </c>
      <c r="C37" s="56">
        <f>IF(A37="","",IFERROR(SUMIF(Loans!C$4:C$1003,A37,Loans!E$4:E$1003),0))</f>
        <v>0</v>
      </c>
      <c r="D37" s="21">
        <f>0</f>
        <v>0</v>
      </c>
      <c r="E37" s="2">
        <f t="shared" si="4"/>
        <v>0</v>
      </c>
      <c r="F37" s="24">
        <f>IF(A37="","",IFERROR(SUMIF(Interest_Engine!A$4:A$103,A37,Interest_Engine!AQ$4:AQ$103),0))</f>
        <v>0</v>
      </c>
      <c r="G37" s="25">
        <f>IF(A37="","",IFERROR(SUMIF(Loans!C$4:C$1003,A37,Loans!K$4:K$1003),0))</f>
        <v>0</v>
      </c>
      <c r="H37" s="25">
        <f>IF(A37="","",IFERROR(SUMIF(Int_Repayments!A$4:A$1003,A37,Int_Repayments!F$4:F$1003),0))</f>
        <v>0</v>
      </c>
      <c r="I37" s="2">
        <f t="shared" si="5"/>
        <v>0</v>
      </c>
      <c r="J37" s="26">
        <f t="shared" si="6"/>
        <v>0</v>
      </c>
      <c r="K37" s="57" t="str">
        <f t="shared" si="7"/>
        <v>✅ Cleared</v>
      </c>
    </row>
    <row r="38" spans="1:11" ht="15.75" customHeight="1" x14ac:dyDescent="0.25">
      <c r="A38" s="6">
        <f>IFERROR(Members!A39,"")</f>
        <v>0</v>
      </c>
      <c r="B38" s="4">
        <f>IFERROR(Members!B39,"")</f>
        <v>0</v>
      </c>
      <c r="C38" s="56">
        <f>IF(A38="","",IFERROR(SUMIF(Loans!C$4:C$1003,A38,Loans!E$4:E$1003),0))</f>
        <v>0</v>
      </c>
      <c r="D38" s="21">
        <f>0</f>
        <v>0</v>
      </c>
      <c r="E38" s="2">
        <f t="shared" si="4"/>
        <v>0</v>
      </c>
      <c r="F38" s="24">
        <f>IF(A38="","",IFERROR(SUMIF(Interest_Engine!A$4:A$103,A38,Interest_Engine!AQ$4:AQ$103),0))</f>
        <v>0</v>
      </c>
      <c r="G38" s="25">
        <f>IF(A38="","",IFERROR(SUMIF(Loans!C$4:C$1003,A38,Loans!K$4:K$1003),0))</f>
        <v>0</v>
      </c>
      <c r="H38" s="25">
        <f>IF(A38="","",IFERROR(SUMIF(Int_Repayments!A$4:A$1003,A38,Int_Repayments!F$4:F$1003),0))</f>
        <v>0</v>
      </c>
      <c r="I38" s="2">
        <f t="shared" si="5"/>
        <v>0</v>
      </c>
      <c r="J38" s="26">
        <f t="shared" si="6"/>
        <v>0</v>
      </c>
      <c r="K38" s="57" t="str">
        <f t="shared" si="7"/>
        <v>✅ Cleared</v>
      </c>
    </row>
    <row r="39" spans="1:11" ht="15.75" customHeight="1" x14ac:dyDescent="0.25">
      <c r="A39" s="6">
        <f>IFERROR(Members!A40,"")</f>
        <v>0</v>
      </c>
      <c r="B39" s="4">
        <f>IFERROR(Members!B40,"")</f>
        <v>0</v>
      </c>
      <c r="C39" s="56">
        <f>IF(A39="","",IFERROR(SUMIF(Loans!C$4:C$1003,A39,Loans!E$4:E$1003),0))</f>
        <v>0</v>
      </c>
      <c r="D39" s="21">
        <f>0</f>
        <v>0</v>
      </c>
      <c r="E39" s="2">
        <f t="shared" si="4"/>
        <v>0</v>
      </c>
      <c r="F39" s="24">
        <f>IF(A39="","",IFERROR(SUMIF(Interest_Engine!A$4:A$103,A39,Interest_Engine!AQ$4:AQ$103),0))</f>
        <v>0</v>
      </c>
      <c r="G39" s="25">
        <f>IF(A39="","",IFERROR(SUMIF(Loans!C$4:C$1003,A39,Loans!K$4:K$1003),0))</f>
        <v>0</v>
      </c>
      <c r="H39" s="25">
        <f>IF(A39="","",IFERROR(SUMIF(Int_Repayments!A$4:A$1003,A39,Int_Repayments!F$4:F$1003),0))</f>
        <v>0</v>
      </c>
      <c r="I39" s="2">
        <f t="shared" si="5"/>
        <v>0</v>
      </c>
      <c r="J39" s="26">
        <f t="shared" si="6"/>
        <v>0</v>
      </c>
      <c r="K39" s="57" t="str">
        <f t="shared" si="7"/>
        <v>✅ Cleared</v>
      </c>
    </row>
    <row r="40" spans="1:11" ht="15.75" customHeight="1" x14ac:dyDescent="0.25">
      <c r="A40" s="6">
        <f>IFERROR(Members!A41,"")</f>
        <v>0</v>
      </c>
      <c r="B40" s="4">
        <f>IFERROR(Members!B41,"")</f>
        <v>0</v>
      </c>
      <c r="C40" s="56">
        <f>IF(A40="","",IFERROR(SUMIF(Loans!C$4:C$1003,A40,Loans!E$4:E$1003),0))</f>
        <v>0</v>
      </c>
      <c r="D40" s="21">
        <f>0</f>
        <v>0</v>
      </c>
      <c r="E40" s="2">
        <f t="shared" si="4"/>
        <v>0</v>
      </c>
      <c r="F40" s="24">
        <f>IF(A40="","",IFERROR(SUMIF(Interest_Engine!A$4:A$103,A40,Interest_Engine!AQ$4:AQ$103),0))</f>
        <v>0</v>
      </c>
      <c r="G40" s="25">
        <f>IF(A40="","",IFERROR(SUMIF(Loans!C$4:C$1003,A40,Loans!K$4:K$1003),0))</f>
        <v>0</v>
      </c>
      <c r="H40" s="25">
        <f>IF(A40="","",IFERROR(SUMIF(Int_Repayments!A$4:A$1003,A40,Int_Repayments!F$4:F$1003),0))</f>
        <v>0</v>
      </c>
      <c r="I40" s="2">
        <f t="shared" si="5"/>
        <v>0</v>
      </c>
      <c r="J40" s="26">
        <f t="shared" si="6"/>
        <v>0</v>
      </c>
      <c r="K40" s="57" t="str">
        <f t="shared" si="7"/>
        <v>✅ Cleared</v>
      </c>
    </row>
    <row r="41" spans="1:11" ht="15.75" customHeight="1" x14ac:dyDescent="0.25">
      <c r="A41" s="6">
        <f>IFERROR(Members!A42,"")</f>
        <v>0</v>
      </c>
      <c r="B41" s="4">
        <f>IFERROR(Members!B42,"")</f>
        <v>0</v>
      </c>
      <c r="C41" s="56">
        <f>IF(A41="","",IFERROR(SUMIF(Loans!C$4:C$1003,A41,Loans!E$4:E$1003),0))</f>
        <v>0</v>
      </c>
      <c r="D41" s="21">
        <f>0</f>
        <v>0</v>
      </c>
      <c r="E41" s="2">
        <f t="shared" si="4"/>
        <v>0</v>
      </c>
      <c r="F41" s="24">
        <f>IF(A41="","",IFERROR(SUMIF(Interest_Engine!A$4:A$103,A41,Interest_Engine!AQ$4:AQ$103),0))</f>
        <v>0</v>
      </c>
      <c r="G41" s="25">
        <f>IF(A41="","",IFERROR(SUMIF(Loans!C$4:C$1003,A41,Loans!K$4:K$1003),0))</f>
        <v>0</v>
      </c>
      <c r="H41" s="25">
        <f>IF(A41="","",IFERROR(SUMIF(Int_Repayments!A$4:A$1003,A41,Int_Repayments!F$4:F$1003),0))</f>
        <v>0</v>
      </c>
      <c r="I41" s="2">
        <f t="shared" si="5"/>
        <v>0</v>
      </c>
      <c r="J41" s="26">
        <f t="shared" si="6"/>
        <v>0</v>
      </c>
      <c r="K41" s="57" t="str">
        <f t="shared" si="7"/>
        <v>✅ Cleared</v>
      </c>
    </row>
    <row r="42" spans="1:11" ht="15.75" customHeight="1" x14ac:dyDescent="0.25">
      <c r="A42" s="6">
        <f>IFERROR(Members!A43,"")</f>
        <v>0</v>
      </c>
      <c r="B42" s="4">
        <f>IFERROR(Members!B43,"")</f>
        <v>0</v>
      </c>
      <c r="C42" s="56">
        <f>IF(A42="","",IFERROR(SUMIF(Loans!C$4:C$1003,A42,Loans!E$4:E$1003),0))</f>
        <v>0</v>
      </c>
      <c r="D42" s="21">
        <f>0</f>
        <v>0</v>
      </c>
      <c r="E42" s="2">
        <f t="shared" si="4"/>
        <v>0</v>
      </c>
      <c r="F42" s="24">
        <f>IF(A42="","",IFERROR(SUMIF(Interest_Engine!A$4:A$103,A42,Interest_Engine!AQ$4:AQ$103),0))</f>
        <v>0</v>
      </c>
      <c r="G42" s="25">
        <f>IF(A42="","",IFERROR(SUMIF(Loans!C$4:C$1003,A42,Loans!K$4:K$1003),0))</f>
        <v>0</v>
      </c>
      <c r="H42" s="25">
        <f>IF(A42="","",IFERROR(SUMIF(Int_Repayments!A$4:A$1003,A42,Int_Repayments!F$4:F$1003),0))</f>
        <v>0</v>
      </c>
      <c r="I42" s="2">
        <f t="shared" si="5"/>
        <v>0</v>
      </c>
      <c r="J42" s="26">
        <f t="shared" si="6"/>
        <v>0</v>
      </c>
      <c r="K42" s="57" t="str">
        <f t="shared" si="7"/>
        <v>✅ Cleared</v>
      </c>
    </row>
    <row r="43" spans="1:11" ht="15.75" customHeight="1" x14ac:dyDescent="0.25">
      <c r="A43" s="6">
        <f>IFERROR(Members!A44,"")</f>
        <v>0</v>
      </c>
      <c r="B43" s="4">
        <f>IFERROR(Members!B44,"")</f>
        <v>0</v>
      </c>
      <c r="C43" s="56">
        <f>IF(A43="","",IFERROR(SUMIF(Loans!C$4:C$1003,A43,Loans!E$4:E$1003),0))</f>
        <v>0</v>
      </c>
      <c r="D43" s="21">
        <f>0</f>
        <v>0</v>
      </c>
      <c r="E43" s="2">
        <f t="shared" si="4"/>
        <v>0</v>
      </c>
      <c r="F43" s="24">
        <f>IF(A43="","",IFERROR(SUMIF(Interest_Engine!A$4:A$103,A43,Interest_Engine!AQ$4:AQ$103),0))</f>
        <v>0</v>
      </c>
      <c r="G43" s="25">
        <f>IF(A43="","",IFERROR(SUMIF(Loans!C$4:C$1003,A43,Loans!K$4:K$1003),0))</f>
        <v>0</v>
      </c>
      <c r="H43" s="25">
        <f>IF(A43="","",IFERROR(SUMIF(Int_Repayments!A$4:A$1003,A43,Int_Repayments!F$4:F$1003),0))</f>
        <v>0</v>
      </c>
      <c r="I43" s="2">
        <f t="shared" si="5"/>
        <v>0</v>
      </c>
      <c r="J43" s="26">
        <f t="shared" si="6"/>
        <v>0</v>
      </c>
      <c r="K43" s="57" t="str">
        <f t="shared" si="7"/>
        <v>✅ Cleared</v>
      </c>
    </row>
    <row r="44" spans="1:11" ht="15.75" customHeight="1" x14ac:dyDescent="0.25">
      <c r="A44" s="6">
        <f>IFERROR(Members!A45,"")</f>
        <v>0</v>
      </c>
      <c r="B44" s="4">
        <f>IFERROR(Members!B45,"")</f>
        <v>0</v>
      </c>
      <c r="C44" s="56">
        <f>IF(A44="","",IFERROR(SUMIF(Loans!C$4:C$1003,A44,Loans!E$4:E$1003),0))</f>
        <v>0</v>
      </c>
      <c r="D44" s="21">
        <f>0</f>
        <v>0</v>
      </c>
      <c r="E44" s="2">
        <f t="shared" si="4"/>
        <v>0</v>
      </c>
      <c r="F44" s="24">
        <f>IF(A44="","",IFERROR(SUMIF(Interest_Engine!A$4:A$103,A44,Interest_Engine!AQ$4:AQ$103),0))</f>
        <v>0</v>
      </c>
      <c r="G44" s="25">
        <f>IF(A44="","",IFERROR(SUMIF(Loans!C$4:C$1003,A44,Loans!K$4:K$1003),0))</f>
        <v>0</v>
      </c>
      <c r="H44" s="25">
        <f>IF(A44="","",IFERROR(SUMIF(Int_Repayments!A$4:A$1003,A44,Int_Repayments!F$4:F$1003),0))</f>
        <v>0</v>
      </c>
      <c r="I44" s="2">
        <f t="shared" si="5"/>
        <v>0</v>
      </c>
      <c r="J44" s="26">
        <f t="shared" si="6"/>
        <v>0</v>
      </c>
      <c r="K44" s="57" t="str">
        <f t="shared" si="7"/>
        <v>✅ Cleared</v>
      </c>
    </row>
    <row r="45" spans="1:11" ht="15.75" customHeight="1" x14ac:dyDescent="0.25">
      <c r="A45" s="6">
        <f>IFERROR(Members!A46,"")</f>
        <v>0</v>
      </c>
      <c r="B45" s="4">
        <f>IFERROR(Members!B46,"")</f>
        <v>0</v>
      </c>
      <c r="C45" s="56">
        <f>IF(A45="","",IFERROR(SUMIF(Loans!C$4:C$1003,A45,Loans!E$4:E$1003),0))</f>
        <v>0</v>
      </c>
      <c r="D45" s="21">
        <f>0</f>
        <v>0</v>
      </c>
      <c r="E45" s="2">
        <f t="shared" si="4"/>
        <v>0</v>
      </c>
      <c r="F45" s="24">
        <f>IF(A45="","",IFERROR(SUMIF(Interest_Engine!A$4:A$103,A45,Interest_Engine!AQ$4:AQ$103),0))</f>
        <v>0</v>
      </c>
      <c r="G45" s="25">
        <f>IF(A45="","",IFERROR(SUMIF(Loans!C$4:C$1003,A45,Loans!K$4:K$1003),0))</f>
        <v>0</v>
      </c>
      <c r="H45" s="25">
        <f>IF(A45="","",IFERROR(SUMIF(Int_Repayments!A$4:A$1003,A45,Int_Repayments!F$4:F$1003),0))</f>
        <v>0</v>
      </c>
      <c r="I45" s="2">
        <f t="shared" si="5"/>
        <v>0</v>
      </c>
      <c r="J45" s="26">
        <f t="shared" si="6"/>
        <v>0</v>
      </c>
      <c r="K45" s="57" t="str">
        <f t="shared" si="7"/>
        <v>✅ Cleared</v>
      </c>
    </row>
    <row r="46" spans="1:11" ht="15.75" customHeight="1" x14ac:dyDescent="0.25">
      <c r="A46" s="6">
        <f>IFERROR(Members!A47,"")</f>
        <v>0</v>
      </c>
      <c r="B46" s="4">
        <f>IFERROR(Members!B47,"")</f>
        <v>0</v>
      </c>
      <c r="C46" s="56">
        <f>IF(A46="","",IFERROR(SUMIF(Loans!C$4:C$1003,A46,Loans!E$4:E$1003),0))</f>
        <v>0</v>
      </c>
      <c r="D46" s="21">
        <f>0</f>
        <v>0</v>
      </c>
      <c r="E46" s="2">
        <f t="shared" si="4"/>
        <v>0</v>
      </c>
      <c r="F46" s="24">
        <f>IF(A46="","",IFERROR(SUMIF(Interest_Engine!A$4:A$103,A46,Interest_Engine!AQ$4:AQ$103),0))</f>
        <v>0</v>
      </c>
      <c r="G46" s="25">
        <f>IF(A46="","",IFERROR(SUMIF(Loans!C$4:C$1003,A46,Loans!K$4:K$1003),0))</f>
        <v>0</v>
      </c>
      <c r="H46" s="25">
        <f>IF(A46="","",IFERROR(SUMIF(Int_Repayments!A$4:A$1003,A46,Int_Repayments!F$4:F$1003),0))</f>
        <v>0</v>
      </c>
      <c r="I46" s="2">
        <f t="shared" si="5"/>
        <v>0</v>
      </c>
      <c r="J46" s="26">
        <f t="shared" si="6"/>
        <v>0</v>
      </c>
      <c r="K46" s="57" t="str">
        <f t="shared" si="7"/>
        <v>✅ Cleared</v>
      </c>
    </row>
    <row r="47" spans="1:11" ht="15.75" customHeight="1" x14ac:dyDescent="0.25">
      <c r="A47" s="6">
        <f>IFERROR(Members!A48,"")</f>
        <v>0</v>
      </c>
      <c r="B47" s="4">
        <f>IFERROR(Members!B48,"")</f>
        <v>0</v>
      </c>
      <c r="C47" s="56">
        <f>IF(A47="","",IFERROR(SUMIF(Loans!C$4:C$1003,A47,Loans!E$4:E$1003),0))</f>
        <v>0</v>
      </c>
      <c r="D47" s="21">
        <f>0</f>
        <v>0</v>
      </c>
      <c r="E47" s="2">
        <f t="shared" si="4"/>
        <v>0</v>
      </c>
      <c r="F47" s="24">
        <f>IF(A47="","",IFERROR(SUMIF(Interest_Engine!A$4:A$103,A47,Interest_Engine!AQ$4:AQ$103),0))</f>
        <v>0</v>
      </c>
      <c r="G47" s="25">
        <f>IF(A47="","",IFERROR(SUMIF(Loans!C$4:C$1003,A47,Loans!K$4:K$1003),0))</f>
        <v>0</v>
      </c>
      <c r="H47" s="25">
        <f>IF(A47="","",IFERROR(SUMIF(Int_Repayments!A$4:A$1003,A47,Int_Repayments!F$4:F$1003),0))</f>
        <v>0</v>
      </c>
      <c r="I47" s="2">
        <f t="shared" si="5"/>
        <v>0</v>
      </c>
      <c r="J47" s="26">
        <f t="shared" si="6"/>
        <v>0</v>
      </c>
      <c r="K47" s="57" t="str">
        <f t="shared" si="7"/>
        <v>✅ Cleared</v>
      </c>
    </row>
    <row r="48" spans="1:11" ht="15.75" customHeight="1" x14ac:dyDescent="0.25">
      <c r="A48" s="6">
        <f>IFERROR(Members!A49,"")</f>
        <v>0</v>
      </c>
      <c r="B48" s="4">
        <f>IFERROR(Members!B49,"")</f>
        <v>0</v>
      </c>
      <c r="C48" s="56">
        <f>IF(A48="","",IFERROR(SUMIF(Loans!C$4:C$1003,A48,Loans!E$4:E$1003),0))</f>
        <v>0</v>
      </c>
      <c r="D48" s="21">
        <f>0</f>
        <v>0</v>
      </c>
      <c r="E48" s="2">
        <f t="shared" si="4"/>
        <v>0</v>
      </c>
      <c r="F48" s="24">
        <f>IF(A48="","",IFERROR(SUMIF(Interest_Engine!A$4:A$103,A48,Interest_Engine!AQ$4:AQ$103),0))</f>
        <v>0</v>
      </c>
      <c r="G48" s="25">
        <f>IF(A48="","",IFERROR(SUMIF(Loans!C$4:C$1003,A48,Loans!K$4:K$1003),0))</f>
        <v>0</v>
      </c>
      <c r="H48" s="25">
        <f>IF(A48="","",IFERROR(SUMIF(Int_Repayments!A$4:A$1003,A48,Int_Repayments!F$4:F$1003),0))</f>
        <v>0</v>
      </c>
      <c r="I48" s="2">
        <f t="shared" si="5"/>
        <v>0</v>
      </c>
      <c r="J48" s="26">
        <f t="shared" si="6"/>
        <v>0</v>
      </c>
      <c r="K48" s="57" t="str">
        <f t="shared" si="7"/>
        <v>✅ Cleared</v>
      </c>
    </row>
    <row r="49" spans="1:11" ht="15.75" customHeight="1" x14ac:dyDescent="0.25">
      <c r="A49" s="6">
        <f>IFERROR(Members!A50,"")</f>
        <v>0</v>
      </c>
      <c r="B49" s="4">
        <f>IFERROR(Members!B50,"")</f>
        <v>0</v>
      </c>
      <c r="C49" s="56">
        <f>IF(A49="","",IFERROR(SUMIF(Loans!C$4:C$1003,A49,Loans!E$4:E$1003),0))</f>
        <v>0</v>
      </c>
      <c r="D49" s="21">
        <f>0</f>
        <v>0</v>
      </c>
      <c r="E49" s="2">
        <f t="shared" si="4"/>
        <v>0</v>
      </c>
      <c r="F49" s="24">
        <f>IF(A49="","",IFERROR(SUMIF(Interest_Engine!A$4:A$103,A49,Interest_Engine!AQ$4:AQ$103),0))</f>
        <v>0</v>
      </c>
      <c r="G49" s="25">
        <f>IF(A49="","",IFERROR(SUMIF(Loans!C$4:C$1003,A49,Loans!K$4:K$1003),0))</f>
        <v>0</v>
      </c>
      <c r="H49" s="25">
        <f>IF(A49="","",IFERROR(SUMIF(Int_Repayments!A$4:A$1003,A49,Int_Repayments!F$4:F$1003),0))</f>
        <v>0</v>
      </c>
      <c r="I49" s="2">
        <f t="shared" si="5"/>
        <v>0</v>
      </c>
      <c r="J49" s="26">
        <f t="shared" si="6"/>
        <v>0</v>
      </c>
      <c r="K49" s="57" t="str">
        <f t="shared" si="7"/>
        <v>✅ Cleared</v>
      </c>
    </row>
    <row r="50" spans="1:11" ht="15.75" customHeight="1" x14ac:dyDescent="0.25">
      <c r="A50" s="6">
        <f>IFERROR(Members!A51,"")</f>
        <v>0</v>
      </c>
      <c r="B50" s="4">
        <f>IFERROR(Members!B51,"")</f>
        <v>0</v>
      </c>
      <c r="C50" s="56">
        <f>IF(A50="","",IFERROR(SUMIF(Loans!C$4:C$1003,A50,Loans!E$4:E$1003),0))</f>
        <v>0</v>
      </c>
      <c r="D50" s="21">
        <f>0</f>
        <v>0</v>
      </c>
      <c r="E50" s="2">
        <f t="shared" si="4"/>
        <v>0</v>
      </c>
      <c r="F50" s="24">
        <f>IF(A50="","",IFERROR(SUMIF(Interest_Engine!A$4:A$103,A50,Interest_Engine!AQ$4:AQ$103),0))</f>
        <v>0</v>
      </c>
      <c r="G50" s="25">
        <f>IF(A50="","",IFERROR(SUMIF(Loans!C$4:C$1003,A50,Loans!K$4:K$1003),0))</f>
        <v>0</v>
      </c>
      <c r="H50" s="25">
        <f>IF(A50="","",IFERROR(SUMIF(Int_Repayments!A$4:A$1003,A50,Int_Repayments!F$4:F$1003),0))</f>
        <v>0</v>
      </c>
      <c r="I50" s="2">
        <f t="shared" si="5"/>
        <v>0</v>
      </c>
      <c r="J50" s="26">
        <f t="shared" si="6"/>
        <v>0</v>
      </c>
      <c r="K50" s="57" t="str">
        <f t="shared" si="7"/>
        <v>✅ Cleared</v>
      </c>
    </row>
    <row r="51" spans="1:11" ht="15.75" customHeight="1" x14ac:dyDescent="0.25">
      <c r="A51" s="6">
        <f>IFERROR(Members!A52,"")</f>
        <v>0</v>
      </c>
      <c r="B51" s="4">
        <f>IFERROR(Members!B52,"")</f>
        <v>0</v>
      </c>
      <c r="C51" s="56">
        <f>IF(A51="","",IFERROR(SUMIF(Loans!C$4:C$1003,A51,Loans!E$4:E$1003),0))</f>
        <v>0</v>
      </c>
      <c r="D51" s="21">
        <f>0</f>
        <v>0</v>
      </c>
      <c r="E51" s="2">
        <f t="shared" si="4"/>
        <v>0</v>
      </c>
      <c r="F51" s="24">
        <f>IF(A51="","",IFERROR(SUMIF(Interest_Engine!A$4:A$103,A51,Interest_Engine!AQ$4:AQ$103),0))</f>
        <v>0</v>
      </c>
      <c r="G51" s="25">
        <f>IF(A51="","",IFERROR(SUMIF(Loans!C$4:C$1003,A51,Loans!K$4:K$1003),0))</f>
        <v>0</v>
      </c>
      <c r="H51" s="25">
        <f>IF(A51="","",IFERROR(SUMIF(Int_Repayments!A$4:A$1003,A51,Int_Repayments!F$4:F$1003),0))</f>
        <v>0</v>
      </c>
      <c r="I51" s="2">
        <f t="shared" si="5"/>
        <v>0</v>
      </c>
      <c r="J51" s="26">
        <f t="shared" si="6"/>
        <v>0</v>
      </c>
      <c r="K51" s="57" t="str">
        <f t="shared" si="7"/>
        <v>✅ Cleared</v>
      </c>
    </row>
    <row r="52" spans="1:11" ht="15.75" customHeight="1" x14ac:dyDescent="0.25">
      <c r="A52" s="6">
        <f>IFERROR(Members!A53,"")</f>
        <v>0</v>
      </c>
      <c r="B52" s="4">
        <f>IFERROR(Members!B53,"")</f>
        <v>0</v>
      </c>
      <c r="C52" s="56">
        <f>IF(A52="","",IFERROR(SUMIF(Loans!C$4:C$1003,A52,Loans!E$4:E$1003),0))</f>
        <v>0</v>
      </c>
      <c r="D52" s="21">
        <f>0</f>
        <v>0</v>
      </c>
      <c r="E52" s="2">
        <f t="shared" si="4"/>
        <v>0</v>
      </c>
      <c r="F52" s="24">
        <f>IF(A52="","",IFERROR(SUMIF(Interest_Engine!A$4:A$103,A52,Interest_Engine!AQ$4:AQ$103),0))</f>
        <v>0</v>
      </c>
      <c r="G52" s="25">
        <f>IF(A52="","",IFERROR(SUMIF(Loans!C$4:C$1003,A52,Loans!K$4:K$1003),0))</f>
        <v>0</v>
      </c>
      <c r="H52" s="25">
        <f>IF(A52="","",IFERROR(SUMIF(Int_Repayments!A$4:A$1003,A52,Int_Repayments!F$4:F$1003),0))</f>
        <v>0</v>
      </c>
      <c r="I52" s="2">
        <f t="shared" si="5"/>
        <v>0</v>
      </c>
      <c r="J52" s="26">
        <f t="shared" si="6"/>
        <v>0</v>
      </c>
      <c r="K52" s="57" t="str">
        <f t="shared" si="7"/>
        <v>✅ Cleared</v>
      </c>
    </row>
    <row r="53" spans="1:11" ht="15.75" customHeight="1" x14ac:dyDescent="0.25">
      <c r="A53" s="6">
        <f>IFERROR(Members!A54,"")</f>
        <v>0</v>
      </c>
      <c r="B53" s="4">
        <f>IFERROR(Members!B54,"")</f>
        <v>0</v>
      </c>
      <c r="C53" s="56">
        <f>IF(A53="","",IFERROR(SUMIF(Loans!C$4:C$1003,A53,Loans!E$4:E$1003),0))</f>
        <v>0</v>
      </c>
      <c r="D53" s="21">
        <f>0</f>
        <v>0</v>
      </c>
      <c r="E53" s="2">
        <f t="shared" si="4"/>
        <v>0</v>
      </c>
      <c r="F53" s="24">
        <f>IF(A53="","",IFERROR(SUMIF(Interest_Engine!A$4:A$103,A53,Interest_Engine!AQ$4:AQ$103),0))</f>
        <v>0</v>
      </c>
      <c r="G53" s="25">
        <f>IF(A53="","",IFERROR(SUMIF(Loans!C$4:C$1003,A53,Loans!K$4:K$1003),0))</f>
        <v>0</v>
      </c>
      <c r="H53" s="25">
        <f>IF(A53="","",IFERROR(SUMIF(Int_Repayments!A$4:A$1003,A53,Int_Repayments!F$4:F$1003),0))</f>
        <v>0</v>
      </c>
      <c r="I53" s="2">
        <f t="shared" si="5"/>
        <v>0</v>
      </c>
      <c r="J53" s="26">
        <f t="shared" si="6"/>
        <v>0</v>
      </c>
      <c r="K53" s="57" t="str">
        <f t="shared" si="7"/>
        <v>✅ Cleared</v>
      </c>
    </row>
    <row r="54" spans="1:11" ht="15.75" customHeight="1" x14ac:dyDescent="0.25">
      <c r="A54" s="6">
        <f>IFERROR(Members!A55,"")</f>
        <v>0</v>
      </c>
      <c r="B54" s="4">
        <f>IFERROR(Members!B55,"")</f>
        <v>0</v>
      </c>
      <c r="C54" s="56">
        <f>IF(A54="","",IFERROR(SUMIF(Loans!C$4:C$1003,A54,Loans!E$4:E$1003),0))</f>
        <v>0</v>
      </c>
      <c r="D54" s="21">
        <f>0</f>
        <v>0</v>
      </c>
      <c r="E54" s="2">
        <f t="shared" si="4"/>
        <v>0</v>
      </c>
      <c r="F54" s="24">
        <f>IF(A54="","",IFERROR(SUMIF(Interest_Engine!A$4:A$103,A54,Interest_Engine!AQ$4:AQ$103),0))</f>
        <v>0</v>
      </c>
      <c r="G54" s="25">
        <f>IF(A54="","",IFERROR(SUMIF(Loans!C$4:C$1003,A54,Loans!K$4:K$1003),0))</f>
        <v>0</v>
      </c>
      <c r="H54" s="25">
        <f>IF(A54="","",IFERROR(SUMIF(Int_Repayments!A$4:A$1003,A54,Int_Repayments!F$4:F$1003),0))</f>
        <v>0</v>
      </c>
      <c r="I54" s="2">
        <f t="shared" si="5"/>
        <v>0</v>
      </c>
      <c r="J54" s="26">
        <f t="shared" si="6"/>
        <v>0</v>
      </c>
      <c r="K54" s="57" t="str">
        <f t="shared" si="7"/>
        <v>✅ Cleared</v>
      </c>
    </row>
    <row r="55" spans="1:11" ht="15.75" customHeight="1" x14ac:dyDescent="0.25">
      <c r="A55" s="6">
        <f>IFERROR(Members!A56,"")</f>
        <v>0</v>
      </c>
      <c r="B55" s="4">
        <f>IFERROR(Members!B56,"")</f>
        <v>0</v>
      </c>
      <c r="C55" s="56">
        <f>IF(A55="","",IFERROR(SUMIF(Loans!C$4:C$1003,A55,Loans!E$4:E$1003),0))</f>
        <v>0</v>
      </c>
      <c r="D55" s="21">
        <f>0</f>
        <v>0</v>
      </c>
      <c r="E55" s="2">
        <f t="shared" si="4"/>
        <v>0</v>
      </c>
      <c r="F55" s="24">
        <f>IF(A55="","",IFERROR(SUMIF(Interest_Engine!A$4:A$103,A55,Interest_Engine!AQ$4:AQ$103),0))</f>
        <v>0</v>
      </c>
      <c r="G55" s="25">
        <f>IF(A55="","",IFERROR(SUMIF(Loans!C$4:C$1003,A55,Loans!K$4:K$1003),0))</f>
        <v>0</v>
      </c>
      <c r="H55" s="25">
        <f>IF(A55="","",IFERROR(SUMIF(Int_Repayments!A$4:A$1003,A55,Int_Repayments!F$4:F$1003),0))</f>
        <v>0</v>
      </c>
      <c r="I55" s="2">
        <f t="shared" si="5"/>
        <v>0</v>
      </c>
      <c r="J55" s="26">
        <f t="shared" si="6"/>
        <v>0</v>
      </c>
      <c r="K55" s="57" t="str">
        <f t="shared" si="7"/>
        <v>✅ Cleared</v>
      </c>
    </row>
    <row r="56" spans="1:11" ht="15.75" customHeight="1" x14ac:dyDescent="0.25">
      <c r="A56" s="6">
        <f>IFERROR(Members!A57,"")</f>
        <v>0</v>
      </c>
      <c r="B56" s="4">
        <f>IFERROR(Members!B57,"")</f>
        <v>0</v>
      </c>
      <c r="C56" s="56">
        <f>IF(A56="","",IFERROR(SUMIF(Loans!C$4:C$1003,A56,Loans!E$4:E$1003),0))</f>
        <v>0</v>
      </c>
      <c r="D56" s="21">
        <f>0</f>
        <v>0</v>
      </c>
      <c r="E56" s="2">
        <f t="shared" si="4"/>
        <v>0</v>
      </c>
      <c r="F56" s="24">
        <f>IF(A56="","",IFERROR(SUMIF(Interest_Engine!A$4:A$103,A56,Interest_Engine!AQ$4:AQ$103),0))</f>
        <v>0</v>
      </c>
      <c r="G56" s="25">
        <f>IF(A56="","",IFERROR(SUMIF(Loans!C$4:C$1003,A56,Loans!K$4:K$1003),0))</f>
        <v>0</v>
      </c>
      <c r="H56" s="25">
        <f>IF(A56="","",IFERROR(SUMIF(Int_Repayments!A$4:A$1003,A56,Int_Repayments!F$4:F$1003),0))</f>
        <v>0</v>
      </c>
      <c r="I56" s="2">
        <f t="shared" si="5"/>
        <v>0</v>
      </c>
      <c r="J56" s="26">
        <f t="shared" si="6"/>
        <v>0</v>
      </c>
      <c r="K56" s="57" t="str">
        <f t="shared" si="7"/>
        <v>✅ Cleared</v>
      </c>
    </row>
    <row r="57" spans="1:11" ht="15.75" customHeight="1" x14ac:dyDescent="0.25">
      <c r="A57" s="6">
        <f>IFERROR(Members!A58,"")</f>
        <v>0</v>
      </c>
      <c r="B57" s="4">
        <f>IFERROR(Members!B58,"")</f>
        <v>0</v>
      </c>
      <c r="C57" s="56">
        <f>IF(A57="","",IFERROR(SUMIF(Loans!C$4:C$1003,A57,Loans!E$4:E$1003),0))</f>
        <v>0</v>
      </c>
      <c r="D57" s="21">
        <f>0</f>
        <v>0</v>
      </c>
      <c r="E57" s="2">
        <f t="shared" si="4"/>
        <v>0</v>
      </c>
      <c r="F57" s="24">
        <f>IF(A57="","",IFERROR(SUMIF(Interest_Engine!A$4:A$103,A57,Interest_Engine!AQ$4:AQ$103),0))</f>
        <v>0</v>
      </c>
      <c r="G57" s="25">
        <f>IF(A57="","",IFERROR(SUMIF(Loans!C$4:C$1003,A57,Loans!K$4:K$1003),0))</f>
        <v>0</v>
      </c>
      <c r="H57" s="25">
        <f>IF(A57="","",IFERROR(SUMIF(Int_Repayments!A$4:A$1003,A57,Int_Repayments!F$4:F$1003),0))</f>
        <v>0</v>
      </c>
      <c r="I57" s="2">
        <f t="shared" si="5"/>
        <v>0</v>
      </c>
      <c r="J57" s="26">
        <f t="shared" si="6"/>
        <v>0</v>
      </c>
      <c r="K57" s="57" t="str">
        <f t="shared" si="7"/>
        <v>✅ Cleared</v>
      </c>
    </row>
    <row r="58" spans="1:11" ht="15.75" customHeight="1" x14ac:dyDescent="0.25">
      <c r="A58" s="6">
        <f>IFERROR(Members!A59,"")</f>
        <v>0</v>
      </c>
      <c r="B58" s="4">
        <f>IFERROR(Members!B59,"")</f>
        <v>0</v>
      </c>
      <c r="C58" s="56">
        <f>IF(A58="","",IFERROR(SUMIF(Loans!C$4:C$1003,A58,Loans!E$4:E$1003),0))</f>
        <v>0</v>
      </c>
      <c r="D58" s="21">
        <f>0</f>
        <v>0</v>
      </c>
      <c r="E58" s="2">
        <f t="shared" si="4"/>
        <v>0</v>
      </c>
      <c r="F58" s="24">
        <f>IF(A58="","",IFERROR(SUMIF(Interest_Engine!A$4:A$103,A58,Interest_Engine!AQ$4:AQ$103),0))</f>
        <v>0</v>
      </c>
      <c r="G58" s="25">
        <f>IF(A58="","",IFERROR(SUMIF(Loans!C$4:C$1003,A58,Loans!K$4:K$1003),0))</f>
        <v>0</v>
      </c>
      <c r="H58" s="25">
        <f>IF(A58="","",IFERROR(SUMIF(Int_Repayments!A$4:A$1003,A58,Int_Repayments!F$4:F$1003),0))</f>
        <v>0</v>
      </c>
      <c r="I58" s="2">
        <f t="shared" si="5"/>
        <v>0</v>
      </c>
      <c r="J58" s="26">
        <f t="shared" si="6"/>
        <v>0</v>
      </c>
      <c r="K58" s="57" t="str">
        <f t="shared" si="7"/>
        <v>✅ Cleared</v>
      </c>
    </row>
    <row r="59" spans="1:11" ht="15.75" customHeight="1" x14ac:dyDescent="0.25">
      <c r="A59" s="6">
        <f>IFERROR(Members!A60,"")</f>
        <v>0</v>
      </c>
      <c r="B59" s="4">
        <f>IFERROR(Members!B60,"")</f>
        <v>0</v>
      </c>
      <c r="C59" s="56">
        <f>IF(A59="","",IFERROR(SUMIF(Loans!C$4:C$1003,A59,Loans!E$4:E$1003),0))</f>
        <v>0</v>
      </c>
      <c r="D59" s="21">
        <f>0</f>
        <v>0</v>
      </c>
      <c r="E59" s="2">
        <f t="shared" si="4"/>
        <v>0</v>
      </c>
      <c r="F59" s="24">
        <f>IF(A59="","",IFERROR(SUMIF(Interest_Engine!A$4:A$103,A59,Interest_Engine!AQ$4:AQ$103),0))</f>
        <v>0</v>
      </c>
      <c r="G59" s="25">
        <f>IF(A59="","",IFERROR(SUMIF(Loans!C$4:C$1003,A59,Loans!K$4:K$1003),0))</f>
        <v>0</v>
      </c>
      <c r="H59" s="25">
        <f>IF(A59="","",IFERROR(SUMIF(Int_Repayments!A$4:A$1003,A59,Int_Repayments!F$4:F$1003),0))</f>
        <v>0</v>
      </c>
      <c r="I59" s="2">
        <f t="shared" si="5"/>
        <v>0</v>
      </c>
      <c r="J59" s="26">
        <f t="shared" si="6"/>
        <v>0</v>
      </c>
      <c r="K59" s="57" t="str">
        <f t="shared" si="7"/>
        <v>✅ Cleared</v>
      </c>
    </row>
    <row r="60" spans="1:11" ht="15.75" customHeight="1" x14ac:dyDescent="0.25">
      <c r="A60" s="6">
        <f>IFERROR(Members!A61,"")</f>
        <v>0</v>
      </c>
      <c r="B60" s="4">
        <f>IFERROR(Members!B61,"")</f>
        <v>0</v>
      </c>
      <c r="C60" s="56">
        <f>IF(A60="","",IFERROR(SUMIF(Loans!C$4:C$1003,A60,Loans!E$4:E$1003),0))</f>
        <v>0</v>
      </c>
      <c r="D60" s="21">
        <f>0</f>
        <v>0</v>
      </c>
      <c r="E60" s="2">
        <f t="shared" si="4"/>
        <v>0</v>
      </c>
      <c r="F60" s="24">
        <f>IF(A60="","",IFERROR(SUMIF(Interest_Engine!A$4:A$103,A60,Interest_Engine!AQ$4:AQ$103),0))</f>
        <v>0</v>
      </c>
      <c r="G60" s="25">
        <f>IF(A60="","",IFERROR(SUMIF(Loans!C$4:C$1003,A60,Loans!K$4:K$1003),0))</f>
        <v>0</v>
      </c>
      <c r="H60" s="25">
        <f>IF(A60="","",IFERROR(SUMIF(Int_Repayments!A$4:A$1003,A60,Int_Repayments!F$4:F$1003),0))</f>
        <v>0</v>
      </c>
      <c r="I60" s="2">
        <f t="shared" si="5"/>
        <v>0</v>
      </c>
      <c r="J60" s="26">
        <f t="shared" si="6"/>
        <v>0</v>
      </c>
      <c r="K60" s="57" t="str">
        <f t="shared" si="7"/>
        <v>✅ Cleared</v>
      </c>
    </row>
    <row r="61" spans="1:11" ht="15.75" customHeight="1" x14ac:dyDescent="0.25">
      <c r="A61" s="6">
        <f>IFERROR(Members!A62,"")</f>
        <v>0</v>
      </c>
      <c r="B61" s="4">
        <f>IFERROR(Members!B62,"")</f>
        <v>0</v>
      </c>
      <c r="C61" s="56">
        <f>IF(A61="","",IFERROR(SUMIF(Loans!C$4:C$1003,A61,Loans!E$4:E$1003),0))</f>
        <v>0</v>
      </c>
      <c r="D61" s="21">
        <f>0</f>
        <v>0</v>
      </c>
      <c r="E61" s="2">
        <f t="shared" si="4"/>
        <v>0</v>
      </c>
      <c r="F61" s="24">
        <f>IF(A61="","",IFERROR(SUMIF(Interest_Engine!A$4:A$103,A61,Interest_Engine!AQ$4:AQ$103),0))</f>
        <v>0</v>
      </c>
      <c r="G61" s="25">
        <f>IF(A61="","",IFERROR(SUMIF(Loans!C$4:C$1003,A61,Loans!K$4:K$1003),0))</f>
        <v>0</v>
      </c>
      <c r="H61" s="25">
        <f>IF(A61="","",IFERROR(SUMIF(Int_Repayments!A$4:A$1003,A61,Int_Repayments!F$4:F$1003),0))</f>
        <v>0</v>
      </c>
      <c r="I61" s="2">
        <f t="shared" si="5"/>
        <v>0</v>
      </c>
      <c r="J61" s="26">
        <f t="shared" si="6"/>
        <v>0</v>
      </c>
      <c r="K61" s="57" t="str">
        <f t="shared" si="7"/>
        <v>✅ Cleared</v>
      </c>
    </row>
    <row r="62" spans="1:11" ht="15.75" customHeight="1" x14ac:dyDescent="0.25">
      <c r="A62" s="6">
        <f>IFERROR(Members!A63,"")</f>
        <v>0</v>
      </c>
      <c r="B62" s="4">
        <f>IFERROR(Members!B63,"")</f>
        <v>0</v>
      </c>
      <c r="C62" s="56">
        <f>IF(A62="","",IFERROR(SUMIF(Loans!C$4:C$1003,A62,Loans!E$4:E$1003),0))</f>
        <v>0</v>
      </c>
      <c r="D62" s="21">
        <f>0</f>
        <v>0</v>
      </c>
      <c r="E62" s="2">
        <f t="shared" si="4"/>
        <v>0</v>
      </c>
      <c r="F62" s="24">
        <f>IF(A62="","",IFERROR(SUMIF(Interest_Engine!A$4:A$103,A62,Interest_Engine!AQ$4:AQ$103),0))</f>
        <v>0</v>
      </c>
      <c r="G62" s="25">
        <f>IF(A62="","",IFERROR(SUMIF(Loans!C$4:C$1003,A62,Loans!K$4:K$1003),0))</f>
        <v>0</v>
      </c>
      <c r="H62" s="25">
        <f>IF(A62="","",IFERROR(SUMIF(Int_Repayments!A$4:A$1003,A62,Int_Repayments!F$4:F$1003),0))</f>
        <v>0</v>
      </c>
      <c r="I62" s="2">
        <f t="shared" si="5"/>
        <v>0</v>
      </c>
      <c r="J62" s="26">
        <f t="shared" si="6"/>
        <v>0</v>
      </c>
      <c r="K62" s="57" t="str">
        <f t="shared" si="7"/>
        <v>✅ Cleared</v>
      </c>
    </row>
    <row r="63" spans="1:11" ht="15.75" customHeight="1" x14ac:dyDescent="0.25">
      <c r="A63" s="6">
        <f>IFERROR(Members!A64,"")</f>
        <v>0</v>
      </c>
      <c r="B63" s="4">
        <f>IFERROR(Members!B64,"")</f>
        <v>0</v>
      </c>
      <c r="C63" s="56">
        <f>IF(A63="","",IFERROR(SUMIF(Loans!C$4:C$1003,A63,Loans!E$4:E$1003),0))</f>
        <v>0</v>
      </c>
      <c r="D63" s="21">
        <f>0</f>
        <v>0</v>
      </c>
      <c r="E63" s="2">
        <f t="shared" si="4"/>
        <v>0</v>
      </c>
      <c r="F63" s="24">
        <f>IF(A63="","",IFERROR(SUMIF(Interest_Engine!A$4:A$103,A63,Interest_Engine!AQ$4:AQ$103),0))</f>
        <v>0</v>
      </c>
      <c r="G63" s="25">
        <f>IF(A63="","",IFERROR(SUMIF(Loans!C$4:C$1003,A63,Loans!K$4:K$1003),0))</f>
        <v>0</v>
      </c>
      <c r="H63" s="25">
        <f>IF(A63="","",IFERROR(SUMIF(Int_Repayments!A$4:A$1003,A63,Int_Repayments!F$4:F$1003),0))</f>
        <v>0</v>
      </c>
      <c r="I63" s="2">
        <f t="shared" si="5"/>
        <v>0</v>
      </c>
      <c r="J63" s="26">
        <f t="shared" si="6"/>
        <v>0</v>
      </c>
      <c r="K63" s="57" t="str">
        <f t="shared" si="7"/>
        <v>✅ Cleared</v>
      </c>
    </row>
    <row r="64" spans="1:11" ht="15.75" customHeight="1" x14ac:dyDescent="0.25">
      <c r="A64" s="6">
        <f>IFERROR(Members!A65,"")</f>
        <v>0</v>
      </c>
      <c r="B64" s="4">
        <f>IFERROR(Members!B65,"")</f>
        <v>0</v>
      </c>
      <c r="C64" s="56">
        <f>IF(A64="","",IFERROR(SUMIF(Loans!C$4:C$1003,A64,Loans!E$4:E$1003),0))</f>
        <v>0</v>
      </c>
      <c r="D64" s="21">
        <f>0</f>
        <v>0</v>
      </c>
      <c r="E64" s="2">
        <f t="shared" si="4"/>
        <v>0</v>
      </c>
      <c r="F64" s="24">
        <f>IF(A64="","",IFERROR(SUMIF(Interest_Engine!A$4:A$103,A64,Interest_Engine!AQ$4:AQ$103),0))</f>
        <v>0</v>
      </c>
      <c r="G64" s="25">
        <f>IF(A64="","",IFERROR(SUMIF(Loans!C$4:C$1003,A64,Loans!K$4:K$1003),0))</f>
        <v>0</v>
      </c>
      <c r="H64" s="25">
        <f>IF(A64="","",IFERROR(SUMIF(Int_Repayments!A$4:A$1003,A64,Int_Repayments!F$4:F$1003),0))</f>
        <v>0</v>
      </c>
      <c r="I64" s="2">
        <f t="shared" si="5"/>
        <v>0</v>
      </c>
      <c r="J64" s="26">
        <f t="shared" si="6"/>
        <v>0</v>
      </c>
      <c r="K64" s="57" t="str">
        <f t="shared" si="7"/>
        <v>✅ Cleared</v>
      </c>
    </row>
    <row r="65" spans="1:11" ht="15.75" customHeight="1" x14ac:dyDescent="0.25">
      <c r="A65" s="6">
        <f>IFERROR(Members!A66,"")</f>
        <v>0</v>
      </c>
      <c r="B65" s="4">
        <f>IFERROR(Members!B66,"")</f>
        <v>0</v>
      </c>
      <c r="C65" s="56">
        <f>IF(A65="","",IFERROR(SUMIF(Loans!C$4:C$1003,A65,Loans!E$4:E$1003),0))</f>
        <v>0</v>
      </c>
      <c r="D65" s="21">
        <f>0</f>
        <v>0</v>
      </c>
      <c r="E65" s="2">
        <f t="shared" si="4"/>
        <v>0</v>
      </c>
      <c r="F65" s="24">
        <f>IF(A65="","",IFERROR(SUMIF(Interest_Engine!A$4:A$103,A65,Interest_Engine!AQ$4:AQ$103),0))</f>
        <v>0</v>
      </c>
      <c r="G65" s="25">
        <f>IF(A65="","",IFERROR(SUMIF(Loans!C$4:C$1003,A65,Loans!K$4:K$1003),0))</f>
        <v>0</v>
      </c>
      <c r="H65" s="25">
        <f>IF(A65="","",IFERROR(SUMIF(Int_Repayments!A$4:A$1003,A65,Int_Repayments!F$4:F$1003),0))</f>
        <v>0</v>
      </c>
      <c r="I65" s="2">
        <f t="shared" si="5"/>
        <v>0</v>
      </c>
      <c r="J65" s="26">
        <f t="shared" si="6"/>
        <v>0</v>
      </c>
      <c r="K65" s="57" t="str">
        <f t="shared" si="7"/>
        <v>✅ Cleared</v>
      </c>
    </row>
    <row r="66" spans="1:11" ht="15.75" customHeight="1" x14ac:dyDescent="0.25">
      <c r="A66" s="6">
        <f>IFERROR(Members!A67,"")</f>
        <v>0</v>
      </c>
      <c r="B66" s="4">
        <f>IFERROR(Members!B67,"")</f>
        <v>0</v>
      </c>
      <c r="C66" s="56">
        <f>IF(A66="","",IFERROR(SUMIF(Loans!C$4:C$1003,A66,Loans!E$4:E$1003),0))</f>
        <v>0</v>
      </c>
      <c r="D66" s="21">
        <f>0</f>
        <v>0</v>
      </c>
      <c r="E66" s="2">
        <f t="shared" si="4"/>
        <v>0</v>
      </c>
      <c r="F66" s="24">
        <f>IF(A66="","",IFERROR(SUMIF(Interest_Engine!A$4:A$103,A66,Interest_Engine!AQ$4:AQ$103),0))</f>
        <v>0</v>
      </c>
      <c r="G66" s="25">
        <f>IF(A66="","",IFERROR(SUMIF(Loans!C$4:C$1003,A66,Loans!K$4:K$1003),0))</f>
        <v>0</v>
      </c>
      <c r="H66" s="25">
        <f>IF(A66="","",IFERROR(SUMIF(Int_Repayments!A$4:A$1003,A66,Int_Repayments!F$4:F$1003),0))</f>
        <v>0</v>
      </c>
      <c r="I66" s="2">
        <f t="shared" si="5"/>
        <v>0</v>
      </c>
      <c r="J66" s="26">
        <f t="shared" si="6"/>
        <v>0</v>
      </c>
      <c r="K66" s="57" t="str">
        <f t="shared" si="7"/>
        <v>✅ Cleared</v>
      </c>
    </row>
    <row r="67" spans="1:11" ht="15.75" customHeight="1" x14ac:dyDescent="0.25">
      <c r="A67" s="6">
        <f>IFERROR(Members!A68,"")</f>
        <v>0</v>
      </c>
      <c r="B67" s="4">
        <f>IFERROR(Members!B68,"")</f>
        <v>0</v>
      </c>
      <c r="C67" s="56">
        <f>IF(A67="","",IFERROR(SUMIF(Loans!C$4:C$1003,A67,Loans!E$4:E$1003),0))</f>
        <v>0</v>
      </c>
      <c r="D67" s="21">
        <f>0</f>
        <v>0</v>
      </c>
      <c r="E67" s="2">
        <f t="shared" ref="E67:E98" si="8">IF(A67="","",C67+D67)</f>
        <v>0</v>
      </c>
      <c r="F67" s="24">
        <f>IF(A67="","",IFERROR(SUMIF(Interest_Engine!A$4:A$103,A67,Interest_Engine!AQ$4:AQ$103),0))</f>
        <v>0</v>
      </c>
      <c r="G67" s="25">
        <f>IF(A67="","",IFERROR(SUMIF(Loans!C$4:C$1003,A67,Loans!K$4:K$1003),0))</f>
        <v>0</v>
      </c>
      <c r="H67" s="25">
        <f>IF(A67="","",IFERROR(SUMIF(Int_Repayments!A$4:A$1003,A67,Int_Repayments!F$4:F$1003),0))</f>
        <v>0</v>
      </c>
      <c r="I67" s="2">
        <f t="shared" ref="I67:I98" si="9">IF(A67="","",G67+H67)</f>
        <v>0</v>
      </c>
      <c r="J67" s="26">
        <f t="shared" ref="J67:J98" si="10">IF(A67="","",MAX(0,(E67+F67)-I67))</f>
        <v>0</v>
      </c>
      <c r="K67" s="57" t="str">
        <f t="shared" ref="K67:K98" si="11">IF(A67="","",IF(J67&lt;=0,"✅ Cleared","⏳ Active"))</f>
        <v>✅ Cleared</v>
      </c>
    </row>
    <row r="68" spans="1:11" ht="15.75" customHeight="1" x14ac:dyDescent="0.25">
      <c r="A68" s="6">
        <f>IFERROR(Members!A69,"")</f>
        <v>0</v>
      </c>
      <c r="B68" s="4">
        <f>IFERROR(Members!B69,"")</f>
        <v>0</v>
      </c>
      <c r="C68" s="56">
        <f>IF(A68="","",IFERROR(SUMIF(Loans!C$4:C$1003,A68,Loans!E$4:E$1003),0))</f>
        <v>0</v>
      </c>
      <c r="D68" s="21">
        <f>0</f>
        <v>0</v>
      </c>
      <c r="E68" s="2">
        <f t="shared" si="8"/>
        <v>0</v>
      </c>
      <c r="F68" s="24">
        <f>IF(A68="","",IFERROR(SUMIF(Interest_Engine!A$4:A$103,A68,Interest_Engine!AQ$4:AQ$103),0))</f>
        <v>0</v>
      </c>
      <c r="G68" s="25">
        <f>IF(A68="","",IFERROR(SUMIF(Loans!C$4:C$1003,A68,Loans!K$4:K$1003),0))</f>
        <v>0</v>
      </c>
      <c r="H68" s="25">
        <f>IF(A68="","",IFERROR(SUMIF(Int_Repayments!A$4:A$1003,A68,Int_Repayments!F$4:F$1003),0))</f>
        <v>0</v>
      </c>
      <c r="I68" s="2">
        <f t="shared" si="9"/>
        <v>0</v>
      </c>
      <c r="J68" s="26">
        <f t="shared" si="10"/>
        <v>0</v>
      </c>
      <c r="K68" s="57" t="str">
        <f t="shared" si="11"/>
        <v>✅ Cleared</v>
      </c>
    </row>
    <row r="69" spans="1:11" ht="15.75" customHeight="1" x14ac:dyDescent="0.25">
      <c r="A69" s="6">
        <f>IFERROR(Members!A70,"")</f>
        <v>0</v>
      </c>
      <c r="B69" s="4">
        <f>IFERROR(Members!B70,"")</f>
        <v>0</v>
      </c>
      <c r="C69" s="56">
        <f>IF(A69="","",IFERROR(SUMIF(Loans!C$4:C$1003,A69,Loans!E$4:E$1003),0))</f>
        <v>0</v>
      </c>
      <c r="D69" s="21">
        <f>0</f>
        <v>0</v>
      </c>
      <c r="E69" s="2">
        <f t="shared" si="8"/>
        <v>0</v>
      </c>
      <c r="F69" s="24">
        <f>IF(A69="","",IFERROR(SUMIF(Interest_Engine!A$4:A$103,A69,Interest_Engine!AQ$4:AQ$103),0))</f>
        <v>0</v>
      </c>
      <c r="G69" s="25">
        <f>IF(A69="","",IFERROR(SUMIF(Loans!C$4:C$1003,A69,Loans!K$4:K$1003),0))</f>
        <v>0</v>
      </c>
      <c r="H69" s="25">
        <f>IF(A69="","",IFERROR(SUMIF(Int_Repayments!A$4:A$1003,A69,Int_Repayments!F$4:F$1003),0))</f>
        <v>0</v>
      </c>
      <c r="I69" s="2">
        <f t="shared" si="9"/>
        <v>0</v>
      </c>
      <c r="J69" s="26">
        <f t="shared" si="10"/>
        <v>0</v>
      </c>
      <c r="K69" s="57" t="str">
        <f t="shared" si="11"/>
        <v>✅ Cleared</v>
      </c>
    </row>
    <row r="70" spans="1:11" ht="15.75" customHeight="1" x14ac:dyDescent="0.25">
      <c r="A70" s="6">
        <f>IFERROR(Members!A71,"")</f>
        <v>0</v>
      </c>
      <c r="B70" s="4">
        <f>IFERROR(Members!B71,"")</f>
        <v>0</v>
      </c>
      <c r="C70" s="56">
        <f>IF(A70="","",IFERROR(SUMIF(Loans!C$4:C$1003,A70,Loans!E$4:E$1003),0))</f>
        <v>0</v>
      </c>
      <c r="D70" s="21">
        <f>0</f>
        <v>0</v>
      </c>
      <c r="E70" s="2">
        <f t="shared" si="8"/>
        <v>0</v>
      </c>
      <c r="F70" s="24">
        <f>IF(A70="","",IFERROR(SUMIF(Interest_Engine!A$4:A$103,A70,Interest_Engine!AQ$4:AQ$103),0))</f>
        <v>0</v>
      </c>
      <c r="G70" s="25">
        <f>IF(A70="","",IFERROR(SUMIF(Loans!C$4:C$1003,A70,Loans!K$4:K$1003),0))</f>
        <v>0</v>
      </c>
      <c r="H70" s="25">
        <f>IF(A70="","",IFERROR(SUMIF(Int_Repayments!A$4:A$1003,A70,Int_Repayments!F$4:F$1003),0))</f>
        <v>0</v>
      </c>
      <c r="I70" s="2">
        <f t="shared" si="9"/>
        <v>0</v>
      </c>
      <c r="J70" s="26">
        <f t="shared" si="10"/>
        <v>0</v>
      </c>
      <c r="K70" s="57" t="str">
        <f t="shared" si="11"/>
        <v>✅ Cleared</v>
      </c>
    </row>
    <row r="71" spans="1:11" ht="15.75" customHeight="1" x14ac:dyDescent="0.25">
      <c r="A71" s="6">
        <f>IFERROR(Members!A72,"")</f>
        <v>0</v>
      </c>
      <c r="B71" s="4">
        <f>IFERROR(Members!B72,"")</f>
        <v>0</v>
      </c>
      <c r="C71" s="56">
        <f>IF(A71="","",IFERROR(SUMIF(Loans!C$4:C$1003,A71,Loans!E$4:E$1003),0))</f>
        <v>0</v>
      </c>
      <c r="D71" s="21">
        <f>0</f>
        <v>0</v>
      </c>
      <c r="E71" s="2">
        <f t="shared" si="8"/>
        <v>0</v>
      </c>
      <c r="F71" s="24">
        <f>IF(A71="","",IFERROR(SUMIF(Interest_Engine!A$4:A$103,A71,Interest_Engine!AQ$4:AQ$103),0))</f>
        <v>0</v>
      </c>
      <c r="G71" s="25">
        <f>IF(A71="","",IFERROR(SUMIF(Loans!C$4:C$1003,A71,Loans!K$4:K$1003),0))</f>
        <v>0</v>
      </c>
      <c r="H71" s="25">
        <f>IF(A71="","",IFERROR(SUMIF(Int_Repayments!A$4:A$1003,A71,Int_Repayments!F$4:F$1003),0))</f>
        <v>0</v>
      </c>
      <c r="I71" s="2">
        <f t="shared" si="9"/>
        <v>0</v>
      </c>
      <c r="J71" s="26">
        <f t="shared" si="10"/>
        <v>0</v>
      </c>
      <c r="K71" s="57" t="str">
        <f t="shared" si="11"/>
        <v>✅ Cleared</v>
      </c>
    </row>
    <row r="72" spans="1:11" ht="15.75" customHeight="1" x14ac:dyDescent="0.25">
      <c r="A72" s="6">
        <f>IFERROR(Members!A73,"")</f>
        <v>0</v>
      </c>
      <c r="B72" s="4">
        <f>IFERROR(Members!B73,"")</f>
        <v>0</v>
      </c>
      <c r="C72" s="56">
        <f>IF(A72="","",IFERROR(SUMIF(Loans!C$4:C$1003,A72,Loans!E$4:E$1003),0))</f>
        <v>0</v>
      </c>
      <c r="D72" s="21">
        <f>0</f>
        <v>0</v>
      </c>
      <c r="E72" s="2">
        <f t="shared" si="8"/>
        <v>0</v>
      </c>
      <c r="F72" s="24">
        <f>IF(A72="","",IFERROR(SUMIF(Interest_Engine!A$4:A$103,A72,Interest_Engine!AQ$4:AQ$103),0))</f>
        <v>0</v>
      </c>
      <c r="G72" s="25">
        <f>IF(A72="","",IFERROR(SUMIF(Loans!C$4:C$1003,A72,Loans!K$4:K$1003),0))</f>
        <v>0</v>
      </c>
      <c r="H72" s="25">
        <f>IF(A72="","",IFERROR(SUMIF(Int_Repayments!A$4:A$1003,A72,Int_Repayments!F$4:F$1003),0))</f>
        <v>0</v>
      </c>
      <c r="I72" s="2">
        <f t="shared" si="9"/>
        <v>0</v>
      </c>
      <c r="J72" s="26">
        <f t="shared" si="10"/>
        <v>0</v>
      </c>
      <c r="K72" s="57" t="str">
        <f t="shared" si="11"/>
        <v>✅ Cleared</v>
      </c>
    </row>
    <row r="73" spans="1:11" ht="15.75" customHeight="1" x14ac:dyDescent="0.25">
      <c r="A73" s="6">
        <f>IFERROR(Members!A74,"")</f>
        <v>0</v>
      </c>
      <c r="B73" s="4">
        <f>IFERROR(Members!B74,"")</f>
        <v>0</v>
      </c>
      <c r="C73" s="56">
        <f>IF(A73="","",IFERROR(SUMIF(Loans!C$4:C$1003,A73,Loans!E$4:E$1003),0))</f>
        <v>0</v>
      </c>
      <c r="D73" s="21">
        <f>0</f>
        <v>0</v>
      </c>
      <c r="E73" s="2">
        <f t="shared" si="8"/>
        <v>0</v>
      </c>
      <c r="F73" s="24">
        <f>IF(A73="","",IFERROR(SUMIF(Interest_Engine!A$4:A$103,A73,Interest_Engine!AQ$4:AQ$103),0))</f>
        <v>0</v>
      </c>
      <c r="G73" s="25">
        <f>IF(A73="","",IFERROR(SUMIF(Loans!C$4:C$1003,A73,Loans!K$4:K$1003),0))</f>
        <v>0</v>
      </c>
      <c r="H73" s="25">
        <f>IF(A73="","",IFERROR(SUMIF(Int_Repayments!A$4:A$1003,A73,Int_Repayments!F$4:F$1003),0))</f>
        <v>0</v>
      </c>
      <c r="I73" s="2">
        <f t="shared" si="9"/>
        <v>0</v>
      </c>
      <c r="J73" s="26">
        <f t="shared" si="10"/>
        <v>0</v>
      </c>
      <c r="K73" s="57" t="str">
        <f t="shared" si="11"/>
        <v>✅ Cleared</v>
      </c>
    </row>
    <row r="74" spans="1:11" ht="15.75" customHeight="1" x14ac:dyDescent="0.25">
      <c r="A74" s="6">
        <f>IFERROR(Members!A75,"")</f>
        <v>0</v>
      </c>
      <c r="B74" s="4">
        <f>IFERROR(Members!B75,"")</f>
        <v>0</v>
      </c>
      <c r="C74" s="56">
        <f>IF(A74="","",IFERROR(SUMIF(Loans!C$4:C$1003,A74,Loans!E$4:E$1003),0))</f>
        <v>0</v>
      </c>
      <c r="D74" s="21">
        <f>0</f>
        <v>0</v>
      </c>
      <c r="E74" s="2">
        <f t="shared" si="8"/>
        <v>0</v>
      </c>
      <c r="F74" s="24">
        <f>IF(A74="","",IFERROR(SUMIF(Interest_Engine!A$4:A$103,A74,Interest_Engine!AQ$4:AQ$103),0))</f>
        <v>0</v>
      </c>
      <c r="G74" s="25">
        <f>IF(A74="","",IFERROR(SUMIF(Loans!C$4:C$1003,A74,Loans!K$4:K$1003),0))</f>
        <v>0</v>
      </c>
      <c r="H74" s="25">
        <f>IF(A74="","",IFERROR(SUMIF(Int_Repayments!A$4:A$1003,A74,Int_Repayments!F$4:F$1003),0))</f>
        <v>0</v>
      </c>
      <c r="I74" s="2">
        <f t="shared" si="9"/>
        <v>0</v>
      </c>
      <c r="J74" s="26">
        <f t="shared" si="10"/>
        <v>0</v>
      </c>
      <c r="K74" s="57" t="str">
        <f t="shared" si="11"/>
        <v>✅ Cleared</v>
      </c>
    </row>
    <row r="75" spans="1:11" ht="15.75" customHeight="1" x14ac:dyDescent="0.25">
      <c r="A75" s="6">
        <f>IFERROR(Members!A76,"")</f>
        <v>0</v>
      </c>
      <c r="B75" s="4">
        <f>IFERROR(Members!B76,"")</f>
        <v>0</v>
      </c>
      <c r="C75" s="56">
        <f>IF(A75="","",IFERROR(SUMIF(Loans!C$4:C$1003,A75,Loans!E$4:E$1003),0))</f>
        <v>0</v>
      </c>
      <c r="D75" s="21">
        <f>0</f>
        <v>0</v>
      </c>
      <c r="E75" s="2">
        <f t="shared" si="8"/>
        <v>0</v>
      </c>
      <c r="F75" s="24">
        <f>IF(A75="","",IFERROR(SUMIF(Interest_Engine!A$4:A$103,A75,Interest_Engine!AQ$4:AQ$103),0))</f>
        <v>0</v>
      </c>
      <c r="G75" s="25">
        <f>IF(A75="","",IFERROR(SUMIF(Loans!C$4:C$1003,A75,Loans!K$4:K$1003),0))</f>
        <v>0</v>
      </c>
      <c r="H75" s="25">
        <f>IF(A75="","",IFERROR(SUMIF(Int_Repayments!A$4:A$1003,A75,Int_Repayments!F$4:F$1003),0))</f>
        <v>0</v>
      </c>
      <c r="I75" s="2">
        <f t="shared" si="9"/>
        <v>0</v>
      </c>
      <c r="J75" s="26">
        <f t="shared" si="10"/>
        <v>0</v>
      </c>
      <c r="K75" s="57" t="str">
        <f t="shared" si="11"/>
        <v>✅ Cleared</v>
      </c>
    </row>
    <row r="76" spans="1:11" ht="15.75" customHeight="1" x14ac:dyDescent="0.25">
      <c r="A76" s="6">
        <f>IFERROR(Members!A77,"")</f>
        <v>0</v>
      </c>
      <c r="B76" s="4">
        <f>IFERROR(Members!B77,"")</f>
        <v>0</v>
      </c>
      <c r="C76" s="56">
        <f>IF(A76="","",IFERROR(SUMIF(Loans!C$4:C$1003,A76,Loans!E$4:E$1003),0))</f>
        <v>0</v>
      </c>
      <c r="D76" s="21">
        <f>0</f>
        <v>0</v>
      </c>
      <c r="E76" s="2">
        <f t="shared" si="8"/>
        <v>0</v>
      </c>
      <c r="F76" s="24">
        <f>IF(A76="","",IFERROR(SUMIF(Interest_Engine!A$4:A$103,A76,Interest_Engine!AQ$4:AQ$103),0))</f>
        <v>0</v>
      </c>
      <c r="G76" s="25">
        <f>IF(A76="","",IFERROR(SUMIF(Loans!C$4:C$1003,A76,Loans!K$4:K$1003),0))</f>
        <v>0</v>
      </c>
      <c r="H76" s="25">
        <f>IF(A76="","",IFERROR(SUMIF(Int_Repayments!A$4:A$1003,A76,Int_Repayments!F$4:F$1003),0))</f>
        <v>0</v>
      </c>
      <c r="I76" s="2">
        <f t="shared" si="9"/>
        <v>0</v>
      </c>
      <c r="J76" s="26">
        <f t="shared" si="10"/>
        <v>0</v>
      </c>
      <c r="K76" s="57" t="str">
        <f t="shared" si="11"/>
        <v>✅ Cleared</v>
      </c>
    </row>
    <row r="77" spans="1:11" ht="15.75" customHeight="1" x14ac:dyDescent="0.25">
      <c r="A77" s="6">
        <f>IFERROR(Members!A78,"")</f>
        <v>0</v>
      </c>
      <c r="B77" s="4">
        <f>IFERROR(Members!B78,"")</f>
        <v>0</v>
      </c>
      <c r="C77" s="56">
        <f>IF(A77="","",IFERROR(SUMIF(Loans!C$4:C$1003,A77,Loans!E$4:E$1003),0))</f>
        <v>0</v>
      </c>
      <c r="D77" s="21">
        <f>0</f>
        <v>0</v>
      </c>
      <c r="E77" s="2">
        <f t="shared" si="8"/>
        <v>0</v>
      </c>
      <c r="F77" s="24">
        <f>IF(A77="","",IFERROR(SUMIF(Interest_Engine!A$4:A$103,A77,Interest_Engine!AQ$4:AQ$103),0))</f>
        <v>0</v>
      </c>
      <c r="G77" s="25">
        <f>IF(A77="","",IFERROR(SUMIF(Loans!C$4:C$1003,A77,Loans!K$4:K$1003),0))</f>
        <v>0</v>
      </c>
      <c r="H77" s="25">
        <f>IF(A77="","",IFERROR(SUMIF(Int_Repayments!A$4:A$1003,A77,Int_Repayments!F$4:F$1003),0))</f>
        <v>0</v>
      </c>
      <c r="I77" s="2">
        <f t="shared" si="9"/>
        <v>0</v>
      </c>
      <c r="J77" s="26">
        <f t="shared" si="10"/>
        <v>0</v>
      </c>
      <c r="K77" s="57" t="str">
        <f t="shared" si="11"/>
        <v>✅ Cleared</v>
      </c>
    </row>
    <row r="78" spans="1:11" ht="15.75" customHeight="1" x14ac:dyDescent="0.25">
      <c r="A78" s="6">
        <f>IFERROR(Members!A79,"")</f>
        <v>0</v>
      </c>
      <c r="B78" s="4">
        <f>IFERROR(Members!B79,"")</f>
        <v>0</v>
      </c>
      <c r="C78" s="56">
        <f>IF(A78="","",IFERROR(SUMIF(Loans!C$4:C$1003,A78,Loans!E$4:E$1003),0))</f>
        <v>0</v>
      </c>
      <c r="D78" s="21">
        <f>0</f>
        <v>0</v>
      </c>
      <c r="E78" s="2">
        <f t="shared" si="8"/>
        <v>0</v>
      </c>
      <c r="F78" s="24">
        <f>IF(A78="","",IFERROR(SUMIF(Interest_Engine!A$4:A$103,A78,Interest_Engine!AQ$4:AQ$103),0))</f>
        <v>0</v>
      </c>
      <c r="G78" s="25">
        <f>IF(A78="","",IFERROR(SUMIF(Loans!C$4:C$1003,A78,Loans!K$4:K$1003),0))</f>
        <v>0</v>
      </c>
      <c r="H78" s="25">
        <f>IF(A78="","",IFERROR(SUMIF(Int_Repayments!A$4:A$1003,A78,Int_Repayments!F$4:F$1003),0))</f>
        <v>0</v>
      </c>
      <c r="I78" s="2">
        <f t="shared" si="9"/>
        <v>0</v>
      </c>
      <c r="J78" s="26">
        <f t="shared" si="10"/>
        <v>0</v>
      </c>
      <c r="K78" s="57" t="str">
        <f t="shared" si="11"/>
        <v>✅ Cleared</v>
      </c>
    </row>
    <row r="79" spans="1:11" ht="15.75" customHeight="1" x14ac:dyDescent="0.25">
      <c r="A79" s="6">
        <f>IFERROR(Members!A80,"")</f>
        <v>0</v>
      </c>
      <c r="B79" s="4">
        <f>IFERROR(Members!B80,"")</f>
        <v>0</v>
      </c>
      <c r="C79" s="56">
        <f>IF(A79="","",IFERROR(SUMIF(Loans!C$4:C$1003,A79,Loans!E$4:E$1003),0))</f>
        <v>0</v>
      </c>
      <c r="D79" s="21">
        <f>0</f>
        <v>0</v>
      </c>
      <c r="E79" s="2">
        <f t="shared" si="8"/>
        <v>0</v>
      </c>
      <c r="F79" s="24">
        <f>IF(A79="","",IFERROR(SUMIF(Interest_Engine!A$4:A$103,A79,Interest_Engine!AQ$4:AQ$103),0))</f>
        <v>0</v>
      </c>
      <c r="G79" s="25">
        <f>IF(A79="","",IFERROR(SUMIF(Loans!C$4:C$1003,A79,Loans!K$4:K$1003),0))</f>
        <v>0</v>
      </c>
      <c r="H79" s="25">
        <f>IF(A79="","",IFERROR(SUMIF(Int_Repayments!A$4:A$1003,A79,Int_Repayments!F$4:F$1003),0))</f>
        <v>0</v>
      </c>
      <c r="I79" s="2">
        <f t="shared" si="9"/>
        <v>0</v>
      </c>
      <c r="J79" s="26">
        <f t="shared" si="10"/>
        <v>0</v>
      </c>
      <c r="K79" s="57" t="str">
        <f t="shared" si="11"/>
        <v>✅ Cleared</v>
      </c>
    </row>
    <row r="80" spans="1:11" ht="15.75" customHeight="1" x14ac:dyDescent="0.25">
      <c r="A80" s="6">
        <f>IFERROR(Members!A81,"")</f>
        <v>0</v>
      </c>
      <c r="B80" s="4">
        <f>IFERROR(Members!B81,"")</f>
        <v>0</v>
      </c>
      <c r="C80" s="56">
        <f>IF(A80="","",IFERROR(SUMIF(Loans!C$4:C$1003,A80,Loans!E$4:E$1003),0))</f>
        <v>0</v>
      </c>
      <c r="D80" s="21">
        <f>0</f>
        <v>0</v>
      </c>
      <c r="E80" s="2">
        <f t="shared" si="8"/>
        <v>0</v>
      </c>
      <c r="F80" s="24">
        <f>IF(A80="","",IFERROR(SUMIF(Interest_Engine!A$4:A$103,A80,Interest_Engine!AQ$4:AQ$103),0))</f>
        <v>0</v>
      </c>
      <c r="G80" s="25">
        <f>IF(A80="","",IFERROR(SUMIF(Loans!C$4:C$1003,A80,Loans!K$4:K$1003),0))</f>
        <v>0</v>
      </c>
      <c r="H80" s="25">
        <f>IF(A80="","",IFERROR(SUMIF(Int_Repayments!A$4:A$1003,A80,Int_Repayments!F$4:F$1003),0))</f>
        <v>0</v>
      </c>
      <c r="I80" s="2">
        <f t="shared" si="9"/>
        <v>0</v>
      </c>
      <c r="J80" s="26">
        <f t="shared" si="10"/>
        <v>0</v>
      </c>
      <c r="K80" s="57" t="str">
        <f t="shared" si="11"/>
        <v>✅ Cleared</v>
      </c>
    </row>
    <row r="81" spans="1:11" ht="15.75" customHeight="1" x14ac:dyDescent="0.25">
      <c r="A81" s="6">
        <f>IFERROR(Members!A82,"")</f>
        <v>0</v>
      </c>
      <c r="B81" s="4">
        <f>IFERROR(Members!B82,"")</f>
        <v>0</v>
      </c>
      <c r="C81" s="56">
        <f>IF(A81="","",IFERROR(SUMIF(Loans!C$4:C$1003,A81,Loans!E$4:E$1003),0))</f>
        <v>0</v>
      </c>
      <c r="D81" s="21">
        <f>0</f>
        <v>0</v>
      </c>
      <c r="E81" s="2">
        <f t="shared" si="8"/>
        <v>0</v>
      </c>
      <c r="F81" s="24">
        <f>IF(A81="","",IFERROR(SUMIF(Interest_Engine!A$4:A$103,A81,Interest_Engine!AQ$4:AQ$103),0))</f>
        <v>0</v>
      </c>
      <c r="G81" s="25">
        <f>IF(A81="","",IFERROR(SUMIF(Loans!C$4:C$1003,A81,Loans!K$4:K$1003),0))</f>
        <v>0</v>
      </c>
      <c r="H81" s="25">
        <f>IF(A81="","",IFERROR(SUMIF(Int_Repayments!A$4:A$1003,A81,Int_Repayments!F$4:F$1003),0))</f>
        <v>0</v>
      </c>
      <c r="I81" s="2">
        <f t="shared" si="9"/>
        <v>0</v>
      </c>
      <c r="J81" s="26">
        <f t="shared" si="10"/>
        <v>0</v>
      </c>
      <c r="K81" s="57" t="str">
        <f t="shared" si="11"/>
        <v>✅ Cleared</v>
      </c>
    </row>
    <row r="82" spans="1:11" ht="15.75" customHeight="1" x14ac:dyDescent="0.25">
      <c r="A82" s="6">
        <f>IFERROR(Members!A83,"")</f>
        <v>0</v>
      </c>
      <c r="B82" s="4">
        <f>IFERROR(Members!B83,"")</f>
        <v>0</v>
      </c>
      <c r="C82" s="56">
        <f>IF(A82="","",IFERROR(SUMIF(Loans!C$4:C$1003,A82,Loans!E$4:E$1003),0))</f>
        <v>0</v>
      </c>
      <c r="D82" s="21">
        <f>0</f>
        <v>0</v>
      </c>
      <c r="E82" s="2">
        <f t="shared" si="8"/>
        <v>0</v>
      </c>
      <c r="F82" s="24">
        <f>IF(A82="","",IFERROR(SUMIF(Interest_Engine!A$4:A$103,A82,Interest_Engine!AQ$4:AQ$103),0))</f>
        <v>0</v>
      </c>
      <c r="G82" s="25">
        <f>IF(A82="","",IFERROR(SUMIF(Loans!C$4:C$1003,A82,Loans!K$4:K$1003),0))</f>
        <v>0</v>
      </c>
      <c r="H82" s="25">
        <f>IF(A82="","",IFERROR(SUMIF(Int_Repayments!A$4:A$1003,A82,Int_Repayments!F$4:F$1003),0))</f>
        <v>0</v>
      </c>
      <c r="I82" s="2">
        <f t="shared" si="9"/>
        <v>0</v>
      </c>
      <c r="J82" s="26">
        <f t="shared" si="10"/>
        <v>0</v>
      </c>
      <c r="K82" s="57" t="str">
        <f t="shared" si="11"/>
        <v>✅ Cleared</v>
      </c>
    </row>
    <row r="83" spans="1:11" ht="15.75" customHeight="1" x14ac:dyDescent="0.25">
      <c r="A83" s="6">
        <f>IFERROR(Members!A84,"")</f>
        <v>0</v>
      </c>
      <c r="B83" s="4">
        <f>IFERROR(Members!B84,"")</f>
        <v>0</v>
      </c>
      <c r="C83" s="56">
        <f>IF(A83="","",IFERROR(SUMIF(Loans!C$4:C$1003,A83,Loans!E$4:E$1003),0))</f>
        <v>0</v>
      </c>
      <c r="D83" s="21">
        <f>0</f>
        <v>0</v>
      </c>
      <c r="E83" s="2">
        <f t="shared" si="8"/>
        <v>0</v>
      </c>
      <c r="F83" s="24">
        <f>IF(A83="","",IFERROR(SUMIF(Interest_Engine!A$4:A$103,A83,Interest_Engine!AQ$4:AQ$103),0))</f>
        <v>0</v>
      </c>
      <c r="G83" s="25">
        <f>IF(A83="","",IFERROR(SUMIF(Loans!C$4:C$1003,A83,Loans!K$4:K$1003),0))</f>
        <v>0</v>
      </c>
      <c r="H83" s="25">
        <f>IF(A83="","",IFERROR(SUMIF(Int_Repayments!A$4:A$1003,A83,Int_Repayments!F$4:F$1003),0))</f>
        <v>0</v>
      </c>
      <c r="I83" s="2">
        <f t="shared" si="9"/>
        <v>0</v>
      </c>
      <c r="J83" s="26">
        <f t="shared" si="10"/>
        <v>0</v>
      </c>
      <c r="K83" s="57" t="str">
        <f t="shared" si="11"/>
        <v>✅ Cleared</v>
      </c>
    </row>
    <row r="84" spans="1:11" ht="15.75" customHeight="1" x14ac:dyDescent="0.25">
      <c r="A84" s="6">
        <f>IFERROR(Members!A85,"")</f>
        <v>0</v>
      </c>
      <c r="B84" s="4">
        <f>IFERROR(Members!B85,"")</f>
        <v>0</v>
      </c>
      <c r="C84" s="56">
        <f>IF(A84="","",IFERROR(SUMIF(Loans!C$4:C$1003,A84,Loans!E$4:E$1003),0))</f>
        <v>0</v>
      </c>
      <c r="D84" s="21">
        <f>0</f>
        <v>0</v>
      </c>
      <c r="E84" s="2">
        <f t="shared" si="8"/>
        <v>0</v>
      </c>
      <c r="F84" s="24">
        <f>IF(A84="","",IFERROR(SUMIF(Interest_Engine!A$4:A$103,A84,Interest_Engine!AQ$4:AQ$103),0))</f>
        <v>0</v>
      </c>
      <c r="G84" s="25">
        <f>IF(A84="","",IFERROR(SUMIF(Loans!C$4:C$1003,A84,Loans!K$4:K$1003),0))</f>
        <v>0</v>
      </c>
      <c r="H84" s="25">
        <f>IF(A84="","",IFERROR(SUMIF(Int_Repayments!A$4:A$1003,A84,Int_Repayments!F$4:F$1003),0))</f>
        <v>0</v>
      </c>
      <c r="I84" s="2">
        <f t="shared" si="9"/>
        <v>0</v>
      </c>
      <c r="J84" s="26">
        <f t="shared" si="10"/>
        <v>0</v>
      </c>
      <c r="K84" s="57" t="str">
        <f t="shared" si="11"/>
        <v>✅ Cleared</v>
      </c>
    </row>
    <row r="85" spans="1:11" ht="15.75" customHeight="1" x14ac:dyDescent="0.25">
      <c r="A85" s="6">
        <f>IFERROR(Members!A86,"")</f>
        <v>0</v>
      </c>
      <c r="B85" s="4">
        <f>IFERROR(Members!B86,"")</f>
        <v>0</v>
      </c>
      <c r="C85" s="56">
        <f>IF(A85="","",IFERROR(SUMIF(Loans!C$4:C$1003,A85,Loans!E$4:E$1003),0))</f>
        <v>0</v>
      </c>
      <c r="D85" s="21">
        <f>0</f>
        <v>0</v>
      </c>
      <c r="E85" s="2">
        <f t="shared" si="8"/>
        <v>0</v>
      </c>
      <c r="F85" s="24">
        <f>IF(A85="","",IFERROR(SUMIF(Interest_Engine!A$4:A$103,A85,Interest_Engine!AQ$4:AQ$103),0))</f>
        <v>0</v>
      </c>
      <c r="G85" s="25">
        <f>IF(A85="","",IFERROR(SUMIF(Loans!C$4:C$1003,A85,Loans!K$4:K$1003),0))</f>
        <v>0</v>
      </c>
      <c r="H85" s="25">
        <f>IF(A85="","",IFERROR(SUMIF(Int_Repayments!A$4:A$1003,A85,Int_Repayments!F$4:F$1003),0))</f>
        <v>0</v>
      </c>
      <c r="I85" s="2">
        <f t="shared" si="9"/>
        <v>0</v>
      </c>
      <c r="J85" s="26">
        <f t="shared" si="10"/>
        <v>0</v>
      </c>
      <c r="K85" s="57" t="str">
        <f t="shared" si="11"/>
        <v>✅ Cleared</v>
      </c>
    </row>
    <row r="86" spans="1:11" ht="15.75" customHeight="1" x14ac:dyDescent="0.25">
      <c r="A86" s="6">
        <f>IFERROR(Members!A87,"")</f>
        <v>0</v>
      </c>
      <c r="B86" s="4">
        <f>IFERROR(Members!B87,"")</f>
        <v>0</v>
      </c>
      <c r="C86" s="56">
        <f>IF(A86="","",IFERROR(SUMIF(Loans!C$4:C$1003,A86,Loans!E$4:E$1003),0))</f>
        <v>0</v>
      </c>
      <c r="D86" s="21">
        <f>0</f>
        <v>0</v>
      </c>
      <c r="E86" s="2">
        <f t="shared" si="8"/>
        <v>0</v>
      </c>
      <c r="F86" s="24">
        <f>IF(A86="","",IFERROR(SUMIF(Interest_Engine!A$4:A$103,A86,Interest_Engine!AQ$4:AQ$103),0))</f>
        <v>0</v>
      </c>
      <c r="G86" s="25">
        <f>IF(A86="","",IFERROR(SUMIF(Loans!C$4:C$1003,A86,Loans!K$4:K$1003),0))</f>
        <v>0</v>
      </c>
      <c r="H86" s="25">
        <f>IF(A86="","",IFERROR(SUMIF(Int_Repayments!A$4:A$1003,A86,Int_Repayments!F$4:F$1003),0))</f>
        <v>0</v>
      </c>
      <c r="I86" s="2">
        <f t="shared" si="9"/>
        <v>0</v>
      </c>
      <c r="J86" s="26">
        <f t="shared" si="10"/>
        <v>0</v>
      </c>
      <c r="K86" s="57" t="str">
        <f t="shared" si="11"/>
        <v>✅ Cleared</v>
      </c>
    </row>
    <row r="87" spans="1:11" ht="15.75" customHeight="1" x14ac:dyDescent="0.25">
      <c r="A87" s="6">
        <f>IFERROR(Members!A88,"")</f>
        <v>0</v>
      </c>
      <c r="B87" s="4">
        <f>IFERROR(Members!B88,"")</f>
        <v>0</v>
      </c>
      <c r="C87" s="56">
        <f>IF(A87="","",IFERROR(SUMIF(Loans!C$4:C$1003,A87,Loans!E$4:E$1003),0))</f>
        <v>0</v>
      </c>
      <c r="D87" s="21">
        <f>0</f>
        <v>0</v>
      </c>
      <c r="E87" s="2">
        <f t="shared" si="8"/>
        <v>0</v>
      </c>
      <c r="F87" s="24">
        <f>IF(A87="","",IFERROR(SUMIF(Interest_Engine!A$4:A$103,A87,Interest_Engine!AQ$4:AQ$103),0))</f>
        <v>0</v>
      </c>
      <c r="G87" s="25">
        <f>IF(A87="","",IFERROR(SUMIF(Loans!C$4:C$1003,A87,Loans!K$4:K$1003),0))</f>
        <v>0</v>
      </c>
      <c r="H87" s="25">
        <f>IF(A87="","",IFERROR(SUMIF(Int_Repayments!A$4:A$1003,A87,Int_Repayments!F$4:F$1003),0))</f>
        <v>0</v>
      </c>
      <c r="I87" s="2">
        <f t="shared" si="9"/>
        <v>0</v>
      </c>
      <c r="J87" s="26">
        <f t="shared" si="10"/>
        <v>0</v>
      </c>
      <c r="K87" s="57" t="str">
        <f t="shared" si="11"/>
        <v>✅ Cleared</v>
      </c>
    </row>
    <row r="88" spans="1:11" ht="15.75" customHeight="1" x14ac:dyDescent="0.25">
      <c r="A88" s="6">
        <f>IFERROR(Members!A89,"")</f>
        <v>0</v>
      </c>
      <c r="B88" s="4">
        <f>IFERROR(Members!B89,"")</f>
        <v>0</v>
      </c>
      <c r="C88" s="56">
        <f>IF(A88="","",IFERROR(SUMIF(Loans!C$4:C$1003,A88,Loans!E$4:E$1003),0))</f>
        <v>0</v>
      </c>
      <c r="D88" s="21">
        <f>0</f>
        <v>0</v>
      </c>
      <c r="E88" s="2">
        <f t="shared" si="8"/>
        <v>0</v>
      </c>
      <c r="F88" s="24">
        <f>IF(A88="","",IFERROR(SUMIF(Interest_Engine!A$4:A$103,A88,Interest_Engine!AQ$4:AQ$103),0))</f>
        <v>0</v>
      </c>
      <c r="G88" s="25">
        <f>IF(A88="","",IFERROR(SUMIF(Loans!C$4:C$1003,A88,Loans!K$4:K$1003),0))</f>
        <v>0</v>
      </c>
      <c r="H88" s="25">
        <f>IF(A88="","",IFERROR(SUMIF(Int_Repayments!A$4:A$1003,A88,Int_Repayments!F$4:F$1003),0))</f>
        <v>0</v>
      </c>
      <c r="I88" s="2">
        <f t="shared" si="9"/>
        <v>0</v>
      </c>
      <c r="J88" s="26">
        <f t="shared" si="10"/>
        <v>0</v>
      </c>
      <c r="K88" s="57" t="str">
        <f t="shared" si="11"/>
        <v>✅ Cleared</v>
      </c>
    </row>
    <row r="89" spans="1:11" ht="15.75" customHeight="1" x14ac:dyDescent="0.25">
      <c r="A89" s="6">
        <f>IFERROR(Members!A90,"")</f>
        <v>0</v>
      </c>
      <c r="B89" s="4">
        <f>IFERROR(Members!B90,"")</f>
        <v>0</v>
      </c>
      <c r="C89" s="56">
        <f>IF(A89="","",IFERROR(SUMIF(Loans!C$4:C$1003,A89,Loans!E$4:E$1003),0))</f>
        <v>0</v>
      </c>
      <c r="D89" s="21">
        <f>0</f>
        <v>0</v>
      </c>
      <c r="E89" s="2">
        <f t="shared" si="8"/>
        <v>0</v>
      </c>
      <c r="F89" s="24">
        <f>IF(A89="","",IFERROR(SUMIF(Interest_Engine!A$4:A$103,A89,Interest_Engine!AQ$4:AQ$103),0))</f>
        <v>0</v>
      </c>
      <c r="G89" s="25">
        <f>IF(A89="","",IFERROR(SUMIF(Loans!C$4:C$1003,A89,Loans!K$4:K$1003),0))</f>
        <v>0</v>
      </c>
      <c r="H89" s="25">
        <f>IF(A89="","",IFERROR(SUMIF(Int_Repayments!A$4:A$1003,A89,Int_Repayments!F$4:F$1003),0))</f>
        <v>0</v>
      </c>
      <c r="I89" s="2">
        <f t="shared" si="9"/>
        <v>0</v>
      </c>
      <c r="J89" s="26">
        <f t="shared" si="10"/>
        <v>0</v>
      </c>
      <c r="K89" s="57" t="str">
        <f t="shared" si="11"/>
        <v>✅ Cleared</v>
      </c>
    </row>
    <row r="90" spans="1:11" ht="15.75" customHeight="1" x14ac:dyDescent="0.25">
      <c r="A90" s="6">
        <f>IFERROR(Members!A91,"")</f>
        <v>0</v>
      </c>
      <c r="B90" s="4">
        <f>IFERROR(Members!B91,"")</f>
        <v>0</v>
      </c>
      <c r="C90" s="56">
        <f>IF(A90="","",IFERROR(SUMIF(Loans!C$4:C$1003,A90,Loans!E$4:E$1003),0))</f>
        <v>0</v>
      </c>
      <c r="D90" s="21">
        <f>0</f>
        <v>0</v>
      </c>
      <c r="E90" s="2">
        <f t="shared" si="8"/>
        <v>0</v>
      </c>
      <c r="F90" s="24">
        <f>IF(A90="","",IFERROR(SUMIF(Interest_Engine!A$4:A$103,A90,Interest_Engine!AQ$4:AQ$103),0))</f>
        <v>0</v>
      </c>
      <c r="G90" s="25">
        <f>IF(A90="","",IFERROR(SUMIF(Loans!C$4:C$1003,A90,Loans!K$4:K$1003),0))</f>
        <v>0</v>
      </c>
      <c r="H90" s="25">
        <f>IF(A90="","",IFERROR(SUMIF(Int_Repayments!A$4:A$1003,A90,Int_Repayments!F$4:F$1003),0))</f>
        <v>0</v>
      </c>
      <c r="I90" s="2">
        <f t="shared" si="9"/>
        <v>0</v>
      </c>
      <c r="J90" s="26">
        <f t="shared" si="10"/>
        <v>0</v>
      </c>
      <c r="K90" s="57" t="str">
        <f t="shared" si="11"/>
        <v>✅ Cleared</v>
      </c>
    </row>
    <row r="91" spans="1:11" ht="15.75" customHeight="1" x14ac:dyDescent="0.25">
      <c r="A91" s="6">
        <f>IFERROR(Members!A92,"")</f>
        <v>0</v>
      </c>
      <c r="B91" s="4">
        <f>IFERROR(Members!B92,"")</f>
        <v>0</v>
      </c>
      <c r="C91" s="56">
        <f>IF(A91="","",IFERROR(SUMIF(Loans!C$4:C$1003,A91,Loans!E$4:E$1003),0))</f>
        <v>0</v>
      </c>
      <c r="D91" s="21">
        <f>0</f>
        <v>0</v>
      </c>
      <c r="E91" s="2">
        <f t="shared" si="8"/>
        <v>0</v>
      </c>
      <c r="F91" s="24">
        <f>IF(A91="","",IFERROR(SUMIF(Interest_Engine!A$4:A$103,A91,Interest_Engine!AQ$4:AQ$103),0))</f>
        <v>0</v>
      </c>
      <c r="G91" s="25">
        <f>IF(A91="","",IFERROR(SUMIF(Loans!C$4:C$1003,A91,Loans!K$4:K$1003),0))</f>
        <v>0</v>
      </c>
      <c r="H91" s="25">
        <f>IF(A91="","",IFERROR(SUMIF(Int_Repayments!A$4:A$1003,A91,Int_Repayments!F$4:F$1003),0))</f>
        <v>0</v>
      </c>
      <c r="I91" s="2">
        <f t="shared" si="9"/>
        <v>0</v>
      </c>
      <c r="J91" s="26">
        <f t="shared" si="10"/>
        <v>0</v>
      </c>
      <c r="K91" s="57" t="str">
        <f t="shared" si="11"/>
        <v>✅ Cleared</v>
      </c>
    </row>
    <row r="92" spans="1:11" ht="15.75" customHeight="1" x14ac:dyDescent="0.25">
      <c r="A92" s="6">
        <f>IFERROR(Members!A93,"")</f>
        <v>0</v>
      </c>
      <c r="B92" s="4">
        <f>IFERROR(Members!B93,"")</f>
        <v>0</v>
      </c>
      <c r="C92" s="56">
        <f>IF(A92="","",IFERROR(SUMIF(Loans!C$4:C$1003,A92,Loans!E$4:E$1003),0))</f>
        <v>0</v>
      </c>
      <c r="D92" s="21">
        <f>0</f>
        <v>0</v>
      </c>
      <c r="E92" s="2">
        <f t="shared" si="8"/>
        <v>0</v>
      </c>
      <c r="F92" s="24">
        <f>IF(A92="","",IFERROR(SUMIF(Interest_Engine!A$4:A$103,A92,Interest_Engine!AQ$4:AQ$103),0))</f>
        <v>0</v>
      </c>
      <c r="G92" s="25">
        <f>IF(A92="","",IFERROR(SUMIF(Loans!C$4:C$1003,A92,Loans!K$4:K$1003),0))</f>
        <v>0</v>
      </c>
      <c r="H92" s="25">
        <f>IF(A92="","",IFERROR(SUMIF(Int_Repayments!A$4:A$1003,A92,Int_Repayments!F$4:F$1003),0))</f>
        <v>0</v>
      </c>
      <c r="I92" s="2">
        <f t="shared" si="9"/>
        <v>0</v>
      </c>
      <c r="J92" s="26">
        <f t="shared" si="10"/>
        <v>0</v>
      </c>
      <c r="K92" s="57" t="str">
        <f t="shared" si="11"/>
        <v>✅ Cleared</v>
      </c>
    </row>
    <row r="93" spans="1:11" ht="15.75" customHeight="1" x14ac:dyDescent="0.25">
      <c r="A93" s="6">
        <f>IFERROR(Members!A94,"")</f>
        <v>0</v>
      </c>
      <c r="B93" s="4">
        <f>IFERROR(Members!B94,"")</f>
        <v>0</v>
      </c>
      <c r="C93" s="56">
        <f>IF(A93="","",IFERROR(SUMIF(Loans!C$4:C$1003,A93,Loans!E$4:E$1003),0))</f>
        <v>0</v>
      </c>
      <c r="D93" s="21">
        <f>0</f>
        <v>0</v>
      </c>
      <c r="E93" s="2">
        <f t="shared" si="8"/>
        <v>0</v>
      </c>
      <c r="F93" s="24">
        <f>IF(A93="","",IFERROR(SUMIF(Interest_Engine!A$4:A$103,A93,Interest_Engine!AQ$4:AQ$103),0))</f>
        <v>0</v>
      </c>
      <c r="G93" s="25">
        <f>IF(A93="","",IFERROR(SUMIF(Loans!C$4:C$1003,A93,Loans!K$4:K$1003),0))</f>
        <v>0</v>
      </c>
      <c r="H93" s="25">
        <f>IF(A93="","",IFERROR(SUMIF(Int_Repayments!A$4:A$1003,A93,Int_Repayments!F$4:F$1003),0))</f>
        <v>0</v>
      </c>
      <c r="I93" s="2">
        <f t="shared" si="9"/>
        <v>0</v>
      </c>
      <c r="J93" s="26">
        <f t="shared" si="10"/>
        <v>0</v>
      </c>
      <c r="K93" s="57" t="str">
        <f t="shared" si="11"/>
        <v>✅ Cleared</v>
      </c>
    </row>
    <row r="94" spans="1:11" ht="15.75" customHeight="1" x14ac:dyDescent="0.25">
      <c r="A94" s="6">
        <f>IFERROR(Members!A95,"")</f>
        <v>0</v>
      </c>
      <c r="B94" s="4">
        <f>IFERROR(Members!B95,"")</f>
        <v>0</v>
      </c>
      <c r="C94" s="56">
        <f>IF(A94="","",IFERROR(SUMIF(Loans!C$4:C$1003,A94,Loans!E$4:E$1003),0))</f>
        <v>0</v>
      </c>
      <c r="D94" s="21">
        <f>0</f>
        <v>0</v>
      </c>
      <c r="E94" s="2">
        <f t="shared" si="8"/>
        <v>0</v>
      </c>
      <c r="F94" s="24">
        <f>IF(A94="","",IFERROR(SUMIF(Interest_Engine!A$4:A$103,A94,Interest_Engine!AQ$4:AQ$103),0))</f>
        <v>0</v>
      </c>
      <c r="G94" s="25">
        <f>IF(A94="","",IFERROR(SUMIF(Loans!C$4:C$1003,A94,Loans!K$4:K$1003),0))</f>
        <v>0</v>
      </c>
      <c r="H94" s="25">
        <f>IF(A94="","",IFERROR(SUMIF(Int_Repayments!A$4:A$1003,A94,Int_Repayments!F$4:F$1003),0))</f>
        <v>0</v>
      </c>
      <c r="I94" s="2">
        <f t="shared" si="9"/>
        <v>0</v>
      </c>
      <c r="J94" s="26">
        <f t="shared" si="10"/>
        <v>0</v>
      </c>
      <c r="K94" s="57" t="str">
        <f t="shared" si="11"/>
        <v>✅ Cleared</v>
      </c>
    </row>
    <row r="95" spans="1:11" ht="15.75" customHeight="1" x14ac:dyDescent="0.25">
      <c r="A95" s="6">
        <f>IFERROR(Members!A96,"")</f>
        <v>0</v>
      </c>
      <c r="B95" s="4">
        <f>IFERROR(Members!B96,"")</f>
        <v>0</v>
      </c>
      <c r="C95" s="56">
        <f>IF(A95="","",IFERROR(SUMIF(Loans!C$4:C$1003,A95,Loans!E$4:E$1003),0))</f>
        <v>0</v>
      </c>
      <c r="D95" s="21">
        <f>0</f>
        <v>0</v>
      </c>
      <c r="E95" s="2">
        <f t="shared" si="8"/>
        <v>0</v>
      </c>
      <c r="F95" s="24">
        <f>IF(A95="","",IFERROR(SUMIF(Interest_Engine!A$4:A$103,A95,Interest_Engine!AQ$4:AQ$103),0))</f>
        <v>0</v>
      </c>
      <c r="G95" s="25">
        <f>IF(A95="","",IFERROR(SUMIF(Loans!C$4:C$1003,A95,Loans!K$4:K$1003),0))</f>
        <v>0</v>
      </c>
      <c r="H95" s="25">
        <f>IF(A95="","",IFERROR(SUMIF(Int_Repayments!A$4:A$1003,A95,Int_Repayments!F$4:F$1003),0))</f>
        <v>0</v>
      </c>
      <c r="I95" s="2">
        <f t="shared" si="9"/>
        <v>0</v>
      </c>
      <c r="J95" s="26">
        <f t="shared" si="10"/>
        <v>0</v>
      </c>
      <c r="K95" s="57" t="str">
        <f t="shared" si="11"/>
        <v>✅ Cleared</v>
      </c>
    </row>
    <row r="96" spans="1:11" ht="15.75" customHeight="1" x14ac:dyDescent="0.25">
      <c r="A96" s="6">
        <f>IFERROR(Members!A97,"")</f>
        <v>0</v>
      </c>
      <c r="B96" s="4">
        <f>IFERROR(Members!B97,"")</f>
        <v>0</v>
      </c>
      <c r="C96" s="56">
        <f>IF(A96="","",IFERROR(SUMIF(Loans!C$4:C$1003,A96,Loans!E$4:E$1003),0))</f>
        <v>0</v>
      </c>
      <c r="D96" s="21">
        <f>0</f>
        <v>0</v>
      </c>
      <c r="E96" s="2">
        <f t="shared" si="8"/>
        <v>0</v>
      </c>
      <c r="F96" s="24">
        <f>IF(A96="","",IFERROR(SUMIF(Interest_Engine!A$4:A$103,A96,Interest_Engine!AQ$4:AQ$103),0))</f>
        <v>0</v>
      </c>
      <c r="G96" s="25">
        <f>IF(A96="","",IFERROR(SUMIF(Loans!C$4:C$1003,A96,Loans!K$4:K$1003),0))</f>
        <v>0</v>
      </c>
      <c r="H96" s="25">
        <f>IF(A96="","",IFERROR(SUMIF(Int_Repayments!A$4:A$1003,A96,Int_Repayments!F$4:F$1003),0))</f>
        <v>0</v>
      </c>
      <c r="I96" s="2">
        <f t="shared" si="9"/>
        <v>0</v>
      </c>
      <c r="J96" s="26">
        <f t="shared" si="10"/>
        <v>0</v>
      </c>
      <c r="K96" s="57" t="str">
        <f t="shared" si="11"/>
        <v>✅ Cleared</v>
      </c>
    </row>
    <row r="97" spans="1:11" ht="15.75" customHeight="1" x14ac:dyDescent="0.25">
      <c r="A97" s="6">
        <f>IFERROR(Members!A98,"")</f>
        <v>0</v>
      </c>
      <c r="B97" s="4">
        <f>IFERROR(Members!B98,"")</f>
        <v>0</v>
      </c>
      <c r="C97" s="56">
        <f>IF(A97="","",IFERROR(SUMIF(Loans!C$4:C$1003,A97,Loans!E$4:E$1003),0))</f>
        <v>0</v>
      </c>
      <c r="D97" s="21">
        <f>0</f>
        <v>0</v>
      </c>
      <c r="E97" s="2">
        <f t="shared" si="8"/>
        <v>0</v>
      </c>
      <c r="F97" s="24">
        <f>IF(A97="","",IFERROR(SUMIF(Interest_Engine!A$4:A$103,A97,Interest_Engine!AQ$4:AQ$103),0))</f>
        <v>0</v>
      </c>
      <c r="G97" s="25">
        <f>IF(A97="","",IFERROR(SUMIF(Loans!C$4:C$1003,A97,Loans!K$4:K$1003),0))</f>
        <v>0</v>
      </c>
      <c r="H97" s="25">
        <f>IF(A97="","",IFERROR(SUMIF(Int_Repayments!A$4:A$1003,A97,Int_Repayments!F$4:F$1003),0))</f>
        <v>0</v>
      </c>
      <c r="I97" s="2">
        <f t="shared" si="9"/>
        <v>0</v>
      </c>
      <c r="J97" s="26">
        <f t="shared" si="10"/>
        <v>0</v>
      </c>
      <c r="K97" s="57" t="str">
        <f t="shared" si="11"/>
        <v>✅ Cleared</v>
      </c>
    </row>
    <row r="98" spans="1:11" ht="15.75" customHeight="1" x14ac:dyDescent="0.25">
      <c r="A98" s="6">
        <f>IFERROR(Members!A99,"")</f>
        <v>0</v>
      </c>
      <c r="B98" s="4">
        <f>IFERROR(Members!B99,"")</f>
        <v>0</v>
      </c>
      <c r="C98" s="56">
        <f>IF(A98="","",IFERROR(SUMIF(Loans!C$4:C$1003,A98,Loans!E$4:E$1003),0))</f>
        <v>0</v>
      </c>
      <c r="D98" s="21">
        <f>0</f>
        <v>0</v>
      </c>
      <c r="E98" s="2">
        <f t="shared" si="8"/>
        <v>0</v>
      </c>
      <c r="F98" s="24">
        <f>IF(A98="","",IFERROR(SUMIF(Interest_Engine!A$4:A$103,A98,Interest_Engine!AQ$4:AQ$103),0))</f>
        <v>0</v>
      </c>
      <c r="G98" s="25">
        <f>IF(A98="","",IFERROR(SUMIF(Loans!C$4:C$1003,A98,Loans!K$4:K$1003),0))</f>
        <v>0</v>
      </c>
      <c r="H98" s="25">
        <f>IF(A98="","",IFERROR(SUMIF(Int_Repayments!A$4:A$1003,A98,Int_Repayments!F$4:F$1003),0))</f>
        <v>0</v>
      </c>
      <c r="I98" s="2">
        <f t="shared" si="9"/>
        <v>0</v>
      </c>
      <c r="J98" s="26">
        <f t="shared" si="10"/>
        <v>0</v>
      </c>
      <c r="K98" s="57" t="str">
        <f t="shared" si="11"/>
        <v>✅ Cleared</v>
      </c>
    </row>
    <row r="99" spans="1:11" ht="15.75" customHeight="1" x14ac:dyDescent="0.25">
      <c r="A99" s="6">
        <f>IFERROR(Members!A100,"")</f>
        <v>0</v>
      </c>
      <c r="B99" s="4">
        <f>IFERROR(Members!B100,"")</f>
        <v>0</v>
      </c>
      <c r="C99" s="56">
        <f>IF(A99="","",IFERROR(SUMIF(Loans!C$4:C$1003,A99,Loans!E$4:E$1003),0))</f>
        <v>0</v>
      </c>
      <c r="D99" s="21">
        <f>0</f>
        <v>0</v>
      </c>
      <c r="E99" s="2">
        <f t="shared" ref="E99:E130" si="12">IF(A99="","",C99+D99)</f>
        <v>0</v>
      </c>
      <c r="F99" s="24">
        <f>IF(A99="","",IFERROR(SUMIF(Interest_Engine!A$4:A$103,A99,Interest_Engine!AQ$4:AQ$103),0))</f>
        <v>0</v>
      </c>
      <c r="G99" s="25">
        <f>IF(A99="","",IFERROR(SUMIF(Loans!C$4:C$1003,A99,Loans!K$4:K$1003),0))</f>
        <v>0</v>
      </c>
      <c r="H99" s="25">
        <f>IF(A99="","",IFERROR(SUMIF(Int_Repayments!A$4:A$1003,A99,Int_Repayments!F$4:F$1003),0))</f>
        <v>0</v>
      </c>
      <c r="I99" s="2">
        <f t="shared" ref="I99:I130" si="13">IF(A99="","",G99+H99)</f>
        <v>0</v>
      </c>
      <c r="J99" s="26">
        <f t="shared" ref="J99:J130" si="14">IF(A99="","",MAX(0,(E99+F99)-I99))</f>
        <v>0</v>
      </c>
      <c r="K99" s="57" t="str">
        <f t="shared" ref="K99:K130" si="15">IF(A99="","",IF(J99&lt;=0,"✅ Cleared","⏳ Active"))</f>
        <v>✅ Cleared</v>
      </c>
    </row>
    <row r="100" spans="1:11" ht="15.75" customHeight="1" x14ac:dyDescent="0.25">
      <c r="A100" s="6">
        <f>IFERROR(Members!A101,"")</f>
        <v>0</v>
      </c>
      <c r="B100" s="4">
        <f>IFERROR(Members!B101,"")</f>
        <v>0</v>
      </c>
      <c r="C100" s="56">
        <f>IF(A100="","",IFERROR(SUMIF(Loans!C$4:C$1003,A100,Loans!E$4:E$1003),0))</f>
        <v>0</v>
      </c>
      <c r="D100" s="21">
        <f>0</f>
        <v>0</v>
      </c>
      <c r="E100" s="2">
        <f t="shared" si="12"/>
        <v>0</v>
      </c>
      <c r="F100" s="24">
        <f>IF(A100="","",IFERROR(SUMIF(Interest_Engine!A$4:A$103,A100,Interest_Engine!AQ$4:AQ$103),0))</f>
        <v>0</v>
      </c>
      <c r="G100" s="25">
        <f>IF(A100="","",IFERROR(SUMIF(Loans!C$4:C$1003,A100,Loans!K$4:K$1003),0))</f>
        <v>0</v>
      </c>
      <c r="H100" s="25">
        <f>IF(A100="","",IFERROR(SUMIF(Int_Repayments!A$4:A$1003,A100,Int_Repayments!F$4:F$1003),0))</f>
        <v>0</v>
      </c>
      <c r="I100" s="2">
        <f t="shared" si="13"/>
        <v>0</v>
      </c>
      <c r="J100" s="26">
        <f t="shared" si="14"/>
        <v>0</v>
      </c>
      <c r="K100" s="57" t="str">
        <f t="shared" si="15"/>
        <v>✅ Cleared</v>
      </c>
    </row>
    <row r="101" spans="1:11" ht="15.75" customHeight="1" x14ac:dyDescent="0.25">
      <c r="A101" s="6">
        <f>IFERROR(Members!A102,"")</f>
        <v>0</v>
      </c>
      <c r="B101" s="4">
        <f>IFERROR(Members!B102,"")</f>
        <v>0</v>
      </c>
      <c r="C101" s="56">
        <f>IF(A101="","",IFERROR(SUMIF(Loans!C$4:C$1003,A101,Loans!E$4:E$1003),0))</f>
        <v>0</v>
      </c>
      <c r="D101" s="21">
        <f>0</f>
        <v>0</v>
      </c>
      <c r="E101" s="2">
        <f t="shared" si="12"/>
        <v>0</v>
      </c>
      <c r="F101" s="24">
        <f>IF(A101="","",IFERROR(SUMIF(Interest_Engine!A$4:A$103,A101,Interest_Engine!AQ$4:AQ$103),0))</f>
        <v>0</v>
      </c>
      <c r="G101" s="25">
        <f>IF(A101="","",IFERROR(SUMIF(Loans!C$4:C$1003,A101,Loans!K$4:K$1003),0))</f>
        <v>0</v>
      </c>
      <c r="H101" s="25">
        <f>IF(A101="","",IFERROR(SUMIF(Int_Repayments!A$4:A$1003,A101,Int_Repayments!F$4:F$1003),0))</f>
        <v>0</v>
      </c>
      <c r="I101" s="2">
        <f t="shared" si="13"/>
        <v>0</v>
      </c>
      <c r="J101" s="26">
        <f t="shared" si="14"/>
        <v>0</v>
      </c>
      <c r="K101" s="57" t="str">
        <f t="shared" si="15"/>
        <v>✅ Cleared</v>
      </c>
    </row>
    <row r="102" spans="1:11" ht="15.75" customHeight="1" x14ac:dyDescent="0.25">
      <c r="A102" s="6">
        <f>IFERROR(Members!A103,"")</f>
        <v>0</v>
      </c>
      <c r="B102" s="4">
        <f>IFERROR(Members!B103,"")</f>
        <v>0</v>
      </c>
      <c r="C102" s="56">
        <f>IF(A102="","",IFERROR(SUMIF(Loans!C$4:C$1003,A102,Loans!E$4:E$1003),0))</f>
        <v>0</v>
      </c>
      <c r="D102" s="21">
        <f>0</f>
        <v>0</v>
      </c>
      <c r="E102" s="2">
        <f t="shared" si="12"/>
        <v>0</v>
      </c>
      <c r="F102" s="24">
        <f>IF(A102="","",IFERROR(SUMIF(Interest_Engine!A$4:A$103,A102,Interest_Engine!AQ$4:AQ$103),0))</f>
        <v>0</v>
      </c>
      <c r="G102" s="25">
        <f>IF(A102="","",IFERROR(SUMIF(Loans!C$4:C$1003,A102,Loans!K$4:K$1003),0))</f>
        <v>0</v>
      </c>
      <c r="H102" s="25">
        <f>IF(A102="","",IFERROR(SUMIF(Int_Repayments!A$4:A$1003,A102,Int_Repayments!F$4:F$1003),0))</f>
        <v>0</v>
      </c>
      <c r="I102" s="2">
        <f t="shared" si="13"/>
        <v>0</v>
      </c>
      <c r="J102" s="26">
        <f t="shared" si="14"/>
        <v>0</v>
      </c>
      <c r="K102" s="57" t="str">
        <f t="shared" si="15"/>
        <v>✅ Cleared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P102"/>
  <sheetViews>
    <sheetView zoomScaleNormal="100" workbookViewId="0">
      <pane ySplit="2" topLeftCell="A3" activePane="bottomLeft" state="frozen"/>
      <selection pane="bottomLeft" sqref="A1:P1"/>
    </sheetView>
  </sheetViews>
  <sheetFormatPr defaultColWidth="8.7109375" defaultRowHeight="15" x14ac:dyDescent="0.25"/>
  <cols>
    <col min="1" max="1" width="14" customWidth="1"/>
    <col min="2" max="2" width="22" customWidth="1"/>
    <col min="3" max="4" width="16" customWidth="1"/>
    <col min="5" max="5" width="12" customWidth="1"/>
    <col min="6" max="7" width="16" customWidth="1"/>
    <col min="8" max="8" width="20" customWidth="1"/>
    <col min="9" max="9" width="18" customWidth="1"/>
  </cols>
  <sheetData>
    <row r="1" spans="1:16" ht="31.5" customHeight="1" x14ac:dyDescent="0.25">
      <c r="A1" s="166" t="s">
        <v>433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</row>
    <row r="2" spans="1:16" ht="24" customHeight="1" x14ac:dyDescent="0.25">
      <c r="A2" s="28" t="s">
        <v>43</v>
      </c>
      <c r="B2" s="28" t="s">
        <v>260</v>
      </c>
      <c r="C2" s="28" t="s">
        <v>434</v>
      </c>
      <c r="D2" s="28" t="s">
        <v>435</v>
      </c>
      <c r="E2" s="28" t="s">
        <v>436</v>
      </c>
      <c r="F2" s="28" t="s">
        <v>437</v>
      </c>
      <c r="G2" s="28" t="s">
        <v>438</v>
      </c>
      <c r="H2" s="28" t="s">
        <v>439</v>
      </c>
      <c r="I2" s="28" t="s">
        <v>440</v>
      </c>
    </row>
    <row r="3" spans="1:16" ht="15.75" customHeight="1" x14ac:dyDescent="0.25">
      <c r="A3" s="6">
        <f>IFERROR(Members!A4,"")</f>
        <v>0</v>
      </c>
      <c r="B3" s="4">
        <f>IFERROR(Members!B4,"")</f>
        <v>0</v>
      </c>
      <c r="C3" s="2" t="str">
        <f>IF(A3="","",IFERROR(Members!M4,0))</f>
        <v/>
      </c>
      <c r="D3" s="2">
        <f>IFERROR(SUM(Members!M$4:M$103),0)</f>
        <v>0</v>
      </c>
      <c r="E3" s="58" t="str">
        <f t="shared" ref="E3:E34" si="0">IF(OR(A3="",D3=0),"",C3/D3)</f>
        <v/>
      </c>
      <c r="F3" s="24">
        <f>IFERROR(SUMPRODUCT((MONTH(Int_Repayments!H$4:H$1003)=1)*Int_Repayments!F$4:F$1003),0)</f>
        <v>0</v>
      </c>
      <c r="G3" s="59">
        <f t="shared" ref="G3:G34" si="1">IF(A3="","",IFERROR(E3*F3,0))</f>
        <v>0</v>
      </c>
      <c r="H3" s="24">
        <f>IFERROR(SUM(Int_Repayments!F$4:F$1003),0)</f>
        <v>0</v>
      </c>
      <c r="I3" s="59">
        <f t="shared" ref="I3:I34" si="2">IF(A3="","",IFERROR(E3*H3,0))</f>
        <v>0</v>
      </c>
    </row>
    <row r="4" spans="1:16" ht="15.75" customHeight="1" x14ac:dyDescent="0.25">
      <c r="A4" s="6">
        <f>IFERROR(Members!A5,"")</f>
        <v>0</v>
      </c>
      <c r="B4" s="4">
        <f>IFERROR(Members!B5,"")</f>
        <v>0</v>
      </c>
      <c r="C4" s="2" t="str">
        <f>IF(A4="","",IFERROR(Members!M5,0))</f>
        <v/>
      </c>
      <c r="D4" s="2">
        <f>IFERROR(SUM(Members!M$4:M$103),0)</f>
        <v>0</v>
      </c>
      <c r="E4" s="58" t="str">
        <f t="shared" si="0"/>
        <v/>
      </c>
      <c r="F4" s="24">
        <f>IFERROR(SUMPRODUCT((MONTH(Int_Repayments!H$4:H$1003)=1)*Int_Repayments!F$4:F$1003),0)</f>
        <v>0</v>
      </c>
      <c r="G4" s="59">
        <f t="shared" si="1"/>
        <v>0</v>
      </c>
      <c r="H4" s="24">
        <f>IFERROR(SUM(Int_Repayments!F$4:F$1003),0)</f>
        <v>0</v>
      </c>
      <c r="I4" s="59">
        <f t="shared" si="2"/>
        <v>0</v>
      </c>
    </row>
    <row r="5" spans="1:16" ht="15.75" customHeight="1" x14ac:dyDescent="0.25">
      <c r="A5" s="6">
        <f>IFERROR(Members!A6,"")</f>
        <v>0</v>
      </c>
      <c r="B5" s="4">
        <f>IFERROR(Members!B6,"")</f>
        <v>0</v>
      </c>
      <c r="C5" s="2" t="str">
        <f>IF(A5="","",IFERROR(Members!M6,0))</f>
        <v/>
      </c>
      <c r="D5" s="2">
        <f>IFERROR(SUM(Members!M$4:M$103),0)</f>
        <v>0</v>
      </c>
      <c r="E5" s="58" t="str">
        <f t="shared" si="0"/>
        <v/>
      </c>
      <c r="F5" s="24">
        <f>IFERROR(SUMPRODUCT((MONTH(Int_Repayments!H$4:H$1003)=1)*Int_Repayments!F$4:F$1003),0)</f>
        <v>0</v>
      </c>
      <c r="G5" s="59">
        <f t="shared" si="1"/>
        <v>0</v>
      </c>
      <c r="H5" s="24">
        <f>IFERROR(SUM(Int_Repayments!F$4:F$1003),0)</f>
        <v>0</v>
      </c>
      <c r="I5" s="59">
        <f t="shared" si="2"/>
        <v>0</v>
      </c>
    </row>
    <row r="6" spans="1:16" ht="15.75" customHeight="1" x14ac:dyDescent="0.25">
      <c r="A6" s="6">
        <f>IFERROR(Members!A7,"")</f>
        <v>0</v>
      </c>
      <c r="B6" s="4">
        <f>IFERROR(Members!B7,"")</f>
        <v>0</v>
      </c>
      <c r="C6" s="2" t="str">
        <f>IF(A6="","",IFERROR(Members!M7,0))</f>
        <v/>
      </c>
      <c r="D6" s="2">
        <f>IFERROR(SUM(Members!M$4:M$103),0)</f>
        <v>0</v>
      </c>
      <c r="E6" s="58" t="str">
        <f t="shared" si="0"/>
        <v/>
      </c>
      <c r="F6" s="24">
        <f>IFERROR(SUMPRODUCT((MONTH(Int_Repayments!H$4:H$1003)=1)*Int_Repayments!F$4:F$1003),0)</f>
        <v>0</v>
      </c>
      <c r="G6" s="59">
        <f t="shared" si="1"/>
        <v>0</v>
      </c>
      <c r="H6" s="24">
        <f>IFERROR(SUM(Int_Repayments!F$4:F$1003),0)</f>
        <v>0</v>
      </c>
      <c r="I6" s="59">
        <f t="shared" si="2"/>
        <v>0</v>
      </c>
    </row>
    <row r="7" spans="1:16" ht="15.75" customHeight="1" x14ac:dyDescent="0.25">
      <c r="A7" s="6">
        <f>IFERROR(Members!A8,"")</f>
        <v>0</v>
      </c>
      <c r="B7" s="4">
        <f>IFERROR(Members!B8,"")</f>
        <v>0</v>
      </c>
      <c r="C7" s="2" t="str">
        <f>IF(A7="","",IFERROR(Members!M8,0))</f>
        <v/>
      </c>
      <c r="D7" s="2">
        <f>IFERROR(SUM(Members!M$4:M$103),0)</f>
        <v>0</v>
      </c>
      <c r="E7" s="58" t="str">
        <f t="shared" si="0"/>
        <v/>
      </c>
      <c r="F7" s="24">
        <f>IFERROR(SUMPRODUCT((MONTH(Int_Repayments!H$4:H$1003)=1)*Int_Repayments!F$4:F$1003),0)</f>
        <v>0</v>
      </c>
      <c r="G7" s="59">
        <f t="shared" si="1"/>
        <v>0</v>
      </c>
      <c r="H7" s="24">
        <f>IFERROR(SUM(Int_Repayments!F$4:F$1003),0)</f>
        <v>0</v>
      </c>
      <c r="I7" s="59">
        <f t="shared" si="2"/>
        <v>0</v>
      </c>
    </row>
    <row r="8" spans="1:16" ht="15.75" customHeight="1" x14ac:dyDescent="0.25">
      <c r="A8" s="6">
        <f>IFERROR(Members!A9,"")</f>
        <v>0</v>
      </c>
      <c r="B8" s="4">
        <f>IFERROR(Members!B9,"")</f>
        <v>0</v>
      </c>
      <c r="C8" s="2" t="str">
        <f>IF(A8="","",IFERROR(Members!M9,0))</f>
        <v/>
      </c>
      <c r="D8" s="2">
        <f>IFERROR(SUM(Members!M$4:M$103),0)</f>
        <v>0</v>
      </c>
      <c r="E8" s="58" t="str">
        <f t="shared" si="0"/>
        <v/>
      </c>
      <c r="F8" s="24">
        <f>IFERROR(SUMPRODUCT((MONTH(Int_Repayments!H$4:H$1003)=1)*Int_Repayments!F$4:F$1003),0)</f>
        <v>0</v>
      </c>
      <c r="G8" s="59">
        <f t="shared" si="1"/>
        <v>0</v>
      </c>
      <c r="H8" s="24">
        <f>IFERROR(SUM(Int_Repayments!F$4:F$1003),0)</f>
        <v>0</v>
      </c>
      <c r="I8" s="59">
        <f t="shared" si="2"/>
        <v>0</v>
      </c>
    </row>
    <row r="9" spans="1:16" ht="15.75" customHeight="1" x14ac:dyDescent="0.25">
      <c r="A9" s="6">
        <f>IFERROR(Members!A10,"")</f>
        <v>0</v>
      </c>
      <c r="B9" s="4">
        <f>IFERROR(Members!B10,"")</f>
        <v>0</v>
      </c>
      <c r="C9" s="2" t="str">
        <f>IF(A9="","",IFERROR(Members!M10,0))</f>
        <v/>
      </c>
      <c r="D9" s="2">
        <f>IFERROR(SUM(Members!M$4:M$103),0)</f>
        <v>0</v>
      </c>
      <c r="E9" s="58" t="str">
        <f t="shared" si="0"/>
        <v/>
      </c>
      <c r="F9" s="24">
        <f>IFERROR(SUMPRODUCT((MONTH(Int_Repayments!H$4:H$1003)=1)*Int_Repayments!F$4:F$1003),0)</f>
        <v>0</v>
      </c>
      <c r="G9" s="59">
        <f t="shared" si="1"/>
        <v>0</v>
      </c>
      <c r="H9" s="24">
        <f>IFERROR(SUM(Int_Repayments!F$4:F$1003),0)</f>
        <v>0</v>
      </c>
      <c r="I9" s="59">
        <f t="shared" si="2"/>
        <v>0</v>
      </c>
    </row>
    <row r="10" spans="1:16" ht="15.75" customHeight="1" x14ac:dyDescent="0.25">
      <c r="A10" s="6">
        <f>IFERROR(Members!A11,"")</f>
        <v>0</v>
      </c>
      <c r="B10" s="4">
        <f>IFERROR(Members!B11,"")</f>
        <v>0</v>
      </c>
      <c r="C10" s="2" t="str">
        <f>IF(A10="","",IFERROR(Members!M11,0))</f>
        <v/>
      </c>
      <c r="D10" s="2">
        <f>IFERROR(SUM(Members!M$4:M$103),0)</f>
        <v>0</v>
      </c>
      <c r="E10" s="58" t="str">
        <f t="shared" si="0"/>
        <v/>
      </c>
      <c r="F10" s="24">
        <f>IFERROR(SUMPRODUCT((MONTH(Int_Repayments!H$4:H$1003)=1)*Int_Repayments!F$4:F$1003),0)</f>
        <v>0</v>
      </c>
      <c r="G10" s="59">
        <f t="shared" si="1"/>
        <v>0</v>
      </c>
      <c r="H10" s="24">
        <f>IFERROR(SUM(Int_Repayments!F$4:F$1003),0)</f>
        <v>0</v>
      </c>
      <c r="I10" s="59">
        <f t="shared" si="2"/>
        <v>0</v>
      </c>
    </row>
    <row r="11" spans="1:16" ht="15.75" customHeight="1" x14ac:dyDescent="0.25">
      <c r="A11" s="6">
        <f>IFERROR(Members!A12,"")</f>
        <v>0</v>
      </c>
      <c r="B11" s="4">
        <f>IFERROR(Members!B12,"")</f>
        <v>0</v>
      </c>
      <c r="C11" s="2" t="str">
        <f>IF(A11="","",IFERROR(Members!M12,0))</f>
        <v/>
      </c>
      <c r="D11" s="2">
        <f>IFERROR(SUM(Members!M$4:M$103),0)</f>
        <v>0</v>
      </c>
      <c r="E11" s="58" t="str">
        <f t="shared" si="0"/>
        <v/>
      </c>
      <c r="F11" s="24">
        <f>IFERROR(SUMPRODUCT((MONTH(Int_Repayments!H$4:H$1003)=1)*Int_Repayments!F$4:F$1003),0)</f>
        <v>0</v>
      </c>
      <c r="G11" s="59">
        <f t="shared" si="1"/>
        <v>0</v>
      </c>
      <c r="H11" s="24">
        <f>IFERROR(SUM(Int_Repayments!F$4:F$1003),0)</f>
        <v>0</v>
      </c>
      <c r="I11" s="59">
        <f t="shared" si="2"/>
        <v>0</v>
      </c>
    </row>
    <row r="12" spans="1:16" ht="15.75" customHeight="1" x14ac:dyDescent="0.25">
      <c r="A12" s="6">
        <f>IFERROR(Members!A13,"")</f>
        <v>0</v>
      </c>
      <c r="B12" s="4">
        <f>IFERROR(Members!B13,"")</f>
        <v>0</v>
      </c>
      <c r="C12" s="2" t="str">
        <f>IF(A12="","",IFERROR(Members!M13,0))</f>
        <v/>
      </c>
      <c r="D12" s="2">
        <f>IFERROR(SUM(Members!M$4:M$103),0)</f>
        <v>0</v>
      </c>
      <c r="E12" s="58" t="str">
        <f t="shared" si="0"/>
        <v/>
      </c>
      <c r="F12" s="24">
        <f>IFERROR(SUMPRODUCT((MONTH(Int_Repayments!H$4:H$1003)=1)*Int_Repayments!F$4:F$1003),0)</f>
        <v>0</v>
      </c>
      <c r="G12" s="59">
        <f t="shared" si="1"/>
        <v>0</v>
      </c>
      <c r="H12" s="24">
        <f>IFERROR(SUM(Int_Repayments!F$4:F$1003),0)</f>
        <v>0</v>
      </c>
      <c r="I12" s="59">
        <f t="shared" si="2"/>
        <v>0</v>
      </c>
    </row>
    <row r="13" spans="1:16" ht="15.75" customHeight="1" x14ac:dyDescent="0.25">
      <c r="A13" s="6">
        <f>IFERROR(Members!A14,"")</f>
        <v>0</v>
      </c>
      <c r="B13" s="4">
        <f>IFERROR(Members!B14,"")</f>
        <v>0</v>
      </c>
      <c r="C13" s="2" t="str">
        <f>IF(A13="","",IFERROR(Members!M14,0))</f>
        <v/>
      </c>
      <c r="D13" s="2">
        <f>IFERROR(SUM(Members!M$4:M$103),0)</f>
        <v>0</v>
      </c>
      <c r="E13" s="58" t="str">
        <f t="shared" si="0"/>
        <v/>
      </c>
      <c r="F13" s="24">
        <f>IFERROR(SUMPRODUCT((MONTH(Int_Repayments!H$4:H$1003)=1)*Int_Repayments!F$4:F$1003),0)</f>
        <v>0</v>
      </c>
      <c r="G13" s="59">
        <f t="shared" si="1"/>
        <v>0</v>
      </c>
      <c r="H13" s="24">
        <f>IFERROR(SUM(Int_Repayments!F$4:F$1003),0)</f>
        <v>0</v>
      </c>
      <c r="I13" s="59">
        <f t="shared" si="2"/>
        <v>0</v>
      </c>
    </row>
    <row r="14" spans="1:16" ht="15.75" customHeight="1" x14ac:dyDescent="0.25">
      <c r="A14" s="6">
        <f>IFERROR(Members!A15,"")</f>
        <v>0</v>
      </c>
      <c r="B14" s="4">
        <f>IFERROR(Members!B15,"")</f>
        <v>0</v>
      </c>
      <c r="C14" s="2" t="str">
        <f>IF(A14="","",IFERROR(Members!M15,0))</f>
        <v/>
      </c>
      <c r="D14" s="2">
        <f>IFERROR(SUM(Members!M$4:M$103),0)</f>
        <v>0</v>
      </c>
      <c r="E14" s="58" t="str">
        <f t="shared" si="0"/>
        <v/>
      </c>
      <c r="F14" s="24">
        <f>IFERROR(SUMPRODUCT((MONTH(Int_Repayments!H$4:H$1003)=1)*Int_Repayments!F$4:F$1003),0)</f>
        <v>0</v>
      </c>
      <c r="G14" s="59">
        <f t="shared" si="1"/>
        <v>0</v>
      </c>
      <c r="H14" s="24">
        <f>IFERROR(SUM(Int_Repayments!F$4:F$1003),0)</f>
        <v>0</v>
      </c>
      <c r="I14" s="59">
        <f t="shared" si="2"/>
        <v>0</v>
      </c>
    </row>
    <row r="15" spans="1:16" ht="15.75" customHeight="1" x14ac:dyDescent="0.25">
      <c r="A15" s="6">
        <f>IFERROR(Members!A16,"")</f>
        <v>0</v>
      </c>
      <c r="B15" s="4">
        <f>IFERROR(Members!B16,"")</f>
        <v>0</v>
      </c>
      <c r="C15" s="2" t="str">
        <f>IF(A15="","",IFERROR(Members!M16,0))</f>
        <v/>
      </c>
      <c r="D15" s="2">
        <f>IFERROR(SUM(Members!M$4:M$103),0)</f>
        <v>0</v>
      </c>
      <c r="E15" s="58" t="str">
        <f t="shared" si="0"/>
        <v/>
      </c>
      <c r="F15" s="24">
        <f>IFERROR(SUMPRODUCT((MONTH(Int_Repayments!H$4:H$1003)=1)*Int_Repayments!F$4:F$1003),0)</f>
        <v>0</v>
      </c>
      <c r="G15" s="59">
        <f t="shared" si="1"/>
        <v>0</v>
      </c>
      <c r="H15" s="24">
        <f>IFERROR(SUM(Int_Repayments!F$4:F$1003),0)</f>
        <v>0</v>
      </c>
      <c r="I15" s="59">
        <f t="shared" si="2"/>
        <v>0</v>
      </c>
    </row>
    <row r="16" spans="1:16" ht="15.75" customHeight="1" x14ac:dyDescent="0.25">
      <c r="A16" s="6">
        <f>IFERROR(Members!A17,"")</f>
        <v>0</v>
      </c>
      <c r="B16" s="4">
        <f>IFERROR(Members!B17,"")</f>
        <v>0</v>
      </c>
      <c r="C16" s="2" t="str">
        <f>IF(A16="","",IFERROR(Members!M17,0))</f>
        <v/>
      </c>
      <c r="D16" s="2">
        <f>IFERROR(SUM(Members!M$4:M$103),0)</f>
        <v>0</v>
      </c>
      <c r="E16" s="58" t="str">
        <f t="shared" si="0"/>
        <v/>
      </c>
      <c r="F16" s="24">
        <f>IFERROR(SUMPRODUCT((MONTH(Int_Repayments!H$4:H$1003)=1)*Int_Repayments!F$4:F$1003),0)</f>
        <v>0</v>
      </c>
      <c r="G16" s="59">
        <f t="shared" si="1"/>
        <v>0</v>
      </c>
      <c r="H16" s="24">
        <f>IFERROR(SUM(Int_Repayments!F$4:F$1003),0)</f>
        <v>0</v>
      </c>
      <c r="I16" s="59">
        <f t="shared" si="2"/>
        <v>0</v>
      </c>
    </row>
    <row r="17" spans="1:9" ht="15.75" customHeight="1" x14ac:dyDescent="0.25">
      <c r="A17" s="6">
        <f>IFERROR(Members!A18,"")</f>
        <v>0</v>
      </c>
      <c r="B17" s="4">
        <f>IFERROR(Members!B18,"")</f>
        <v>0</v>
      </c>
      <c r="C17" s="2" t="str">
        <f>IF(A17="","",IFERROR(Members!M18,0))</f>
        <v/>
      </c>
      <c r="D17" s="2">
        <f>IFERROR(SUM(Members!M$4:M$103),0)</f>
        <v>0</v>
      </c>
      <c r="E17" s="58" t="str">
        <f t="shared" si="0"/>
        <v/>
      </c>
      <c r="F17" s="24">
        <f>IFERROR(SUMPRODUCT((MONTH(Int_Repayments!H$4:H$1003)=1)*Int_Repayments!F$4:F$1003),0)</f>
        <v>0</v>
      </c>
      <c r="G17" s="59">
        <f t="shared" si="1"/>
        <v>0</v>
      </c>
      <c r="H17" s="24">
        <f>IFERROR(SUM(Int_Repayments!F$4:F$1003),0)</f>
        <v>0</v>
      </c>
      <c r="I17" s="59">
        <f t="shared" si="2"/>
        <v>0</v>
      </c>
    </row>
    <row r="18" spans="1:9" ht="15.75" customHeight="1" x14ac:dyDescent="0.25">
      <c r="A18" s="6">
        <f>IFERROR(Members!A19,"")</f>
        <v>0</v>
      </c>
      <c r="B18" s="4">
        <f>IFERROR(Members!B19,"")</f>
        <v>0</v>
      </c>
      <c r="C18" s="2" t="str">
        <f>IF(A18="","",IFERROR(Members!M19,0))</f>
        <v/>
      </c>
      <c r="D18" s="2">
        <f>IFERROR(SUM(Members!M$4:M$103),0)</f>
        <v>0</v>
      </c>
      <c r="E18" s="58" t="str">
        <f t="shared" si="0"/>
        <v/>
      </c>
      <c r="F18" s="24">
        <f>IFERROR(SUMPRODUCT((MONTH(Int_Repayments!H$4:H$1003)=1)*Int_Repayments!F$4:F$1003),0)</f>
        <v>0</v>
      </c>
      <c r="G18" s="59">
        <f t="shared" si="1"/>
        <v>0</v>
      </c>
      <c r="H18" s="24">
        <f>IFERROR(SUM(Int_Repayments!F$4:F$1003),0)</f>
        <v>0</v>
      </c>
      <c r="I18" s="59">
        <f t="shared" si="2"/>
        <v>0</v>
      </c>
    </row>
    <row r="19" spans="1:9" ht="15.75" customHeight="1" x14ac:dyDescent="0.25">
      <c r="A19" s="6">
        <f>IFERROR(Members!A20,"")</f>
        <v>0</v>
      </c>
      <c r="B19" s="4">
        <f>IFERROR(Members!B20,"")</f>
        <v>0</v>
      </c>
      <c r="C19" s="2" t="str">
        <f>IF(A19="","",IFERROR(Members!M20,0))</f>
        <v/>
      </c>
      <c r="D19" s="2">
        <f>IFERROR(SUM(Members!M$4:M$103),0)</f>
        <v>0</v>
      </c>
      <c r="E19" s="58" t="str">
        <f t="shared" si="0"/>
        <v/>
      </c>
      <c r="F19" s="24">
        <f>IFERROR(SUMPRODUCT((MONTH(Int_Repayments!H$4:H$1003)=1)*Int_Repayments!F$4:F$1003),0)</f>
        <v>0</v>
      </c>
      <c r="G19" s="59">
        <f t="shared" si="1"/>
        <v>0</v>
      </c>
      <c r="H19" s="24">
        <f>IFERROR(SUM(Int_Repayments!F$4:F$1003),0)</f>
        <v>0</v>
      </c>
      <c r="I19" s="59">
        <f t="shared" si="2"/>
        <v>0</v>
      </c>
    </row>
    <row r="20" spans="1:9" ht="15.75" customHeight="1" x14ac:dyDescent="0.25">
      <c r="A20" s="6">
        <f>IFERROR(Members!A21,"")</f>
        <v>0</v>
      </c>
      <c r="B20" s="4">
        <f>IFERROR(Members!B21,"")</f>
        <v>0</v>
      </c>
      <c r="C20" s="2" t="str">
        <f>IF(A20="","",IFERROR(Members!M21,0))</f>
        <v/>
      </c>
      <c r="D20" s="2">
        <f>IFERROR(SUM(Members!M$4:M$103),0)</f>
        <v>0</v>
      </c>
      <c r="E20" s="58" t="str">
        <f t="shared" si="0"/>
        <v/>
      </c>
      <c r="F20" s="24">
        <f>IFERROR(SUMPRODUCT((MONTH(Int_Repayments!H$4:H$1003)=1)*Int_Repayments!F$4:F$1003),0)</f>
        <v>0</v>
      </c>
      <c r="G20" s="59">
        <f t="shared" si="1"/>
        <v>0</v>
      </c>
      <c r="H20" s="24">
        <f>IFERROR(SUM(Int_Repayments!F$4:F$1003),0)</f>
        <v>0</v>
      </c>
      <c r="I20" s="59">
        <f t="shared" si="2"/>
        <v>0</v>
      </c>
    </row>
    <row r="21" spans="1:9" ht="15.75" customHeight="1" x14ac:dyDescent="0.25">
      <c r="A21" s="6">
        <f>IFERROR(Members!A22,"")</f>
        <v>0</v>
      </c>
      <c r="B21" s="4">
        <f>IFERROR(Members!B22,"")</f>
        <v>0</v>
      </c>
      <c r="C21" s="2" t="str">
        <f>IF(A21="","",IFERROR(Members!M22,0))</f>
        <v/>
      </c>
      <c r="D21" s="2">
        <f>IFERROR(SUM(Members!M$4:M$103),0)</f>
        <v>0</v>
      </c>
      <c r="E21" s="58" t="str">
        <f t="shared" si="0"/>
        <v/>
      </c>
      <c r="F21" s="24">
        <f>IFERROR(SUMPRODUCT((MONTH(Int_Repayments!H$4:H$1003)=1)*Int_Repayments!F$4:F$1003),0)</f>
        <v>0</v>
      </c>
      <c r="G21" s="59">
        <f t="shared" si="1"/>
        <v>0</v>
      </c>
      <c r="H21" s="24">
        <f>IFERROR(SUM(Int_Repayments!F$4:F$1003),0)</f>
        <v>0</v>
      </c>
      <c r="I21" s="59">
        <f t="shared" si="2"/>
        <v>0</v>
      </c>
    </row>
    <row r="22" spans="1:9" ht="15.75" customHeight="1" x14ac:dyDescent="0.25">
      <c r="A22" s="6">
        <f>IFERROR(Members!A23,"")</f>
        <v>0</v>
      </c>
      <c r="B22" s="4">
        <f>IFERROR(Members!B23,"")</f>
        <v>0</v>
      </c>
      <c r="C22" s="2" t="str">
        <f>IF(A22="","",IFERROR(Members!M23,0))</f>
        <v/>
      </c>
      <c r="D22" s="2">
        <f>IFERROR(SUM(Members!M$4:M$103),0)</f>
        <v>0</v>
      </c>
      <c r="E22" s="58" t="str">
        <f t="shared" si="0"/>
        <v/>
      </c>
      <c r="F22" s="24">
        <f>IFERROR(SUMPRODUCT((MONTH(Int_Repayments!H$4:H$1003)=1)*Int_Repayments!F$4:F$1003),0)</f>
        <v>0</v>
      </c>
      <c r="G22" s="59">
        <f t="shared" si="1"/>
        <v>0</v>
      </c>
      <c r="H22" s="24">
        <f>IFERROR(SUM(Int_Repayments!F$4:F$1003),0)</f>
        <v>0</v>
      </c>
      <c r="I22" s="59">
        <f t="shared" si="2"/>
        <v>0</v>
      </c>
    </row>
    <row r="23" spans="1:9" ht="15.75" customHeight="1" x14ac:dyDescent="0.25">
      <c r="A23" s="6">
        <f>IFERROR(Members!A24,"")</f>
        <v>0</v>
      </c>
      <c r="B23" s="4">
        <f>IFERROR(Members!B24,"")</f>
        <v>0</v>
      </c>
      <c r="C23" s="2" t="str">
        <f>IF(A23="","",IFERROR(Members!M24,0))</f>
        <v/>
      </c>
      <c r="D23" s="2">
        <f>IFERROR(SUM(Members!M$4:M$103),0)</f>
        <v>0</v>
      </c>
      <c r="E23" s="58" t="str">
        <f t="shared" si="0"/>
        <v/>
      </c>
      <c r="F23" s="24">
        <f>IFERROR(SUMPRODUCT((MONTH(Int_Repayments!H$4:H$1003)=1)*Int_Repayments!F$4:F$1003),0)</f>
        <v>0</v>
      </c>
      <c r="G23" s="59">
        <f t="shared" si="1"/>
        <v>0</v>
      </c>
      <c r="H23" s="24">
        <f>IFERROR(SUM(Int_Repayments!F$4:F$1003),0)</f>
        <v>0</v>
      </c>
      <c r="I23" s="59">
        <f t="shared" si="2"/>
        <v>0</v>
      </c>
    </row>
    <row r="24" spans="1:9" ht="15.75" customHeight="1" x14ac:dyDescent="0.25">
      <c r="A24" s="6">
        <f>IFERROR(Members!A25,"")</f>
        <v>0</v>
      </c>
      <c r="B24" s="4">
        <f>IFERROR(Members!B25,"")</f>
        <v>0</v>
      </c>
      <c r="C24" s="2" t="str">
        <f>IF(A24="","",IFERROR(Members!M25,0))</f>
        <v/>
      </c>
      <c r="D24" s="2">
        <f>IFERROR(SUM(Members!M$4:M$103),0)</f>
        <v>0</v>
      </c>
      <c r="E24" s="58" t="str">
        <f t="shared" si="0"/>
        <v/>
      </c>
      <c r="F24" s="24">
        <f>IFERROR(SUMPRODUCT((MONTH(Int_Repayments!H$4:H$1003)=1)*Int_Repayments!F$4:F$1003),0)</f>
        <v>0</v>
      </c>
      <c r="G24" s="59">
        <f t="shared" si="1"/>
        <v>0</v>
      </c>
      <c r="H24" s="24">
        <f>IFERROR(SUM(Int_Repayments!F$4:F$1003),0)</f>
        <v>0</v>
      </c>
      <c r="I24" s="59">
        <f t="shared" si="2"/>
        <v>0</v>
      </c>
    </row>
    <row r="25" spans="1:9" ht="15.75" customHeight="1" x14ac:dyDescent="0.25">
      <c r="A25" s="6">
        <f>IFERROR(Members!A26,"")</f>
        <v>0</v>
      </c>
      <c r="B25" s="4">
        <f>IFERROR(Members!B26,"")</f>
        <v>0</v>
      </c>
      <c r="C25" s="2" t="str">
        <f>IF(A25="","",IFERROR(Members!M26,0))</f>
        <v/>
      </c>
      <c r="D25" s="2">
        <f>IFERROR(SUM(Members!M$4:M$103),0)</f>
        <v>0</v>
      </c>
      <c r="E25" s="58" t="str">
        <f t="shared" si="0"/>
        <v/>
      </c>
      <c r="F25" s="24">
        <f>IFERROR(SUMPRODUCT((MONTH(Int_Repayments!H$4:H$1003)=1)*Int_Repayments!F$4:F$1003),0)</f>
        <v>0</v>
      </c>
      <c r="G25" s="59">
        <f t="shared" si="1"/>
        <v>0</v>
      </c>
      <c r="H25" s="24">
        <f>IFERROR(SUM(Int_Repayments!F$4:F$1003),0)</f>
        <v>0</v>
      </c>
      <c r="I25" s="59">
        <f t="shared" si="2"/>
        <v>0</v>
      </c>
    </row>
    <row r="26" spans="1:9" ht="15.75" customHeight="1" x14ac:dyDescent="0.25">
      <c r="A26" s="6">
        <f>IFERROR(Members!A27,"")</f>
        <v>0</v>
      </c>
      <c r="B26" s="4">
        <f>IFERROR(Members!B27,"")</f>
        <v>0</v>
      </c>
      <c r="C26" s="2" t="str">
        <f>IF(A26="","",IFERROR(Members!M27,0))</f>
        <v/>
      </c>
      <c r="D26" s="2">
        <f>IFERROR(SUM(Members!M$4:M$103),0)</f>
        <v>0</v>
      </c>
      <c r="E26" s="58" t="str">
        <f t="shared" si="0"/>
        <v/>
      </c>
      <c r="F26" s="24">
        <f>IFERROR(SUMPRODUCT((MONTH(Int_Repayments!H$4:H$1003)=1)*Int_Repayments!F$4:F$1003),0)</f>
        <v>0</v>
      </c>
      <c r="G26" s="59">
        <f t="shared" si="1"/>
        <v>0</v>
      </c>
      <c r="H26" s="24">
        <f>IFERROR(SUM(Int_Repayments!F$4:F$1003),0)</f>
        <v>0</v>
      </c>
      <c r="I26" s="59">
        <f t="shared" si="2"/>
        <v>0</v>
      </c>
    </row>
    <row r="27" spans="1:9" ht="15.75" customHeight="1" x14ac:dyDescent="0.25">
      <c r="A27" s="6">
        <f>IFERROR(Members!A28,"")</f>
        <v>0</v>
      </c>
      <c r="B27" s="4">
        <f>IFERROR(Members!B28,"")</f>
        <v>0</v>
      </c>
      <c r="C27" s="2" t="str">
        <f>IF(A27="","",IFERROR(Members!M28,0))</f>
        <v/>
      </c>
      <c r="D27" s="2">
        <f>IFERROR(SUM(Members!M$4:M$103),0)</f>
        <v>0</v>
      </c>
      <c r="E27" s="58" t="str">
        <f t="shared" si="0"/>
        <v/>
      </c>
      <c r="F27" s="24">
        <f>IFERROR(SUMPRODUCT((MONTH(Int_Repayments!H$4:H$1003)=1)*Int_Repayments!F$4:F$1003),0)</f>
        <v>0</v>
      </c>
      <c r="G27" s="59">
        <f t="shared" si="1"/>
        <v>0</v>
      </c>
      <c r="H27" s="24">
        <f>IFERROR(SUM(Int_Repayments!F$4:F$1003),0)</f>
        <v>0</v>
      </c>
      <c r="I27" s="59">
        <f t="shared" si="2"/>
        <v>0</v>
      </c>
    </row>
    <row r="28" spans="1:9" ht="15.75" customHeight="1" x14ac:dyDescent="0.25">
      <c r="A28" s="6">
        <f>IFERROR(Members!A29,"")</f>
        <v>0</v>
      </c>
      <c r="B28" s="4">
        <f>IFERROR(Members!B29,"")</f>
        <v>0</v>
      </c>
      <c r="C28" s="2" t="str">
        <f>IF(A28="","",IFERROR(Members!M29,0))</f>
        <v/>
      </c>
      <c r="D28" s="2">
        <f>IFERROR(SUM(Members!M$4:M$103),0)</f>
        <v>0</v>
      </c>
      <c r="E28" s="58" t="str">
        <f t="shared" si="0"/>
        <v/>
      </c>
      <c r="F28" s="24">
        <f>IFERROR(SUMPRODUCT((MONTH(Int_Repayments!H$4:H$1003)=1)*Int_Repayments!F$4:F$1003),0)</f>
        <v>0</v>
      </c>
      <c r="G28" s="59">
        <f t="shared" si="1"/>
        <v>0</v>
      </c>
      <c r="H28" s="24">
        <f>IFERROR(SUM(Int_Repayments!F$4:F$1003),0)</f>
        <v>0</v>
      </c>
      <c r="I28" s="59">
        <f t="shared" si="2"/>
        <v>0</v>
      </c>
    </row>
    <row r="29" spans="1:9" ht="15.75" customHeight="1" x14ac:dyDescent="0.25">
      <c r="A29" s="6">
        <f>IFERROR(Members!A30,"")</f>
        <v>0</v>
      </c>
      <c r="B29" s="4">
        <f>IFERROR(Members!B30,"")</f>
        <v>0</v>
      </c>
      <c r="C29" s="2" t="str">
        <f>IF(A29="","",IFERROR(Members!M30,0))</f>
        <v/>
      </c>
      <c r="D29" s="2">
        <f>IFERROR(SUM(Members!M$4:M$103),0)</f>
        <v>0</v>
      </c>
      <c r="E29" s="58" t="str">
        <f t="shared" si="0"/>
        <v/>
      </c>
      <c r="F29" s="24">
        <f>IFERROR(SUMPRODUCT((MONTH(Int_Repayments!H$4:H$1003)=1)*Int_Repayments!F$4:F$1003),0)</f>
        <v>0</v>
      </c>
      <c r="G29" s="59">
        <f t="shared" si="1"/>
        <v>0</v>
      </c>
      <c r="H29" s="24">
        <f>IFERROR(SUM(Int_Repayments!F$4:F$1003),0)</f>
        <v>0</v>
      </c>
      <c r="I29" s="59">
        <f t="shared" si="2"/>
        <v>0</v>
      </c>
    </row>
    <row r="30" spans="1:9" ht="15.75" customHeight="1" x14ac:dyDescent="0.25">
      <c r="A30" s="6">
        <f>IFERROR(Members!A31,"")</f>
        <v>0</v>
      </c>
      <c r="B30" s="4">
        <f>IFERROR(Members!B31,"")</f>
        <v>0</v>
      </c>
      <c r="C30" s="2" t="str">
        <f>IF(A30="","",IFERROR(Members!M31,0))</f>
        <v/>
      </c>
      <c r="D30" s="2">
        <f>IFERROR(SUM(Members!M$4:M$103),0)</f>
        <v>0</v>
      </c>
      <c r="E30" s="58" t="str">
        <f t="shared" si="0"/>
        <v/>
      </c>
      <c r="F30" s="24">
        <f>IFERROR(SUMPRODUCT((MONTH(Int_Repayments!H$4:H$1003)=1)*Int_Repayments!F$4:F$1003),0)</f>
        <v>0</v>
      </c>
      <c r="G30" s="59">
        <f t="shared" si="1"/>
        <v>0</v>
      </c>
      <c r="H30" s="24">
        <f>IFERROR(SUM(Int_Repayments!F$4:F$1003),0)</f>
        <v>0</v>
      </c>
      <c r="I30" s="59">
        <f t="shared" si="2"/>
        <v>0</v>
      </c>
    </row>
    <row r="31" spans="1:9" ht="15.75" customHeight="1" x14ac:dyDescent="0.25">
      <c r="A31" s="6">
        <f>IFERROR(Members!A32,"")</f>
        <v>0</v>
      </c>
      <c r="B31" s="4">
        <f>IFERROR(Members!B32,"")</f>
        <v>0</v>
      </c>
      <c r="C31" s="2" t="str">
        <f>IF(A31="","",IFERROR(Members!M32,0))</f>
        <v/>
      </c>
      <c r="D31" s="2">
        <f>IFERROR(SUM(Members!M$4:M$103),0)</f>
        <v>0</v>
      </c>
      <c r="E31" s="58" t="str">
        <f t="shared" si="0"/>
        <v/>
      </c>
      <c r="F31" s="24">
        <f>IFERROR(SUMPRODUCT((MONTH(Int_Repayments!H$4:H$1003)=1)*Int_Repayments!F$4:F$1003),0)</f>
        <v>0</v>
      </c>
      <c r="G31" s="59">
        <f t="shared" si="1"/>
        <v>0</v>
      </c>
      <c r="H31" s="24">
        <f>IFERROR(SUM(Int_Repayments!F$4:F$1003),0)</f>
        <v>0</v>
      </c>
      <c r="I31" s="59">
        <f t="shared" si="2"/>
        <v>0</v>
      </c>
    </row>
    <row r="32" spans="1:9" ht="15.75" customHeight="1" x14ac:dyDescent="0.25">
      <c r="A32" s="6">
        <f>IFERROR(Members!A33,"")</f>
        <v>0</v>
      </c>
      <c r="B32" s="4">
        <f>IFERROR(Members!B33,"")</f>
        <v>0</v>
      </c>
      <c r="C32" s="2" t="str">
        <f>IF(A32="","",IFERROR(Members!M33,0))</f>
        <v/>
      </c>
      <c r="D32" s="2">
        <f>IFERROR(SUM(Members!M$4:M$103),0)</f>
        <v>0</v>
      </c>
      <c r="E32" s="58" t="str">
        <f t="shared" si="0"/>
        <v/>
      </c>
      <c r="F32" s="24">
        <f>IFERROR(SUMPRODUCT((MONTH(Int_Repayments!H$4:H$1003)=1)*Int_Repayments!F$4:F$1003),0)</f>
        <v>0</v>
      </c>
      <c r="G32" s="59">
        <f t="shared" si="1"/>
        <v>0</v>
      </c>
      <c r="H32" s="24">
        <f>IFERROR(SUM(Int_Repayments!F$4:F$1003),0)</f>
        <v>0</v>
      </c>
      <c r="I32" s="59">
        <f t="shared" si="2"/>
        <v>0</v>
      </c>
    </row>
    <row r="33" spans="1:9" ht="15.75" customHeight="1" x14ac:dyDescent="0.25">
      <c r="A33" s="6">
        <f>IFERROR(Members!A34,"")</f>
        <v>0</v>
      </c>
      <c r="B33" s="4">
        <f>IFERROR(Members!B34,"")</f>
        <v>0</v>
      </c>
      <c r="C33" s="2" t="str">
        <f>IF(A33="","",IFERROR(Members!M34,0))</f>
        <v/>
      </c>
      <c r="D33" s="2">
        <f>IFERROR(SUM(Members!M$4:M$103),0)</f>
        <v>0</v>
      </c>
      <c r="E33" s="58" t="str">
        <f t="shared" si="0"/>
        <v/>
      </c>
      <c r="F33" s="24">
        <f>IFERROR(SUMPRODUCT((MONTH(Int_Repayments!H$4:H$1003)=1)*Int_Repayments!F$4:F$1003),0)</f>
        <v>0</v>
      </c>
      <c r="G33" s="59">
        <f t="shared" si="1"/>
        <v>0</v>
      </c>
      <c r="H33" s="24">
        <f>IFERROR(SUM(Int_Repayments!F$4:F$1003),0)</f>
        <v>0</v>
      </c>
      <c r="I33" s="59">
        <f t="shared" si="2"/>
        <v>0</v>
      </c>
    </row>
    <row r="34" spans="1:9" ht="15.75" customHeight="1" x14ac:dyDescent="0.25">
      <c r="A34" s="6">
        <f>IFERROR(Members!A35,"")</f>
        <v>0</v>
      </c>
      <c r="B34" s="4">
        <f>IFERROR(Members!B35,"")</f>
        <v>0</v>
      </c>
      <c r="C34" s="2" t="str">
        <f>IF(A34="","",IFERROR(Members!M35,0))</f>
        <v/>
      </c>
      <c r="D34" s="2">
        <f>IFERROR(SUM(Members!M$4:M$103),0)</f>
        <v>0</v>
      </c>
      <c r="E34" s="58" t="str">
        <f t="shared" si="0"/>
        <v/>
      </c>
      <c r="F34" s="24">
        <f>IFERROR(SUMPRODUCT((MONTH(Int_Repayments!H$4:H$1003)=1)*Int_Repayments!F$4:F$1003),0)</f>
        <v>0</v>
      </c>
      <c r="G34" s="59">
        <f t="shared" si="1"/>
        <v>0</v>
      </c>
      <c r="H34" s="24">
        <f>IFERROR(SUM(Int_Repayments!F$4:F$1003),0)</f>
        <v>0</v>
      </c>
      <c r="I34" s="59">
        <f t="shared" si="2"/>
        <v>0</v>
      </c>
    </row>
    <row r="35" spans="1:9" ht="15.75" customHeight="1" x14ac:dyDescent="0.25">
      <c r="A35" s="6">
        <f>IFERROR(Members!A36,"")</f>
        <v>0</v>
      </c>
      <c r="B35" s="4">
        <f>IFERROR(Members!B36,"")</f>
        <v>0</v>
      </c>
      <c r="C35" s="2" t="str">
        <f>IF(A35="","",IFERROR(Members!M36,0))</f>
        <v/>
      </c>
      <c r="D35" s="2">
        <f>IFERROR(SUM(Members!M$4:M$103),0)</f>
        <v>0</v>
      </c>
      <c r="E35" s="58" t="str">
        <f t="shared" ref="E35:E66" si="3">IF(OR(A35="",D35=0),"",C35/D35)</f>
        <v/>
      </c>
      <c r="F35" s="24">
        <f>IFERROR(SUMPRODUCT((MONTH(Int_Repayments!H$4:H$1003)=1)*Int_Repayments!F$4:F$1003),0)</f>
        <v>0</v>
      </c>
      <c r="G35" s="59">
        <f t="shared" ref="G35:G66" si="4">IF(A35="","",IFERROR(E35*F35,0))</f>
        <v>0</v>
      </c>
      <c r="H35" s="24">
        <f>IFERROR(SUM(Int_Repayments!F$4:F$1003),0)</f>
        <v>0</v>
      </c>
      <c r="I35" s="59">
        <f t="shared" ref="I35:I66" si="5">IF(A35="","",IFERROR(E35*H35,0))</f>
        <v>0</v>
      </c>
    </row>
    <row r="36" spans="1:9" ht="15.75" customHeight="1" x14ac:dyDescent="0.25">
      <c r="A36" s="6">
        <f>IFERROR(Members!A37,"")</f>
        <v>0</v>
      </c>
      <c r="B36" s="4">
        <f>IFERROR(Members!B37,"")</f>
        <v>0</v>
      </c>
      <c r="C36" s="2" t="str">
        <f>IF(A36="","",IFERROR(Members!M37,0))</f>
        <v/>
      </c>
      <c r="D36" s="2">
        <f>IFERROR(SUM(Members!M$4:M$103),0)</f>
        <v>0</v>
      </c>
      <c r="E36" s="58" t="str">
        <f t="shared" si="3"/>
        <v/>
      </c>
      <c r="F36" s="24">
        <f>IFERROR(SUMPRODUCT((MONTH(Int_Repayments!H$4:H$1003)=1)*Int_Repayments!F$4:F$1003),0)</f>
        <v>0</v>
      </c>
      <c r="G36" s="59">
        <f t="shared" si="4"/>
        <v>0</v>
      </c>
      <c r="H36" s="24">
        <f>IFERROR(SUM(Int_Repayments!F$4:F$1003),0)</f>
        <v>0</v>
      </c>
      <c r="I36" s="59">
        <f t="shared" si="5"/>
        <v>0</v>
      </c>
    </row>
    <row r="37" spans="1:9" ht="15.75" customHeight="1" x14ac:dyDescent="0.25">
      <c r="A37" s="6">
        <f>IFERROR(Members!A38,"")</f>
        <v>0</v>
      </c>
      <c r="B37" s="4">
        <f>IFERROR(Members!B38,"")</f>
        <v>0</v>
      </c>
      <c r="C37" s="2" t="str">
        <f>IF(A37="","",IFERROR(Members!M38,0))</f>
        <v/>
      </c>
      <c r="D37" s="2">
        <f>IFERROR(SUM(Members!M$4:M$103),0)</f>
        <v>0</v>
      </c>
      <c r="E37" s="58" t="str">
        <f t="shared" si="3"/>
        <v/>
      </c>
      <c r="F37" s="24">
        <f>IFERROR(SUMPRODUCT((MONTH(Int_Repayments!H$4:H$1003)=1)*Int_Repayments!F$4:F$1003),0)</f>
        <v>0</v>
      </c>
      <c r="G37" s="59">
        <f t="shared" si="4"/>
        <v>0</v>
      </c>
      <c r="H37" s="24">
        <f>IFERROR(SUM(Int_Repayments!F$4:F$1003),0)</f>
        <v>0</v>
      </c>
      <c r="I37" s="59">
        <f t="shared" si="5"/>
        <v>0</v>
      </c>
    </row>
    <row r="38" spans="1:9" ht="15.75" customHeight="1" x14ac:dyDescent="0.25">
      <c r="A38" s="6">
        <f>IFERROR(Members!A39,"")</f>
        <v>0</v>
      </c>
      <c r="B38" s="4">
        <f>IFERROR(Members!B39,"")</f>
        <v>0</v>
      </c>
      <c r="C38" s="2" t="str">
        <f>IF(A38="","",IFERROR(Members!M39,0))</f>
        <v/>
      </c>
      <c r="D38" s="2">
        <f>IFERROR(SUM(Members!M$4:M$103),0)</f>
        <v>0</v>
      </c>
      <c r="E38" s="58" t="str">
        <f t="shared" si="3"/>
        <v/>
      </c>
      <c r="F38" s="24">
        <f>IFERROR(SUMPRODUCT((MONTH(Int_Repayments!H$4:H$1003)=1)*Int_Repayments!F$4:F$1003),0)</f>
        <v>0</v>
      </c>
      <c r="G38" s="59">
        <f t="shared" si="4"/>
        <v>0</v>
      </c>
      <c r="H38" s="24">
        <f>IFERROR(SUM(Int_Repayments!F$4:F$1003),0)</f>
        <v>0</v>
      </c>
      <c r="I38" s="59">
        <f t="shared" si="5"/>
        <v>0</v>
      </c>
    </row>
    <row r="39" spans="1:9" ht="15.75" customHeight="1" x14ac:dyDescent="0.25">
      <c r="A39" s="6">
        <f>IFERROR(Members!A40,"")</f>
        <v>0</v>
      </c>
      <c r="B39" s="4">
        <f>IFERROR(Members!B40,"")</f>
        <v>0</v>
      </c>
      <c r="C39" s="2" t="str">
        <f>IF(A39="","",IFERROR(Members!M40,0))</f>
        <v/>
      </c>
      <c r="D39" s="2">
        <f>IFERROR(SUM(Members!M$4:M$103),0)</f>
        <v>0</v>
      </c>
      <c r="E39" s="58" t="str">
        <f t="shared" si="3"/>
        <v/>
      </c>
      <c r="F39" s="24">
        <f>IFERROR(SUMPRODUCT((MONTH(Int_Repayments!H$4:H$1003)=1)*Int_Repayments!F$4:F$1003),0)</f>
        <v>0</v>
      </c>
      <c r="G39" s="59">
        <f t="shared" si="4"/>
        <v>0</v>
      </c>
      <c r="H39" s="24">
        <f>IFERROR(SUM(Int_Repayments!F$4:F$1003),0)</f>
        <v>0</v>
      </c>
      <c r="I39" s="59">
        <f t="shared" si="5"/>
        <v>0</v>
      </c>
    </row>
    <row r="40" spans="1:9" ht="15.75" customHeight="1" x14ac:dyDescent="0.25">
      <c r="A40" s="6">
        <f>IFERROR(Members!A41,"")</f>
        <v>0</v>
      </c>
      <c r="B40" s="4">
        <f>IFERROR(Members!B41,"")</f>
        <v>0</v>
      </c>
      <c r="C40" s="2" t="str">
        <f>IF(A40="","",IFERROR(Members!M41,0))</f>
        <v/>
      </c>
      <c r="D40" s="2">
        <f>IFERROR(SUM(Members!M$4:M$103),0)</f>
        <v>0</v>
      </c>
      <c r="E40" s="58" t="str">
        <f t="shared" si="3"/>
        <v/>
      </c>
      <c r="F40" s="24">
        <f>IFERROR(SUMPRODUCT((MONTH(Int_Repayments!H$4:H$1003)=1)*Int_Repayments!F$4:F$1003),0)</f>
        <v>0</v>
      </c>
      <c r="G40" s="59">
        <f t="shared" si="4"/>
        <v>0</v>
      </c>
      <c r="H40" s="24">
        <f>IFERROR(SUM(Int_Repayments!F$4:F$1003),0)</f>
        <v>0</v>
      </c>
      <c r="I40" s="59">
        <f t="shared" si="5"/>
        <v>0</v>
      </c>
    </row>
    <row r="41" spans="1:9" ht="15.75" customHeight="1" x14ac:dyDescent="0.25">
      <c r="A41" s="6">
        <f>IFERROR(Members!A42,"")</f>
        <v>0</v>
      </c>
      <c r="B41" s="4">
        <f>IFERROR(Members!B42,"")</f>
        <v>0</v>
      </c>
      <c r="C41" s="2" t="str">
        <f>IF(A41="","",IFERROR(Members!M42,0))</f>
        <v/>
      </c>
      <c r="D41" s="2">
        <f>IFERROR(SUM(Members!M$4:M$103),0)</f>
        <v>0</v>
      </c>
      <c r="E41" s="58" t="str">
        <f t="shared" si="3"/>
        <v/>
      </c>
      <c r="F41" s="24">
        <f>IFERROR(SUMPRODUCT((MONTH(Int_Repayments!H$4:H$1003)=1)*Int_Repayments!F$4:F$1003),0)</f>
        <v>0</v>
      </c>
      <c r="G41" s="59">
        <f t="shared" si="4"/>
        <v>0</v>
      </c>
      <c r="H41" s="24">
        <f>IFERROR(SUM(Int_Repayments!F$4:F$1003),0)</f>
        <v>0</v>
      </c>
      <c r="I41" s="59">
        <f t="shared" si="5"/>
        <v>0</v>
      </c>
    </row>
    <row r="42" spans="1:9" ht="15.75" customHeight="1" x14ac:dyDescent="0.25">
      <c r="A42" s="6">
        <f>IFERROR(Members!A43,"")</f>
        <v>0</v>
      </c>
      <c r="B42" s="4">
        <f>IFERROR(Members!B43,"")</f>
        <v>0</v>
      </c>
      <c r="C42" s="2" t="str">
        <f>IF(A42="","",IFERROR(Members!M43,0))</f>
        <v/>
      </c>
      <c r="D42" s="2">
        <f>IFERROR(SUM(Members!M$4:M$103),0)</f>
        <v>0</v>
      </c>
      <c r="E42" s="58" t="str">
        <f t="shared" si="3"/>
        <v/>
      </c>
      <c r="F42" s="24">
        <f>IFERROR(SUMPRODUCT((MONTH(Int_Repayments!H$4:H$1003)=1)*Int_Repayments!F$4:F$1003),0)</f>
        <v>0</v>
      </c>
      <c r="G42" s="59">
        <f t="shared" si="4"/>
        <v>0</v>
      </c>
      <c r="H42" s="24">
        <f>IFERROR(SUM(Int_Repayments!F$4:F$1003),0)</f>
        <v>0</v>
      </c>
      <c r="I42" s="59">
        <f t="shared" si="5"/>
        <v>0</v>
      </c>
    </row>
    <row r="43" spans="1:9" ht="15.75" customHeight="1" x14ac:dyDescent="0.25">
      <c r="A43" s="6">
        <f>IFERROR(Members!A44,"")</f>
        <v>0</v>
      </c>
      <c r="B43" s="4">
        <f>IFERROR(Members!B44,"")</f>
        <v>0</v>
      </c>
      <c r="C43" s="2" t="str">
        <f>IF(A43="","",IFERROR(Members!M44,0))</f>
        <v/>
      </c>
      <c r="D43" s="2">
        <f>IFERROR(SUM(Members!M$4:M$103),0)</f>
        <v>0</v>
      </c>
      <c r="E43" s="58" t="str">
        <f t="shared" si="3"/>
        <v/>
      </c>
      <c r="F43" s="24">
        <f>IFERROR(SUMPRODUCT((MONTH(Int_Repayments!H$4:H$1003)=1)*Int_Repayments!F$4:F$1003),0)</f>
        <v>0</v>
      </c>
      <c r="G43" s="59">
        <f t="shared" si="4"/>
        <v>0</v>
      </c>
      <c r="H43" s="24">
        <f>IFERROR(SUM(Int_Repayments!F$4:F$1003),0)</f>
        <v>0</v>
      </c>
      <c r="I43" s="59">
        <f t="shared" si="5"/>
        <v>0</v>
      </c>
    </row>
    <row r="44" spans="1:9" ht="15.75" customHeight="1" x14ac:dyDescent="0.25">
      <c r="A44" s="6">
        <f>IFERROR(Members!A45,"")</f>
        <v>0</v>
      </c>
      <c r="B44" s="4">
        <f>IFERROR(Members!B45,"")</f>
        <v>0</v>
      </c>
      <c r="C44" s="2" t="str">
        <f>IF(A44="","",IFERROR(Members!M45,0))</f>
        <v/>
      </c>
      <c r="D44" s="2">
        <f>IFERROR(SUM(Members!M$4:M$103),0)</f>
        <v>0</v>
      </c>
      <c r="E44" s="58" t="str">
        <f t="shared" si="3"/>
        <v/>
      </c>
      <c r="F44" s="24">
        <f>IFERROR(SUMPRODUCT((MONTH(Int_Repayments!H$4:H$1003)=1)*Int_Repayments!F$4:F$1003),0)</f>
        <v>0</v>
      </c>
      <c r="G44" s="59">
        <f t="shared" si="4"/>
        <v>0</v>
      </c>
      <c r="H44" s="24">
        <f>IFERROR(SUM(Int_Repayments!F$4:F$1003),0)</f>
        <v>0</v>
      </c>
      <c r="I44" s="59">
        <f t="shared" si="5"/>
        <v>0</v>
      </c>
    </row>
    <row r="45" spans="1:9" ht="15.75" customHeight="1" x14ac:dyDescent="0.25">
      <c r="A45" s="6">
        <f>IFERROR(Members!A46,"")</f>
        <v>0</v>
      </c>
      <c r="B45" s="4">
        <f>IFERROR(Members!B46,"")</f>
        <v>0</v>
      </c>
      <c r="C45" s="2" t="str">
        <f>IF(A45="","",IFERROR(Members!M46,0))</f>
        <v/>
      </c>
      <c r="D45" s="2">
        <f>IFERROR(SUM(Members!M$4:M$103),0)</f>
        <v>0</v>
      </c>
      <c r="E45" s="58" t="str">
        <f t="shared" si="3"/>
        <v/>
      </c>
      <c r="F45" s="24">
        <f>IFERROR(SUMPRODUCT((MONTH(Int_Repayments!H$4:H$1003)=1)*Int_Repayments!F$4:F$1003),0)</f>
        <v>0</v>
      </c>
      <c r="G45" s="59">
        <f t="shared" si="4"/>
        <v>0</v>
      </c>
      <c r="H45" s="24">
        <f>IFERROR(SUM(Int_Repayments!F$4:F$1003),0)</f>
        <v>0</v>
      </c>
      <c r="I45" s="59">
        <f t="shared" si="5"/>
        <v>0</v>
      </c>
    </row>
    <row r="46" spans="1:9" ht="15.75" customHeight="1" x14ac:dyDescent="0.25">
      <c r="A46" s="6">
        <f>IFERROR(Members!A47,"")</f>
        <v>0</v>
      </c>
      <c r="B46" s="4">
        <f>IFERROR(Members!B47,"")</f>
        <v>0</v>
      </c>
      <c r="C46" s="2" t="str">
        <f>IF(A46="","",IFERROR(Members!M47,0))</f>
        <v/>
      </c>
      <c r="D46" s="2">
        <f>IFERROR(SUM(Members!M$4:M$103),0)</f>
        <v>0</v>
      </c>
      <c r="E46" s="58" t="str">
        <f t="shared" si="3"/>
        <v/>
      </c>
      <c r="F46" s="24">
        <f>IFERROR(SUMPRODUCT((MONTH(Int_Repayments!H$4:H$1003)=1)*Int_Repayments!F$4:F$1003),0)</f>
        <v>0</v>
      </c>
      <c r="G46" s="59">
        <f t="shared" si="4"/>
        <v>0</v>
      </c>
      <c r="H46" s="24">
        <f>IFERROR(SUM(Int_Repayments!F$4:F$1003),0)</f>
        <v>0</v>
      </c>
      <c r="I46" s="59">
        <f t="shared" si="5"/>
        <v>0</v>
      </c>
    </row>
    <row r="47" spans="1:9" ht="15.75" customHeight="1" x14ac:dyDescent="0.25">
      <c r="A47" s="6">
        <f>IFERROR(Members!A48,"")</f>
        <v>0</v>
      </c>
      <c r="B47" s="4">
        <f>IFERROR(Members!B48,"")</f>
        <v>0</v>
      </c>
      <c r="C47" s="2" t="str">
        <f>IF(A47="","",IFERROR(Members!M48,0))</f>
        <v/>
      </c>
      <c r="D47" s="2">
        <f>IFERROR(SUM(Members!M$4:M$103),0)</f>
        <v>0</v>
      </c>
      <c r="E47" s="58" t="str">
        <f t="shared" si="3"/>
        <v/>
      </c>
      <c r="F47" s="24">
        <f>IFERROR(SUMPRODUCT((MONTH(Int_Repayments!H$4:H$1003)=1)*Int_Repayments!F$4:F$1003),0)</f>
        <v>0</v>
      </c>
      <c r="G47" s="59">
        <f t="shared" si="4"/>
        <v>0</v>
      </c>
      <c r="H47" s="24">
        <f>IFERROR(SUM(Int_Repayments!F$4:F$1003),0)</f>
        <v>0</v>
      </c>
      <c r="I47" s="59">
        <f t="shared" si="5"/>
        <v>0</v>
      </c>
    </row>
    <row r="48" spans="1:9" ht="15.75" customHeight="1" x14ac:dyDescent="0.25">
      <c r="A48" s="6">
        <f>IFERROR(Members!A49,"")</f>
        <v>0</v>
      </c>
      <c r="B48" s="4">
        <f>IFERROR(Members!B49,"")</f>
        <v>0</v>
      </c>
      <c r="C48" s="2" t="str">
        <f>IF(A48="","",IFERROR(Members!M49,0))</f>
        <v/>
      </c>
      <c r="D48" s="2">
        <f>IFERROR(SUM(Members!M$4:M$103),0)</f>
        <v>0</v>
      </c>
      <c r="E48" s="58" t="str">
        <f t="shared" si="3"/>
        <v/>
      </c>
      <c r="F48" s="24">
        <f>IFERROR(SUMPRODUCT((MONTH(Int_Repayments!H$4:H$1003)=1)*Int_Repayments!F$4:F$1003),0)</f>
        <v>0</v>
      </c>
      <c r="G48" s="59">
        <f t="shared" si="4"/>
        <v>0</v>
      </c>
      <c r="H48" s="24">
        <f>IFERROR(SUM(Int_Repayments!F$4:F$1003),0)</f>
        <v>0</v>
      </c>
      <c r="I48" s="59">
        <f t="shared" si="5"/>
        <v>0</v>
      </c>
    </row>
    <row r="49" spans="1:9" ht="15.75" customHeight="1" x14ac:dyDescent="0.25">
      <c r="A49" s="6">
        <f>IFERROR(Members!A50,"")</f>
        <v>0</v>
      </c>
      <c r="B49" s="4">
        <f>IFERROR(Members!B50,"")</f>
        <v>0</v>
      </c>
      <c r="C49" s="2" t="str">
        <f>IF(A49="","",IFERROR(Members!M50,0))</f>
        <v/>
      </c>
      <c r="D49" s="2">
        <f>IFERROR(SUM(Members!M$4:M$103),0)</f>
        <v>0</v>
      </c>
      <c r="E49" s="58" t="str">
        <f t="shared" si="3"/>
        <v/>
      </c>
      <c r="F49" s="24">
        <f>IFERROR(SUMPRODUCT((MONTH(Int_Repayments!H$4:H$1003)=1)*Int_Repayments!F$4:F$1003),0)</f>
        <v>0</v>
      </c>
      <c r="G49" s="59">
        <f t="shared" si="4"/>
        <v>0</v>
      </c>
      <c r="H49" s="24">
        <f>IFERROR(SUM(Int_Repayments!F$4:F$1003),0)</f>
        <v>0</v>
      </c>
      <c r="I49" s="59">
        <f t="shared" si="5"/>
        <v>0</v>
      </c>
    </row>
    <row r="50" spans="1:9" ht="15.75" customHeight="1" x14ac:dyDescent="0.25">
      <c r="A50" s="6">
        <f>IFERROR(Members!A51,"")</f>
        <v>0</v>
      </c>
      <c r="B50" s="4">
        <f>IFERROR(Members!B51,"")</f>
        <v>0</v>
      </c>
      <c r="C50" s="2" t="str">
        <f>IF(A50="","",IFERROR(Members!M51,0))</f>
        <v/>
      </c>
      <c r="D50" s="2">
        <f>IFERROR(SUM(Members!M$4:M$103),0)</f>
        <v>0</v>
      </c>
      <c r="E50" s="58" t="str">
        <f t="shared" si="3"/>
        <v/>
      </c>
      <c r="F50" s="24">
        <f>IFERROR(SUMPRODUCT((MONTH(Int_Repayments!H$4:H$1003)=1)*Int_Repayments!F$4:F$1003),0)</f>
        <v>0</v>
      </c>
      <c r="G50" s="59">
        <f t="shared" si="4"/>
        <v>0</v>
      </c>
      <c r="H50" s="24">
        <f>IFERROR(SUM(Int_Repayments!F$4:F$1003),0)</f>
        <v>0</v>
      </c>
      <c r="I50" s="59">
        <f t="shared" si="5"/>
        <v>0</v>
      </c>
    </row>
    <row r="51" spans="1:9" ht="15.75" customHeight="1" x14ac:dyDescent="0.25">
      <c r="A51" s="6">
        <f>IFERROR(Members!A52,"")</f>
        <v>0</v>
      </c>
      <c r="B51" s="4">
        <f>IFERROR(Members!B52,"")</f>
        <v>0</v>
      </c>
      <c r="C51" s="2" t="str">
        <f>IF(A51="","",IFERROR(Members!M52,0))</f>
        <v/>
      </c>
      <c r="D51" s="2">
        <f>IFERROR(SUM(Members!M$4:M$103),0)</f>
        <v>0</v>
      </c>
      <c r="E51" s="58" t="str">
        <f t="shared" si="3"/>
        <v/>
      </c>
      <c r="F51" s="24">
        <f>IFERROR(SUMPRODUCT((MONTH(Int_Repayments!H$4:H$1003)=1)*Int_Repayments!F$4:F$1003),0)</f>
        <v>0</v>
      </c>
      <c r="G51" s="59">
        <f t="shared" si="4"/>
        <v>0</v>
      </c>
      <c r="H51" s="24">
        <f>IFERROR(SUM(Int_Repayments!F$4:F$1003),0)</f>
        <v>0</v>
      </c>
      <c r="I51" s="59">
        <f t="shared" si="5"/>
        <v>0</v>
      </c>
    </row>
    <row r="52" spans="1:9" ht="15.75" customHeight="1" x14ac:dyDescent="0.25">
      <c r="A52" s="6">
        <f>IFERROR(Members!A53,"")</f>
        <v>0</v>
      </c>
      <c r="B52" s="4">
        <f>IFERROR(Members!B53,"")</f>
        <v>0</v>
      </c>
      <c r="C52" s="2" t="str">
        <f>IF(A52="","",IFERROR(Members!M53,0))</f>
        <v/>
      </c>
      <c r="D52" s="2">
        <f>IFERROR(SUM(Members!M$4:M$103),0)</f>
        <v>0</v>
      </c>
      <c r="E52" s="58" t="str">
        <f t="shared" si="3"/>
        <v/>
      </c>
      <c r="F52" s="24">
        <f>IFERROR(SUMPRODUCT((MONTH(Int_Repayments!H$4:H$1003)=1)*Int_Repayments!F$4:F$1003),0)</f>
        <v>0</v>
      </c>
      <c r="G52" s="59">
        <f t="shared" si="4"/>
        <v>0</v>
      </c>
      <c r="H52" s="24">
        <f>IFERROR(SUM(Int_Repayments!F$4:F$1003),0)</f>
        <v>0</v>
      </c>
      <c r="I52" s="59">
        <f t="shared" si="5"/>
        <v>0</v>
      </c>
    </row>
    <row r="53" spans="1:9" ht="15.75" customHeight="1" x14ac:dyDescent="0.25">
      <c r="A53" s="6">
        <f>IFERROR(Members!A54,"")</f>
        <v>0</v>
      </c>
      <c r="B53" s="4">
        <f>IFERROR(Members!B54,"")</f>
        <v>0</v>
      </c>
      <c r="C53" s="2" t="str">
        <f>IF(A53="","",IFERROR(Members!M54,0))</f>
        <v/>
      </c>
      <c r="D53" s="2">
        <f>IFERROR(SUM(Members!M$4:M$103),0)</f>
        <v>0</v>
      </c>
      <c r="E53" s="58" t="str">
        <f t="shared" si="3"/>
        <v/>
      </c>
      <c r="F53" s="24">
        <f>IFERROR(SUMPRODUCT((MONTH(Int_Repayments!H$4:H$1003)=1)*Int_Repayments!F$4:F$1003),0)</f>
        <v>0</v>
      </c>
      <c r="G53" s="59">
        <f t="shared" si="4"/>
        <v>0</v>
      </c>
      <c r="H53" s="24">
        <f>IFERROR(SUM(Int_Repayments!F$4:F$1003),0)</f>
        <v>0</v>
      </c>
      <c r="I53" s="59">
        <f t="shared" si="5"/>
        <v>0</v>
      </c>
    </row>
    <row r="54" spans="1:9" ht="15.75" customHeight="1" x14ac:dyDescent="0.25">
      <c r="A54" s="6">
        <f>IFERROR(Members!A55,"")</f>
        <v>0</v>
      </c>
      <c r="B54" s="4">
        <f>IFERROR(Members!B55,"")</f>
        <v>0</v>
      </c>
      <c r="C54" s="2" t="str">
        <f>IF(A54="","",IFERROR(Members!M55,0))</f>
        <v/>
      </c>
      <c r="D54" s="2">
        <f>IFERROR(SUM(Members!M$4:M$103),0)</f>
        <v>0</v>
      </c>
      <c r="E54" s="58" t="str">
        <f t="shared" si="3"/>
        <v/>
      </c>
      <c r="F54" s="24">
        <f>IFERROR(SUMPRODUCT((MONTH(Int_Repayments!H$4:H$1003)=1)*Int_Repayments!F$4:F$1003),0)</f>
        <v>0</v>
      </c>
      <c r="G54" s="59">
        <f t="shared" si="4"/>
        <v>0</v>
      </c>
      <c r="H54" s="24">
        <f>IFERROR(SUM(Int_Repayments!F$4:F$1003),0)</f>
        <v>0</v>
      </c>
      <c r="I54" s="59">
        <f t="shared" si="5"/>
        <v>0</v>
      </c>
    </row>
    <row r="55" spans="1:9" ht="15.75" customHeight="1" x14ac:dyDescent="0.25">
      <c r="A55" s="6">
        <f>IFERROR(Members!A56,"")</f>
        <v>0</v>
      </c>
      <c r="B55" s="4">
        <f>IFERROR(Members!B56,"")</f>
        <v>0</v>
      </c>
      <c r="C55" s="2" t="str">
        <f>IF(A55="","",IFERROR(Members!M56,0))</f>
        <v/>
      </c>
      <c r="D55" s="2">
        <f>IFERROR(SUM(Members!M$4:M$103),0)</f>
        <v>0</v>
      </c>
      <c r="E55" s="58" t="str">
        <f t="shared" si="3"/>
        <v/>
      </c>
      <c r="F55" s="24">
        <f>IFERROR(SUMPRODUCT((MONTH(Int_Repayments!H$4:H$1003)=1)*Int_Repayments!F$4:F$1003),0)</f>
        <v>0</v>
      </c>
      <c r="G55" s="59">
        <f t="shared" si="4"/>
        <v>0</v>
      </c>
      <c r="H55" s="24">
        <f>IFERROR(SUM(Int_Repayments!F$4:F$1003),0)</f>
        <v>0</v>
      </c>
      <c r="I55" s="59">
        <f t="shared" si="5"/>
        <v>0</v>
      </c>
    </row>
    <row r="56" spans="1:9" ht="15.75" customHeight="1" x14ac:dyDescent="0.25">
      <c r="A56" s="6">
        <f>IFERROR(Members!A57,"")</f>
        <v>0</v>
      </c>
      <c r="B56" s="4">
        <f>IFERROR(Members!B57,"")</f>
        <v>0</v>
      </c>
      <c r="C56" s="2" t="str">
        <f>IF(A56="","",IFERROR(Members!M57,0))</f>
        <v/>
      </c>
      <c r="D56" s="2">
        <f>IFERROR(SUM(Members!M$4:M$103),0)</f>
        <v>0</v>
      </c>
      <c r="E56" s="58" t="str">
        <f t="shared" si="3"/>
        <v/>
      </c>
      <c r="F56" s="24">
        <f>IFERROR(SUMPRODUCT((MONTH(Int_Repayments!H$4:H$1003)=1)*Int_Repayments!F$4:F$1003),0)</f>
        <v>0</v>
      </c>
      <c r="G56" s="59">
        <f t="shared" si="4"/>
        <v>0</v>
      </c>
      <c r="H56" s="24">
        <f>IFERROR(SUM(Int_Repayments!F$4:F$1003),0)</f>
        <v>0</v>
      </c>
      <c r="I56" s="59">
        <f t="shared" si="5"/>
        <v>0</v>
      </c>
    </row>
    <row r="57" spans="1:9" ht="15.75" customHeight="1" x14ac:dyDescent="0.25">
      <c r="A57" s="6">
        <f>IFERROR(Members!A58,"")</f>
        <v>0</v>
      </c>
      <c r="B57" s="4">
        <f>IFERROR(Members!B58,"")</f>
        <v>0</v>
      </c>
      <c r="C57" s="2" t="str">
        <f>IF(A57="","",IFERROR(Members!M58,0))</f>
        <v/>
      </c>
      <c r="D57" s="2">
        <f>IFERROR(SUM(Members!M$4:M$103),0)</f>
        <v>0</v>
      </c>
      <c r="E57" s="58" t="str">
        <f t="shared" si="3"/>
        <v/>
      </c>
      <c r="F57" s="24">
        <f>IFERROR(SUMPRODUCT((MONTH(Int_Repayments!H$4:H$1003)=1)*Int_Repayments!F$4:F$1003),0)</f>
        <v>0</v>
      </c>
      <c r="G57" s="59">
        <f t="shared" si="4"/>
        <v>0</v>
      </c>
      <c r="H57" s="24">
        <f>IFERROR(SUM(Int_Repayments!F$4:F$1003),0)</f>
        <v>0</v>
      </c>
      <c r="I57" s="59">
        <f t="shared" si="5"/>
        <v>0</v>
      </c>
    </row>
    <row r="58" spans="1:9" ht="15.75" customHeight="1" x14ac:dyDescent="0.25">
      <c r="A58" s="6">
        <f>IFERROR(Members!A59,"")</f>
        <v>0</v>
      </c>
      <c r="B58" s="4">
        <f>IFERROR(Members!B59,"")</f>
        <v>0</v>
      </c>
      <c r="C58" s="2" t="str">
        <f>IF(A58="","",IFERROR(Members!M59,0))</f>
        <v/>
      </c>
      <c r="D58" s="2">
        <f>IFERROR(SUM(Members!M$4:M$103),0)</f>
        <v>0</v>
      </c>
      <c r="E58" s="58" t="str">
        <f t="shared" si="3"/>
        <v/>
      </c>
      <c r="F58" s="24">
        <f>IFERROR(SUMPRODUCT((MONTH(Int_Repayments!H$4:H$1003)=1)*Int_Repayments!F$4:F$1003),0)</f>
        <v>0</v>
      </c>
      <c r="G58" s="59">
        <f t="shared" si="4"/>
        <v>0</v>
      </c>
      <c r="H58" s="24">
        <f>IFERROR(SUM(Int_Repayments!F$4:F$1003),0)</f>
        <v>0</v>
      </c>
      <c r="I58" s="59">
        <f t="shared" si="5"/>
        <v>0</v>
      </c>
    </row>
    <row r="59" spans="1:9" ht="15.75" customHeight="1" x14ac:dyDescent="0.25">
      <c r="A59" s="6">
        <f>IFERROR(Members!A60,"")</f>
        <v>0</v>
      </c>
      <c r="B59" s="4">
        <f>IFERROR(Members!B60,"")</f>
        <v>0</v>
      </c>
      <c r="C59" s="2" t="str">
        <f>IF(A59="","",IFERROR(Members!M60,0))</f>
        <v/>
      </c>
      <c r="D59" s="2">
        <f>IFERROR(SUM(Members!M$4:M$103),0)</f>
        <v>0</v>
      </c>
      <c r="E59" s="58" t="str">
        <f t="shared" si="3"/>
        <v/>
      </c>
      <c r="F59" s="24">
        <f>IFERROR(SUMPRODUCT((MONTH(Int_Repayments!H$4:H$1003)=1)*Int_Repayments!F$4:F$1003),0)</f>
        <v>0</v>
      </c>
      <c r="G59" s="59">
        <f t="shared" si="4"/>
        <v>0</v>
      </c>
      <c r="H59" s="24">
        <f>IFERROR(SUM(Int_Repayments!F$4:F$1003),0)</f>
        <v>0</v>
      </c>
      <c r="I59" s="59">
        <f t="shared" si="5"/>
        <v>0</v>
      </c>
    </row>
    <row r="60" spans="1:9" ht="15.75" customHeight="1" x14ac:dyDescent="0.25">
      <c r="A60" s="6">
        <f>IFERROR(Members!A61,"")</f>
        <v>0</v>
      </c>
      <c r="B60" s="4">
        <f>IFERROR(Members!B61,"")</f>
        <v>0</v>
      </c>
      <c r="C60" s="2" t="str">
        <f>IF(A60="","",IFERROR(Members!M61,0))</f>
        <v/>
      </c>
      <c r="D60" s="2">
        <f>IFERROR(SUM(Members!M$4:M$103),0)</f>
        <v>0</v>
      </c>
      <c r="E60" s="58" t="str">
        <f t="shared" si="3"/>
        <v/>
      </c>
      <c r="F60" s="24">
        <f>IFERROR(SUMPRODUCT((MONTH(Int_Repayments!H$4:H$1003)=1)*Int_Repayments!F$4:F$1003),0)</f>
        <v>0</v>
      </c>
      <c r="G60" s="59">
        <f t="shared" si="4"/>
        <v>0</v>
      </c>
      <c r="H60" s="24">
        <f>IFERROR(SUM(Int_Repayments!F$4:F$1003),0)</f>
        <v>0</v>
      </c>
      <c r="I60" s="59">
        <f t="shared" si="5"/>
        <v>0</v>
      </c>
    </row>
    <row r="61" spans="1:9" ht="15.75" customHeight="1" x14ac:dyDescent="0.25">
      <c r="A61" s="6">
        <f>IFERROR(Members!A62,"")</f>
        <v>0</v>
      </c>
      <c r="B61" s="4">
        <f>IFERROR(Members!B62,"")</f>
        <v>0</v>
      </c>
      <c r="C61" s="2" t="str">
        <f>IF(A61="","",IFERROR(Members!M62,0))</f>
        <v/>
      </c>
      <c r="D61" s="2">
        <f>IFERROR(SUM(Members!M$4:M$103),0)</f>
        <v>0</v>
      </c>
      <c r="E61" s="58" t="str">
        <f t="shared" si="3"/>
        <v/>
      </c>
      <c r="F61" s="24">
        <f>IFERROR(SUMPRODUCT((MONTH(Int_Repayments!H$4:H$1003)=1)*Int_Repayments!F$4:F$1003),0)</f>
        <v>0</v>
      </c>
      <c r="G61" s="59">
        <f t="shared" si="4"/>
        <v>0</v>
      </c>
      <c r="H61" s="24">
        <f>IFERROR(SUM(Int_Repayments!F$4:F$1003),0)</f>
        <v>0</v>
      </c>
      <c r="I61" s="59">
        <f t="shared" si="5"/>
        <v>0</v>
      </c>
    </row>
    <row r="62" spans="1:9" ht="15.75" customHeight="1" x14ac:dyDescent="0.25">
      <c r="A62" s="6">
        <f>IFERROR(Members!A63,"")</f>
        <v>0</v>
      </c>
      <c r="B62" s="4">
        <f>IFERROR(Members!B63,"")</f>
        <v>0</v>
      </c>
      <c r="C62" s="2" t="str">
        <f>IF(A62="","",IFERROR(Members!M63,0))</f>
        <v/>
      </c>
      <c r="D62" s="2">
        <f>IFERROR(SUM(Members!M$4:M$103),0)</f>
        <v>0</v>
      </c>
      <c r="E62" s="58" t="str">
        <f t="shared" si="3"/>
        <v/>
      </c>
      <c r="F62" s="24">
        <f>IFERROR(SUMPRODUCT((MONTH(Int_Repayments!H$4:H$1003)=1)*Int_Repayments!F$4:F$1003),0)</f>
        <v>0</v>
      </c>
      <c r="G62" s="59">
        <f t="shared" si="4"/>
        <v>0</v>
      </c>
      <c r="H62" s="24">
        <f>IFERROR(SUM(Int_Repayments!F$4:F$1003),0)</f>
        <v>0</v>
      </c>
      <c r="I62" s="59">
        <f t="shared" si="5"/>
        <v>0</v>
      </c>
    </row>
    <row r="63" spans="1:9" ht="15.75" customHeight="1" x14ac:dyDescent="0.25">
      <c r="A63" s="6">
        <f>IFERROR(Members!A64,"")</f>
        <v>0</v>
      </c>
      <c r="B63" s="4">
        <f>IFERROR(Members!B64,"")</f>
        <v>0</v>
      </c>
      <c r="C63" s="2" t="str">
        <f>IF(A63="","",IFERROR(Members!M64,0))</f>
        <v/>
      </c>
      <c r="D63" s="2">
        <f>IFERROR(SUM(Members!M$4:M$103),0)</f>
        <v>0</v>
      </c>
      <c r="E63" s="58" t="str">
        <f t="shared" si="3"/>
        <v/>
      </c>
      <c r="F63" s="24">
        <f>IFERROR(SUMPRODUCT((MONTH(Int_Repayments!H$4:H$1003)=1)*Int_Repayments!F$4:F$1003),0)</f>
        <v>0</v>
      </c>
      <c r="G63" s="59">
        <f t="shared" si="4"/>
        <v>0</v>
      </c>
      <c r="H63" s="24">
        <f>IFERROR(SUM(Int_Repayments!F$4:F$1003),0)</f>
        <v>0</v>
      </c>
      <c r="I63" s="59">
        <f t="shared" si="5"/>
        <v>0</v>
      </c>
    </row>
    <row r="64" spans="1:9" ht="15.75" customHeight="1" x14ac:dyDescent="0.25">
      <c r="A64" s="6">
        <f>IFERROR(Members!A65,"")</f>
        <v>0</v>
      </c>
      <c r="B64" s="4">
        <f>IFERROR(Members!B65,"")</f>
        <v>0</v>
      </c>
      <c r="C64" s="2" t="str">
        <f>IF(A64="","",IFERROR(Members!M65,0))</f>
        <v/>
      </c>
      <c r="D64" s="2">
        <f>IFERROR(SUM(Members!M$4:M$103),0)</f>
        <v>0</v>
      </c>
      <c r="E64" s="58" t="str">
        <f t="shared" si="3"/>
        <v/>
      </c>
      <c r="F64" s="24">
        <f>IFERROR(SUMPRODUCT((MONTH(Int_Repayments!H$4:H$1003)=1)*Int_Repayments!F$4:F$1003),0)</f>
        <v>0</v>
      </c>
      <c r="G64" s="59">
        <f t="shared" si="4"/>
        <v>0</v>
      </c>
      <c r="H64" s="24">
        <f>IFERROR(SUM(Int_Repayments!F$4:F$1003),0)</f>
        <v>0</v>
      </c>
      <c r="I64" s="59">
        <f t="shared" si="5"/>
        <v>0</v>
      </c>
    </row>
    <row r="65" spans="1:9" ht="15.75" customHeight="1" x14ac:dyDescent="0.25">
      <c r="A65" s="6">
        <f>IFERROR(Members!A66,"")</f>
        <v>0</v>
      </c>
      <c r="B65" s="4">
        <f>IFERROR(Members!B66,"")</f>
        <v>0</v>
      </c>
      <c r="C65" s="2" t="str">
        <f>IF(A65="","",IFERROR(Members!M66,0))</f>
        <v/>
      </c>
      <c r="D65" s="2">
        <f>IFERROR(SUM(Members!M$4:M$103),0)</f>
        <v>0</v>
      </c>
      <c r="E65" s="58" t="str">
        <f t="shared" si="3"/>
        <v/>
      </c>
      <c r="F65" s="24">
        <f>IFERROR(SUMPRODUCT((MONTH(Int_Repayments!H$4:H$1003)=1)*Int_Repayments!F$4:F$1003),0)</f>
        <v>0</v>
      </c>
      <c r="G65" s="59">
        <f t="shared" si="4"/>
        <v>0</v>
      </c>
      <c r="H65" s="24">
        <f>IFERROR(SUM(Int_Repayments!F$4:F$1003),0)</f>
        <v>0</v>
      </c>
      <c r="I65" s="59">
        <f t="shared" si="5"/>
        <v>0</v>
      </c>
    </row>
    <row r="66" spans="1:9" ht="15.75" customHeight="1" x14ac:dyDescent="0.25">
      <c r="A66" s="6">
        <f>IFERROR(Members!A67,"")</f>
        <v>0</v>
      </c>
      <c r="B66" s="4">
        <f>IFERROR(Members!B67,"")</f>
        <v>0</v>
      </c>
      <c r="C66" s="2" t="str">
        <f>IF(A66="","",IFERROR(Members!M67,0))</f>
        <v/>
      </c>
      <c r="D66" s="2">
        <f>IFERROR(SUM(Members!M$4:M$103),0)</f>
        <v>0</v>
      </c>
      <c r="E66" s="58" t="str">
        <f t="shared" si="3"/>
        <v/>
      </c>
      <c r="F66" s="24">
        <f>IFERROR(SUMPRODUCT((MONTH(Int_Repayments!H$4:H$1003)=1)*Int_Repayments!F$4:F$1003),0)</f>
        <v>0</v>
      </c>
      <c r="G66" s="59">
        <f t="shared" si="4"/>
        <v>0</v>
      </c>
      <c r="H66" s="24">
        <f>IFERROR(SUM(Int_Repayments!F$4:F$1003),0)</f>
        <v>0</v>
      </c>
      <c r="I66" s="59">
        <f t="shared" si="5"/>
        <v>0</v>
      </c>
    </row>
    <row r="67" spans="1:9" ht="15.75" customHeight="1" x14ac:dyDescent="0.25">
      <c r="A67" s="6">
        <f>IFERROR(Members!A68,"")</f>
        <v>0</v>
      </c>
      <c r="B67" s="4">
        <f>IFERROR(Members!B68,"")</f>
        <v>0</v>
      </c>
      <c r="C67" s="2" t="str">
        <f>IF(A67="","",IFERROR(Members!M68,0))</f>
        <v/>
      </c>
      <c r="D67" s="2">
        <f>IFERROR(SUM(Members!M$4:M$103),0)</f>
        <v>0</v>
      </c>
      <c r="E67" s="58" t="str">
        <f t="shared" ref="E67:E98" si="6">IF(OR(A67="",D67=0),"",C67/D67)</f>
        <v/>
      </c>
      <c r="F67" s="24">
        <f>IFERROR(SUMPRODUCT((MONTH(Int_Repayments!H$4:H$1003)=1)*Int_Repayments!F$4:F$1003),0)</f>
        <v>0</v>
      </c>
      <c r="G67" s="59">
        <f t="shared" ref="G67:G98" si="7">IF(A67="","",IFERROR(E67*F67,0))</f>
        <v>0</v>
      </c>
      <c r="H67" s="24">
        <f>IFERROR(SUM(Int_Repayments!F$4:F$1003),0)</f>
        <v>0</v>
      </c>
      <c r="I67" s="59">
        <f t="shared" ref="I67:I98" si="8">IF(A67="","",IFERROR(E67*H67,0))</f>
        <v>0</v>
      </c>
    </row>
    <row r="68" spans="1:9" ht="15.75" customHeight="1" x14ac:dyDescent="0.25">
      <c r="A68" s="6">
        <f>IFERROR(Members!A69,"")</f>
        <v>0</v>
      </c>
      <c r="B68" s="4">
        <f>IFERROR(Members!B69,"")</f>
        <v>0</v>
      </c>
      <c r="C68" s="2" t="str">
        <f>IF(A68="","",IFERROR(Members!M69,0))</f>
        <v/>
      </c>
      <c r="D68" s="2">
        <f>IFERROR(SUM(Members!M$4:M$103),0)</f>
        <v>0</v>
      </c>
      <c r="E68" s="58" t="str">
        <f t="shared" si="6"/>
        <v/>
      </c>
      <c r="F68" s="24">
        <f>IFERROR(SUMPRODUCT((MONTH(Int_Repayments!H$4:H$1003)=1)*Int_Repayments!F$4:F$1003),0)</f>
        <v>0</v>
      </c>
      <c r="G68" s="59">
        <f t="shared" si="7"/>
        <v>0</v>
      </c>
      <c r="H68" s="24">
        <f>IFERROR(SUM(Int_Repayments!F$4:F$1003),0)</f>
        <v>0</v>
      </c>
      <c r="I68" s="59">
        <f t="shared" si="8"/>
        <v>0</v>
      </c>
    </row>
    <row r="69" spans="1:9" ht="15.75" customHeight="1" x14ac:dyDescent="0.25">
      <c r="A69" s="6">
        <f>IFERROR(Members!A70,"")</f>
        <v>0</v>
      </c>
      <c r="B69" s="4">
        <f>IFERROR(Members!B70,"")</f>
        <v>0</v>
      </c>
      <c r="C69" s="2" t="str">
        <f>IF(A69="","",IFERROR(Members!M70,0))</f>
        <v/>
      </c>
      <c r="D69" s="2">
        <f>IFERROR(SUM(Members!M$4:M$103),0)</f>
        <v>0</v>
      </c>
      <c r="E69" s="58" t="str">
        <f t="shared" si="6"/>
        <v/>
      </c>
      <c r="F69" s="24">
        <f>IFERROR(SUMPRODUCT((MONTH(Int_Repayments!H$4:H$1003)=1)*Int_Repayments!F$4:F$1003),0)</f>
        <v>0</v>
      </c>
      <c r="G69" s="59">
        <f t="shared" si="7"/>
        <v>0</v>
      </c>
      <c r="H69" s="24">
        <f>IFERROR(SUM(Int_Repayments!F$4:F$1003),0)</f>
        <v>0</v>
      </c>
      <c r="I69" s="59">
        <f t="shared" si="8"/>
        <v>0</v>
      </c>
    </row>
    <row r="70" spans="1:9" ht="15.75" customHeight="1" x14ac:dyDescent="0.25">
      <c r="A70" s="6">
        <f>IFERROR(Members!A71,"")</f>
        <v>0</v>
      </c>
      <c r="B70" s="4">
        <f>IFERROR(Members!B71,"")</f>
        <v>0</v>
      </c>
      <c r="C70" s="2" t="str">
        <f>IF(A70="","",IFERROR(Members!M71,0))</f>
        <v/>
      </c>
      <c r="D70" s="2">
        <f>IFERROR(SUM(Members!M$4:M$103),0)</f>
        <v>0</v>
      </c>
      <c r="E70" s="58" t="str">
        <f t="shared" si="6"/>
        <v/>
      </c>
      <c r="F70" s="24">
        <f>IFERROR(SUMPRODUCT((MONTH(Int_Repayments!H$4:H$1003)=1)*Int_Repayments!F$4:F$1003),0)</f>
        <v>0</v>
      </c>
      <c r="G70" s="59">
        <f t="shared" si="7"/>
        <v>0</v>
      </c>
      <c r="H70" s="24">
        <f>IFERROR(SUM(Int_Repayments!F$4:F$1003),0)</f>
        <v>0</v>
      </c>
      <c r="I70" s="59">
        <f t="shared" si="8"/>
        <v>0</v>
      </c>
    </row>
    <row r="71" spans="1:9" ht="15.75" customHeight="1" x14ac:dyDescent="0.25">
      <c r="A71" s="6">
        <f>IFERROR(Members!A72,"")</f>
        <v>0</v>
      </c>
      <c r="B71" s="4">
        <f>IFERROR(Members!B72,"")</f>
        <v>0</v>
      </c>
      <c r="C71" s="2" t="str">
        <f>IF(A71="","",IFERROR(Members!M72,0))</f>
        <v/>
      </c>
      <c r="D71" s="2">
        <f>IFERROR(SUM(Members!M$4:M$103),0)</f>
        <v>0</v>
      </c>
      <c r="E71" s="58" t="str">
        <f t="shared" si="6"/>
        <v/>
      </c>
      <c r="F71" s="24">
        <f>IFERROR(SUMPRODUCT((MONTH(Int_Repayments!H$4:H$1003)=1)*Int_Repayments!F$4:F$1003),0)</f>
        <v>0</v>
      </c>
      <c r="G71" s="59">
        <f t="shared" si="7"/>
        <v>0</v>
      </c>
      <c r="H71" s="24">
        <f>IFERROR(SUM(Int_Repayments!F$4:F$1003),0)</f>
        <v>0</v>
      </c>
      <c r="I71" s="59">
        <f t="shared" si="8"/>
        <v>0</v>
      </c>
    </row>
    <row r="72" spans="1:9" ht="15.75" customHeight="1" x14ac:dyDescent="0.25">
      <c r="A72" s="6">
        <f>IFERROR(Members!A73,"")</f>
        <v>0</v>
      </c>
      <c r="B72" s="4">
        <f>IFERROR(Members!B73,"")</f>
        <v>0</v>
      </c>
      <c r="C72" s="2" t="str">
        <f>IF(A72="","",IFERROR(Members!M73,0))</f>
        <v/>
      </c>
      <c r="D72" s="2">
        <f>IFERROR(SUM(Members!M$4:M$103),0)</f>
        <v>0</v>
      </c>
      <c r="E72" s="58" t="str">
        <f t="shared" si="6"/>
        <v/>
      </c>
      <c r="F72" s="24">
        <f>IFERROR(SUMPRODUCT((MONTH(Int_Repayments!H$4:H$1003)=1)*Int_Repayments!F$4:F$1003),0)</f>
        <v>0</v>
      </c>
      <c r="G72" s="59">
        <f t="shared" si="7"/>
        <v>0</v>
      </c>
      <c r="H72" s="24">
        <f>IFERROR(SUM(Int_Repayments!F$4:F$1003),0)</f>
        <v>0</v>
      </c>
      <c r="I72" s="59">
        <f t="shared" si="8"/>
        <v>0</v>
      </c>
    </row>
    <row r="73" spans="1:9" ht="15.75" customHeight="1" x14ac:dyDescent="0.25">
      <c r="A73" s="6">
        <f>IFERROR(Members!A74,"")</f>
        <v>0</v>
      </c>
      <c r="B73" s="4">
        <f>IFERROR(Members!B74,"")</f>
        <v>0</v>
      </c>
      <c r="C73" s="2" t="str">
        <f>IF(A73="","",IFERROR(Members!M74,0))</f>
        <v/>
      </c>
      <c r="D73" s="2">
        <f>IFERROR(SUM(Members!M$4:M$103),0)</f>
        <v>0</v>
      </c>
      <c r="E73" s="58" t="str">
        <f t="shared" si="6"/>
        <v/>
      </c>
      <c r="F73" s="24">
        <f>IFERROR(SUMPRODUCT((MONTH(Int_Repayments!H$4:H$1003)=1)*Int_Repayments!F$4:F$1003),0)</f>
        <v>0</v>
      </c>
      <c r="G73" s="59">
        <f t="shared" si="7"/>
        <v>0</v>
      </c>
      <c r="H73" s="24">
        <f>IFERROR(SUM(Int_Repayments!F$4:F$1003),0)</f>
        <v>0</v>
      </c>
      <c r="I73" s="59">
        <f t="shared" si="8"/>
        <v>0</v>
      </c>
    </row>
    <row r="74" spans="1:9" ht="15.75" customHeight="1" x14ac:dyDescent="0.25">
      <c r="A74" s="6">
        <f>IFERROR(Members!A75,"")</f>
        <v>0</v>
      </c>
      <c r="B74" s="4">
        <f>IFERROR(Members!B75,"")</f>
        <v>0</v>
      </c>
      <c r="C74" s="2" t="str">
        <f>IF(A74="","",IFERROR(Members!M75,0))</f>
        <v/>
      </c>
      <c r="D74" s="2">
        <f>IFERROR(SUM(Members!M$4:M$103),0)</f>
        <v>0</v>
      </c>
      <c r="E74" s="58" t="str">
        <f t="shared" si="6"/>
        <v/>
      </c>
      <c r="F74" s="24">
        <f>IFERROR(SUMPRODUCT((MONTH(Int_Repayments!H$4:H$1003)=1)*Int_Repayments!F$4:F$1003),0)</f>
        <v>0</v>
      </c>
      <c r="G74" s="59">
        <f t="shared" si="7"/>
        <v>0</v>
      </c>
      <c r="H74" s="24">
        <f>IFERROR(SUM(Int_Repayments!F$4:F$1003),0)</f>
        <v>0</v>
      </c>
      <c r="I74" s="59">
        <f t="shared" si="8"/>
        <v>0</v>
      </c>
    </row>
    <row r="75" spans="1:9" ht="15.75" customHeight="1" x14ac:dyDescent="0.25">
      <c r="A75" s="6">
        <f>IFERROR(Members!A76,"")</f>
        <v>0</v>
      </c>
      <c r="B75" s="4">
        <f>IFERROR(Members!B76,"")</f>
        <v>0</v>
      </c>
      <c r="C75" s="2" t="str">
        <f>IF(A75="","",IFERROR(Members!M76,0))</f>
        <v/>
      </c>
      <c r="D75" s="2">
        <f>IFERROR(SUM(Members!M$4:M$103),0)</f>
        <v>0</v>
      </c>
      <c r="E75" s="58" t="str">
        <f t="shared" si="6"/>
        <v/>
      </c>
      <c r="F75" s="24">
        <f>IFERROR(SUMPRODUCT((MONTH(Int_Repayments!H$4:H$1003)=1)*Int_Repayments!F$4:F$1003),0)</f>
        <v>0</v>
      </c>
      <c r="G75" s="59">
        <f t="shared" si="7"/>
        <v>0</v>
      </c>
      <c r="H75" s="24">
        <f>IFERROR(SUM(Int_Repayments!F$4:F$1003),0)</f>
        <v>0</v>
      </c>
      <c r="I75" s="59">
        <f t="shared" si="8"/>
        <v>0</v>
      </c>
    </row>
    <row r="76" spans="1:9" ht="15.75" customHeight="1" x14ac:dyDescent="0.25">
      <c r="A76" s="6">
        <f>IFERROR(Members!A77,"")</f>
        <v>0</v>
      </c>
      <c r="B76" s="4">
        <f>IFERROR(Members!B77,"")</f>
        <v>0</v>
      </c>
      <c r="C76" s="2" t="str">
        <f>IF(A76="","",IFERROR(Members!M77,0))</f>
        <v/>
      </c>
      <c r="D76" s="2">
        <f>IFERROR(SUM(Members!M$4:M$103),0)</f>
        <v>0</v>
      </c>
      <c r="E76" s="58" t="str">
        <f t="shared" si="6"/>
        <v/>
      </c>
      <c r="F76" s="24">
        <f>IFERROR(SUMPRODUCT((MONTH(Int_Repayments!H$4:H$1003)=1)*Int_Repayments!F$4:F$1003),0)</f>
        <v>0</v>
      </c>
      <c r="G76" s="59">
        <f t="shared" si="7"/>
        <v>0</v>
      </c>
      <c r="H76" s="24">
        <f>IFERROR(SUM(Int_Repayments!F$4:F$1003),0)</f>
        <v>0</v>
      </c>
      <c r="I76" s="59">
        <f t="shared" si="8"/>
        <v>0</v>
      </c>
    </row>
    <row r="77" spans="1:9" ht="15.75" customHeight="1" x14ac:dyDescent="0.25">
      <c r="A77" s="6">
        <f>IFERROR(Members!A78,"")</f>
        <v>0</v>
      </c>
      <c r="B77" s="4">
        <f>IFERROR(Members!B78,"")</f>
        <v>0</v>
      </c>
      <c r="C77" s="2" t="str">
        <f>IF(A77="","",IFERROR(Members!M78,0))</f>
        <v/>
      </c>
      <c r="D77" s="2">
        <f>IFERROR(SUM(Members!M$4:M$103),0)</f>
        <v>0</v>
      </c>
      <c r="E77" s="58" t="str">
        <f t="shared" si="6"/>
        <v/>
      </c>
      <c r="F77" s="24">
        <f>IFERROR(SUMPRODUCT((MONTH(Int_Repayments!H$4:H$1003)=1)*Int_Repayments!F$4:F$1003),0)</f>
        <v>0</v>
      </c>
      <c r="G77" s="59">
        <f t="shared" si="7"/>
        <v>0</v>
      </c>
      <c r="H77" s="24">
        <f>IFERROR(SUM(Int_Repayments!F$4:F$1003),0)</f>
        <v>0</v>
      </c>
      <c r="I77" s="59">
        <f t="shared" si="8"/>
        <v>0</v>
      </c>
    </row>
    <row r="78" spans="1:9" ht="15.75" customHeight="1" x14ac:dyDescent="0.25">
      <c r="A78" s="6">
        <f>IFERROR(Members!A79,"")</f>
        <v>0</v>
      </c>
      <c r="B78" s="4">
        <f>IFERROR(Members!B79,"")</f>
        <v>0</v>
      </c>
      <c r="C78" s="2" t="str">
        <f>IF(A78="","",IFERROR(Members!M79,0))</f>
        <v/>
      </c>
      <c r="D78" s="2">
        <f>IFERROR(SUM(Members!M$4:M$103),0)</f>
        <v>0</v>
      </c>
      <c r="E78" s="58" t="str">
        <f t="shared" si="6"/>
        <v/>
      </c>
      <c r="F78" s="24">
        <f>IFERROR(SUMPRODUCT((MONTH(Int_Repayments!H$4:H$1003)=1)*Int_Repayments!F$4:F$1003),0)</f>
        <v>0</v>
      </c>
      <c r="G78" s="59">
        <f t="shared" si="7"/>
        <v>0</v>
      </c>
      <c r="H78" s="24">
        <f>IFERROR(SUM(Int_Repayments!F$4:F$1003),0)</f>
        <v>0</v>
      </c>
      <c r="I78" s="59">
        <f t="shared" si="8"/>
        <v>0</v>
      </c>
    </row>
    <row r="79" spans="1:9" ht="15.75" customHeight="1" x14ac:dyDescent="0.25">
      <c r="A79" s="6">
        <f>IFERROR(Members!A80,"")</f>
        <v>0</v>
      </c>
      <c r="B79" s="4">
        <f>IFERROR(Members!B80,"")</f>
        <v>0</v>
      </c>
      <c r="C79" s="2" t="str">
        <f>IF(A79="","",IFERROR(Members!M80,0))</f>
        <v/>
      </c>
      <c r="D79" s="2">
        <f>IFERROR(SUM(Members!M$4:M$103),0)</f>
        <v>0</v>
      </c>
      <c r="E79" s="58" t="str">
        <f t="shared" si="6"/>
        <v/>
      </c>
      <c r="F79" s="24">
        <f>IFERROR(SUMPRODUCT((MONTH(Int_Repayments!H$4:H$1003)=1)*Int_Repayments!F$4:F$1003),0)</f>
        <v>0</v>
      </c>
      <c r="G79" s="59">
        <f t="shared" si="7"/>
        <v>0</v>
      </c>
      <c r="H79" s="24">
        <f>IFERROR(SUM(Int_Repayments!F$4:F$1003),0)</f>
        <v>0</v>
      </c>
      <c r="I79" s="59">
        <f t="shared" si="8"/>
        <v>0</v>
      </c>
    </row>
    <row r="80" spans="1:9" ht="15.75" customHeight="1" x14ac:dyDescent="0.25">
      <c r="A80" s="6">
        <f>IFERROR(Members!A81,"")</f>
        <v>0</v>
      </c>
      <c r="B80" s="4">
        <f>IFERROR(Members!B81,"")</f>
        <v>0</v>
      </c>
      <c r="C80" s="2" t="str">
        <f>IF(A80="","",IFERROR(Members!M81,0))</f>
        <v/>
      </c>
      <c r="D80" s="2">
        <f>IFERROR(SUM(Members!M$4:M$103),0)</f>
        <v>0</v>
      </c>
      <c r="E80" s="58" t="str">
        <f t="shared" si="6"/>
        <v/>
      </c>
      <c r="F80" s="24">
        <f>IFERROR(SUMPRODUCT((MONTH(Int_Repayments!H$4:H$1003)=1)*Int_Repayments!F$4:F$1003),0)</f>
        <v>0</v>
      </c>
      <c r="G80" s="59">
        <f t="shared" si="7"/>
        <v>0</v>
      </c>
      <c r="H80" s="24">
        <f>IFERROR(SUM(Int_Repayments!F$4:F$1003),0)</f>
        <v>0</v>
      </c>
      <c r="I80" s="59">
        <f t="shared" si="8"/>
        <v>0</v>
      </c>
    </row>
    <row r="81" spans="1:9" ht="15.75" customHeight="1" x14ac:dyDescent="0.25">
      <c r="A81" s="6">
        <f>IFERROR(Members!A82,"")</f>
        <v>0</v>
      </c>
      <c r="B81" s="4">
        <f>IFERROR(Members!B82,"")</f>
        <v>0</v>
      </c>
      <c r="C81" s="2" t="str">
        <f>IF(A81="","",IFERROR(Members!M82,0))</f>
        <v/>
      </c>
      <c r="D81" s="2">
        <f>IFERROR(SUM(Members!M$4:M$103),0)</f>
        <v>0</v>
      </c>
      <c r="E81" s="58" t="str">
        <f t="shared" si="6"/>
        <v/>
      </c>
      <c r="F81" s="24">
        <f>IFERROR(SUMPRODUCT((MONTH(Int_Repayments!H$4:H$1003)=1)*Int_Repayments!F$4:F$1003),0)</f>
        <v>0</v>
      </c>
      <c r="G81" s="59">
        <f t="shared" si="7"/>
        <v>0</v>
      </c>
      <c r="H81" s="24">
        <f>IFERROR(SUM(Int_Repayments!F$4:F$1003),0)</f>
        <v>0</v>
      </c>
      <c r="I81" s="59">
        <f t="shared" si="8"/>
        <v>0</v>
      </c>
    </row>
    <row r="82" spans="1:9" ht="15.75" customHeight="1" x14ac:dyDescent="0.25">
      <c r="A82" s="6">
        <f>IFERROR(Members!A83,"")</f>
        <v>0</v>
      </c>
      <c r="B82" s="4">
        <f>IFERROR(Members!B83,"")</f>
        <v>0</v>
      </c>
      <c r="C82" s="2" t="str">
        <f>IF(A82="","",IFERROR(Members!M83,0))</f>
        <v/>
      </c>
      <c r="D82" s="2">
        <f>IFERROR(SUM(Members!M$4:M$103),0)</f>
        <v>0</v>
      </c>
      <c r="E82" s="58" t="str">
        <f t="shared" si="6"/>
        <v/>
      </c>
      <c r="F82" s="24">
        <f>IFERROR(SUMPRODUCT((MONTH(Int_Repayments!H$4:H$1003)=1)*Int_Repayments!F$4:F$1003),0)</f>
        <v>0</v>
      </c>
      <c r="G82" s="59">
        <f t="shared" si="7"/>
        <v>0</v>
      </c>
      <c r="H82" s="24">
        <f>IFERROR(SUM(Int_Repayments!F$4:F$1003),0)</f>
        <v>0</v>
      </c>
      <c r="I82" s="59">
        <f t="shared" si="8"/>
        <v>0</v>
      </c>
    </row>
    <row r="83" spans="1:9" ht="15.75" customHeight="1" x14ac:dyDescent="0.25">
      <c r="A83" s="6">
        <f>IFERROR(Members!A84,"")</f>
        <v>0</v>
      </c>
      <c r="B83" s="4">
        <f>IFERROR(Members!B84,"")</f>
        <v>0</v>
      </c>
      <c r="C83" s="2" t="str">
        <f>IF(A83="","",IFERROR(Members!M84,0))</f>
        <v/>
      </c>
      <c r="D83" s="2">
        <f>IFERROR(SUM(Members!M$4:M$103),0)</f>
        <v>0</v>
      </c>
      <c r="E83" s="58" t="str">
        <f t="shared" si="6"/>
        <v/>
      </c>
      <c r="F83" s="24">
        <f>IFERROR(SUMPRODUCT((MONTH(Int_Repayments!H$4:H$1003)=1)*Int_Repayments!F$4:F$1003),0)</f>
        <v>0</v>
      </c>
      <c r="G83" s="59">
        <f t="shared" si="7"/>
        <v>0</v>
      </c>
      <c r="H83" s="24">
        <f>IFERROR(SUM(Int_Repayments!F$4:F$1003),0)</f>
        <v>0</v>
      </c>
      <c r="I83" s="59">
        <f t="shared" si="8"/>
        <v>0</v>
      </c>
    </row>
    <row r="84" spans="1:9" ht="15.75" customHeight="1" x14ac:dyDescent="0.25">
      <c r="A84" s="6">
        <f>IFERROR(Members!A85,"")</f>
        <v>0</v>
      </c>
      <c r="B84" s="4">
        <f>IFERROR(Members!B85,"")</f>
        <v>0</v>
      </c>
      <c r="C84" s="2" t="str">
        <f>IF(A84="","",IFERROR(Members!M85,0))</f>
        <v/>
      </c>
      <c r="D84" s="2">
        <f>IFERROR(SUM(Members!M$4:M$103),0)</f>
        <v>0</v>
      </c>
      <c r="E84" s="58" t="str">
        <f t="shared" si="6"/>
        <v/>
      </c>
      <c r="F84" s="24">
        <f>IFERROR(SUMPRODUCT((MONTH(Int_Repayments!H$4:H$1003)=1)*Int_Repayments!F$4:F$1003),0)</f>
        <v>0</v>
      </c>
      <c r="G84" s="59">
        <f t="shared" si="7"/>
        <v>0</v>
      </c>
      <c r="H84" s="24">
        <f>IFERROR(SUM(Int_Repayments!F$4:F$1003),0)</f>
        <v>0</v>
      </c>
      <c r="I84" s="59">
        <f t="shared" si="8"/>
        <v>0</v>
      </c>
    </row>
    <row r="85" spans="1:9" ht="15.75" customHeight="1" x14ac:dyDescent="0.25">
      <c r="A85" s="6">
        <f>IFERROR(Members!A86,"")</f>
        <v>0</v>
      </c>
      <c r="B85" s="4">
        <f>IFERROR(Members!B86,"")</f>
        <v>0</v>
      </c>
      <c r="C85" s="2" t="str">
        <f>IF(A85="","",IFERROR(Members!M86,0))</f>
        <v/>
      </c>
      <c r="D85" s="2">
        <f>IFERROR(SUM(Members!M$4:M$103),0)</f>
        <v>0</v>
      </c>
      <c r="E85" s="58" t="str">
        <f t="shared" si="6"/>
        <v/>
      </c>
      <c r="F85" s="24">
        <f>IFERROR(SUMPRODUCT((MONTH(Int_Repayments!H$4:H$1003)=1)*Int_Repayments!F$4:F$1003),0)</f>
        <v>0</v>
      </c>
      <c r="G85" s="59">
        <f t="shared" si="7"/>
        <v>0</v>
      </c>
      <c r="H85" s="24">
        <f>IFERROR(SUM(Int_Repayments!F$4:F$1003),0)</f>
        <v>0</v>
      </c>
      <c r="I85" s="59">
        <f t="shared" si="8"/>
        <v>0</v>
      </c>
    </row>
    <row r="86" spans="1:9" ht="15.75" customHeight="1" x14ac:dyDescent="0.25">
      <c r="A86" s="6">
        <f>IFERROR(Members!A87,"")</f>
        <v>0</v>
      </c>
      <c r="B86" s="4">
        <f>IFERROR(Members!B87,"")</f>
        <v>0</v>
      </c>
      <c r="C86" s="2" t="str">
        <f>IF(A86="","",IFERROR(Members!M87,0))</f>
        <v/>
      </c>
      <c r="D86" s="2">
        <f>IFERROR(SUM(Members!M$4:M$103),0)</f>
        <v>0</v>
      </c>
      <c r="E86" s="58" t="str">
        <f t="shared" si="6"/>
        <v/>
      </c>
      <c r="F86" s="24">
        <f>IFERROR(SUMPRODUCT((MONTH(Int_Repayments!H$4:H$1003)=1)*Int_Repayments!F$4:F$1003),0)</f>
        <v>0</v>
      </c>
      <c r="G86" s="59">
        <f t="shared" si="7"/>
        <v>0</v>
      </c>
      <c r="H86" s="24">
        <f>IFERROR(SUM(Int_Repayments!F$4:F$1003),0)</f>
        <v>0</v>
      </c>
      <c r="I86" s="59">
        <f t="shared" si="8"/>
        <v>0</v>
      </c>
    </row>
    <row r="87" spans="1:9" ht="15.75" customHeight="1" x14ac:dyDescent="0.25">
      <c r="A87" s="6">
        <f>IFERROR(Members!A88,"")</f>
        <v>0</v>
      </c>
      <c r="B87" s="4">
        <f>IFERROR(Members!B88,"")</f>
        <v>0</v>
      </c>
      <c r="C87" s="2" t="str">
        <f>IF(A87="","",IFERROR(Members!M88,0))</f>
        <v/>
      </c>
      <c r="D87" s="2">
        <f>IFERROR(SUM(Members!M$4:M$103),0)</f>
        <v>0</v>
      </c>
      <c r="E87" s="58" t="str">
        <f t="shared" si="6"/>
        <v/>
      </c>
      <c r="F87" s="24">
        <f>IFERROR(SUMPRODUCT((MONTH(Int_Repayments!H$4:H$1003)=1)*Int_Repayments!F$4:F$1003),0)</f>
        <v>0</v>
      </c>
      <c r="G87" s="59">
        <f t="shared" si="7"/>
        <v>0</v>
      </c>
      <c r="H87" s="24">
        <f>IFERROR(SUM(Int_Repayments!F$4:F$1003),0)</f>
        <v>0</v>
      </c>
      <c r="I87" s="59">
        <f t="shared" si="8"/>
        <v>0</v>
      </c>
    </row>
    <row r="88" spans="1:9" ht="15.75" customHeight="1" x14ac:dyDescent="0.25">
      <c r="A88" s="6">
        <f>IFERROR(Members!A89,"")</f>
        <v>0</v>
      </c>
      <c r="B88" s="4">
        <f>IFERROR(Members!B89,"")</f>
        <v>0</v>
      </c>
      <c r="C88" s="2" t="str">
        <f>IF(A88="","",IFERROR(Members!M89,0))</f>
        <v/>
      </c>
      <c r="D88" s="2">
        <f>IFERROR(SUM(Members!M$4:M$103),0)</f>
        <v>0</v>
      </c>
      <c r="E88" s="58" t="str">
        <f t="shared" si="6"/>
        <v/>
      </c>
      <c r="F88" s="24">
        <f>IFERROR(SUMPRODUCT((MONTH(Int_Repayments!H$4:H$1003)=1)*Int_Repayments!F$4:F$1003),0)</f>
        <v>0</v>
      </c>
      <c r="G88" s="59">
        <f t="shared" si="7"/>
        <v>0</v>
      </c>
      <c r="H88" s="24">
        <f>IFERROR(SUM(Int_Repayments!F$4:F$1003),0)</f>
        <v>0</v>
      </c>
      <c r="I88" s="59">
        <f t="shared" si="8"/>
        <v>0</v>
      </c>
    </row>
    <row r="89" spans="1:9" ht="15.75" customHeight="1" x14ac:dyDescent="0.25">
      <c r="A89" s="6">
        <f>IFERROR(Members!A90,"")</f>
        <v>0</v>
      </c>
      <c r="B89" s="4">
        <f>IFERROR(Members!B90,"")</f>
        <v>0</v>
      </c>
      <c r="C89" s="2" t="str">
        <f>IF(A89="","",IFERROR(Members!M90,0))</f>
        <v/>
      </c>
      <c r="D89" s="2">
        <f>IFERROR(SUM(Members!M$4:M$103),0)</f>
        <v>0</v>
      </c>
      <c r="E89" s="58" t="str">
        <f t="shared" si="6"/>
        <v/>
      </c>
      <c r="F89" s="24">
        <f>IFERROR(SUMPRODUCT((MONTH(Int_Repayments!H$4:H$1003)=1)*Int_Repayments!F$4:F$1003),0)</f>
        <v>0</v>
      </c>
      <c r="G89" s="59">
        <f t="shared" si="7"/>
        <v>0</v>
      </c>
      <c r="H89" s="24">
        <f>IFERROR(SUM(Int_Repayments!F$4:F$1003),0)</f>
        <v>0</v>
      </c>
      <c r="I89" s="59">
        <f t="shared" si="8"/>
        <v>0</v>
      </c>
    </row>
    <row r="90" spans="1:9" ht="15.75" customHeight="1" x14ac:dyDescent="0.25">
      <c r="A90" s="6">
        <f>IFERROR(Members!A91,"")</f>
        <v>0</v>
      </c>
      <c r="B90" s="4">
        <f>IFERROR(Members!B91,"")</f>
        <v>0</v>
      </c>
      <c r="C90" s="2" t="str">
        <f>IF(A90="","",IFERROR(Members!M91,0))</f>
        <v/>
      </c>
      <c r="D90" s="2">
        <f>IFERROR(SUM(Members!M$4:M$103),0)</f>
        <v>0</v>
      </c>
      <c r="E90" s="58" t="str">
        <f t="shared" si="6"/>
        <v/>
      </c>
      <c r="F90" s="24">
        <f>IFERROR(SUMPRODUCT((MONTH(Int_Repayments!H$4:H$1003)=1)*Int_Repayments!F$4:F$1003),0)</f>
        <v>0</v>
      </c>
      <c r="G90" s="59">
        <f t="shared" si="7"/>
        <v>0</v>
      </c>
      <c r="H90" s="24">
        <f>IFERROR(SUM(Int_Repayments!F$4:F$1003),0)</f>
        <v>0</v>
      </c>
      <c r="I90" s="59">
        <f t="shared" si="8"/>
        <v>0</v>
      </c>
    </row>
    <row r="91" spans="1:9" ht="15.75" customHeight="1" x14ac:dyDescent="0.25">
      <c r="A91" s="6">
        <f>IFERROR(Members!A92,"")</f>
        <v>0</v>
      </c>
      <c r="B91" s="4">
        <f>IFERROR(Members!B92,"")</f>
        <v>0</v>
      </c>
      <c r="C91" s="2" t="str">
        <f>IF(A91="","",IFERROR(Members!M92,0))</f>
        <v/>
      </c>
      <c r="D91" s="2">
        <f>IFERROR(SUM(Members!M$4:M$103),0)</f>
        <v>0</v>
      </c>
      <c r="E91" s="58" t="str">
        <f t="shared" si="6"/>
        <v/>
      </c>
      <c r="F91" s="24">
        <f>IFERROR(SUMPRODUCT((MONTH(Int_Repayments!H$4:H$1003)=1)*Int_Repayments!F$4:F$1003),0)</f>
        <v>0</v>
      </c>
      <c r="G91" s="59">
        <f t="shared" si="7"/>
        <v>0</v>
      </c>
      <c r="H91" s="24">
        <f>IFERROR(SUM(Int_Repayments!F$4:F$1003),0)</f>
        <v>0</v>
      </c>
      <c r="I91" s="59">
        <f t="shared" si="8"/>
        <v>0</v>
      </c>
    </row>
    <row r="92" spans="1:9" ht="15.75" customHeight="1" x14ac:dyDescent="0.25">
      <c r="A92" s="6">
        <f>IFERROR(Members!A93,"")</f>
        <v>0</v>
      </c>
      <c r="B92" s="4">
        <f>IFERROR(Members!B93,"")</f>
        <v>0</v>
      </c>
      <c r="C92" s="2" t="str">
        <f>IF(A92="","",IFERROR(Members!M93,0))</f>
        <v/>
      </c>
      <c r="D92" s="2">
        <f>IFERROR(SUM(Members!M$4:M$103),0)</f>
        <v>0</v>
      </c>
      <c r="E92" s="58" t="str">
        <f t="shared" si="6"/>
        <v/>
      </c>
      <c r="F92" s="24">
        <f>IFERROR(SUMPRODUCT((MONTH(Int_Repayments!H$4:H$1003)=1)*Int_Repayments!F$4:F$1003),0)</f>
        <v>0</v>
      </c>
      <c r="G92" s="59">
        <f t="shared" si="7"/>
        <v>0</v>
      </c>
      <c r="H92" s="24">
        <f>IFERROR(SUM(Int_Repayments!F$4:F$1003),0)</f>
        <v>0</v>
      </c>
      <c r="I92" s="59">
        <f t="shared" si="8"/>
        <v>0</v>
      </c>
    </row>
    <row r="93" spans="1:9" ht="15.75" customHeight="1" x14ac:dyDescent="0.25">
      <c r="A93" s="6">
        <f>IFERROR(Members!A94,"")</f>
        <v>0</v>
      </c>
      <c r="B93" s="4">
        <f>IFERROR(Members!B94,"")</f>
        <v>0</v>
      </c>
      <c r="C93" s="2" t="str">
        <f>IF(A93="","",IFERROR(Members!M94,0))</f>
        <v/>
      </c>
      <c r="D93" s="2">
        <f>IFERROR(SUM(Members!M$4:M$103),0)</f>
        <v>0</v>
      </c>
      <c r="E93" s="58" t="str">
        <f t="shared" si="6"/>
        <v/>
      </c>
      <c r="F93" s="24">
        <f>IFERROR(SUMPRODUCT((MONTH(Int_Repayments!H$4:H$1003)=1)*Int_Repayments!F$4:F$1003),0)</f>
        <v>0</v>
      </c>
      <c r="G93" s="59">
        <f t="shared" si="7"/>
        <v>0</v>
      </c>
      <c r="H93" s="24">
        <f>IFERROR(SUM(Int_Repayments!F$4:F$1003),0)</f>
        <v>0</v>
      </c>
      <c r="I93" s="59">
        <f t="shared" si="8"/>
        <v>0</v>
      </c>
    </row>
    <row r="94" spans="1:9" ht="15.75" customHeight="1" x14ac:dyDescent="0.25">
      <c r="A94" s="6">
        <f>IFERROR(Members!A95,"")</f>
        <v>0</v>
      </c>
      <c r="B94" s="4">
        <f>IFERROR(Members!B95,"")</f>
        <v>0</v>
      </c>
      <c r="C94" s="2" t="str">
        <f>IF(A94="","",IFERROR(Members!M95,0))</f>
        <v/>
      </c>
      <c r="D94" s="2">
        <f>IFERROR(SUM(Members!M$4:M$103),0)</f>
        <v>0</v>
      </c>
      <c r="E94" s="58" t="str">
        <f t="shared" si="6"/>
        <v/>
      </c>
      <c r="F94" s="24">
        <f>IFERROR(SUMPRODUCT((MONTH(Int_Repayments!H$4:H$1003)=1)*Int_Repayments!F$4:F$1003),0)</f>
        <v>0</v>
      </c>
      <c r="G94" s="59">
        <f t="shared" si="7"/>
        <v>0</v>
      </c>
      <c r="H94" s="24">
        <f>IFERROR(SUM(Int_Repayments!F$4:F$1003),0)</f>
        <v>0</v>
      </c>
      <c r="I94" s="59">
        <f t="shared" si="8"/>
        <v>0</v>
      </c>
    </row>
    <row r="95" spans="1:9" ht="15.75" customHeight="1" x14ac:dyDescent="0.25">
      <c r="A95" s="6">
        <f>IFERROR(Members!A96,"")</f>
        <v>0</v>
      </c>
      <c r="B95" s="4">
        <f>IFERROR(Members!B96,"")</f>
        <v>0</v>
      </c>
      <c r="C95" s="2" t="str">
        <f>IF(A95="","",IFERROR(Members!M96,0))</f>
        <v/>
      </c>
      <c r="D95" s="2">
        <f>IFERROR(SUM(Members!M$4:M$103),0)</f>
        <v>0</v>
      </c>
      <c r="E95" s="58" t="str">
        <f t="shared" si="6"/>
        <v/>
      </c>
      <c r="F95" s="24">
        <f>IFERROR(SUMPRODUCT((MONTH(Int_Repayments!H$4:H$1003)=1)*Int_Repayments!F$4:F$1003),0)</f>
        <v>0</v>
      </c>
      <c r="G95" s="59">
        <f t="shared" si="7"/>
        <v>0</v>
      </c>
      <c r="H95" s="24">
        <f>IFERROR(SUM(Int_Repayments!F$4:F$1003),0)</f>
        <v>0</v>
      </c>
      <c r="I95" s="59">
        <f t="shared" si="8"/>
        <v>0</v>
      </c>
    </row>
    <row r="96" spans="1:9" ht="15.75" customHeight="1" x14ac:dyDescent="0.25">
      <c r="A96" s="6">
        <f>IFERROR(Members!A97,"")</f>
        <v>0</v>
      </c>
      <c r="B96" s="4">
        <f>IFERROR(Members!B97,"")</f>
        <v>0</v>
      </c>
      <c r="C96" s="2" t="str">
        <f>IF(A96="","",IFERROR(Members!M97,0))</f>
        <v/>
      </c>
      <c r="D96" s="2">
        <f>IFERROR(SUM(Members!M$4:M$103),0)</f>
        <v>0</v>
      </c>
      <c r="E96" s="58" t="str">
        <f t="shared" si="6"/>
        <v/>
      </c>
      <c r="F96" s="24">
        <f>IFERROR(SUMPRODUCT((MONTH(Int_Repayments!H$4:H$1003)=1)*Int_Repayments!F$4:F$1003),0)</f>
        <v>0</v>
      </c>
      <c r="G96" s="59">
        <f t="shared" si="7"/>
        <v>0</v>
      </c>
      <c r="H96" s="24">
        <f>IFERROR(SUM(Int_Repayments!F$4:F$1003),0)</f>
        <v>0</v>
      </c>
      <c r="I96" s="59">
        <f t="shared" si="8"/>
        <v>0</v>
      </c>
    </row>
    <row r="97" spans="1:9" ht="15.75" customHeight="1" x14ac:dyDescent="0.25">
      <c r="A97" s="6">
        <f>IFERROR(Members!A98,"")</f>
        <v>0</v>
      </c>
      <c r="B97" s="4">
        <f>IFERROR(Members!B98,"")</f>
        <v>0</v>
      </c>
      <c r="C97" s="2" t="str">
        <f>IF(A97="","",IFERROR(Members!M98,0))</f>
        <v/>
      </c>
      <c r="D97" s="2">
        <f>IFERROR(SUM(Members!M$4:M$103),0)</f>
        <v>0</v>
      </c>
      <c r="E97" s="58" t="str">
        <f t="shared" si="6"/>
        <v/>
      </c>
      <c r="F97" s="24">
        <f>IFERROR(SUMPRODUCT((MONTH(Int_Repayments!H$4:H$1003)=1)*Int_Repayments!F$4:F$1003),0)</f>
        <v>0</v>
      </c>
      <c r="G97" s="59">
        <f t="shared" si="7"/>
        <v>0</v>
      </c>
      <c r="H97" s="24">
        <f>IFERROR(SUM(Int_Repayments!F$4:F$1003),0)</f>
        <v>0</v>
      </c>
      <c r="I97" s="59">
        <f t="shared" si="8"/>
        <v>0</v>
      </c>
    </row>
    <row r="98" spans="1:9" ht="15.75" customHeight="1" x14ac:dyDescent="0.25">
      <c r="A98" s="6">
        <f>IFERROR(Members!A99,"")</f>
        <v>0</v>
      </c>
      <c r="B98" s="4">
        <f>IFERROR(Members!B99,"")</f>
        <v>0</v>
      </c>
      <c r="C98" s="2" t="str">
        <f>IF(A98="","",IFERROR(Members!M99,0))</f>
        <v/>
      </c>
      <c r="D98" s="2">
        <f>IFERROR(SUM(Members!M$4:M$103),0)</f>
        <v>0</v>
      </c>
      <c r="E98" s="58" t="str">
        <f t="shared" si="6"/>
        <v/>
      </c>
      <c r="F98" s="24">
        <f>IFERROR(SUMPRODUCT((MONTH(Int_Repayments!H$4:H$1003)=1)*Int_Repayments!F$4:F$1003),0)</f>
        <v>0</v>
      </c>
      <c r="G98" s="59">
        <f t="shared" si="7"/>
        <v>0</v>
      </c>
      <c r="H98" s="24">
        <f>IFERROR(SUM(Int_Repayments!F$4:F$1003),0)</f>
        <v>0</v>
      </c>
      <c r="I98" s="59">
        <f t="shared" si="8"/>
        <v>0</v>
      </c>
    </row>
    <row r="99" spans="1:9" ht="15.75" customHeight="1" x14ac:dyDescent="0.25">
      <c r="A99" s="6">
        <f>IFERROR(Members!A100,"")</f>
        <v>0</v>
      </c>
      <c r="B99" s="4">
        <f>IFERROR(Members!B100,"")</f>
        <v>0</v>
      </c>
      <c r="C99" s="2" t="str">
        <f>IF(A99="","",IFERROR(Members!M100,0))</f>
        <v/>
      </c>
      <c r="D99" s="2">
        <f>IFERROR(SUM(Members!M$4:M$103),0)</f>
        <v>0</v>
      </c>
      <c r="E99" s="58" t="str">
        <f t="shared" ref="E99:E130" si="9">IF(OR(A99="",D99=0),"",C99/D99)</f>
        <v/>
      </c>
      <c r="F99" s="24">
        <f>IFERROR(SUMPRODUCT((MONTH(Int_Repayments!H$4:H$1003)=1)*Int_Repayments!F$4:F$1003),0)</f>
        <v>0</v>
      </c>
      <c r="G99" s="59">
        <f t="shared" ref="G99:G130" si="10">IF(A99="","",IFERROR(E99*F99,0))</f>
        <v>0</v>
      </c>
      <c r="H99" s="24">
        <f>IFERROR(SUM(Int_Repayments!F$4:F$1003),0)</f>
        <v>0</v>
      </c>
      <c r="I99" s="59">
        <f t="shared" ref="I99:I130" si="11">IF(A99="","",IFERROR(E99*H99,0))</f>
        <v>0</v>
      </c>
    </row>
    <row r="100" spans="1:9" ht="15.75" customHeight="1" x14ac:dyDescent="0.25">
      <c r="A100" s="6">
        <f>IFERROR(Members!A101,"")</f>
        <v>0</v>
      </c>
      <c r="B100" s="4">
        <f>IFERROR(Members!B101,"")</f>
        <v>0</v>
      </c>
      <c r="C100" s="2" t="str">
        <f>IF(A100="","",IFERROR(Members!M101,0))</f>
        <v/>
      </c>
      <c r="D100" s="2">
        <f>IFERROR(SUM(Members!M$4:M$103),0)</f>
        <v>0</v>
      </c>
      <c r="E100" s="58" t="str">
        <f t="shared" si="9"/>
        <v/>
      </c>
      <c r="F100" s="24">
        <f>IFERROR(SUMPRODUCT((MONTH(Int_Repayments!H$4:H$1003)=1)*Int_Repayments!F$4:F$1003),0)</f>
        <v>0</v>
      </c>
      <c r="G100" s="59">
        <f t="shared" si="10"/>
        <v>0</v>
      </c>
      <c r="H100" s="24">
        <f>IFERROR(SUM(Int_Repayments!F$4:F$1003),0)</f>
        <v>0</v>
      </c>
      <c r="I100" s="59">
        <f t="shared" si="11"/>
        <v>0</v>
      </c>
    </row>
    <row r="101" spans="1:9" ht="15.75" customHeight="1" x14ac:dyDescent="0.25">
      <c r="A101" s="6">
        <f>IFERROR(Members!A102,"")</f>
        <v>0</v>
      </c>
      <c r="B101" s="4">
        <f>IFERROR(Members!B102,"")</f>
        <v>0</v>
      </c>
      <c r="C101" s="2" t="str">
        <f>IF(A101="","",IFERROR(Members!M102,0))</f>
        <v/>
      </c>
      <c r="D101" s="2">
        <f>IFERROR(SUM(Members!M$4:M$103),0)</f>
        <v>0</v>
      </c>
      <c r="E101" s="58" t="str">
        <f t="shared" si="9"/>
        <v/>
      </c>
      <c r="F101" s="24">
        <f>IFERROR(SUMPRODUCT((MONTH(Int_Repayments!H$4:H$1003)=1)*Int_Repayments!F$4:F$1003),0)</f>
        <v>0</v>
      </c>
      <c r="G101" s="59">
        <f t="shared" si="10"/>
        <v>0</v>
      </c>
      <c r="H101" s="24">
        <f>IFERROR(SUM(Int_Repayments!F$4:F$1003),0)</f>
        <v>0</v>
      </c>
      <c r="I101" s="59">
        <f t="shared" si="11"/>
        <v>0</v>
      </c>
    </row>
    <row r="102" spans="1:9" ht="15.75" customHeight="1" x14ac:dyDescent="0.25">
      <c r="A102" s="6">
        <f>IFERROR(Members!A103,"")</f>
        <v>0</v>
      </c>
      <c r="B102" s="4">
        <f>IFERROR(Members!B103,"")</f>
        <v>0</v>
      </c>
      <c r="C102" s="2" t="str">
        <f>IF(A102="","",IFERROR(Members!M103,0))</f>
        <v/>
      </c>
      <c r="D102" s="2">
        <f>IFERROR(SUM(Members!M$4:M$103),0)</f>
        <v>0</v>
      </c>
      <c r="E102" s="58" t="str">
        <f t="shared" si="9"/>
        <v/>
      </c>
      <c r="F102" s="24">
        <f>IFERROR(SUMPRODUCT((MONTH(Int_Repayments!H$4:H$1003)=1)*Int_Repayments!F$4:F$1003),0)</f>
        <v>0</v>
      </c>
      <c r="G102" s="59">
        <f t="shared" si="10"/>
        <v>0</v>
      </c>
      <c r="H102" s="24">
        <f>IFERROR(SUM(Int_Repayments!F$4:F$1003),0)</f>
        <v>0</v>
      </c>
      <c r="I102" s="59">
        <f t="shared" si="11"/>
        <v>0</v>
      </c>
    </row>
  </sheetData>
  <mergeCells count="1">
    <mergeCell ref="A1:P1"/>
  </mergeCells>
  <pageMargins left="0.75" right="0.75" top="1" bottom="1" header="0.511811023622047" footer="0.511811023622047"/>
  <pageSetup paperSize="9" orientation="portrait" horizontalDpi="3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J502"/>
  <sheetViews>
    <sheetView zoomScaleNormal="100" workbookViewId="0">
      <pane ySplit="2" topLeftCell="A3" activePane="bottomLeft" state="frozen"/>
      <selection pane="bottomLeft" sqref="A1:I1"/>
    </sheetView>
  </sheetViews>
  <sheetFormatPr defaultColWidth="8.7109375" defaultRowHeight="15" x14ac:dyDescent="0.25"/>
  <cols>
    <col min="1" max="2" width="14" customWidth="1"/>
    <col min="3" max="3" width="22" customWidth="1"/>
    <col min="4" max="4" width="13" customWidth="1"/>
    <col min="5" max="5" width="18" customWidth="1"/>
    <col min="6" max="7" width="16" customWidth="1"/>
    <col min="8" max="8" width="18" customWidth="1"/>
    <col min="9" max="9" width="12" customWidth="1"/>
    <col min="10" max="10" width="16" customWidth="1"/>
  </cols>
  <sheetData>
    <row r="1" spans="1:10" ht="31.5" customHeight="1" x14ac:dyDescent="0.25">
      <c r="A1" s="177" t="s">
        <v>441</v>
      </c>
      <c r="B1" s="162"/>
      <c r="C1" s="162"/>
      <c r="D1" s="162"/>
      <c r="E1" s="162"/>
      <c r="F1" s="162"/>
      <c r="G1" s="162"/>
      <c r="H1" s="162"/>
      <c r="I1" s="162"/>
    </row>
    <row r="2" spans="1:10" ht="24" customHeight="1" x14ac:dyDescent="0.25">
      <c r="A2" s="10" t="s">
        <v>442</v>
      </c>
      <c r="B2" s="10" t="s">
        <v>43</v>
      </c>
      <c r="C2" s="10" t="s">
        <v>260</v>
      </c>
      <c r="D2" s="10" t="s">
        <v>351</v>
      </c>
      <c r="E2" s="10" t="s">
        <v>443</v>
      </c>
      <c r="F2" s="10" t="s">
        <v>349</v>
      </c>
      <c r="G2" s="10" t="s">
        <v>444</v>
      </c>
      <c r="H2" s="10" t="s">
        <v>445</v>
      </c>
      <c r="I2" s="10" t="s">
        <v>147</v>
      </c>
      <c r="J2" s="10" t="s">
        <v>352</v>
      </c>
    </row>
    <row r="3" spans="1:10" ht="15.75" customHeight="1" x14ac:dyDescent="0.25">
      <c r="A3" s="11"/>
      <c r="B3" s="11"/>
      <c r="C3" s="11"/>
      <c r="D3" s="11"/>
      <c r="E3" s="11"/>
      <c r="F3" s="11"/>
      <c r="G3" s="11"/>
      <c r="H3" s="11"/>
      <c r="I3" s="7" t="str">
        <f t="shared" ref="I3:I66" si="0">IF(B3="","",TEXT(D3,"MMMM"))</f>
        <v/>
      </c>
      <c r="J3" s="11"/>
    </row>
    <row r="4" spans="1:10" ht="15.75" customHeight="1" x14ac:dyDescent="0.25">
      <c r="A4" s="11"/>
      <c r="B4" s="11"/>
      <c r="C4" s="11"/>
      <c r="D4" s="11"/>
      <c r="E4" s="11"/>
      <c r="F4" s="11"/>
      <c r="G4" s="11"/>
      <c r="H4" s="11"/>
      <c r="I4" s="7" t="str">
        <f t="shared" si="0"/>
        <v/>
      </c>
      <c r="J4" s="11"/>
    </row>
    <row r="5" spans="1:10" ht="15.75" customHeight="1" x14ac:dyDescent="0.25">
      <c r="A5" s="11"/>
      <c r="B5" s="11"/>
      <c r="C5" s="11"/>
      <c r="D5" s="11"/>
      <c r="E5" s="11"/>
      <c r="F5" s="11"/>
      <c r="G5" s="11"/>
      <c r="H5" s="11"/>
      <c r="I5" s="7" t="str">
        <f t="shared" si="0"/>
        <v/>
      </c>
      <c r="J5" s="11"/>
    </row>
    <row r="6" spans="1:10" ht="15.75" customHeight="1" x14ac:dyDescent="0.25">
      <c r="A6" s="11"/>
      <c r="B6" s="11"/>
      <c r="C6" s="11"/>
      <c r="D6" s="11"/>
      <c r="E6" s="11"/>
      <c r="F6" s="11"/>
      <c r="G6" s="11"/>
      <c r="H6" s="11"/>
      <c r="I6" s="7" t="str">
        <f t="shared" si="0"/>
        <v/>
      </c>
      <c r="J6" s="11"/>
    </row>
    <row r="7" spans="1:10" ht="15.75" customHeight="1" x14ac:dyDescent="0.25">
      <c r="A7" s="11"/>
      <c r="B7" s="11"/>
      <c r="C7" s="11"/>
      <c r="D7" s="11"/>
      <c r="E7" s="11"/>
      <c r="F7" s="11"/>
      <c r="G7" s="11"/>
      <c r="H7" s="11"/>
      <c r="I7" s="7" t="str">
        <f t="shared" si="0"/>
        <v/>
      </c>
      <c r="J7" s="11"/>
    </row>
    <row r="8" spans="1:10" ht="15.75" customHeight="1" x14ac:dyDescent="0.25">
      <c r="A8" s="11"/>
      <c r="B8" s="11"/>
      <c r="C8" s="11"/>
      <c r="D8" s="11"/>
      <c r="E8" s="11"/>
      <c r="F8" s="11"/>
      <c r="G8" s="11"/>
      <c r="H8" s="11"/>
      <c r="I8" s="7" t="str">
        <f t="shared" si="0"/>
        <v/>
      </c>
      <c r="J8" s="11"/>
    </row>
    <row r="9" spans="1:10" ht="15.75" customHeight="1" x14ac:dyDescent="0.25">
      <c r="A9" s="11"/>
      <c r="B9" s="11"/>
      <c r="C9" s="11"/>
      <c r="D9" s="11"/>
      <c r="E9" s="11"/>
      <c r="F9" s="11"/>
      <c r="G9" s="11"/>
      <c r="H9" s="11"/>
      <c r="I9" s="7" t="str">
        <f t="shared" si="0"/>
        <v/>
      </c>
      <c r="J9" s="11"/>
    </row>
    <row r="10" spans="1:10" ht="15.75" customHeight="1" x14ac:dyDescent="0.25">
      <c r="A10" s="11"/>
      <c r="B10" s="11"/>
      <c r="C10" s="11"/>
      <c r="D10" s="11"/>
      <c r="E10" s="11"/>
      <c r="F10" s="11"/>
      <c r="G10" s="11"/>
      <c r="H10" s="11"/>
      <c r="I10" s="7" t="str">
        <f t="shared" si="0"/>
        <v/>
      </c>
      <c r="J10" s="11"/>
    </row>
    <row r="11" spans="1:10" ht="15.75" customHeight="1" x14ac:dyDescent="0.25">
      <c r="A11" s="11"/>
      <c r="B11" s="11"/>
      <c r="C11" s="11"/>
      <c r="D11" s="11"/>
      <c r="E11" s="11"/>
      <c r="F11" s="11"/>
      <c r="G11" s="11"/>
      <c r="H11" s="11"/>
      <c r="I11" s="7" t="str">
        <f t="shared" si="0"/>
        <v/>
      </c>
      <c r="J11" s="11"/>
    </row>
    <row r="12" spans="1:10" ht="15.75" customHeight="1" x14ac:dyDescent="0.25">
      <c r="A12" s="11"/>
      <c r="B12" s="11"/>
      <c r="C12" s="11"/>
      <c r="D12" s="11"/>
      <c r="E12" s="11"/>
      <c r="F12" s="11"/>
      <c r="G12" s="11"/>
      <c r="H12" s="11"/>
      <c r="I12" s="7" t="str">
        <f t="shared" si="0"/>
        <v/>
      </c>
      <c r="J12" s="11"/>
    </row>
    <row r="13" spans="1:10" ht="15.75" customHeight="1" x14ac:dyDescent="0.25">
      <c r="A13" s="11"/>
      <c r="B13" s="11"/>
      <c r="C13" s="11"/>
      <c r="D13" s="11"/>
      <c r="E13" s="11"/>
      <c r="F13" s="11"/>
      <c r="G13" s="11"/>
      <c r="H13" s="11"/>
      <c r="I13" s="7" t="str">
        <f t="shared" si="0"/>
        <v/>
      </c>
      <c r="J13" s="11"/>
    </row>
    <row r="14" spans="1:10" ht="15.75" customHeight="1" x14ac:dyDescent="0.25">
      <c r="A14" s="11"/>
      <c r="B14" s="11"/>
      <c r="C14" s="11"/>
      <c r="D14" s="11"/>
      <c r="E14" s="11"/>
      <c r="F14" s="11"/>
      <c r="G14" s="11"/>
      <c r="H14" s="11"/>
      <c r="I14" s="7" t="str">
        <f t="shared" si="0"/>
        <v/>
      </c>
      <c r="J14" s="11"/>
    </row>
    <row r="15" spans="1:10" ht="15.75" customHeight="1" x14ac:dyDescent="0.25">
      <c r="A15" s="11"/>
      <c r="B15" s="11"/>
      <c r="C15" s="11"/>
      <c r="D15" s="11"/>
      <c r="E15" s="11"/>
      <c r="F15" s="11"/>
      <c r="G15" s="11"/>
      <c r="H15" s="11"/>
      <c r="I15" s="7" t="str">
        <f t="shared" si="0"/>
        <v/>
      </c>
      <c r="J15" s="11"/>
    </row>
    <row r="16" spans="1:10" ht="15.75" customHeight="1" x14ac:dyDescent="0.25">
      <c r="A16" s="11"/>
      <c r="B16" s="11"/>
      <c r="C16" s="11"/>
      <c r="D16" s="11"/>
      <c r="E16" s="11"/>
      <c r="F16" s="11"/>
      <c r="G16" s="11"/>
      <c r="H16" s="11"/>
      <c r="I16" s="7" t="str">
        <f t="shared" si="0"/>
        <v/>
      </c>
      <c r="J16" s="11"/>
    </row>
    <row r="17" spans="1:10" ht="15.75" customHeight="1" x14ac:dyDescent="0.25">
      <c r="A17" s="11"/>
      <c r="B17" s="11"/>
      <c r="C17" s="11"/>
      <c r="D17" s="11"/>
      <c r="E17" s="11"/>
      <c r="F17" s="11"/>
      <c r="G17" s="11"/>
      <c r="H17" s="11"/>
      <c r="I17" s="7" t="str">
        <f t="shared" si="0"/>
        <v/>
      </c>
      <c r="J17" s="11"/>
    </row>
    <row r="18" spans="1:10" ht="15.75" customHeight="1" x14ac:dyDescent="0.25">
      <c r="A18" s="11"/>
      <c r="B18" s="11"/>
      <c r="C18" s="11"/>
      <c r="D18" s="11"/>
      <c r="E18" s="11"/>
      <c r="F18" s="11"/>
      <c r="G18" s="11"/>
      <c r="H18" s="11"/>
      <c r="I18" s="7" t="str">
        <f t="shared" si="0"/>
        <v/>
      </c>
      <c r="J18" s="11"/>
    </row>
    <row r="19" spans="1:10" ht="15.75" customHeight="1" x14ac:dyDescent="0.25">
      <c r="A19" s="11"/>
      <c r="B19" s="11"/>
      <c r="C19" s="11"/>
      <c r="D19" s="11"/>
      <c r="E19" s="11"/>
      <c r="F19" s="11"/>
      <c r="G19" s="11"/>
      <c r="H19" s="11"/>
      <c r="I19" s="7" t="str">
        <f t="shared" si="0"/>
        <v/>
      </c>
      <c r="J19" s="11"/>
    </row>
    <row r="20" spans="1:10" ht="15.75" customHeight="1" x14ac:dyDescent="0.25">
      <c r="A20" s="11"/>
      <c r="B20" s="11"/>
      <c r="C20" s="11"/>
      <c r="D20" s="11"/>
      <c r="E20" s="11"/>
      <c r="F20" s="11"/>
      <c r="G20" s="11"/>
      <c r="H20" s="11"/>
      <c r="I20" s="7" t="str">
        <f t="shared" si="0"/>
        <v/>
      </c>
      <c r="J20" s="11"/>
    </row>
    <row r="21" spans="1:10" ht="15.75" customHeight="1" x14ac:dyDescent="0.25">
      <c r="A21" s="11"/>
      <c r="B21" s="11"/>
      <c r="C21" s="11"/>
      <c r="D21" s="11"/>
      <c r="E21" s="11"/>
      <c r="F21" s="11"/>
      <c r="G21" s="11"/>
      <c r="H21" s="11"/>
      <c r="I21" s="7" t="str">
        <f t="shared" si="0"/>
        <v/>
      </c>
      <c r="J21" s="11"/>
    </row>
    <row r="22" spans="1:10" ht="15.75" customHeight="1" x14ac:dyDescent="0.25">
      <c r="A22" s="11"/>
      <c r="B22" s="11"/>
      <c r="C22" s="11"/>
      <c r="D22" s="11"/>
      <c r="E22" s="11"/>
      <c r="F22" s="11"/>
      <c r="G22" s="11"/>
      <c r="H22" s="11"/>
      <c r="I22" s="7" t="str">
        <f t="shared" si="0"/>
        <v/>
      </c>
      <c r="J22" s="11"/>
    </row>
    <row r="23" spans="1:10" ht="15.75" customHeight="1" x14ac:dyDescent="0.25">
      <c r="A23" s="11"/>
      <c r="B23" s="11"/>
      <c r="C23" s="11"/>
      <c r="D23" s="11"/>
      <c r="E23" s="11"/>
      <c r="F23" s="11"/>
      <c r="G23" s="11"/>
      <c r="H23" s="11"/>
      <c r="I23" s="7" t="str">
        <f t="shared" si="0"/>
        <v/>
      </c>
      <c r="J23" s="11"/>
    </row>
    <row r="24" spans="1:10" ht="15.75" customHeight="1" x14ac:dyDescent="0.25">
      <c r="A24" s="11"/>
      <c r="B24" s="11"/>
      <c r="C24" s="11"/>
      <c r="D24" s="11"/>
      <c r="E24" s="11"/>
      <c r="F24" s="11"/>
      <c r="G24" s="11"/>
      <c r="H24" s="11"/>
      <c r="I24" s="7" t="str">
        <f t="shared" si="0"/>
        <v/>
      </c>
      <c r="J24" s="11"/>
    </row>
    <row r="25" spans="1:10" ht="15.75" customHeight="1" x14ac:dyDescent="0.25">
      <c r="A25" s="11"/>
      <c r="B25" s="11"/>
      <c r="C25" s="11"/>
      <c r="D25" s="11"/>
      <c r="E25" s="11"/>
      <c r="F25" s="11"/>
      <c r="G25" s="11"/>
      <c r="H25" s="11"/>
      <c r="I25" s="7" t="str">
        <f t="shared" si="0"/>
        <v/>
      </c>
      <c r="J25" s="11"/>
    </row>
    <row r="26" spans="1:10" ht="15.75" customHeight="1" x14ac:dyDescent="0.25">
      <c r="A26" s="11"/>
      <c r="B26" s="11"/>
      <c r="C26" s="11"/>
      <c r="D26" s="11"/>
      <c r="E26" s="11"/>
      <c r="F26" s="11"/>
      <c r="G26" s="11"/>
      <c r="H26" s="11"/>
      <c r="I26" s="7" t="str">
        <f t="shared" si="0"/>
        <v/>
      </c>
      <c r="J26" s="11"/>
    </row>
    <row r="27" spans="1:10" ht="15.75" customHeight="1" x14ac:dyDescent="0.25">
      <c r="A27" s="11"/>
      <c r="B27" s="11"/>
      <c r="C27" s="11"/>
      <c r="D27" s="11"/>
      <c r="E27" s="11"/>
      <c r="F27" s="11"/>
      <c r="G27" s="11"/>
      <c r="H27" s="11"/>
      <c r="I27" s="7" t="str">
        <f t="shared" si="0"/>
        <v/>
      </c>
      <c r="J27" s="11"/>
    </row>
    <row r="28" spans="1:10" ht="15.75" customHeight="1" x14ac:dyDescent="0.25">
      <c r="A28" s="11"/>
      <c r="B28" s="11"/>
      <c r="C28" s="11"/>
      <c r="D28" s="11"/>
      <c r="E28" s="11"/>
      <c r="F28" s="11"/>
      <c r="G28" s="11"/>
      <c r="H28" s="11"/>
      <c r="I28" s="7" t="str">
        <f t="shared" si="0"/>
        <v/>
      </c>
      <c r="J28" s="11"/>
    </row>
    <row r="29" spans="1:10" ht="15.75" customHeight="1" x14ac:dyDescent="0.25">
      <c r="A29" s="11"/>
      <c r="B29" s="11"/>
      <c r="C29" s="11"/>
      <c r="D29" s="11"/>
      <c r="E29" s="11"/>
      <c r="F29" s="11"/>
      <c r="G29" s="11"/>
      <c r="H29" s="11"/>
      <c r="I29" s="7" t="str">
        <f t="shared" si="0"/>
        <v/>
      </c>
      <c r="J29" s="11"/>
    </row>
    <row r="30" spans="1:10" ht="15.75" customHeight="1" x14ac:dyDescent="0.25">
      <c r="A30" s="11"/>
      <c r="B30" s="11"/>
      <c r="C30" s="11"/>
      <c r="D30" s="11"/>
      <c r="E30" s="11"/>
      <c r="F30" s="11"/>
      <c r="G30" s="11"/>
      <c r="H30" s="11"/>
      <c r="I30" s="7" t="str">
        <f t="shared" si="0"/>
        <v/>
      </c>
      <c r="J30" s="11"/>
    </row>
    <row r="31" spans="1:10" ht="15.75" customHeight="1" x14ac:dyDescent="0.25">
      <c r="A31" s="11"/>
      <c r="B31" s="11"/>
      <c r="C31" s="11"/>
      <c r="D31" s="11"/>
      <c r="E31" s="11"/>
      <c r="F31" s="11"/>
      <c r="G31" s="11"/>
      <c r="H31" s="11"/>
      <c r="I31" s="7" t="str">
        <f t="shared" si="0"/>
        <v/>
      </c>
      <c r="J31" s="11"/>
    </row>
    <row r="32" spans="1:10" ht="15.75" customHeight="1" x14ac:dyDescent="0.25">
      <c r="A32" s="11"/>
      <c r="B32" s="11"/>
      <c r="C32" s="11"/>
      <c r="D32" s="11"/>
      <c r="E32" s="11"/>
      <c r="F32" s="11"/>
      <c r="G32" s="11"/>
      <c r="H32" s="11"/>
      <c r="I32" s="7" t="str">
        <f t="shared" si="0"/>
        <v/>
      </c>
      <c r="J32" s="11"/>
    </row>
    <row r="33" spans="1:10" ht="15.75" customHeight="1" x14ac:dyDescent="0.25">
      <c r="A33" s="11"/>
      <c r="B33" s="11"/>
      <c r="C33" s="11"/>
      <c r="D33" s="11"/>
      <c r="E33" s="11"/>
      <c r="F33" s="11"/>
      <c r="G33" s="11"/>
      <c r="H33" s="11"/>
      <c r="I33" s="7" t="str">
        <f t="shared" si="0"/>
        <v/>
      </c>
      <c r="J33" s="11"/>
    </row>
    <row r="34" spans="1:10" ht="15.75" customHeight="1" x14ac:dyDescent="0.25">
      <c r="A34" s="11"/>
      <c r="B34" s="11"/>
      <c r="C34" s="11"/>
      <c r="D34" s="11"/>
      <c r="E34" s="11"/>
      <c r="F34" s="11"/>
      <c r="G34" s="11"/>
      <c r="H34" s="11"/>
      <c r="I34" s="7" t="str">
        <f t="shared" si="0"/>
        <v/>
      </c>
      <c r="J34" s="11"/>
    </row>
    <row r="35" spans="1:10" ht="15.75" customHeight="1" x14ac:dyDescent="0.25">
      <c r="A35" s="11"/>
      <c r="B35" s="11"/>
      <c r="C35" s="11"/>
      <c r="D35" s="11"/>
      <c r="E35" s="11"/>
      <c r="F35" s="11"/>
      <c r="G35" s="11"/>
      <c r="H35" s="11"/>
      <c r="I35" s="7" t="str">
        <f t="shared" si="0"/>
        <v/>
      </c>
      <c r="J35" s="11"/>
    </row>
    <row r="36" spans="1:10" ht="15.75" customHeight="1" x14ac:dyDescent="0.25">
      <c r="A36" s="11"/>
      <c r="B36" s="11"/>
      <c r="C36" s="11"/>
      <c r="D36" s="11"/>
      <c r="E36" s="11"/>
      <c r="F36" s="11"/>
      <c r="G36" s="11"/>
      <c r="H36" s="11"/>
      <c r="I36" s="7" t="str">
        <f t="shared" si="0"/>
        <v/>
      </c>
      <c r="J36" s="11"/>
    </row>
    <row r="37" spans="1:10" ht="15.75" customHeight="1" x14ac:dyDescent="0.25">
      <c r="A37" s="11"/>
      <c r="B37" s="11"/>
      <c r="C37" s="11"/>
      <c r="D37" s="11"/>
      <c r="E37" s="11"/>
      <c r="F37" s="11"/>
      <c r="G37" s="11"/>
      <c r="H37" s="11"/>
      <c r="I37" s="7" t="str">
        <f t="shared" si="0"/>
        <v/>
      </c>
      <c r="J37" s="11"/>
    </row>
    <row r="38" spans="1:10" ht="15.75" customHeight="1" x14ac:dyDescent="0.25">
      <c r="A38" s="11"/>
      <c r="B38" s="11"/>
      <c r="C38" s="11"/>
      <c r="D38" s="11"/>
      <c r="E38" s="11"/>
      <c r="F38" s="11"/>
      <c r="G38" s="11"/>
      <c r="H38" s="11"/>
      <c r="I38" s="7" t="str">
        <f t="shared" si="0"/>
        <v/>
      </c>
      <c r="J38" s="11"/>
    </row>
    <row r="39" spans="1:10" ht="15.75" customHeight="1" x14ac:dyDescent="0.25">
      <c r="A39" s="11"/>
      <c r="B39" s="11"/>
      <c r="C39" s="11"/>
      <c r="D39" s="11"/>
      <c r="E39" s="11"/>
      <c r="F39" s="11"/>
      <c r="G39" s="11"/>
      <c r="H39" s="11"/>
      <c r="I39" s="7" t="str">
        <f t="shared" si="0"/>
        <v/>
      </c>
      <c r="J39" s="11"/>
    </row>
    <row r="40" spans="1:10" ht="15.75" customHeight="1" x14ac:dyDescent="0.25">
      <c r="A40" s="11"/>
      <c r="B40" s="11"/>
      <c r="C40" s="11"/>
      <c r="D40" s="11"/>
      <c r="E40" s="11"/>
      <c r="F40" s="11"/>
      <c r="G40" s="11"/>
      <c r="H40" s="11"/>
      <c r="I40" s="7" t="str">
        <f t="shared" si="0"/>
        <v/>
      </c>
      <c r="J40" s="11"/>
    </row>
    <row r="41" spans="1:10" ht="15.75" customHeight="1" x14ac:dyDescent="0.25">
      <c r="A41" s="11"/>
      <c r="B41" s="11"/>
      <c r="C41" s="11"/>
      <c r="D41" s="11"/>
      <c r="E41" s="11"/>
      <c r="F41" s="11"/>
      <c r="G41" s="11"/>
      <c r="H41" s="11"/>
      <c r="I41" s="7" t="str">
        <f t="shared" si="0"/>
        <v/>
      </c>
      <c r="J41" s="11"/>
    </row>
    <row r="42" spans="1:10" ht="15.75" customHeight="1" x14ac:dyDescent="0.25">
      <c r="A42" s="11"/>
      <c r="B42" s="11"/>
      <c r="C42" s="11"/>
      <c r="D42" s="11"/>
      <c r="E42" s="11"/>
      <c r="F42" s="11"/>
      <c r="G42" s="11"/>
      <c r="H42" s="11"/>
      <c r="I42" s="7" t="str">
        <f t="shared" si="0"/>
        <v/>
      </c>
      <c r="J42" s="11"/>
    </row>
    <row r="43" spans="1:10" ht="15.75" customHeight="1" x14ac:dyDescent="0.25">
      <c r="A43" s="11"/>
      <c r="B43" s="11"/>
      <c r="C43" s="11"/>
      <c r="D43" s="11"/>
      <c r="E43" s="11"/>
      <c r="F43" s="11"/>
      <c r="G43" s="11"/>
      <c r="H43" s="11"/>
      <c r="I43" s="7" t="str">
        <f t="shared" si="0"/>
        <v/>
      </c>
      <c r="J43" s="11"/>
    </row>
    <row r="44" spans="1:10" ht="15.75" customHeight="1" x14ac:dyDescent="0.25">
      <c r="A44" s="11"/>
      <c r="B44" s="11"/>
      <c r="C44" s="11"/>
      <c r="D44" s="11"/>
      <c r="E44" s="11"/>
      <c r="F44" s="11"/>
      <c r="G44" s="11"/>
      <c r="H44" s="11"/>
      <c r="I44" s="7" t="str">
        <f t="shared" si="0"/>
        <v/>
      </c>
      <c r="J44" s="11"/>
    </row>
    <row r="45" spans="1:10" ht="15.75" customHeight="1" x14ac:dyDescent="0.25">
      <c r="A45" s="11"/>
      <c r="B45" s="11"/>
      <c r="C45" s="11"/>
      <c r="D45" s="11"/>
      <c r="E45" s="11"/>
      <c r="F45" s="11"/>
      <c r="G45" s="11"/>
      <c r="H45" s="11"/>
      <c r="I45" s="7" t="str">
        <f t="shared" si="0"/>
        <v/>
      </c>
      <c r="J45" s="11"/>
    </row>
    <row r="46" spans="1:10" ht="15.75" customHeight="1" x14ac:dyDescent="0.25">
      <c r="A46" s="11"/>
      <c r="B46" s="11"/>
      <c r="C46" s="11"/>
      <c r="D46" s="11"/>
      <c r="E46" s="11"/>
      <c r="F46" s="11"/>
      <c r="G46" s="11"/>
      <c r="H46" s="11"/>
      <c r="I46" s="7" t="str">
        <f t="shared" si="0"/>
        <v/>
      </c>
      <c r="J46" s="11"/>
    </row>
    <row r="47" spans="1:10" ht="15.75" customHeight="1" x14ac:dyDescent="0.25">
      <c r="A47" s="11"/>
      <c r="B47" s="11"/>
      <c r="C47" s="11"/>
      <c r="D47" s="11"/>
      <c r="E47" s="11"/>
      <c r="F47" s="11"/>
      <c r="G47" s="11"/>
      <c r="H47" s="11"/>
      <c r="I47" s="7" t="str">
        <f t="shared" si="0"/>
        <v/>
      </c>
      <c r="J47" s="11"/>
    </row>
    <row r="48" spans="1:10" ht="15.75" customHeight="1" x14ac:dyDescent="0.25">
      <c r="A48" s="11"/>
      <c r="B48" s="11"/>
      <c r="C48" s="11"/>
      <c r="D48" s="11"/>
      <c r="E48" s="11"/>
      <c r="F48" s="11"/>
      <c r="G48" s="11"/>
      <c r="H48" s="11"/>
      <c r="I48" s="7" t="str">
        <f t="shared" si="0"/>
        <v/>
      </c>
      <c r="J48" s="11"/>
    </row>
    <row r="49" spans="1:10" ht="15.75" customHeight="1" x14ac:dyDescent="0.25">
      <c r="A49" s="11"/>
      <c r="B49" s="11"/>
      <c r="C49" s="11"/>
      <c r="D49" s="11"/>
      <c r="E49" s="11"/>
      <c r="F49" s="11"/>
      <c r="G49" s="11"/>
      <c r="H49" s="11"/>
      <c r="I49" s="7" t="str">
        <f t="shared" si="0"/>
        <v/>
      </c>
      <c r="J49" s="11"/>
    </row>
    <row r="50" spans="1:10" ht="15.75" customHeight="1" x14ac:dyDescent="0.25">
      <c r="A50" s="11"/>
      <c r="B50" s="11"/>
      <c r="C50" s="11"/>
      <c r="D50" s="11"/>
      <c r="E50" s="11"/>
      <c r="F50" s="11"/>
      <c r="G50" s="11"/>
      <c r="H50" s="11"/>
      <c r="I50" s="7" t="str">
        <f t="shared" si="0"/>
        <v/>
      </c>
      <c r="J50" s="11"/>
    </row>
    <row r="51" spans="1:10" ht="15.75" customHeight="1" x14ac:dyDescent="0.25">
      <c r="A51" s="11"/>
      <c r="B51" s="11"/>
      <c r="C51" s="11"/>
      <c r="D51" s="11"/>
      <c r="E51" s="11"/>
      <c r="F51" s="11"/>
      <c r="G51" s="11"/>
      <c r="H51" s="11"/>
      <c r="I51" s="7" t="str">
        <f t="shared" si="0"/>
        <v/>
      </c>
      <c r="J51" s="11"/>
    </row>
    <row r="52" spans="1:10" ht="15.75" customHeight="1" x14ac:dyDescent="0.25">
      <c r="A52" s="11"/>
      <c r="B52" s="11"/>
      <c r="C52" s="11"/>
      <c r="D52" s="11"/>
      <c r="E52" s="11"/>
      <c r="F52" s="11"/>
      <c r="G52" s="11"/>
      <c r="H52" s="11"/>
      <c r="I52" s="7" t="str">
        <f t="shared" si="0"/>
        <v/>
      </c>
      <c r="J52" s="11"/>
    </row>
    <row r="53" spans="1:10" ht="15.75" customHeight="1" x14ac:dyDescent="0.25">
      <c r="A53" s="11"/>
      <c r="B53" s="11"/>
      <c r="C53" s="11"/>
      <c r="D53" s="11"/>
      <c r="E53" s="11"/>
      <c r="F53" s="11"/>
      <c r="G53" s="11"/>
      <c r="H53" s="11"/>
      <c r="I53" s="7" t="str">
        <f t="shared" si="0"/>
        <v/>
      </c>
      <c r="J53" s="11"/>
    </row>
    <row r="54" spans="1:10" ht="15.75" customHeight="1" x14ac:dyDescent="0.25">
      <c r="A54" s="11"/>
      <c r="B54" s="11"/>
      <c r="C54" s="11"/>
      <c r="D54" s="11"/>
      <c r="E54" s="11"/>
      <c r="F54" s="11"/>
      <c r="G54" s="11"/>
      <c r="H54" s="11"/>
      <c r="I54" s="7" t="str">
        <f t="shared" si="0"/>
        <v/>
      </c>
      <c r="J54" s="11"/>
    </row>
    <row r="55" spans="1:10" ht="15.75" customHeight="1" x14ac:dyDescent="0.25">
      <c r="A55" s="11"/>
      <c r="B55" s="11"/>
      <c r="C55" s="11"/>
      <c r="D55" s="11"/>
      <c r="E55" s="11"/>
      <c r="F55" s="11"/>
      <c r="G55" s="11"/>
      <c r="H55" s="11"/>
      <c r="I55" s="7" t="str">
        <f t="shared" si="0"/>
        <v/>
      </c>
      <c r="J55" s="11"/>
    </row>
    <row r="56" spans="1:10" ht="15.75" customHeight="1" x14ac:dyDescent="0.25">
      <c r="A56" s="11"/>
      <c r="B56" s="11"/>
      <c r="C56" s="11"/>
      <c r="D56" s="11"/>
      <c r="E56" s="11"/>
      <c r="F56" s="11"/>
      <c r="G56" s="11"/>
      <c r="H56" s="11"/>
      <c r="I56" s="7" t="str">
        <f t="shared" si="0"/>
        <v/>
      </c>
      <c r="J56" s="11"/>
    </row>
    <row r="57" spans="1:10" ht="15.75" customHeight="1" x14ac:dyDescent="0.25">
      <c r="A57" s="11"/>
      <c r="B57" s="11"/>
      <c r="C57" s="11"/>
      <c r="D57" s="11"/>
      <c r="E57" s="11"/>
      <c r="F57" s="11"/>
      <c r="G57" s="11"/>
      <c r="H57" s="11"/>
      <c r="I57" s="7" t="str">
        <f t="shared" si="0"/>
        <v/>
      </c>
      <c r="J57" s="11"/>
    </row>
    <row r="58" spans="1:10" ht="15.75" customHeight="1" x14ac:dyDescent="0.25">
      <c r="A58" s="11"/>
      <c r="B58" s="11"/>
      <c r="C58" s="11"/>
      <c r="D58" s="11"/>
      <c r="E58" s="11"/>
      <c r="F58" s="11"/>
      <c r="G58" s="11"/>
      <c r="H58" s="11"/>
      <c r="I58" s="7" t="str">
        <f t="shared" si="0"/>
        <v/>
      </c>
      <c r="J58" s="11"/>
    </row>
    <row r="59" spans="1:10" ht="15.75" customHeight="1" x14ac:dyDescent="0.25">
      <c r="A59" s="11"/>
      <c r="B59" s="11"/>
      <c r="C59" s="11"/>
      <c r="D59" s="11"/>
      <c r="E59" s="11"/>
      <c r="F59" s="11"/>
      <c r="G59" s="11"/>
      <c r="H59" s="11"/>
      <c r="I59" s="7" t="str">
        <f t="shared" si="0"/>
        <v/>
      </c>
      <c r="J59" s="11"/>
    </row>
    <row r="60" spans="1:10" ht="15.75" customHeight="1" x14ac:dyDescent="0.25">
      <c r="A60" s="11"/>
      <c r="B60" s="11"/>
      <c r="C60" s="11"/>
      <c r="D60" s="11"/>
      <c r="E60" s="11"/>
      <c r="F60" s="11"/>
      <c r="G60" s="11"/>
      <c r="H60" s="11"/>
      <c r="I60" s="7" t="str">
        <f t="shared" si="0"/>
        <v/>
      </c>
      <c r="J60" s="11"/>
    </row>
    <row r="61" spans="1:10" ht="15.75" customHeight="1" x14ac:dyDescent="0.25">
      <c r="A61" s="11"/>
      <c r="B61" s="11"/>
      <c r="C61" s="11"/>
      <c r="D61" s="11"/>
      <c r="E61" s="11"/>
      <c r="F61" s="11"/>
      <c r="G61" s="11"/>
      <c r="H61" s="11"/>
      <c r="I61" s="7" t="str">
        <f t="shared" si="0"/>
        <v/>
      </c>
      <c r="J61" s="11"/>
    </row>
    <row r="62" spans="1:10" ht="15.75" customHeight="1" x14ac:dyDescent="0.25">
      <c r="A62" s="11"/>
      <c r="B62" s="11"/>
      <c r="C62" s="11"/>
      <c r="D62" s="11"/>
      <c r="E62" s="11"/>
      <c r="F62" s="11"/>
      <c r="G62" s="11"/>
      <c r="H62" s="11"/>
      <c r="I62" s="7" t="str">
        <f t="shared" si="0"/>
        <v/>
      </c>
      <c r="J62" s="11"/>
    </row>
    <row r="63" spans="1:10" ht="15.75" customHeight="1" x14ac:dyDescent="0.25">
      <c r="A63" s="11"/>
      <c r="B63" s="11"/>
      <c r="C63" s="11"/>
      <c r="D63" s="11"/>
      <c r="E63" s="11"/>
      <c r="F63" s="11"/>
      <c r="G63" s="11"/>
      <c r="H63" s="11"/>
      <c r="I63" s="7" t="str">
        <f t="shared" si="0"/>
        <v/>
      </c>
      <c r="J63" s="11"/>
    </row>
    <row r="64" spans="1:10" ht="15.75" customHeight="1" x14ac:dyDescent="0.25">
      <c r="A64" s="11"/>
      <c r="B64" s="11"/>
      <c r="C64" s="11"/>
      <c r="D64" s="11"/>
      <c r="E64" s="11"/>
      <c r="F64" s="11"/>
      <c r="G64" s="11"/>
      <c r="H64" s="11"/>
      <c r="I64" s="7" t="str">
        <f t="shared" si="0"/>
        <v/>
      </c>
      <c r="J64" s="11"/>
    </row>
    <row r="65" spans="1:10" ht="15.75" customHeight="1" x14ac:dyDescent="0.25">
      <c r="A65" s="11"/>
      <c r="B65" s="11"/>
      <c r="C65" s="11"/>
      <c r="D65" s="11"/>
      <c r="E65" s="11"/>
      <c r="F65" s="11"/>
      <c r="G65" s="11"/>
      <c r="H65" s="11"/>
      <c r="I65" s="7" t="str">
        <f t="shared" si="0"/>
        <v/>
      </c>
      <c r="J65" s="11"/>
    </row>
    <row r="66" spans="1:10" ht="15.75" customHeight="1" x14ac:dyDescent="0.25">
      <c r="A66" s="11"/>
      <c r="B66" s="11"/>
      <c r="C66" s="11"/>
      <c r="D66" s="11"/>
      <c r="E66" s="11"/>
      <c r="F66" s="11"/>
      <c r="G66" s="11"/>
      <c r="H66" s="11"/>
      <c r="I66" s="7" t="str">
        <f t="shared" si="0"/>
        <v/>
      </c>
      <c r="J66" s="11"/>
    </row>
    <row r="67" spans="1:10" ht="15.75" customHeight="1" x14ac:dyDescent="0.25">
      <c r="A67" s="11"/>
      <c r="B67" s="11"/>
      <c r="C67" s="11"/>
      <c r="D67" s="11"/>
      <c r="E67" s="11"/>
      <c r="F67" s="11"/>
      <c r="G67" s="11"/>
      <c r="H67" s="11"/>
      <c r="I67" s="7" t="str">
        <f t="shared" ref="I67:I130" si="1">IF(B67="","",TEXT(D67,"MMMM"))</f>
        <v/>
      </c>
      <c r="J67" s="11"/>
    </row>
    <row r="68" spans="1:10" ht="15.75" customHeight="1" x14ac:dyDescent="0.25">
      <c r="A68" s="11"/>
      <c r="B68" s="11"/>
      <c r="C68" s="11"/>
      <c r="D68" s="11"/>
      <c r="E68" s="11"/>
      <c r="F68" s="11"/>
      <c r="G68" s="11"/>
      <c r="H68" s="11"/>
      <c r="I68" s="7" t="str">
        <f t="shared" si="1"/>
        <v/>
      </c>
      <c r="J68" s="11"/>
    </row>
    <row r="69" spans="1:10" ht="15.75" customHeight="1" x14ac:dyDescent="0.25">
      <c r="A69" s="11"/>
      <c r="B69" s="11"/>
      <c r="C69" s="11"/>
      <c r="D69" s="11"/>
      <c r="E69" s="11"/>
      <c r="F69" s="11"/>
      <c r="G69" s="11"/>
      <c r="H69" s="11"/>
      <c r="I69" s="7" t="str">
        <f t="shared" si="1"/>
        <v/>
      </c>
      <c r="J69" s="11"/>
    </row>
    <row r="70" spans="1:10" ht="15.75" customHeight="1" x14ac:dyDescent="0.25">
      <c r="A70" s="11"/>
      <c r="B70" s="11"/>
      <c r="C70" s="11"/>
      <c r="D70" s="11"/>
      <c r="E70" s="11"/>
      <c r="F70" s="11"/>
      <c r="G70" s="11"/>
      <c r="H70" s="11"/>
      <c r="I70" s="7" t="str">
        <f t="shared" si="1"/>
        <v/>
      </c>
      <c r="J70" s="11"/>
    </row>
    <row r="71" spans="1:10" ht="15.75" customHeight="1" x14ac:dyDescent="0.25">
      <c r="A71" s="11"/>
      <c r="B71" s="11"/>
      <c r="C71" s="11"/>
      <c r="D71" s="11"/>
      <c r="E71" s="11"/>
      <c r="F71" s="11"/>
      <c r="G71" s="11"/>
      <c r="H71" s="11"/>
      <c r="I71" s="7" t="str">
        <f t="shared" si="1"/>
        <v/>
      </c>
      <c r="J71" s="11"/>
    </row>
    <row r="72" spans="1:10" ht="15.75" customHeight="1" x14ac:dyDescent="0.25">
      <c r="A72" s="11"/>
      <c r="B72" s="11"/>
      <c r="C72" s="11"/>
      <c r="D72" s="11"/>
      <c r="E72" s="11"/>
      <c r="F72" s="11"/>
      <c r="G72" s="11"/>
      <c r="H72" s="11"/>
      <c r="I72" s="7" t="str">
        <f t="shared" si="1"/>
        <v/>
      </c>
      <c r="J72" s="11"/>
    </row>
    <row r="73" spans="1:10" ht="15.75" customHeight="1" x14ac:dyDescent="0.25">
      <c r="A73" s="11"/>
      <c r="B73" s="11"/>
      <c r="C73" s="11"/>
      <c r="D73" s="11"/>
      <c r="E73" s="11"/>
      <c r="F73" s="11"/>
      <c r="G73" s="11"/>
      <c r="H73" s="11"/>
      <c r="I73" s="7" t="str">
        <f t="shared" si="1"/>
        <v/>
      </c>
      <c r="J73" s="11"/>
    </row>
    <row r="74" spans="1:10" ht="15.75" customHeight="1" x14ac:dyDescent="0.25">
      <c r="A74" s="11"/>
      <c r="B74" s="11"/>
      <c r="C74" s="11"/>
      <c r="D74" s="11"/>
      <c r="E74" s="11"/>
      <c r="F74" s="11"/>
      <c r="G74" s="11"/>
      <c r="H74" s="11"/>
      <c r="I74" s="7" t="str">
        <f t="shared" si="1"/>
        <v/>
      </c>
      <c r="J74" s="11"/>
    </row>
    <row r="75" spans="1:10" ht="15.75" customHeight="1" x14ac:dyDescent="0.25">
      <c r="A75" s="11"/>
      <c r="B75" s="11"/>
      <c r="C75" s="11"/>
      <c r="D75" s="11"/>
      <c r="E75" s="11"/>
      <c r="F75" s="11"/>
      <c r="G75" s="11"/>
      <c r="H75" s="11"/>
      <c r="I75" s="7" t="str">
        <f t="shared" si="1"/>
        <v/>
      </c>
      <c r="J75" s="11"/>
    </row>
    <row r="76" spans="1:10" ht="15.75" customHeight="1" x14ac:dyDescent="0.25">
      <c r="A76" s="11"/>
      <c r="B76" s="11"/>
      <c r="C76" s="11"/>
      <c r="D76" s="11"/>
      <c r="E76" s="11"/>
      <c r="F76" s="11"/>
      <c r="G76" s="11"/>
      <c r="H76" s="11"/>
      <c r="I76" s="7" t="str">
        <f t="shared" si="1"/>
        <v/>
      </c>
      <c r="J76" s="11"/>
    </row>
    <row r="77" spans="1:10" ht="15.75" customHeight="1" x14ac:dyDescent="0.25">
      <c r="A77" s="11"/>
      <c r="B77" s="11"/>
      <c r="C77" s="11"/>
      <c r="D77" s="11"/>
      <c r="E77" s="11"/>
      <c r="F77" s="11"/>
      <c r="G77" s="11"/>
      <c r="H77" s="11"/>
      <c r="I77" s="7" t="str">
        <f t="shared" si="1"/>
        <v/>
      </c>
      <c r="J77" s="11"/>
    </row>
    <row r="78" spans="1:10" ht="15.75" customHeight="1" x14ac:dyDescent="0.25">
      <c r="A78" s="11"/>
      <c r="B78" s="11"/>
      <c r="C78" s="11"/>
      <c r="D78" s="11"/>
      <c r="E78" s="11"/>
      <c r="F78" s="11"/>
      <c r="G78" s="11"/>
      <c r="H78" s="11"/>
      <c r="I78" s="7" t="str">
        <f t="shared" si="1"/>
        <v/>
      </c>
      <c r="J78" s="11"/>
    </row>
    <row r="79" spans="1:10" ht="15.75" customHeight="1" x14ac:dyDescent="0.25">
      <c r="A79" s="11"/>
      <c r="B79" s="11"/>
      <c r="C79" s="11"/>
      <c r="D79" s="11"/>
      <c r="E79" s="11"/>
      <c r="F79" s="11"/>
      <c r="G79" s="11"/>
      <c r="H79" s="11"/>
      <c r="I79" s="7" t="str">
        <f t="shared" si="1"/>
        <v/>
      </c>
      <c r="J79" s="11"/>
    </row>
    <row r="80" spans="1:10" ht="15.75" customHeight="1" x14ac:dyDescent="0.25">
      <c r="A80" s="11"/>
      <c r="B80" s="11"/>
      <c r="C80" s="11"/>
      <c r="D80" s="11"/>
      <c r="E80" s="11"/>
      <c r="F80" s="11"/>
      <c r="G80" s="11"/>
      <c r="H80" s="11"/>
      <c r="I80" s="7" t="str">
        <f t="shared" si="1"/>
        <v/>
      </c>
      <c r="J80" s="11"/>
    </row>
    <row r="81" spans="1:10" ht="15.75" customHeight="1" x14ac:dyDescent="0.25">
      <c r="A81" s="11"/>
      <c r="B81" s="11"/>
      <c r="C81" s="11"/>
      <c r="D81" s="11"/>
      <c r="E81" s="11"/>
      <c r="F81" s="11"/>
      <c r="G81" s="11"/>
      <c r="H81" s="11"/>
      <c r="I81" s="7" t="str">
        <f t="shared" si="1"/>
        <v/>
      </c>
      <c r="J81" s="11"/>
    </row>
    <row r="82" spans="1:10" ht="15.75" customHeight="1" x14ac:dyDescent="0.25">
      <c r="A82" s="11"/>
      <c r="B82" s="11"/>
      <c r="C82" s="11"/>
      <c r="D82" s="11"/>
      <c r="E82" s="11"/>
      <c r="F82" s="11"/>
      <c r="G82" s="11"/>
      <c r="H82" s="11"/>
      <c r="I82" s="7" t="str">
        <f t="shared" si="1"/>
        <v/>
      </c>
      <c r="J82" s="11"/>
    </row>
    <row r="83" spans="1:10" ht="15.75" customHeight="1" x14ac:dyDescent="0.25">
      <c r="A83" s="11"/>
      <c r="B83" s="11"/>
      <c r="C83" s="11"/>
      <c r="D83" s="11"/>
      <c r="E83" s="11"/>
      <c r="F83" s="11"/>
      <c r="G83" s="11"/>
      <c r="H83" s="11"/>
      <c r="I83" s="7" t="str">
        <f t="shared" si="1"/>
        <v/>
      </c>
      <c r="J83" s="11"/>
    </row>
    <row r="84" spans="1:10" ht="15.75" customHeight="1" x14ac:dyDescent="0.25">
      <c r="A84" s="11"/>
      <c r="B84" s="11"/>
      <c r="C84" s="11"/>
      <c r="D84" s="11"/>
      <c r="E84" s="11"/>
      <c r="F84" s="11"/>
      <c r="G84" s="11"/>
      <c r="H84" s="11"/>
      <c r="I84" s="7" t="str">
        <f t="shared" si="1"/>
        <v/>
      </c>
      <c r="J84" s="11"/>
    </row>
    <row r="85" spans="1:10" ht="15.75" customHeight="1" x14ac:dyDescent="0.25">
      <c r="A85" s="11"/>
      <c r="B85" s="11"/>
      <c r="C85" s="11"/>
      <c r="D85" s="11"/>
      <c r="E85" s="11"/>
      <c r="F85" s="11"/>
      <c r="G85" s="11"/>
      <c r="H85" s="11"/>
      <c r="I85" s="7" t="str">
        <f t="shared" si="1"/>
        <v/>
      </c>
      <c r="J85" s="11"/>
    </row>
    <row r="86" spans="1:10" ht="15.75" customHeight="1" x14ac:dyDescent="0.25">
      <c r="A86" s="11"/>
      <c r="B86" s="11"/>
      <c r="C86" s="11"/>
      <c r="D86" s="11"/>
      <c r="E86" s="11"/>
      <c r="F86" s="11"/>
      <c r="G86" s="11"/>
      <c r="H86" s="11"/>
      <c r="I86" s="7" t="str">
        <f t="shared" si="1"/>
        <v/>
      </c>
      <c r="J86" s="11"/>
    </row>
    <row r="87" spans="1:10" ht="15.75" customHeight="1" x14ac:dyDescent="0.25">
      <c r="A87" s="11"/>
      <c r="B87" s="11"/>
      <c r="C87" s="11"/>
      <c r="D87" s="11"/>
      <c r="E87" s="11"/>
      <c r="F87" s="11"/>
      <c r="G87" s="11"/>
      <c r="H87" s="11"/>
      <c r="I87" s="7" t="str">
        <f t="shared" si="1"/>
        <v/>
      </c>
      <c r="J87" s="11"/>
    </row>
    <row r="88" spans="1:10" ht="15.75" customHeight="1" x14ac:dyDescent="0.25">
      <c r="A88" s="11"/>
      <c r="B88" s="11"/>
      <c r="C88" s="11"/>
      <c r="D88" s="11"/>
      <c r="E88" s="11"/>
      <c r="F88" s="11"/>
      <c r="G88" s="11"/>
      <c r="H88" s="11"/>
      <c r="I88" s="7" t="str">
        <f t="shared" si="1"/>
        <v/>
      </c>
      <c r="J88" s="11"/>
    </row>
    <row r="89" spans="1:10" ht="15.75" customHeight="1" x14ac:dyDescent="0.25">
      <c r="A89" s="11"/>
      <c r="B89" s="11"/>
      <c r="C89" s="11"/>
      <c r="D89" s="11"/>
      <c r="E89" s="11"/>
      <c r="F89" s="11"/>
      <c r="G89" s="11"/>
      <c r="H89" s="11"/>
      <c r="I89" s="7" t="str">
        <f t="shared" si="1"/>
        <v/>
      </c>
      <c r="J89" s="11"/>
    </row>
    <row r="90" spans="1:10" ht="15.75" customHeight="1" x14ac:dyDescent="0.25">
      <c r="A90" s="11"/>
      <c r="B90" s="11"/>
      <c r="C90" s="11"/>
      <c r="D90" s="11"/>
      <c r="E90" s="11"/>
      <c r="F90" s="11"/>
      <c r="G90" s="11"/>
      <c r="H90" s="11"/>
      <c r="I90" s="7" t="str">
        <f t="shared" si="1"/>
        <v/>
      </c>
      <c r="J90" s="11"/>
    </row>
    <row r="91" spans="1:10" ht="15.75" customHeight="1" x14ac:dyDescent="0.25">
      <c r="A91" s="11"/>
      <c r="B91" s="11"/>
      <c r="C91" s="11"/>
      <c r="D91" s="11"/>
      <c r="E91" s="11"/>
      <c r="F91" s="11"/>
      <c r="G91" s="11"/>
      <c r="H91" s="11"/>
      <c r="I91" s="7" t="str">
        <f t="shared" si="1"/>
        <v/>
      </c>
      <c r="J91" s="11"/>
    </row>
    <row r="92" spans="1:10" ht="15.75" customHeight="1" x14ac:dyDescent="0.25">
      <c r="A92" s="11"/>
      <c r="B92" s="11"/>
      <c r="C92" s="11"/>
      <c r="D92" s="11"/>
      <c r="E92" s="11"/>
      <c r="F92" s="11"/>
      <c r="G92" s="11"/>
      <c r="H92" s="11"/>
      <c r="I92" s="7" t="str">
        <f t="shared" si="1"/>
        <v/>
      </c>
      <c r="J92" s="11"/>
    </row>
    <row r="93" spans="1:10" ht="15.75" customHeight="1" x14ac:dyDescent="0.25">
      <c r="A93" s="11"/>
      <c r="B93" s="11"/>
      <c r="C93" s="11"/>
      <c r="D93" s="11"/>
      <c r="E93" s="11"/>
      <c r="F93" s="11"/>
      <c r="G93" s="11"/>
      <c r="H93" s="11"/>
      <c r="I93" s="7" t="str">
        <f t="shared" si="1"/>
        <v/>
      </c>
      <c r="J93" s="11"/>
    </row>
    <row r="94" spans="1:10" ht="15.75" customHeight="1" x14ac:dyDescent="0.25">
      <c r="A94" s="11"/>
      <c r="B94" s="11"/>
      <c r="C94" s="11"/>
      <c r="D94" s="11"/>
      <c r="E94" s="11"/>
      <c r="F94" s="11"/>
      <c r="G94" s="11"/>
      <c r="H94" s="11"/>
      <c r="I94" s="7" t="str">
        <f t="shared" si="1"/>
        <v/>
      </c>
      <c r="J94" s="11"/>
    </row>
    <row r="95" spans="1:10" ht="15.75" customHeight="1" x14ac:dyDescent="0.25">
      <c r="A95" s="11"/>
      <c r="B95" s="11"/>
      <c r="C95" s="11"/>
      <c r="D95" s="11"/>
      <c r="E95" s="11"/>
      <c r="F95" s="11"/>
      <c r="G95" s="11"/>
      <c r="H95" s="11"/>
      <c r="I95" s="7" t="str">
        <f t="shared" si="1"/>
        <v/>
      </c>
      <c r="J95" s="11"/>
    </row>
    <row r="96" spans="1:10" ht="15.75" customHeight="1" x14ac:dyDescent="0.25">
      <c r="A96" s="11"/>
      <c r="B96" s="11"/>
      <c r="C96" s="11"/>
      <c r="D96" s="11"/>
      <c r="E96" s="11"/>
      <c r="F96" s="11"/>
      <c r="G96" s="11"/>
      <c r="H96" s="11"/>
      <c r="I96" s="7" t="str">
        <f t="shared" si="1"/>
        <v/>
      </c>
      <c r="J96" s="11"/>
    </row>
    <row r="97" spans="1:10" ht="15.75" customHeight="1" x14ac:dyDescent="0.25">
      <c r="A97" s="11"/>
      <c r="B97" s="11"/>
      <c r="C97" s="11"/>
      <c r="D97" s="11"/>
      <c r="E97" s="11"/>
      <c r="F97" s="11"/>
      <c r="G97" s="11"/>
      <c r="H97" s="11"/>
      <c r="I97" s="7" t="str">
        <f t="shared" si="1"/>
        <v/>
      </c>
      <c r="J97" s="11"/>
    </row>
    <row r="98" spans="1:10" ht="15.75" customHeight="1" x14ac:dyDescent="0.25">
      <c r="A98" s="11"/>
      <c r="B98" s="11"/>
      <c r="C98" s="11"/>
      <c r="D98" s="11"/>
      <c r="E98" s="11"/>
      <c r="F98" s="11"/>
      <c r="G98" s="11"/>
      <c r="H98" s="11"/>
      <c r="I98" s="7" t="str">
        <f t="shared" si="1"/>
        <v/>
      </c>
      <c r="J98" s="11"/>
    </row>
    <row r="99" spans="1:10" ht="15.75" customHeight="1" x14ac:dyDescent="0.25">
      <c r="A99" s="11"/>
      <c r="B99" s="11"/>
      <c r="C99" s="11"/>
      <c r="D99" s="11"/>
      <c r="E99" s="11"/>
      <c r="F99" s="11"/>
      <c r="G99" s="11"/>
      <c r="H99" s="11"/>
      <c r="I99" s="7" t="str">
        <f t="shared" si="1"/>
        <v/>
      </c>
      <c r="J99" s="11"/>
    </row>
    <row r="100" spans="1:10" ht="15.75" customHeight="1" x14ac:dyDescent="0.25">
      <c r="A100" s="11"/>
      <c r="B100" s="11"/>
      <c r="C100" s="11"/>
      <c r="D100" s="11"/>
      <c r="E100" s="11"/>
      <c r="F100" s="11"/>
      <c r="G100" s="11"/>
      <c r="H100" s="11"/>
      <c r="I100" s="7" t="str">
        <f t="shared" si="1"/>
        <v/>
      </c>
      <c r="J100" s="11"/>
    </row>
    <row r="101" spans="1:10" ht="15.75" customHeight="1" x14ac:dyDescent="0.25">
      <c r="A101" s="11"/>
      <c r="B101" s="11"/>
      <c r="C101" s="11"/>
      <c r="D101" s="11"/>
      <c r="E101" s="11"/>
      <c r="F101" s="11"/>
      <c r="G101" s="11"/>
      <c r="H101" s="11"/>
      <c r="I101" s="7" t="str">
        <f t="shared" si="1"/>
        <v/>
      </c>
      <c r="J101" s="11"/>
    </row>
    <row r="102" spans="1:10" ht="15.75" customHeight="1" x14ac:dyDescent="0.25">
      <c r="A102" s="11"/>
      <c r="B102" s="11"/>
      <c r="C102" s="11"/>
      <c r="D102" s="11"/>
      <c r="E102" s="11"/>
      <c r="F102" s="11"/>
      <c r="G102" s="11"/>
      <c r="H102" s="11"/>
      <c r="I102" s="7" t="str">
        <f t="shared" si="1"/>
        <v/>
      </c>
      <c r="J102" s="11"/>
    </row>
    <row r="103" spans="1:10" ht="15.75" customHeight="1" x14ac:dyDescent="0.25">
      <c r="A103" s="11"/>
      <c r="B103" s="11"/>
      <c r="C103" s="11"/>
      <c r="D103" s="11"/>
      <c r="E103" s="11"/>
      <c r="F103" s="11"/>
      <c r="G103" s="11"/>
      <c r="H103" s="11"/>
      <c r="I103" s="7" t="str">
        <f t="shared" si="1"/>
        <v/>
      </c>
      <c r="J103" s="11"/>
    </row>
    <row r="104" spans="1:10" ht="15.75" customHeight="1" x14ac:dyDescent="0.25">
      <c r="A104" s="11"/>
      <c r="B104" s="11"/>
      <c r="C104" s="11"/>
      <c r="D104" s="11"/>
      <c r="E104" s="11"/>
      <c r="F104" s="11"/>
      <c r="G104" s="11"/>
      <c r="H104" s="11"/>
      <c r="I104" s="7" t="str">
        <f t="shared" si="1"/>
        <v/>
      </c>
      <c r="J104" s="11"/>
    </row>
    <row r="105" spans="1:10" ht="15.75" customHeight="1" x14ac:dyDescent="0.25">
      <c r="A105" s="11"/>
      <c r="B105" s="11"/>
      <c r="C105" s="11"/>
      <c r="D105" s="11"/>
      <c r="E105" s="11"/>
      <c r="F105" s="11"/>
      <c r="G105" s="11"/>
      <c r="H105" s="11"/>
      <c r="I105" s="7" t="str">
        <f t="shared" si="1"/>
        <v/>
      </c>
      <c r="J105" s="11"/>
    </row>
    <row r="106" spans="1:10" ht="15.75" customHeight="1" x14ac:dyDescent="0.25">
      <c r="A106" s="11"/>
      <c r="B106" s="11"/>
      <c r="C106" s="11"/>
      <c r="D106" s="11"/>
      <c r="E106" s="11"/>
      <c r="F106" s="11"/>
      <c r="G106" s="11"/>
      <c r="H106" s="11"/>
      <c r="I106" s="7" t="str">
        <f t="shared" si="1"/>
        <v/>
      </c>
      <c r="J106" s="11"/>
    </row>
    <row r="107" spans="1:10" ht="15.75" customHeight="1" x14ac:dyDescent="0.25">
      <c r="A107" s="11"/>
      <c r="B107" s="11"/>
      <c r="C107" s="11"/>
      <c r="D107" s="11"/>
      <c r="E107" s="11"/>
      <c r="F107" s="11"/>
      <c r="G107" s="11"/>
      <c r="H107" s="11"/>
      <c r="I107" s="7" t="str">
        <f t="shared" si="1"/>
        <v/>
      </c>
      <c r="J107" s="11"/>
    </row>
    <row r="108" spans="1:10" ht="15.75" customHeight="1" x14ac:dyDescent="0.25">
      <c r="A108" s="11"/>
      <c r="B108" s="11"/>
      <c r="C108" s="11"/>
      <c r="D108" s="11"/>
      <c r="E108" s="11"/>
      <c r="F108" s="11"/>
      <c r="G108" s="11"/>
      <c r="H108" s="11"/>
      <c r="I108" s="7" t="str">
        <f t="shared" si="1"/>
        <v/>
      </c>
      <c r="J108" s="11"/>
    </row>
    <row r="109" spans="1:10" ht="15.75" customHeight="1" x14ac:dyDescent="0.25">
      <c r="A109" s="11"/>
      <c r="B109" s="11"/>
      <c r="C109" s="11"/>
      <c r="D109" s="11"/>
      <c r="E109" s="11"/>
      <c r="F109" s="11"/>
      <c r="G109" s="11"/>
      <c r="H109" s="11"/>
      <c r="I109" s="7" t="str">
        <f t="shared" si="1"/>
        <v/>
      </c>
      <c r="J109" s="11"/>
    </row>
    <row r="110" spans="1:10" ht="15.75" customHeight="1" x14ac:dyDescent="0.25">
      <c r="A110" s="11"/>
      <c r="B110" s="11"/>
      <c r="C110" s="11"/>
      <c r="D110" s="11"/>
      <c r="E110" s="11"/>
      <c r="F110" s="11"/>
      <c r="G110" s="11"/>
      <c r="H110" s="11"/>
      <c r="I110" s="7" t="str">
        <f t="shared" si="1"/>
        <v/>
      </c>
      <c r="J110" s="11"/>
    </row>
    <row r="111" spans="1:10" ht="15.75" customHeight="1" x14ac:dyDescent="0.25">
      <c r="A111" s="11"/>
      <c r="B111" s="11"/>
      <c r="C111" s="11"/>
      <c r="D111" s="11"/>
      <c r="E111" s="11"/>
      <c r="F111" s="11"/>
      <c r="G111" s="11"/>
      <c r="H111" s="11"/>
      <c r="I111" s="7" t="str">
        <f t="shared" si="1"/>
        <v/>
      </c>
      <c r="J111" s="11"/>
    </row>
    <row r="112" spans="1:10" ht="15.75" customHeight="1" x14ac:dyDescent="0.25">
      <c r="A112" s="11"/>
      <c r="B112" s="11"/>
      <c r="C112" s="11"/>
      <c r="D112" s="11"/>
      <c r="E112" s="11"/>
      <c r="F112" s="11"/>
      <c r="G112" s="11"/>
      <c r="H112" s="11"/>
      <c r="I112" s="7" t="str">
        <f t="shared" si="1"/>
        <v/>
      </c>
      <c r="J112" s="11"/>
    </row>
    <row r="113" spans="1:10" ht="15.75" customHeight="1" x14ac:dyDescent="0.25">
      <c r="A113" s="11"/>
      <c r="B113" s="11"/>
      <c r="C113" s="11"/>
      <c r="D113" s="11"/>
      <c r="E113" s="11"/>
      <c r="F113" s="11"/>
      <c r="G113" s="11"/>
      <c r="H113" s="11"/>
      <c r="I113" s="7" t="str">
        <f t="shared" si="1"/>
        <v/>
      </c>
      <c r="J113" s="11"/>
    </row>
    <row r="114" spans="1:10" ht="15.75" customHeight="1" x14ac:dyDescent="0.25">
      <c r="A114" s="11"/>
      <c r="B114" s="11"/>
      <c r="C114" s="11"/>
      <c r="D114" s="11"/>
      <c r="E114" s="11"/>
      <c r="F114" s="11"/>
      <c r="G114" s="11"/>
      <c r="H114" s="11"/>
      <c r="I114" s="7" t="str">
        <f t="shared" si="1"/>
        <v/>
      </c>
      <c r="J114" s="11"/>
    </row>
    <row r="115" spans="1:10" ht="15.75" customHeight="1" x14ac:dyDescent="0.25">
      <c r="A115" s="11"/>
      <c r="B115" s="11"/>
      <c r="C115" s="11"/>
      <c r="D115" s="11"/>
      <c r="E115" s="11"/>
      <c r="F115" s="11"/>
      <c r="G115" s="11"/>
      <c r="H115" s="11"/>
      <c r="I115" s="7" t="str">
        <f t="shared" si="1"/>
        <v/>
      </c>
      <c r="J115" s="11"/>
    </row>
    <row r="116" spans="1:10" ht="15.75" customHeight="1" x14ac:dyDescent="0.25">
      <c r="A116" s="11"/>
      <c r="B116" s="11"/>
      <c r="C116" s="11"/>
      <c r="D116" s="11"/>
      <c r="E116" s="11"/>
      <c r="F116" s="11"/>
      <c r="G116" s="11"/>
      <c r="H116" s="11"/>
      <c r="I116" s="7" t="str">
        <f t="shared" si="1"/>
        <v/>
      </c>
      <c r="J116" s="11"/>
    </row>
    <row r="117" spans="1:10" ht="15.75" customHeight="1" x14ac:dyDescent="0.25">
      <c r="A117" s="11"/>
      <c r="B117" s="11"/>
      <c r="C117" s="11"/>
      <c r="D117" s="11"/>
      <c r="E117" s="11"/>
      <c r="F117" s="11"/>
      <c r="G117" s="11"/>
      <c r="H117" s="11"/>
      <c r="I117" s="7" t="str">
        <f t="shared" si="1"/>
        <v/>
      </c>
      <c r="J117" s="11"/>
    </row>
    <row r="118" spans="1:10" ht="15.75" customHeight="1" x14ac:dyDescent="0.25">
      <c r="A118" s="11"/>
      <c r="B118" s="11"/>
      <c r="C118" s="11"/>
      <c r="D118" s="11"/>
      <c r="E118" s="11"/>
      <c r="F118" s="11"/>
      <c r="G118" s="11"/>
      <c r="H118" s="11"/>
      <c r="I118" s="7" t="str">
        <f t="shared" si="1"/>
        <v/>
      </c>
      <c r="J118" s="11"/>
    </row>
    <row r="119" spans="1:10" ht="15.75" customHeight="1" x14ac:dyDescent="0.25">
      <c r="A119" s="11"/>
      <c r="B119" s="11"/>
      <c r="C119" s="11"/>
      <c r="D119" s="11"/>
      <c r="E119" s="11"/>
      <c r="F119" s="11"/>
      <c r="G119" s="11"/>
      <c r="H119" s="11"/>
      <c r="I119" s="7" t="str">
        <f t="shared" si="1"/>
        <v/>
      </c>
      <c r="J119" s="11"/>
    </row>
    <row r="120" spans="1:10" ht="15.75" customHeight="1" x14ac:dyDescent="0.25">
      <c r="A120" s="11"/>
      <c r="B120" s="11"/>
      <c r="C120" s="11"/>
      <c r="D120" s="11"/>
      <c r="E120" s="11"/>
      <c r="F120" s="11"/>
      <c r="G120" s="11"/>
      <c r="H120" s="11"/>
      <c r="I120" s="7" t="str">
        <f t="shared" si="1"/>
        <v/>
      </c>
      <c r="J120" s="11"/>
    </row>
    <row r="121" spans="1:10" ht="15.75" customHeight="1" x14ac:dyDescent="0.25">
      <c r="A121" s="11"/>
      <c r="B121" s="11"/>
      <c r="C121" s="11"/>
      <c r="D121" s="11"/>
      <c r="E121" s="11"/>
      <c r="F121" s="11"/>
      <c r="G121" s="11"/>
      <c r="H121" s="11"/>
      <c r="I121" s="7" t="str">
        <f t="shared" si="1"/>
        <v/>
      </c>
      <c r="J121" s="11"/>
    </row>
    <row r="122" spans="1:10" ht="15.75" customHeight="1" x14ac:dyDescent="0.25">
      <c r="A122" s="11"/>
      <c r="B122" s="11"/>
      <c r="C122" s="11"/>
      <c r="D122" s="11"/>
      <c r="E122" s="11"/>
      <c r="F122" s="11"/>
      <c r="G122" s="11"/>
      <c r="H122" s="11"/>
      <c r="I122" s="7" t="str">
        <f t="shared" si="1"/>
        <v/>
      </c>
      <c r="J122" s="11"/>
    </row>
    <row r="123" spans="1:10" ht="15.75" customHeight="1" x14ac:dyDescent="0.25">
      <c r="A123" s="11"/>
      <c r="B123" s="11"/>
      <c r="C123" s="11"/>
      <c r="D123" s="11"/>
      <c r="E123" s="11"/>
      <c r="F123" s="11"/>
      <c r="G123" s="11"/>
      <c r="H123" s="11"/>
      <c r="I123" s="7" t="str">
        <f t="shared" si="1"/>
        <v/>
      </c>
      <c r="J123" s="11"/>
    </row>
    <row r="124" spans="1:10" ht="15.75" customHeight="1" x14ac:dyDescent="0.25">
      <c r="A124" s="11"/>
      <c r="B124" s="11"/>
      <c r="C124" s="11"/>
      <c r="D124" s="11"/>
      <c r="E124" s="11"/>
      <c r="F124" s="11"/>
      <c r="G124" s="11"/>
      <c r="H124" s="11"/>
      <c r="I124" s="7" t="str">
        <f t="shared" si="1"/>
        <v/>
      </c>
      <c r="J124" s="11"/>
    </row>
    <row r="125" spans="1:10" ht="15.75" customHeight="1" x14ac:dyDescent="0.25">
      <c r="A125" s="11"/>
      <c r="B125" s="11"/>
      <c r="C125" s="11"/>
      <c r="D125" s="11"/>
      <c r="E125" s="11"/>
      <c r="F125" s="11"/>
      <c r="G125" s="11"/>
      <c r="H125" s="11"/>
      <c r="I125" s="7" t="str">
        <f t="shared" si="1"/>
        <v/>
      </c>
      <c r="J125" s="11"/>
    </row>
    <row r="126" spans="1:10" ht="15.75" customHeight="1" x14ac:dyDescent="0.25">
      <c r="A126" s="11"/>
      <c r="B126" s="11"/>
      <c r="C126" s="11"/>
      <c r="D126" s="11"/>
      <c r="E126" s="11"/>
      <c r="F126" s="11"/>
      <c r="G126" s="11"/>
      <c r="H126" s="11"/>
      <c r="I126" s="7" t="str">
        <f t="shared" si="1"/>
        <v/>
      </c>
      <c r="J126" s="11"/>
    </row>
    <row r="127" spans="1:10" ht="15.75" customHeight="1" x14ac:dyDescent="0.25">
      <c r="A127" s="11"/>
      <c r="B127" s="11"/>
      <c r="C127" s="11"/>
      <c r="D127" s="11"/>
      <c r="E127" s="11"/>
      <c r="F127" s="11"/>
      <c r="G127" s="11"/>
      <c r="H127" s="11"/>
      <c r="I127" s="7" t="str">
        <f t="shared" si="1"/>
        <v/>
      </c>
      <c r="J127" s="11"/>
    </row>
    <row r="128" spans="1:10" ht="15.75" customHeight="1" x14ac:dyDescent="0.25">
      <c r="A128" s="11"/>
      <c r="B128" s="11"/>
      <c r="C128" s="11"/>
      <c r="D128" s="11"/>
      <c r="E128" s="11"/>
      <c r="F128" s="11"/>
      <c r="G128" s="11"/>
      <c r="H128" s="11"/>
      <c r="I128" s="7" t="str">
        <f t="shared" si="1"/>
        <v/>
      </c>
      <c r="J128" s="11"/>
    </row>
    <row r="129" spans="1:10" ht="15.75" customHeight="1" x14ac:dyDescent="0.25">
      <c r="A129" s="11"/>
      <c r="B129" s="11"/>
      <c r="C129" s="11"/>
      <c r="D129" s="11"/>
      <c r="E129" s="11"/>
      <c r="F129" s="11"/>
      <c r="G129" s="11"/>
      <c r="H129" s="11"/>
      <c r="I129" s="7" t="str">
        <f t="shared" si="1"/>
        <v/>
      </c>
      <c r="J129" s="11"/>
    </row>
    <row r="130" spans="1:10" ht="15.75" customHeight="1" x14ac:dyDescent="0.25">
      <c r="A130" s="11"/>
      <c r="B130" s="11"/>
      <c r="C130" s="11"/>
      <c r="D130" s="11"/>
      <c r="E130" s="11"/>
      <c r="F130" s="11"/>
      <c r="G130" s="11"/>
      <c r="H130" s="11"/>
      <c r="I130" s="7" t="str">
        <f t="shared" si="1"/>
        <v/>
      </c>
      <c r="J130" s="11"/>
    </row>
    <row r="131" spans="1:10" ht="15.75" customHeight="1" x14ac:dyDescent="0.25">
      <c r="A131" s="11"/>
      <c r="B131" s="11"/>
      <c r="C131" s="11"/>
      <c r="D131" s="11"/>
      <c r="E131" s="11"/>
      <c r="F131" s="11"/>
      <c r="G131" s="11"/>
      <c r="H131" s="11"/>
      <c r="I131" s="7" t="str">
        <f t="shared" ref="I131:I194" si="2">IF(B131="","",TEXT(D131,"MMMM"))</f>
        <v/>
      </c>
      <c r="J131" s="11"/>
    </row>
    <row r="132" spans="1:10" ht="15.75" customHeight="1" x14ac:dyDescent="0.25">
      <c r="A132" s="11"/>
      <c r="B132" s="11"/>
      <c r="C132" s="11"/>
      <c r="D132" s="11"/>
      <c r="E132" s="11"/>
      <c r="F132" s="11"/>
      <c r="G132" s="11"/>
      <c r="H132" s="11"/>
      <c r="I132" s="7" t="str">
        <f t="shared" si="2"/>
        <v/>
      </c>
      <c r="J132" s="11"/>
    </row>
    <row r="133" spans="1:10" ht="15.75" customHeight="1" x14ac:dyDescent="0.25">
      <c r="A133" s="11"/>
      <c r="B133" s="11"/>
      <c r="C133" s="11"/>
      <c r="D133" s="11"/>
      <c r="E133" s="11"/>
      <c r="F133" s="11"/>
      <c r="G133" s="11"/>
      <c r="H133" s="11"/>
      <c r="I133" s="7" t="str">
        <f t="shared" si="2"/>
        <v/>
      </c>
      <c r="J133" s="11"/>
    </row>
    <row r="134" spans="1:10" ht="15.75" customHeight="1" x14ac:dyDescent="0.25">
      <c r="A134" s="11"/>
      <c r="B134" s="11"/>
      <c r="C134" s="11"/>
      <c r="D134" s="11"/>
      <c r="E134" s="11"/>
      <c r="F134" s="11"/>
      <c r="G134" s="11"/>
      <c r="H134" s="11"/>
      <c r="I134" s="7" t="str">
        <f t="shared" si="2"/>
        <v/>
      </c>
      <c r="J134" s="11"/>
    </row>
    <row r="135" spans="1:10" ht="15.75" customHeight="1" x14ac:dyDescent="0.25">
      <c r="A135" s="11"/>
      <c r="B135" s="11"/>
      <c r="C135" s="11"/>
      <c r="D135" s="11"/>
      <c r="E135" s="11"/>
      <c r="F135" s="11"/>
      <c r="G135" s="11"/>
      <c r="H135" s="11"/>
      <c r="I135" s="7" t="str">
        <f t="shared" si="2"/>
        <v/>
      </c>
      <c r="J135" s="11"/>
    </row>
    <row r="136" spans="1:10" ht="15.75" customHeight="1" x14ac:dyDescent="0.25">
      <c r="A136" s="11"/>
      <c r="B136" s="11"/>
      <c r="C136" s="11"/>
      <c r="D136" s="11"/>
      <c r="E136" s="11"/>
      <c r="F136" s="11"/>
      <c r="G136" s="11"/>
      <c r="H136" s="11"/>
      <c r="I136" s="7" t="str">
        <f t="shared" si="2"/>
        <v/>
      </c>
      <c r="J136" s="11"/>
    </row>
    <row r="137" spans="1:10" ht="15.75" customHeight="1" x14ac:dyDescent="0.25">
      <c r="A137" s="11"/>
      <c r="B137" s="11"/>
      <c r="C137" s="11"/>
      <c r="D137" s="11"/>
      <c r="E137" s="11"/>
      <c r="F137" s="11"/>
      <c r="G137" s="11"/>
      <c r="H137" s="11"/>
      <c r="I137" s="7" t="str">
        <f t="shared" si="2"/>
        <v/>
      </c>
      <c r="J137" s="11"/>
    </row>
    <row r="138" spans="1:10" ht="15.75" customHeight="1" x14ac:dyDescent="0.25">
      <c r="A138" s="11"/>
      <c r="B138" s="11"/>
      <c r="C138" s="11"/>
      <c r="D138" s="11"/>
      <c r="E138" s="11"/>
      <c r="F138" s="11"/>
      <c r="G138" s="11"/>
      <c r="H138" s="11"/>
      <c r="I138" s="7" t="str">
        <f t="shared" si="2"/>
        <v/>
      </c>
      <c r="J138" s="11"/>
    </row>
    <row r="139" spans="1:10" ht="15.75" customHeight="1" x14ac:dyDescent="0.25">
      <c r="A139" s="11"/>
      <c r="B139" s="11"/>
      <c r="C139" s="11"/>
      <c r="D139" s="11"/>
      <c r="E139" s="11"/>
      <c r="F139" s="11"/>
      <c r="G139" s="11"/>
      <c r="H139" s="11"/>
      <c r="I139" s="7" t="str">
        <f t="shared" si="2"/>
        <v/>
      </c>
      <c r="J139" s="11"/>
    </row>
    <row r="140" spans="1:10" ht="15.75" customHeight="1" x14ac:dyDescent="0.25">
      <c r="A140" s="11"/>
      <c r="B140" s="11"/>
      <c r="C140" s="11"/>
      <c r="D140" s="11"/>
      <c r="E140" s="11"/>
      <c r="F140" s="11"/>
      <c r="G140" s="11"/>
      <c r="H140" s="11"/>
      <c r="I140" s="7" t="str">
        <f t="shared" si="2"/>
        <v/>
      </c>
      <c r="J140" s="11"/>
    </row>
    <row r="141" spans="1:10" ht="15.75" customHeight="1" x14ac:dyDescent="0.25">
      <c r="A141" s="11"/>
      <c r="B141" s="11"/>
      <c r="C141" s="11"/>
      <c r="D141" s="11"/>
      <c r="E141" s="11"/>
      <c r="F141" s="11"/>
      <c r="G141" s="11"/>
      <c r="H141" s="11"/>
      <c r="I141" s="7" t="str">
        <f t="shared" si="2"/>
        <v/>
      </c>
      <c r="J141" s="11"/>
    </row>
    <row r="142" spans="1:10" ht="15.75" customHeight="1" x14ac:dyDescent="0.25">
      <c r="A142" s="11"/>
      <c r="B142" s="11"/>
      <c r="C142" s="11"/>
      <c r="D142" s="11"/>
      <c r="E142" s="11"/>
      <c r="F142" s="11"/>
      <c r="G142" s="11"/>
      <c r="H142" s="11"/>
      <c r="I142" s="7" t="str">
        <f t="shared" si="2"/>
        <v/>
      </c>
      <c r="J142" s="11"/>
    </row>
    <row r="143" spans="1:10" ht="15.75" customHeight="1" x14ac:dyDescent="0.25">
      <c r="A143" s="11"/>
      <c r="B143" s="11"/>
      <c r="C143" s="11"/>
      <c r="D143" s="11"/>
      <c r="E143" s="11"/>
      <c r="F143" s="11"/>
      <c r="G143" s="11"/>
      <c r="H143" s="11"/>
      <c r="I143" s="7" t="str">
        <f t="shared" si="2"/>
        <v/>
      </c>
      <c r="J143" s="11"/>
    </row>
    <row r="144" spans="1:10" ht="15.75" customHeight="1" x14ac:dyDescent="0.25">
      <c r="A144" s="11"/>
      <c r="B144" s="11"/>
      <c r="C144" s="11"/>
      <c r="D144" s="11"/>
      <c r="E144" s="11"/>
      <c r="F144" s="11"/>
      <c r="G144" s="11"/>
      <c r="H144" s="11"/>
      <c r="I144" s="7" t="str">
        <f t="shared" si="2"/>
        <v/>
      </c>
      <c r="J144" s="11"/>
    </row>
    <row r="145" spans="1:10" ht="15.75" customHeight="1" x14ac:dyDescent="0.25">
      <c r="A145" s="11"/>
      <c r="B145" s="11"/>
      <c r="C145" s="11"/>
      <c r="D145" s="11"/>
      <c r="E145" s="11"/>
      <c r="F145" s="11"/>
      <c r="G145" s="11"/>
      <c r="H145" s="11"/>
      <c r="I145" s="7" t="str">
        <f t="shared" si="2"/>
        <v/>
      </c>
      <c r="J145" s="11"/>
    </row>
    <row r="146" spans="1:10" ht="15.75" customHeight="1" x14ac:dyDescent="0.25">
      <c r="A146" s="11"/>
      <c r="B146" s="11"/>
      <c r="C146" s="11"/>
      <c r="D146" s="11"/>
      <c r="E146" s="11"/>
      <c r="F146" s="11"/>
      <c r="G146" s="11"/>
      <c r="H146" s="11"/>
      <c r="I146" s="7" t="str">
        <f t="shared" si="2"/>
        <v/>
      </c>
      <c r="J146" s="11"/>
    </row>
    <row r="147" spans="1:10" ht="15.75" customHeight="1" x14ac:dyDescent="0.25">
      <c r="A147" s="11"/>
      <c r="B147" s="11"/>
      <c r="C147" s="11"/>
      <c r="D147" s="11"/>
      <c r="E147" s="11"/>
      <c r="F147" s="11"/>
      <c r="G147" s="11"/>
      <c r="H147" s="11"/>
      <c r="I147" s="7" t="str">
        <f t="shared" si="2"/>
        <v/>
      </c>
      <c r="J147" s="11"/>
    </row>
    <row r="148" spans="1:10" ht="15.75" customHeight="1" x14ac:dyDescent="0.25">
      <c r="A148" s="11"/>
      <c r="B148" s="11"/>
      <c r="C148" s="11"/>
      <c r="D148" s="11"/>
      <c r="E148" s="11"/>
      <c r="F148" s="11"/>
      <c r="G148" s="11"/>
      <c r="H148" s="11"/>
      <c r="I148" s="7" t="str">
        <f t="shared" si="2"/>
        <v/>
      </c>
      <c r="J148" s="11"/>
    </row>
    <row r="149" spans="1:10" ht="15.75" customHeight="1" x14ac:dyDescent="0.25">
      <c r="A149" s="11"/>
      <c r="B149" s="11"/>
      <c r="C149" s="11"/>
      <c r="D149" s="11"/>
      <c r="E149" s="11"/>
      <c r="F149" s="11"/>
      <c r="G149" s="11"/>
      <c r="H149" s="11"/>
      <c r="I149" s="7" t="str">
        <f t="shared" si="2"/>
        <v/>
      </c>
      <c r="J149" s="11"/>
    </row>
    <row r="150" spans="1:10" ht="15.75" customHeight="1" x14ac:dyDescent="0.25">
      <c r="A150" s="11"/>
      <c r="B150" s="11"/>
      <c r="C150" s="11"/>
      <c r="D150" s="11"/>
      <c r="E150" s="11"/>
      <c r="F150" s="11"/>
      <c r="G150" s="11"/>
      <c r="H150" s="11"/>
      <c r="I150" s="7" t="str">
        <f t="shared" si="2"/>
        <v/>
      </c>
      <c r="J150" s="11"/>
    </row>
    <row r="151" spans="1:10" ht="15.75" customHeight="1" x14ac:dyDescent="0.25">
      <c r="A151" s="11"/>
      <c r="B151" s="11"/>
      <c r="C151" s="11"/>
      <c r="D151" s="11"/>
      <c r="E151" s="11"/>
      <c r="F151" s="11"/>
      <c r="G151" s="11"/>
      <c r="H151" s="11"/>
      <c r="I151" s="7" t="str">
        <f t="shared" si="2"/>
        <v/>
      </c>
      <c r="J151" s="11"/>
    </row>
    <row r="152" spans="1:10" ht="15.75" customHeight="1" x14ac:dyDescent="0.25">
      <c r="A152" s="11"/>
      <c r="B152" s="11"/>
      <c r="C152" s="11"/>
      <c r="D152" s="11"/>
      <c r="E152" s="11"/>
      <c r="F152" s="11"/>
      <c r="G152" s="11"/>
      <c r="H152" s="11"/>
      <c r="I152" s="7" t="str">
        <f t="shared" si="2"/>
        <v/>
      </c>
      <c r="J152" s="11"/>
    </row>
    <row r="153" spans="1:10" ht="15.75" customHeight="1" x14ac:dyDescent="0.25">
      <c r="A153" s="11"/>
      <c r="B153" s="11"/>
      <c r="C153" s="11"/>
      <c r="D153" s="11"/>
      <c r="E153" s="11"/>
      <c r="F153" s="11"/>
      <c r="G153" s="11"/>
      <c r="H153" s="11"/>
      <c r="I153" s="7" t="str">
        <f t="shared" si="2"/>
        <v/>
      </c>
      <c r="J153" s="11"/>
    </row>
    <row r="154" spans="1:10" ht="15.75" customHeight="1" x14ac:dyDescent="0.25">
      <c r="A154" s="11"/>
      <c r="B154" s="11"/>
      <c r="C154" s="11"/>
      <c r="D154" s="11"/>
      <c r="E154" s="11"/>
      <c r="F154" s="11"/>
      <c r="G154" s="11"/>
      <c r="H154" s="11"/>
      <c r="I154" s="7" t="str">
        <f t="shared" si="2"/>
        <v/>
      </c>
      <c r="J154" s="11"/>
    </row>
    <row r="155" spans="1:10" ht="15.75" customHeight="1" x14ac:dyDescent="0.25">
      <c r="A155" s="11"/>
      <c r="B155" s="11"/>
      <c r="C155" s="11"/>
      <c r="D155" s="11"/>
      <c r="E155" s="11"/>
      <c r="F155" s="11"/>
      <c r="G155" s="11"/>
      <c r="H155" s="11"/>
      <c r="I155" s="7" t="str">
        <f t="shared" si="2"/>
        <v/>
      </c>
      <c r="J155" s="11"/>
    </row>
    <row r="156" spans="1:10" ht="15.75" customHeight="1" x14ac:dyDescent="0.25">
      <c r="A156" s="11"/>
      <c r="B156" s="11"/>
      <c r="C156" s="11"/>
      <c r="D156" s="11"/>
      <c r="E156" s="11"/>
      <c r="F156" s="11"/>
      <c r="G156" s="11"/>
      <c r="H156" s="11"/>
      <c r="I156" s="7" t="str">
        <f t="shared" si="2"/>
        <v/>
      </c>
      <c r="J156" s="11"/>
    </row>
    <row r="157" spans="1:10" ht="15.75" customHeight="1" x14ac:dyDescent="0.25">
      <c r="A157" s="11"/>
      <c r="B157" s="11"/>
      <c r="C157" s="11"/>
      <c r="D157" s="11"/>
      <c r="E157" s="11"/>
      <c r="F157" s="11"/>
      <c r="G157" s="11"/>
      <c r="H157" s="11"/>
      <c r="I157" s="7" t="str">
        <f t="shared" si="2"/>
        <v/>
      </c>
      <c r="J157" s="11"/>
    </row>
    <row r="158" spans="1:10" ht="15.75" customHeight="1" x14ac:dyDescent="0.25">
      <c r="A158" s="11"/>
      <c r="B158" s="11"/>
      <c r="C158" s="11"/>
      <c r="D158" s="11"/>
      <c r="E158" s="11"/>
      <c r="F158" s="11"/>
      <c r="G158" s="11"/>
      <c r="H158" s="11"/>
      <c r="I158" s="7" t="str">
        <f t="shared" si="2"/>
        <v/>
      </c>
      <c r="J158" s="11"/>
    </row>
    <row r="159" spans="1:10" ht="15.75" customHeight="1" x14ac:dyDescent="0.25">
      <c r="A159" s="11"/>
      <c r="B159" s="11"/>
      <c r="C159" s="11"/>
      <c r="D159" s="11"/>
      <c r="E159" s="11"/>
      <c r="F159" s="11"/>
      <c r="G159" s="11"/>
      <c r="H159" s="11"/>
      <c r="I159" s="7" t="str">
        <f t="shared" si="2"/>
        <v/>
      </c>
      <c r="J159" s="11"/>
    </row>
    <row r="160" spans="1:10" ht="15.75" customHeight="1" x14ac:dyDescent="0.25">
      <c r="A160" s="11"/>
      <c r="B160" s="11"/>
      <c r="C160" s="11"/>
      <c r="D160" s="11"/>
      <c r="E160" s="11"/>
      <c r="F160" s="11"/>
      <c r="G160" s="11"/>
      <c r="H160" s="11"/>
      <c r="I160" s="7" t="str">
        <f t="shared" si="2"/>
        <v/>
      </c>
      <c r="J160" s="11"/>
    </row>
    <row r="161" spans="1:10" ht="15.75" customHeight="1" x14ac:dyDescent="0.25">
      <c r="A161" s="11"/>
      <c r="B161" s="11"/>
      <c r="C161" s="11"/>
      <c r="D161" s="11"/>
      <c r="E161" s="11"/>
      <c r="F161" s="11"/>
      <c r="G161" s="11"/>
      <c r="H161" s="11"/>
      <c r="I161" s="7" t="str">
        <f t="shared" si="2"/>
        <v/>
      </c>
      <c r="J161" s="11"/>
    </row>
    <row r="162" spans="1:10" ht="15.75" customHeight="1" x14ac:dyDescent="0.25">
      <c r="A162" s="11"/>
      <c r="B162" s="11"/>
      <c r="C162" s="11"/>
      <c r="D162" s="11"/>
      <c r="E162" s="11"/>
      <c r="F162" s="11"/>
      <c r="G162" s="11"/>
      <c r="H162" s="11"/>
      <c r="I162" s="7" t="str">
        <f t="shared" si="2"/>
        <v/>
      </c>
      <c r="J162" s="11"/>
    </row>
    <row r="163" spans="1:10" ht="15.75" customHeight="1" x14ac:dyDescent="0.25">
      <c r="A163" s="11"/>
      <c r="B163" s="11"/>
      <c r="C163" s="11"/>
      <c r="D163" s="11"/>
      <c r="E163" s="11"/>
      <c r="F163" s="11"/>
      <c r="G163" s="11"/>
      <c r="H163" s="11"/>
      <c r="I163" s="7" t="str">
        <f t="shared" si="2"/>
        <v/>
      </c>
      <c r="J163" s="11"/>
    </row>
    <row r="164" spans="1:10" ht="15.75" customHeight="1" x14ac:dyDescent="0.25">
      <c r="A164" s="11"/>
      <c r="B164" s="11"/>
      <c r="C164" s="11"/>
      <c r="D164" s="11"/>
      <c r="E164" s="11"/>
      <c r="F164" s="11"/>
      <c r="G164" s="11"/>
      <c r="H164" s="11"/>
      <c r="I164" s="7" t="str">
        <f t="shared" si="2"/>
        <v/>
      </c>
      <c r="J164" s="11"/>
    </row>
    <row r="165" spans="1:10" ht="15.75" customHeight="1" x14ac:dyDescent="0.25">
      <c r="A165" s="11"/>
      <c r="B165" s="11"/>
      <c r="C165" s="11"/>
      <c r="D165" s="11"/>
      <c r="E165" s="11"/>
      <c r="F165" s="11"/>
      <c r="G165" s="11"/>
      <c r="H165" s="11"/>
      <c r="I165" s="7" t="str">
        <f t="shared" si="2"/>
        <v/>
      </c>
      <c r="J165" s="11"/>
    </row>
    <row r="166" spans="1:10" ht="15.75" customHeight="1" x14ac:dyDescent="0.25">
      <c r="A166" s="11"/>
      <c r="B166" s="11"/>
      <c r="C166" s="11"/>
      <c r="D166" s="11"/>
      <c r="E166" s="11"/>
      <c r="F166" s="11"/>
      <c r="G166" s="11"/>
      <c r="H166" s="11"/>
      <c r="I166" s="7" t="str">
        <f t="shared" si="2"/>
        <v/>
      </c>
      <c r="J166" s="11"/>
    </row>
    <row r="167" spans="1:10" ht="15.75" customHeight="1" x14ac:dyDescent="0.25">
      <c r="A167" s="11"/>
      <c r="B167" s="11"/>
      <c r="C167" s="11"/>
      <c r="D167" s="11"/>
      <c r="E167" s="11"/>
      <c r="F167" s="11"/>
      <c r="G167" s="11"/>
      <c r="H167" s="11"/>
      <c r="I167" s="7" t="str">
        <f t="shared" si="2"/>
        <v/>
      </c>
      <c r="J167" s="11"/>
    </row>
    <row r="168" spans="1:10" ht="15.75" customHeight="1" x14ac:dyDescent="0.25">
      <c r="A168" s="11"/>
      <c r="B168" s="11"/>
      <c r="C168" s="11"/>
      <c r="D168" s="11"/>
      <c r="E168" s="11"/>
      <c r="F168" s="11"/>
      <c r="G168" s="11"/>
      <c r="H168" s="11"/>
      <c r="I168" s="7" t="str">
        <f t="shared" si="2"/>
        <v/>
      </c>
      <c r="J168" s="11"/>
    </row>
    <row r="169" spans="1:10" ht="15.75" customHeight="1" x14ac:dyDescent="0.25">
      <c r="A169" s="11"/>
      <c r="B169" s="11"/>
      <c r="C169" s="11"/>
      <c r="D169" s="11"/>
      <c r="E169" s="11"/>
      <c r="F169" s="11"/>
      <c r="G169" s="11"/>
      <c r="H169" s="11"/>
      <c r="I169" s="7" t="str">
        <f t="shared" si="2"/>
        <v/>
      </c>
      <c r="J169" s="11"/>
    </row>
    <row r="170" spans="1:10" ht="15.75" customHeight="1" x14ac:dyDescent="0.25">
      <c r="A170" s="11"/>
      <c r="B170" s="11"/>
      <c r="C170" s="11"/>
      <c r="D170" s="11"/>
      <c r="E170" s="11"/>
      <c r="F170" s="11"/>
      <c r="G170" s="11"/>
      <c r="H170" s="11"/>
      <c r="I170" s="7" t="str">
        <f t="shared" si="2"/>
        <v/>
      </c>
      <c r="J170" s="11"/>
    </row>
    <row r="171" spans="1:10" ht="15.75" customHeight="1" x14ac:dyDescent="0.25">
      <c r="A171" s="11"/>
      <c r="B171" s="11"/>
      <c r="C171" s="11"/>
      <c r="D171" s="11"/>
      <c r="E171" s="11"/>
      <c r="F171" s="11"/>
      <c r="G171" s="11"/>
      <c r="H171" s="11"/>
      <c r="I171" s="7" t="str">
        <f t="shared" si="2"/>
        <v/>
      </c>
      <c r="J171" s="11"/>
    </row>
    <row r="172" spans="1:10" ht="15.75" customHeight="1" x14ac:dyDescent="0.25">
      <c r="A172" s="11"/>
      <c r="B172" s="11"/>
      <c r="C172" s="11"/>
      <c r="D172" s="11"/>
      <c r="E172" s="11"/>
      <c r="F172" s="11"/>
      <c r="G172" s="11"/>
      <c r="H172" s="11"/>
      <c r="I172" s="7" t="str">
        <f t="shared" si="2"/>
        <v/>
      </c>
      <c r="J172" s="11"/>
    </row>
    <row r="173" spans="1:10" ht="15.75" customHeight="1" x14ac:dyDescent="0.25">
      <c r="A173" s="11"/>
      <c r="B173" s="11"/>
      <c r="C173" s="11"/>
      <c r="D173" s="11"/>
      <c r="E173" s="11"/>
      <c r="F173" s="11"/>
      <c r="G173" s="11"/>
      <c r="H173" s="11"/>
      <c r="I173" s="7" t="str">
        <f t="shared" si="2"/>
        <v/>
      </c>
      <c r="J173" s="11"/>
    </row>
    <row r="174" spans="1:10" ht="15.75" customHeight="1" x14ac:dyDescent="0.25">
      <c r="A174" s="11"/>
      <c r="B174" s="11"/>
      <c r="C174" s="11"/>
      <c r="D174" s="11"/>
      <c r="E174" s="11"/>
      <c r="F174" s="11"/>
      <c r="G174" s="11"/>
      <c r="H174" s="11"/>
      <c r="I174" s="7" t="str">
        <f t="shared" si="2"/>
        <v/>
      </c>
      <c r="J174" s="11"/>
    </row>
    <row r="175" spans="1:10" ht="15.75" customHeight="1" x14ac:dyDescent="0.25">
      <c r="A175" s="11"/>
      <c r="B175" s="11"/>
      <c r="C175" s="11"/>
      <c r="D175" s="11"/>
      <c r="E175" s="11"/>
      <c r="F175" s="11"/>
      <c r="G175" s="11"/>
      <c r="H175" s="11"/>
      <c r="I175" s="7" t="str">
        <f t="shared" si="2"/>
        <v/>
      </c>
      <c r="J175" s="11"/>
    </row>
    <row r="176" spans="1:10" ht="15.75" customHeight="1" x14ac:dyDescent="0.25">
      <c r="A176" s="11"/>
      <c r="B176" s="11"/>
      <c r="C176" s="11"/>
      <c r="D176" s="11"/>
      <c r="E176" s="11"/>
      <c r="F176" s="11"/>
      <c r="G176" s="11"/>
      <c r="H176" s="11"/>
      <c r="I176" s="7" t="str">
        <f t="shared" si="2"/>
        <v/>
      </c>
      <c r="J176" s="11"/>
    </row>
    <row r="177" spans="1:10" ht="15.75" customHeight="1" x14ac:dyDescent="0.25">
      <c r="A177" s="11"/>
      <c r="B177" s="11"/>
      <c r="C177" s="11"/>
      <c r="D177" s="11"/>
      <c r="E177" s="11"/>
      <c r="F177" s="11"/>
      <c r="G177" s="11"/>
      <c r="H177" s="11"/>
      <c r="I177" s="7" t="str">
        <f t="shared" si="2"/>
        <v/>
      </c>
      <c r="J177" s="11"/>
    </row>
    <row r="178" spans="1:10" ht="15.75" customHeight="1" x14ac:dyDescent="0.25">
      <c r="A178" s="11"/>
      <c r="B178" s="11"/>
      <c r="C178" s="11"/>
      <c r="D178" s="11"/>
      <c r="E178" s="11"/>
      <c r="F178" s="11"/>
      <c r="G178" s="11"/>
      <c r="H178" s="11"/>
      <c r="I178" s="7" t="str">
        <f t="shared" si="2"/>
        <v/>
      </c>
      <c r="J178" s="11"/>
    </row>
    <row r="179" spans="1:10" ht="15.75" customHeight="1" x14ac:dyDescent="0.25">
      <c r="A179" s="11"/>
      <c r="B179" s="11"/>
      <c r="C179" s="11"/>
      <c r="D179" s="11"/>
      <c r="E179" s="11"/>
      <c r="F179" s="11"/>
      <c r="G179" s="11"/>
      <c r="H179" s="11"/>
      <c r="I179" s="7" t="str">
        <f t="shared" si="2"/>
        <v/>
      </c>
      <c r="J179" s="11"/>
    </row>
    <row r="180" spans="1:10" ht="15.75" customHeight="1" x14ac:dyDescent="0.25">
      <c r="A180" s="11"/>
      <c r="B180" s="11"/>
      <c r="C180" s="11"/>
      <c r="D180" s="11"/>
      <c r="E180" s="11"/>
      <c r="F180" s="11"/>
      <c r="G180" s="11"/>
      <c r="H180" s="11"/>
      <c r="I180" s="7" t="str">
        <f t="shared" si="2"/>
        <v/>
      </c>
      <c r="J180" s="11"/>
    </row>
    <row r="181" spans="1:10" ht="15.75" customHeight="1" x14ac:dyDescent="0.25">
      <c r="A181" s="11"/>
      <c r="B181" s="11"/>
      <c r="C181" s="11"/>
      <c r="D181" s="11"/>
      <c r="E181" s="11"/>
      <c r="F181" s="11"/>
      <c r="G181" s="11"/>
      <c r="H181" s="11"/>
      <c r="I181" s="7" t="str">
        <f t="shared" si="2"/>
        <v/>
      </c>
      <c r="J181" s="11"/>
    </row>
    <row r="182" spans="1:10" ht="15.75" customHeight="1" x14ac:dyDescent="0.25">
      <c r="A182" s="11"/>
      <c r="B182" s="11"/>
      <c r="C182" s="11"/>
      <c r="D182" s="11"/>
      <c r="E182" s="11"/>
      <c r="F182" s="11"/>
      <c r="G182" s="11"/>
      <c r="H182" s="11"/>
      <c r="I182" s="7" t="str">
        <f t="shared" si="2"/>
        <v/>
      </c>
      <c r="J182" s="11"/>
    </row>
    <row r="183" spans="1:10" ht="15.75" customHeight="1" x14ac:dyDescent="0.25">
      <c r="A183" s="11"/>
      <c r="B183" s="11"/>
      <c r="C183" s="11"/>
      <c r="D183" s="11"/>
      <c r="E183" s="11"/>
      <c r="F183" s="11"/>
      <c r="G183" s="11"/>
      <c r="H183" s="11"/>
      <c r="I183" s="7" t="str">
        <f t="shared" si="2"/>
        <v/>
      </c>
      <c r="J183" s="11"/>
    </row>
    <row r="184" spans="1:10" ht="15.75" customHeight="1" x14ac:dyDescent="0.25">
      <c r="A184" s="11"/>
      <c r="B184" s="11"/>
      <c r="C184" s="11"/>
      <c r="D184" s="11"/>
      <c r="E184" s="11"/>
      <c r="F184" s="11"/>
      <c r="G184" s="11"/>
      <c r="H184" s="11"/>
      <c r="I184" s="7" t="str">
        <f t="shared" si="2"/>
        <v/>
      </c>
      <c r="J184" s="11"/>
    </row>
    <row r="185" spans="1:10" ht="15.75" customHeight="1" x14ac:dyDescent="0.25">
      <c r="A185" s="11"/>
      <c r="B185" s="11"/>
      <c r="C185" s="11"/>
      <c r="D185" s="11"/>
      <c r="E185" s="11"/>
      <c r="F185" s="11"/>
      <c r="G185" s="11"/>
      <c r="H185" s="11"/>
      <c r="I185" s="7" t="str">
        <f t="shared" si="2"/>
        <v/>
      </c>
      <c r="J185" s="11"/>
    </row>
    <row r="186" spans="1:10" ht="15.75" customHeight="1" x14ac:dyDescent="0.25">
      <c r="A186" s="11"/>
      <c r="B186" s="11"/>
      <c r="C186" s="11"/>
      <c r="D186" s="11"/>
      <c r="E186" s="11"/>
      <c r="F186" s="11"/>
      <c r="G186" s="11"/>
      <c r="H186" s="11"/>
      <c r="I186" s="7" t="str">
        <f t="shared" si="2"/>
        <v/>
      </c>
      <c r="J186" s="11"/>
    </row>
    <row r="187" spans="1:10" ht="15.75" customHeight="1" x14ac:dyDescent="0.25">
      <c r="A187" s="11"/>
      <c r="B187" s="11"/>
      <c r="C187" s="11"/>
      <c r="D187" s="11"/>
      <c r="E187" s="11"/>
      <c r="F187" s="11"/>
      <c r="G187" s="11"/>
      <c r="H187" s="11"/>
      <c r="I187" s="7" t="str">
        <f t="shared" si="2"/>
        <v/>
      </c>
      <c r="J187" s="11"/>
    </row>
    <row r="188" spans="1:10" ht="15.75" customHeight="1" x14ac:dyDescent="0.25">
      <c r="A188" s="11"/>
      <c r="B188" s="11"/>
      <c r="C188" s="11"/>
      <c r="D188" s="11"/>
      <c r="E188" s="11"/>
      <c r="F188" s="11"/>
      <c r="G188" s="11"/>
      <c r="H188" s="11"/>
      <c r="I188" s="7" t="str">
        <f t="shared" si="2"/>
        <v/>
      </c>
      <c r="J188" s="11"/>
    </row>
    <row r="189" spans="1:10" ht="15.75" customHeight="1" x14ac:dyDescent="0.25">
      <c r="A189" s="11"/>
      <c r="B189" s="11"/>
      <c r="C189" s="11"/>
      <c r="D189" s="11"/>
      <c r="E189" s="11"/>
      <c r="F189" s="11"/>
      <c r="G189" s="11"/>
      <c r="H189" s="11"/>
      <c r="I189" s="7" t="str">
        <f t="shared" si="2"/>
        <v/>
      </c>
      <c r="J189" s="11"/>
    </row>
    <row r="190" spans="1:10" ht="15.75" customHeight="1" x14ac:dyDescent="0.25">
      <c r="A190" s="11"/>
      <c r="B190" s="11"/>
      <c r="C190" s="11"/>
      <c r="D190" s="11"/>
      <c r="E190" s="11"/>
      <c r="F190" s="11"/>
      <c r="G190" s="11"/>
      <c r="H190" s="11"/>
      <c r="I190" s="7" t="str">
        <f t="shared" si="2"/>
        <v/>
      </c>
      <c r="J190" s="11"/>
    </row>
    <row r="191" spans="1:10" ht="15.75" customHeight="1" x14ac:dyDescent="0.25">
      <c r="A191" s="11"/>
      <c r="B191" s="11"/>
      <c r="C191" s="11"/>
      <c r="D191" s="11"/>
      <c r="E191" s="11"/>
      <c r="F191" s="11"/>
      <c r="G191" s="11"/>
      <c r="H191" s="11"/>
      <c r="I191" s="7" t="str">
        <f t="shared" si="2"/>
        <v/>
      </c>
      <c r="J191" s="11"/>
    </row>
    <row r="192" spans="1:10" ht="15.75" customHeight="1" x14ac:dyDescent="0.25">
      <c r="A192" s="11"/>
      <c r="B192" s="11"/>
      <c r="C192" s="11"/>
      <c r="D192" s="11"/>
      <c r="E192" s="11"/>
      <c r="F192" s="11"/>
      <c r="G192" s="11"/>
      <c r="H192" s="11"/>
      <c r="I192" s="7" t="str">
        <f t="shared" si="2"/>
        <v/>
      </c>
      <c r="J192" s="11"/>
    </row>
    <row r="193" spans="1:10" ht="15.75" customHeight="1" x14ac:dyDescent="0.25">
      <c r="A193" s="11"/>
      <c r="B193" s="11"/>
      <c r="C193" s="11"/>
      <c r="D193" s="11"/>
      <c r="E193" s="11"/>
      <c r="F193" s="11"/>
      <c r="G193" s="11"/>
      <c r="H193" s="11"/>
      <c r="I193" s="7" t="str">
        <f t="shared" si="2"/>
        <v/>
      </c>
      <c r="J193" s="11"/>
    </row>
    <row r="194" spans="1:10" ht="15.75" customHeight="1" x14ac:dyDescent="0.25">
      <c r="A194" s="11"/>
      <c r="B194" s="11"/>
      <c r="C194" s="11"/>
      <c r="D194" s="11"/>
      <c r="E194" s="11"/>
      <c r="F194" s="11"/>
      <c r="G194" s="11"/>
      <c r="H194" s="11"/>
      <c r="I194" s="7" t="str">
        <f t="shared" si="2"/>
        <v/>
      </c>
      <c r="J194" s="11"/>
    </row>
    <row r="195" spans="1:10" ht="15.75" customHeight="1" x14ac:dyDescent="0.25">
      <c r="A195" s="11"/>
      <c r="B195" s="11"/>
      <c r="C195" s="11"/>
      <c r="D195" s="11"/>
      <c r="E195" s="11"/>
      <c r="F195" s="11"/>
      <c r="G195" s="11"/>
      <c r="H195" s="11"/>
      <c r="I195" s="7" t="str">
        <f t="shared" ref="I195:I258" si="3">IF(B195="","",TEXT(D195,"MMMM"))</f>
        <v/>
      </c>
      <c r="J195" s="11"/>
    </row>
    <row r="196" spans="1:10" ht="15.75" customHeight="1" x14ac:dyDescent="0.25">
      <c r="A196" s="11"/>
      <c r="B196" s="11"/>
      <c r="C196" s="11"/>
      <c r="D196" s="11"/>
      <c r="E196" s="11"/>
      <c r="F196" s="11"/>
      <c r="G196" s="11"/>
      <c r="H196" s="11"/>
      <c r="I196" s="7" t="str">
        <f t="shared" si="3"/>
        <v/>
      </c>
      <c r="J196" s="11"/>
    </row>
    <row r="197" spans="1:10" ht="15.75" customHeight="1" x14ac:dyDescent="0.25">
      <c r="A197" s="11"/>
      <c r="B197" s="11"/>
      <c r="C197" s="11"/>
      <c r="D197" s="11"/>
      <c r="E197" s="11"/>
      <c r="F197" s="11"/>
      <c r="G197" s="11"/>
      <c r="H197" s="11"/>
      <c r="I197" s="7" t="str">
        <f t="shared" si="3"/>
        <v/>
      </c>
      <c r="J197" s="11"/>
    </row>
    <row r="198" spans="1:10" ht="15.75" customHeight="1" x14ac:dyDescent="0.25">
      <c r="A198" s="11"/>
      <c r="B198" s="11"/>
      <c r="C198" s="11"/>
      <c r="D198" s="11"/>
      <c r="E198" s="11"/>
      <c r="F198" s="11"/>
      <c r="G198" s="11"/>
      <c r="H198" s="11"/>
      <c r="I198" s="7" t="str">
        <f t="shared" si="3"/>
        <v/>
      </c>
      <c r="J198" s="11"/>
    </row>
    <row r="199" spans="1:10" ht="15.75" customHeight="1" x14ac:dyDescent="0.25">
      <c r="A199" s="11"/>
      <c r="B199" s="11"/>
      <c r="C199" s="11"/>
      <c r="D199" s="11"/>
      <c r="E199" s="11"/>
      <c r="F199" s="11"/>
      <c r="G199" s="11"/>
      <c r="H199" s="11"/>
      <c r="I199" s="7" t="str">
        <f t="shared" si="3"/>
        <v/>
      </c>
      <c r="J199" s="11"/>
    </row>
    <row r="200" spans="1:10" ht="15.75" customHeight="1" x14ac:dyDescent="0.25">
      <c r="A200" s="11"/>
      <c r="B200" s="11"/>
      <c r="C200" s="11"/>
      <c r="D200" s="11"/>
      <c r="E200" s="11"/>
      <c r="F200" s="11"/>
      <c r="G200" s="11"/>
      <c r="H200" s="11"/>
      <c r="I200" s="7" t="str">
        <f t="shared" si="3"/>
        <v/>
      </c>
      <c r="J200" s="11"/>
    </row>
    <row r="201" spans="1:10" ht="15.75" customHeight="1" x14ac:dyDescent="0.25">
      <c r="A201" s="11"/>
      <c r="B201" s="11"/>
      <c r="C201" s="11"/>
      <c r="D201" s="11"/>
      <c r="E201" s="11"/>
      <c r="F201" s="11"/>
      <c r="G201" s="11"/>
      <c r="H201" s="11"/>
      <c r="I201" s="7" t="str">
        <f t="shared" si="3"/>
        <v/>
      </c>
      <c r="J201" s="11"/>
    </row>
    <row r="202" spans="1:10" ht="15.75" customHeight="1" x14ac:dyDescent="0.25">
      <c r="A202" s="11"/>
      <c r="B202" s="11"/>
      <c r="C202" s="11"/>
      <c r="D202" s="11"/>
      <c r="E202" s="11"/>
      <c r="F202" s="11"/>
      <c r="G202" s="11"/>
      <c r="H202" s="11"/>
      <c r="I202" s="7" t="str">
        <f t="shared" si="3"/>
        <v/>
      </c>
      <c r="J202" s="11"/>
    </row>
    <row r="203" spans="1:10" ht="15.75" customHeight="1" x14ac:dyDescent="0.25">
      <c r="A203" s="11"/>
      <c r="B203" s="11"/>
      <c r="C203" s="11"/>
      <c r="D203" s="11"/>
      <c r="E203" s="11"/>
      <c r="F203" s="11"/>
      <c r="G203" s="11"/>
      <c r="H203" s="11"/>
      <c r="I203" s="7" t="str">
        <f t="shared" si="3"/>
        <v/>
      </c>
      <c r="J203" s="11"/>
    </row>
    <row r="204" spans="1:10" ht="15.75" customHeight="1" x14ac:dyDescent="0.25">
      <c r="A204" s="11"/>
      <c r="B204" s="11"/>
      <c r="C204" s="11"/>
      <c r="D204" s="11"/>
      <c r="E204" s="11"/>
      <c r="F204" s="11"/>
      <c r="G204" s="11"/>
      <c r="H204" s="11"/>
      <c r="I204" s="7" t="str">
        <f t="shared" si="3"/>
        <v/>
      </c>
      <c r="J204" s="11"/>
    </row>
    <row r="205" spans="1:10" ht="15.75" customHeight="1" x14ac:dyDescent="0.25">
      <c r="A205" s="11"/>
      <c r="B205" s="11"/>
      <c r="C205" s="11"/>
      <c r="D205" s="11"/>
      <c r="E205" s="11"/>
      <c r="F205" s="11"/>
      <c r="G205" s="11"/>
      <c r="H205" s="11"/>
      <c r="I205" s="7" t="str">
        <f t="shared" si="3"/>
        <v/>
      </c>
      <c r="J205" s="11"/>
    </row>
    <row r="206" spans="1:10" ht="15.75" customHeight="1" x14ac:dyDescent="0.25">
      <c r="A206" s="11"/>
      <c r="B206" s="11"/>
      <c r="C206" s="11"/>
      <c r="D206" s="11"/>
      <c r="E206" s="11"/>
      <c r="F206" s="11"/>
      <c r="G206" s="11"/>
      <c r="H206" s="11"/>
      <c r="I206" s="7" t="str">
        <f t="shared" si="3"/>
        <v/>
      </c>
      <c r="J206" s="11"/>
    </row>
    <row r="207" spans="1:10" ht="15.75" customHeight="1" x14ac:dyDescent="0.25">
      <c r="A207" s="11"/>
      <c r="B207" s="11"/>
      <c r="C207" s="11"/>
      <c r="D207" s="11"/>
      <c r="E207" s="11"/>
      <c r="F207" s="11"/>
      <c r="G207" s="11"/>
      <c r="H207" s="11"/>
      <c r="I207" s="7" t="str">
        <f t="shared" si="3"/>
        <v/>
      </c>
      <c r="J207" s="11"/>
    </row>
    <row r="208" spans="1:10" ht="15.75" customHeight="1" x14ac:dyDescent="0.25">
      <c r="A208" s="11"/>
      <c r="B208" s="11"/>
      <c r="C208" s="11"/>
      <c r="D208" s="11"/>
      <c r="E208" s="11"/>
      <c r="F208" s="11"/>
      <c r="G208" s="11"/>
      <c r="H208" s="11"/>
      <c r="I208" s="7" t="str">
        <f t="shared" si="3"/>
        <v/>
      </c>
      <c r="J208" s="11"/>
    </row>
    <row r="209" spans="1:10" ht="15.75" customHeight="1" x14ac:dyDescent="0.25">
      <c r="A209" s="11"/>
      <c r="B209" s="11"/>
      <c r="C209" s="11"/>
      <c r="D209" s="11"/>
      <c r="E209" s="11"/>
      <c r="F209" s="11"/>
      <c r="G209" s="11"/>
      <c r="H209" s="11"/>
      <c r="I209" s="7" t="str">
        <f t="shared" si="3"/>
        <v/>
      </c>
      <c r="J209" s="11"/>
    </row>
    <row r="210" spans="1:10" ht="15.75" customHeight="1" x14ac:dyDescent="0.25">
      <c r="A210" s="11"/>
      <c r="B210" s="11"/>
      <c r="C210" s="11"/>
      <c r="D210" s="11"/>
      <c r="E210" s="11"/>
      <c r="F210" s="11"/>
      <c r="G210" s="11"/>
      <c r="H210" s="11"/>
      <c r="I210" s="7" t="str">
        <f t="shared" si="3"/>
        <v/>
      </c>
      <c r="J210" s="11"/>
    </row>
    <row r="211" spans="1:10" ht="15.75" customHeight="1" x14ac:dyDescent="0.25">
      <c r="A211" s="11"/>
      <c r="B211" s="11"/>
      <c r="C211" s="11"/>
      <c r="D211" s="11"/>
      <c r="E211" s="11"/>
      <c r="F211" s="11"/>
      <c r="G211" s="11"/>
      <c r="H211" s="11"/>
      <c r="I211" s="7" t="str">
        <f t="shared" si="3"/>
        <v/>
      </c>
      <c r="J211" s="11"/>
    </row>
    <row r="212" spans="1:10" ht="15.75" customHeight="1" x14ac:dyDescent="0.25">
      <c r="A212" s="11"/>
      <c r="B212" s="11"/>
      <c r="C212" s="11"/>
      <c r="D212" s="11"/>
      <c r="E212" s="11"/>
      <c r="F212" s="11"/>
      <c r="G212" s="11"/>
      <c r="H212" s="11"/>
      <c r="I212" s="7" t="str">
        <f t="shared" si="3"/>
        <v/>
      </c>
      <c r="J212" s="11"/>
    </row>
    <row r="213" spans="1:10" ht="15.75" customHeight="1" x14ac:dyDescent="0.25">
      <c r="A213" s="11"/>
      <c r="B213" s="11"/>
      <c r="C213" s="11"/>
      <c r="D213" s="11"/>
      <c r="E213" s="11"/>
      <c r="F213" s="11"/>
      <c r="G213" s="11"/>
      <c r="H213" s="11"/>
      <c r="I213" s="7" t="str">
        <f t="shared" si="3"/>
        <v/>
      </c>
      <c r="J213" s="11"/>
    </row>
    <row r="214" spans="1:10" ht="15.75" customHeight="1" x14ac:dyDescent="0.25">
      <c r="A214" s="11"/>
      <c r="B214" s="11"/>
      <c r="C214" s="11"/>
      <c r="D214" s="11"/>
      <c r="E214" s="11"/>
      <c r="F214" s="11"/>
      <c r="G214" s="11"/>
      <c r="H214" s="11"/>
      <c r="I214" s="7" t="str">
        <f t="shared" si="3"/>
        <v/>
      </c>
      <c r="J214" s="11"/>
    </row>
    <row r="215" spans="1:10" ht="15.75" customHeight="1" x14ac:dyDescent="0.25">
      <c r="A215" s="11"/>
      <c r="B215" s="11"/>
      <c r="C215" s="11"/>
      <c r="D215" s="11"/>
      <c r="E215" s="11"/>
      <c r="F215" s="11"/>
      <c r="G215" s="11"/>
      <c r="H215" s="11"/>
      <c r="I215" s="7" t="str">
        <f t="shared" si="3"/>
        <v/>
      </c>
      <c r="J215" s="11"/>
    </row>
    <row r="216" spans="1:10" ht="15.75" customHeight="1" x14ac:dyDescent="0.25">
      <c r="A216" s="11"/>
      <c r="B216" s="11"/>
      <c r="C216" s="11"/>
      <c r="D216" s="11"/>
      <c r="E216" s="11"/>
      <c r="F216" s="11"/>
      <c r="G216" s="11"/>
      <c r="H216" s="11"/>
      <c r="I216" s="7" t="str">
        <f t="shared" si="3"/>
        <v/>
      </c>
      <c r="J216" s="11"/>
    </row>
    <row r="217" spans="1:10" ht="15.75" customHeight="1" x14ac:dyDescent="0.25">
      <c r="A217" s="11"/>
      <c r="B217" s="11"/>
      <c r="C217" s="11"/>
      <c r="D217" s="11"/>
      <c r="E217" s="11"/>
      <c r="F217" s="11"/>
      <c r="G217" s="11"/>
      <c r="H217" s="11"/>
      <c r="I217" s="7" t="str">
        <f t="shared" si="3"/>
        <v/>
      </c>
      <c r="J217" s="11"/>
    </row>
    <row r="218" spans="1:10" ht="15.75" customHeight="1" x14ac:dyDescent="0.25">
      <c r="A218" s="11"/>
      <c r="B218" s="11"/>
      <c r="C218" s="11"/>
      <c r="D218" s="11"/>
      <c r="E218" s="11"/>
      <c r="F218" s="11"/>
      <c r="G218" s="11"/>
      <c r="H218" s="11"/>
      <c r="I218" s="7" t="str">
        <f t="shared" si="3"/>
        <v/>
      </c>
      <c r="J218" s="11"/>
    </row>
    <row r="219" spans="1:10" ht="15.75" customHeight="1" x14ac:dyDescent="0.25">
      <c r="A219" s="11"/>
      <c r="B219" s="11"/>
      <c r="C219" s="11"/>
      <c r="D219" s="11"/>
      <c r="E219" s="11"/>
      <c r="F219" s="11"/>
      <c r="G219" s="11"/>
      <c r="H219" s="11"/>
      <c r="I219" s="7" t="str">
        <f t="shared" si="3"/>
        <v/>
      </c>
      <c r="J219" s="11"/>
    </row>
    <row r="220" spans="1:10" ht="15.75" customHeight="1" x14ac:dyDescent="0.25">
      <c r="A220" s="11"/>
      <c r="B220" s="11"/>
      <c r="C220" s="11"/>
      <c r="D220" s="11"/>
      <c r="E220" s="11"/>
      <c r="F220" s="11"/>
      <c r="G220" s="11"/>
      <c r="H220" s="11"/>
      <c r="I220" s="7" t="str">
        <f t="shared" si="3"/>
        <v/>
      </c>
      <c r="J220" s="11"/>
    </row>
    <row r="221" spans="1:10" ht="15.75" customHeight="1" x14ac:dyDescent="0.25">
      <c r="A221" s="11"/>
      <c r="B221" s="11"/>
      <c r="C221" s="11"/>
      <c r="D221" s="11"/>
      <c r="E221" s="11"/>
      <c r="F221" s="11"/>
      <c r="G221" s="11"/>
      <c r="H221" s="11"/>
      <c r="I221" s="7" t="str">
        <f t="shared" si="3"/>
        <v/>
      </c>
      <c r="J221" s="11"/>
    </row>
    <row r="222" spans="1:10" ht="15.75" customHeight="1" x14ac:dyDescent="0.25">
      <c r="A222" s="11"/>
      <c r="B222" s="11"/>
      <c r="C222" s="11"/>
      <c r="D222" s="11"/>
      <c r="E222" s="11"/>
      <c r="F222" s="11"/>
      <c r="G222" s="11"/>
      <c r="H222" s="11"/>
      <c r="I222" s="7" t="str">
        <f t="shared" si="3"/>
        <v/>
      </c>
      <c r="J222" s="11"/>
    </row>
    <row r="223" spans="1:10" ht="15.75" customHeight="1" x14ac:dyDescent="0.25">
      <c r="A223" s="11"/>
      <c r="B223" s="11"/>
      <c r="C223" s="11"/>
      <c r="D223" s="11"/>
      <c r="E223" s="11"/>
      <c r="F223" s="11"/>
      <c r="G223" s="11"/>
      <c r="H223" s="11"/>
      <c r="I223" s="7" t="str">
        <f t="shared" si="3"/>
        <v/>
      </c>
      <c r="J223" s="11"/>
    </row>
    <row r="224" spans="1:10" ht="15.75" customHeight="1" x14ac:dyDescent="0.25">
      <c r="A224" s="11"/>
      <c r="B224" s="11"/>
      <c r="C224" s="11"/>
      <c r="D224" s="11"/>
      <c r="E224" s="11"/>
      <c r="F224" s="11"/>
      <c r="G224" s="11"/>
      <c r="H224" s="11"/>
      <c r="I224" s="7" t="str">
        <f t="shared" si="3"/>
        <v/>
      </c>
      <c r="J224" s="11"/>
    </row>
    <row r="225" spans="1:10" ht="15.75" customHeight="1" x14ac:dyDescent="0.25">
      <c r="A225" s="11"/>
      <c r="B225" s="11"/>
      <c r="C225" s="11"/>
      <c r="D225" s="11"/>
      <c r="E225" s="11"/>
      <c r="F225" s="11"/>
      <c r="G225" s="11"/>
      <c r="H225" s="11"/>
      <c r="I225" s="7" t="str">
        <f t="shared" si="3"/>
        <v/>
      </c>
      <c r="J225" s="11"/>
    </row>
    <row r="226" spans="1:10" ht="15.75" customHeight="1" x14ac:dyDescent="0.25">
      <c r="A226" s="11"/>
      <c r="B226" s="11"/>
      <c r="C226" s="11"/>
      <c r="D226" s="11"/>
      <c r="E226" s="11"/>
      <c r="F226" s="11"/>
      <c r="G226" s="11"/>
      <c r="H226" s="11"/>
      <c r="I226" s="7" t="str">
        <f t="shared" si="3"/>
        <v/>
      </c>
      <c r="J226" s="11"/>
    </row>
    <row r="227" spans="1:10" ht="15.75" customHeight="1" x14ac:dyDescent="0.25">
      <c r="A227" s="11"/>
      <c r="B227" s="11"/>
      <c r="C227" s="11"/>
      <c r="D227" s="11"/>
      <c r="E227" s="11"/>
      <c r="F227" s="11"/>
      <c r="G227" s="11"/>
      <c r="H227" s="11"/>
      <c r="I227" s="7" t="str">
        <f t="shared" si="3"/>
        <v/>
      </c>
      <c r="J227" s="11"/>
    </row>
    <row r="228" spans="1:10" ht="15.75" customHeight="1" x14ac:dyDescent="0.25">
      <c r="A228" s="11"/>
      <c r="B228" s="11"/>
      <c r="C228" s="11"/>
      <c r="D228" s="11"/>
      <c r="E228" s="11"/>
      <c r="F228" s="11"/>
      <c r="G228" s="11"/>
      <c r="H228" s="11"/>
      <c r="I228" s="7" t="str">
        <f t="shared" si="3"/>
        <v/>
      </c>
      <c r="J228" s="11"/>
    </row>
    <row r="229" spans="1:10" ht="15.75" customHeight="1" x14ac:dyDescent="0.25">
      <c r="A229" s="11"/>
      <c r="B229" s="11"/>
      <c r="C229" s="11"/>
      <c r="D229" s="11"/>
      <c r="E229" s="11"/>
      <c r="F229" s="11"/>
      <c r="G229" s="11"/>
      <c r="H229" s="11"/>
      <c r="I229" s="7" t="str">
        <f t="shared" si="3"/>
        <v/>
      </c>
      <c r="J229" s="11"/>
    </row>
    <row r="230" spans="1:10" ht="15.75" customHeight="1" x14ac:dyDescent="0.25">
      <c r="A230" s="11"/>
      <c r="B230" s="11"/>
      <c r="C230" s="11"/>
      <c r="D230" s="11"/>
      <c r="E230" s="11"/>
      <c r="F230" s="11"/>
      <c r="G230" s="11"/>
      <c r="H230" s="11"/>
      <c r="I230" s="7" t="str">
        <f t="shared" si="3"/>
        <v/>
      </c>
      <c r="J230" s="11"/>
    </row>
    <row r="231" spans="1:10" ht="15.75" customHeight="1" x14ac:dyDescent="0.25">
      <c r="A231" s="11"/>
      <c r="B231" s="11"/>
      <c r="C231" s="11"/>
      <c r="D231" s="11"/>
      <c r="E231" s="11"/>
      <c r="F231" s="11"/>
      <c r="G231" s="11"/>
      <c r="H231" s="11"/>
      <c r="I231" s="7" t="str">
        <f t="shared" si="3"/>
        <v/>
      </c>
      <c r="J231" s="11"/>
    </row>
    <row r="232" spans="1:10" ht="15.75" customHeight="1" x14ac:dyDescent="0.25">
      <c r="A232" s="11"/>
      <c r="B232" s="11"/>
      <c r="C232" s="11"/>
      <c r="D232" s="11"/>
      <c r="E232" s="11"/>
      <c r="F232" s="11"/>
      <c r="G232" s="11"/>
      <c r="H232" s="11"/>
      <c r="I232" s="7" t="str">
        <f t="shared" si="3"/>
        <v/>
      </c>
      <c r="J232" s="11"/>
    </row>
    <row r="233" spans="1:10" ht="15.75" customHeight="1" x14ac:dyDescent="0.25">
      <c r="A233" s="11"/>
      <c r="B233" s="11"/>
      <c r="C233" s="11"/>
      <c r="D233" s="11"/>
      <c r="E233" s="11"/>
      <c r="F233" s="11"/>
      <c r="G233" s="11"/>
      <c r="H233" s="11"/>
      <c r="I233" s="7" t="str">
        <f t="shared" si="3"/>
        <v/>
      </c>
      <c r="J233" s="11"/>
    </row>
    <row r="234" spans="1:10" ht="15.75" customHeight="1" x14ac:dyDescent="0.25">
      <c r="A234" s="11"/>
      <c r="B234" s="11"/>
      <c r="C234" s="11"/>
      <c r="D234" s="11"/>
      <c r="E234" s="11"/>
      <c r="F234" s="11"/>
      <c r="G234" s="11"/>
      <c r="H234" s="11"/>
      <c r="I234" s="7" t="str">
        <f t="shared" si="3"/>
        <v/>
      </c>
      <c r="J234" s="11"/>
    </row>
    <row r="235" spans="1:10" ht="15.75" customHeight="1" x14ac:dyDescent="0.25">
      <c r="A235" s="11"/>
      <c r="B235" s="11"/>
      <c r="C235" s="11"/>
      <c r="D235" s="11"/>
      <c r="E235" s="11"/>
      <c r="F235" s="11"/>
      <c r="G235" s="11"/>
      <c r="H235" s="11"/>
      <c r="I235" s="7" t="str">
        <f t="shared" si="3"/>
        <v/>
      </c>
      <c r="J235" s="11"/>
    </row>
    <row r="236" spans="1:10" ht="15.75" customHeight="1" x14ac:dyDescent="0.25">
      <c r="A236" s="11"/>
      <c r="B236" s="11"/>
      <c r="C236" s="11"/>
      <c r="D236" s="11"/>
      <c r="E236" s="11"/>
      <c r="F236" s="11"/>
      <c r="G236" s="11"/>
      <c r="H236" s="11"/>
      <c r="I236" s="7" t="str">
        <f t="shared" si="3"/>
        <v/>
      </c>
      <c r="J236" s="11"/>
    </row>
    <row r="237" spans="1:10" ht="15.75" customHeight="1" x14ac:dyDescent="0.25">
      <c r="A237" s="11"/>
      <c r="B237" s="11"/>
      <c r="C237" s="11"/>
      <c r="D237" s="11"/>
      <c r="E237" s="11"/>
      <c r="F237" s="11"/>
      <c r="G237" s="11"/>
      <c r="H237" s="11"/>
      <c r="I237" s="7" t="str">
        <f t="shared" si="3"/>
        <v/>
      </c>
      <c r="J237" s="11"/>
    </row>
    <row r="238" spans="1:10" ht="15.75" customHeight="1" x14ac:dyDescent="0.25">
      <c r="A238" s="11"/>
      <c r="B238" s="11"/>
      <c r="C238" s="11"/>
      <c r="D238" s="11"/>
      <c r="E238" s="11"/>
      <c r="F238" s="11"/>
      <c r="G238" s="11"/>
      <c r="H238" s="11"/>
      <c r="I238" s="7" t="str">
        <f t="shared" si="3"/>
        <v/>
      </c>
      <c r="J238" s="11"/>
    </row>
    <row r="239" spans="1:10" ht="15.75" customHeight="1" x14ac:dyDescent="0.25">
      <c r="A239" s="11"/>
      <c r="B239" s="11"/>
      <c r="C239" s="11"/>
      <c r="D239" s="11"/>
      <c r="E239" s="11"/>
      <c r="F239" s="11"/>
      <c r="G239" s="11"/>
      <c r="H239" s="11"/>
      <c r="I239" s="7" t="str">
        <f t="shared" si="3"/>
        <v/>
      </c>
      <c r="J239" s="11"/>
    </row>
    <row r="240" spans="1:10" ht="15.75" customHeight="1" x14ac:dyDescent="0.25">
      <c r="A240" s="11"/>
      <c r="B240" s="11"/>
      <c r="C240" s="11"/>
      <c r="D240" s="11"/>
      <c r="E240" s="11"/>
      <c r="F240" s="11"/>
      <c r="G240" s="11"/>
      <c r="H240" s="11"/>
      <c r="I240" s="7" t="str">
        <f t="shared" si="3"/>
        <v/>
      </c>
      <c r="J240" s="11"/>
    </row>
    <row r="241" spans="1:10" ht="15.75" customHeight="1" x14ac:dyDescent="0.25">
      <c r="A241" s="11"/>
      <c r="B241" s="11"/>
      <c r="C241" s="11"/>
      <c r="D241" s="11"/>
      <c r="E241" s="11"/>
      <c r="F241" s="11"/>
      <c r="G241" s="11"/>
      <c r="H241" s="11"/>
      <c r="I241" s="7" t="str">
        <f t="shared" si="3"/>
        <v/>
      </c>
      <c r="J241" s="11"/>
    </row>
    <row r="242" spans="1:10" ht="15.75" customHeight="1" x14ac:dyDescent="0.25">
      <c r="A242" s="11"/>
      <c r="B242" s="11"/>
      <c r="C242" s="11"/>
      <c r="D242" s="11"/>
      <c r="E242" s="11"/>
      <c r="F242" s="11"/>
      <c r="G242" s="11"/>
      <c r="H242" s="11"/>
      <c r="I242" s="7" t="str">
        <f t="shared" si="3"/>
        <v/>
      </c>
      <c r="J242" s="11"/>
    </row>
    <row r="243" spans="1:10" ht="15.75" customHeight="1" x14ac:dyDescent="0.25">
      <c r="A243" s="11"/>
      <c r="B243" s="11"/>
      <c r="C243" s="11"/>
      <c r="D243" s="11"/>
      <c r="E243" s="11"/>
      <c r="F243" s="11"/>
      <c r="G243" s="11"/>
      <c r="H243" s="11"/>
      <c r="I243" s="7" t="str">
        <f t="shared" si="3"/>
        <v/>
      </c>
      <c r="J243" s="11"/>
    </row>
    <row r="244" spans="1:10" ht="15.75" customHeight="1" x14ac:dyDescent="0.25">
      <c r="A244" s="11"/>
      <c r="B244" s="11"/>
      <c r="C244" s="11"/>
      <c r="D244" s="11"/>
      <c r="E244" s="11"/>
      <c r="F244" s="11"/>
      <c r="G244" s="11"/>
      <c r="H244" s="11"/>
      <c r="I244" s="7" t="str">
        <f t="shared" si="3"/>
        <v/>
      </c>
      <c r="J244" s="11"/>
    </row>
    <row r="245" spans="1:10" ht="15.75" customHeight="1" x14ac:dyDescent="0.25">
      <c r="A245" s="11"/>
      <c r="B245" s="11"/>
      <c r="C245" s="11"/>
      <c r="D245" s="11"/>
      <c r="E245" s="11"/>
      <c r="F245" s="11"/>
      <c r="G245" s="11"/>
      <c r="H245" s="11"/>
      <c r="I245" s="7" t="str">
        <f t="shared" si="3"/>
        <v/>
      </c>
      <c r="J245" s="11"/>
    </row>
    <row r="246" spans="1:10" ht="15.75" customHeight="1" x14ac:dyDescent="0.25">
      <c r="A246" s="11"/>
      <c r="B246" s="11"/>
      <c r="C246" s="11"/>
      <c r="D246" s="11"/>
      <c r="E246" s="11"/>
      <c r="F246" s="11"/>
      <c r="G246" s="11"/>
      <c r="H246" s="11"/>
      <c r="I246" s="7" t="str">
        <f t="shared" si="3"/>
        <v/>
      </c>
      <c r="J246" s="11"/>
    </row>
    <row r="247" spans="1:10" ht="15.75" customHeight="1" x14ac:dyDescent="0.25">
      <c r="A247" s="11"/>
      <c r="B247" s="11"/>
      <c r="C247" s="11"/>
      <c r="D247" s="11"/>
      <c r="E247" s="11"/>
      <c r="F247" s="11"/>
      <c r="G247" s="11"/>
      <c r="H247" s="11"/>
      <c r="I247" s="7" t="str">
        <f t="shared" si="3"/>
        <v/>
      </c>
      <c r="J247" s="11"/>
    </row>
    <row r="248" spans="1:10" ht="15.75" customHeight="1" x14ac:dyDescent="0.25">
      <c r="A248" s="11"/>
      <c r="B248" s="11"/>
      <c r="C248" s="11"/>
      <c r="D248" s="11"/>
      <c r="E248" s="11"/>
      <c r="F248" s="11"/>
      <c r="G248" s="11"/>
      <c r="H248" s="11"/>
      <c r="I248" s="7" t="str">
        <f t="shared" si="3"/>
        <v/>
      </c>
      <c r="J248" s="11"/>
    </row>
    <row r="249" spans="1:10" ht="15.75" customHeight="1" x14ac:dyDescent="0.25">
      <c r="A249" s="11"/>
      <c r="B249" s="11"/>
      <c r="C249" s="11"/>
      <c r="D249" s="11"/>
      <c r="E249" s="11"/>
      <c r="F249" s="11"/>
      <c r="G249" s="11"/>
      <c r="H249" s="11"/>
      <c r="I249" s="7" t="str">
        <f t="shared" si="3"/>
        <v/>
      </c>
      <c r="J249" s="11"/>
    </row>
    <row r="250" spans="1:10" ht="15.75" customHeight="1" x14ac:dyDescent="0.25">
      <c r="A250" s="11"/>
      <c r="B250" s="11"/>
      <c r="C250" s="11"/>
      <c r="D250" s="11"/>
      <c r="E250" s="11"/>
      <c r="F250" s="11"/>
      <c r="G250" s="11"/>
      <c r="H250" s="11"/>
      <c r="I250" s="7" t="str">
        <f t="shared" si="3"/>
        <v/>
      </c>
      <c r="J250" s="11"/>
    </row>
    <row r="251" spans="1:10" ht="15.75" customHeight="1" x14ac:dyDescent="0.25">
      <c r="A251" s="11"/>
      <c r="B251" s="11"/>
      <c r="C251" s="11"/>
      <c r="D251" s="11"/>
      <c r="E251" s="11"/>
      <c r="F251" s="11"/>
      <c r="G251" s="11"/>
      <c r="H251" s="11"/>
      <c r="I251" s="7" t="str">
        <f t="shared" si="3"/>
        <v/>
      </c>
      <c r="J251" s="11"/>
    </row>
    <row r="252" spans="1:10" ht="15.75" customHeight="1" x14ac:dyDescent="0.25">
      <c r="A252" s="11"/>
      <c r="B252" s="11"/>
      <c r="C252" s="11"/>
      <c r="D252" s="11"/>
      <c r="E252" s="11"/>
      <c r="F252" s="11"/>
      <c r="G252" s="11"/>
      <c r="H252" s="11"/>
      <c r="I252" s="7" t="str">
        <f t="shared" si="3"/>
        <v/>
      </c>
      <c r="J252" s="11"/>
    </row>
    <row r="253" spans="1:10" ht="15.75" customHeight="1" x14ac:dyDescent="0.25">
      <c r="A253" s="11"/>
      <c r="B253" s="11"/>
      <c r="C253" s="11"/>
      <c r="D253" s="11"/>
      <c r="E253" s="11"/>
      <c r="F253" s="11"/>
      <c r="G253" s="11"/>
      <c r="H253" s="11"/>
      <c r="I253" s="7" t="str">
        <f t="shared" si="3"/>
        <v/>
      </c>
      <c r="J253" s="11"/>
    </row>
    <row r="254" spans="1:10" ht="15.75" customHeight="1" x14ac:dyDescent="0.25">
      <c r="A254" s="11"/>
      <c r="B254" s="11"/>
      <c r="C254" s="11"/>
      <c r="D254" s="11"/>
      <c r="E254" s="11"/>
      <c r="F254" s="11"/>
      <c r="G254" s="11"/>
      <c r="H254" s="11"/>
      <c r="I254" s="7" t="str">
        <f t="shared" si="3"/>
        <v/>
      </c>
      <c r="J254" s="11"/>
    </row>
    <row r="255" spans="1:10" ht="15.75" customHeight="1" x14ac:dyDescent="0.25">
      <c r="A255" s="11"/>
      <c r="B255" s="11"/>
      <c r="C255" s="11"/>
      <c r="D255" s="11"/>
      <c r="E255" s="11"/>
      <c r="F255" s="11"/>
      <c r="G255" s="11"/>
      <c r="H255" s="11"/>
      <c r="I255" s="7" t="str">
        <f t="shared" si="3"/>
        <v/>
      </c>
      <c r="J255" s="11"/>
    </row>
    <row r="256" spans="1:10" ht="15.75" customHeight="1" x14ac:dyDescent="0.25">
      <c r="A256" s="11"/>
      <c r="B256" s="11"/>
      <c r="C256" s="11"/>
      <c r="D256" s="11"/>
      <c r="E256" s="11"/>
      <c r="F256" s="11"/>
      <c r="G256" s="11"/>
      <c r="H256" s="11"/>
      <c r="I256" s="7" t="str">
        <f t="shared" si="3"/>
        <v/>
      </c>
      <c r="J256" s="11"/>
    </row>
    <row r="257" spans="1:10" ht="15.75" customHeight="1" x14ac:dyDescent="0.25">
      <c r="A257" s="11"/>
      <c r="B257" s="11"/>
      <c r="C257" s="11"/>
      <c r="D257" s="11"/>
      <c r="E257" s="11"/>
      <c r="F257" s="11"/>
      <c r="G257" s="11"/>
      <c r="H257" s="11"/>
      <c r="I257" s="7" t="str">
        <f t="shared" si="3"/>
        <v/>
      </c>
      <c r="J257" s="11"/>
    </row>
    <row r="258" spans="1:10" ht="15.75" customHeight="1" x14ac:dyDescent="0.25">
      <c r="A258" s="11"/>
      <c r="B258" s="11"/>
      <c r="C258" s="11"/>
      <c r="D258" s="11"/>
      <c r="E258" s="11"/>
      <c r="F258" s="11"/>
      <c r="G258" s="11"/>
      <c r="H258" s="11"/>
      <c r="I258" s="7" t="str">
        <f t="shared" si="3"/>
        <v/>
      </c>
      <c r="J258" s="11"/>
    </row>
    <row r="259" spans="1:10" ht="15.75" customHeight="1" x14ac:dyDescent="0.25">
      <c r="A259" s="11"/>
      <c r="B259" s="11"/>
      <c r="C259" s="11"/>
      <c r="D259" s="11"/>
      <c r="E259" s="11"/>
      <c r="F259" s="11"/>
      <c r="G259" s="11"/>
      <c r="H259" s="11"/>
      <c r="I259" s="7" t="str">
        <f t="shared" ref="I259:I322" si="4">IF(B259="","",TEXT(D259,"MMMM"))</f>
        <v/>
      </c>
      <c r="J259" s="11"/>
    </row>
    <row r="260" spans="1:10" ht="15.75" customHeight="1" x14ac:dyDescent="0.25">
      <c r="A260" s="11"/>
      <c r="B260" s="11"/>
      <c r="C260" s="11"/>
      <c r="D260" s="11"/>
      <c r="E260" s="11"/>
      <c r="F260" s="11"/>
      <c r="G260" s="11"/>
      <c r="H260" s="11"/>
      <c r="I260" s="7" t="str">
        <f t="shared" si="4"/>
        <v/>
      </c>
      <c r="J260" s="11"/>
    </row>
    <row r="261" spans="1:10" ht="15.75" customHeight="1" x14ac:dyDescent="0.25">
      <c r="A261" s="11"/>
      <c r="B261" s="11"/>
      <c r="C261" s="11"/>
      <c r="D261" s="11"/>
      <c r="E261" s="11"/>
      <c r="F261" s="11"/>
      <c r="G261" s="11"/>
      <c r="H261" s="11"/>
      <c r="I261" s="7" t="str">
        <f t="shared" si="4"/>
        <v/>
      </c>
      <c r="J261" s="11"/>
    </row>
    <row r="262" spans="1:10" ht="15.75" customHeight="1" x14ac:dyDescent="0.25">
      <c r="A262" s="11"/>
      <c r="B262" s="11"/>
      <c r="C262" s="11"/>
      <c r="D262" s="11"/>
      <c r="E262" s="11"/>
      <c r="F262" s="11"/>
      <c r="G262" s="11"/>
      <c r="H262" s="11"/>
      <c r="I262" s="7" t="str">
        <f t="shared" si="4"/>
        <v/>
      </c>
      <c r="J262" s="11"/>
    </row>
    <row r="263" spans="1:10" ht="15.75" customHeight="1" x14ac:dyDescent="0.25">
      <c r="A263" s="11"/>
      <c r="B263" s="11"/>
      <c r="C263" s="11"/>
      <c r="D263" s="11"/>
      <c r="E263" s="11"/>
      <c r="F263" s="11"/>
      <c r="G263" s="11"/>
      <c r="H263" s="11"/>
      <c r="I263" s="7" t="str">
        <f t="shared" si="4"/>
        <v/>
      </c>
      <c r="J263" s="11"/>
    </row>
    <row r="264" spans="1:10" ht="15.75" customHeight="1" x14ac:dyDescent="0.25">
      <c r="A264" s="11"/>
      <c r="B264" s="11"/>
      <c r="C264" s="11"/>
      <c r="D264" s="11"/>
      <c r="E264" s="11"/>
      <c r="F264" s="11"/>
      <c r="G264" s="11"/>
      <c r="H264" s="11"/>
      <c r="I264" s="7" t="str">
        <f t="shared" si="4"/>
        <v/>
      </c>
      <c r="J264" s="11"/>
    </row>
    <row r="265" spans="1:10" ht="15.75" customHeight="1" x14ac:dyDescent="0.25">
      <c r="A265" s="11"/>
      <c r="B265" s="11"/>
      <c r="C265" s="11"/>
      <c r="D265" s="11"/>
      <c r="E265" s="11"/>
      <c r="F265" s="11"/>
      <c r="G265" s="11"/>
      <c r="H265" s="11"/>
      <c r="I265" s="7" t="str">
        <f t="shared" si="4"/>
        <v/>
      </c>
      <c r="J265" s="11"/>
    </row>
    <row r="266" spans="1:10" ht="15.75" customHeight="1" x14ac:dyDescent="0.25">
      <c r="A266" s="11"/>
      <c r="B266" s="11"/>
      <c r="C266" s="11"/>
      <c r="D266" s="11"/>
      <c r="E266" s="11"/>
      <c r="F266" s="11"/>
      <c r="G266" s="11"/>
      <c r="H266" s="11"/>
      <c r="I266" s="7" t="str">
        <f t="shared" si="4"/>
        <v/>
      </c>
      <c r="J266" s="11"/>
    </row>
    <row r="267" spans="1:10" ht="15.75" customHeight="1" x14ac:dyDescent="0.25">
      <c r="A267" s="11"/>
      <c r="B267" s="11"/>
      <c r="C267" s="11"/>
      <c r="D267" s="11"/>
      <c r="E267" s="11"/>
      <c r="F267" s="11"/>
      <c r="G267" s="11"/>
      <c r="H267" s="11"/>
      <c r="I267" s="7" t="str">
        <f t="shared" si="4"/>
        <v/>
      </c>
      <c r="J267" s="11"/>
    </row>
    <row r="268" spans="1:10" ht="15.75" customHeight="1" x14ac:dyDescent="0.25">
      <c r="A268" s="11"/>
      <c r="B268" s="11"/>
      <c r="C268" s="11"/>
      <c r="D268" s="11"/>
      <c r="E268" s="11"/>
      <c r="F268" s="11"/>
      <c r="G268" s="11"/>
      <c r="H268" s="11"/>
      <c r="I268" s="7" t="str">
        <f t="shared" si="4"/>
        <v/>
      </c>
      <c r="J268" s="11"/>
    </row>
    <row r="269" spans="1:10" ht="15.75" customHeight="1" x14ac:dyDescent="0.25">
      <c r="A269" s="11"/>
      <c r="B269" s="11"/>
      <c r="C269" s="11"/>
      <c r="D269" s="11"/>
      <c r="E269" s="11"/>
      <c r="F269" s="11"/>
      <c r="G269" s="11"/>
      <c r="H269" s="11"/>
      <c r="I269" s="7" t="str">
        <f t="shared" si="4"/>
        <v/>
      </c>
      <c r="J269" s="11"/>
    </row>
    <row r="270" spans="1:10" ht="15.75" customHeight="1" x14ac:dyDescent="0.25">
      <c r="A270" s="11"/>
      <c r="B270" s="11"/>
      <c r="C270" s="11"/>
      <c r="D270" s="11"/>
      <c r="E270" s="11"/>
      <c r="F270" s="11"/>
      <c r="G270" s="11"/>
      <c r="H270" s="11"/>
      <c r="I270" s="7" t="str">
        <f t="shared" si="4"/>
        <v/>
      </c>
      <c r="J270" s="11"/>
    </row>
    <row r="271" spans="1:10" ht="15.75" customHeight="1" x14ac:dyDescent="0.25">
      <c r="A271" s="11"/>
      <c r="B271" s="11"/>
      <c r="C271" s="11"/>
      <c r="D271" s="11"/>
      <c r="E271" s="11"/>
      <c r="F271" s="11"/>
      <c r="G271" s="11"/>
      <c r="H271" s="11"/>
      <c r="I271" s="7" t="str">
        <f t="shared" si="4"/>
        <v/>
      </c>
      <c r="J271" s="11"/>
    </row>
    <row r="272" spans="1:10" ht="15.75" customHeight="1" x14ac:dyDescent="0.25">
      <c r="A272" s="11"/>
      <c r="B272" s="11"/>
      <c r="C272" s="11"/>
      <c r="D272" s="11"/>
      <c r="E272" s="11"/>
      <c r="F272" s="11"/>
      <c r="G272" s="11"/>
      <c r="H272" s="11"/>
      <c r="I272" s="7" t="str">
        <f t="shared" si="4"/>
        <v/>
      </c>
      <c r="J272" s="11"/>
    </row>
    <row r="273" spans="1:10" ht="15.75" customHeight="1" x14ac:dyDescent="0.25">
      <c r="A273" s="11"/>
      <c r="B273" s="11"/>
      <c r="C273" s="11"/>
      <c r="D273" s="11"/>
      <c r="E273" s="11"/>
      <c r="F273" s="11"/>
      <c r="G273" s="11"/>
      <c r="H273" s="11"/>
      <c r="I273" s="7" t="str">
        <f t="shared" si="4"/>
        <v/>
      </c>
      <c r="J273" s="11"/>
    </row>
    <row r="274" spans="1:10" ht="15.75" customHeight="1" x14ac:dyDescent="0.25">
      <c r="A274" s="11"/>
      <c r="B274" s="11"/>
      <c r="C274" s="11"/>
      <c r="D274" s="11"/>
      <c r="E274" s="11"/>
      <c r="F274" s="11"/>
      <c r="G274" s="11"/>
      <c r="H274" s="11"/>
      <c r="I274" s="7" t="str">
        <f t="shared" si="4"/>
        <v/>
      </c>
      <c r="J274" s="11"/>
    </row>
    <row r="275" spans="1:10" ht="15.75" customHeight="1" x14ac:dyDescent="0.25">
      <c r="A275" s="11"/>
      <c r="B275" s="11"/>
      <c r="C275" s="11"/>
      <c r="D275" s="11"/>
      <c r="E275" s="11"/>
      <c r="F275" s="11"/>
      <c r="G275" s="11"/>
      <c r="H275" s="11"/>
      <c r="I275" s="7" t="str">
        <f t="shared" si="4"/>
        <v/>
      </c>
      <c r="J275" s="11"/>
    </row>
    <row r="276" spans="1:10" ht="15.75" customHeight="1" x14ac:dyDescent="0.25">
      <c r="A276" s="11"/>
      <c r="B276" s="11"/>
      <c r="C276" s="11"/>
      <c r="D276" s="11"/>
      <c r="E276" s="11"/>
      <c r="F276" s="11"/>
      <c r="G276" s="11"/>
      <c r="H276" s="11"/>
      <c r="I276" s="7" t="str">
        <f t="shared" si="4"/>
        <v/>
      </c>
      <c r="J276" s="11"/>
    </row>
    <row r="277" spans="1:10" ht="15.75" customHeight="1" x14ac:dyDescent="0.25">
      <c r="A277" s="11"/>
      <c r="B277" s="11"/>
      <c r="C277" s="11"/>
      <c r="D277" s="11"/>
      <c r="E277" s="11"/>
      <c r="F277" s="11"/>
      <c r="G277" s="11"/>
      <c r="H277" s="11"/>
      <c r="I277" s="7" t="str">
        <f t="shared" si="4"/>
        <v/>
      </c>
      <c r="J277" s="11"/>
    </row>
    <row r="278" spans="1:10" ht="15.75" customHeight="1" x14ac:dyDescent="0.25">
      <c r="A278" s="11"/>
      <c r="B278" s="11"/>
      <c r="C278" s="11"/>
      <c r="D278" s="11"/>
      <c r="E278" s="11"/>
      <c r="F278" s="11"/>
      <c r="G278" s="11"/>
      <c r="H278" s="11"/>
      <c r="I278" s="7" t="str">
        <f t="shared" si="4"/>
        <v/>
      </c>
      <c r="J278" s="11"/>
    </row>
    <row r="279" spans="1:10" ht="15.75" customHeight="1" x14ac:dyDescent="0.25">
      <c r="A279" s="11"/>
      <c r="B279" s="11"/>
      <c r="C279" s="11"/>
      <c r="D279" s="11"/>
      <c r="E279" s="11"/>
      <c r="F279" s="11"/>
      <c r="G279" s="11"/>
      <c r="H279" s="11"/>
      <c r="I279" s="7" t="str">
        <f t="shared" si="4"/>
        <v/>
      </c>
      <c r="J279" s="11"/>
    </row>
    <row r="280" spans="1:10" ht="15.75" customHeight="1" x14ac:dyDescent="0.25">
      <c r="A280" s="11"/>
      <c r="B280" s="11"/>
      <c r="C280" s="11"/>
      <c r="D280" s="11"/>
      <c r="E280" s="11"/>
      <c r="F280" s="11"/>
      <c r="G280" s="11"/>
      <c r="H280" s="11"/>
      <c r="I280" s="7" t="str">
        <f t="shared" si="4"/>
        <v/>
      </c>
      <c r="J280" s="11"/>
    </row>
    <row r="281" spans="1:10" ht="15.75" customHeight="1" x14ac:dyDescent="0.25">
      <c r="A281" s="11"/>
      <c r="B281" s="11"/>
      <c r="C281" s="11"/>
      <c r="D281" s="11"/>
      <c r="E281" s="11"/>
      <c r="F281" s="11"/>
      <c r="G281" s="11"/>
      <c r="H281" s="11"/>
      <c r="I281" s="7" t="str">
        <f t="shared" si="4"/>
        <v/>
      </c>
      <c r="J281" s="11"/>
    </row>
    <row r="282" spans="1:10" ht="15.75" customHeight="1" x14ac:dyDescent="0.25">
      <c r="A282" s="11"/>
      <c r="B282" s="11"/>
      <c r="C282" s="11"/>
      <c r="D282" s="11"/>
      <c r="E282" s="11"/>
      <c r="F282" s="11"/>
      <c r="G282" s="11"/>
      <c r="H282" s="11"/>
      <c r="I282" s="7" t="str">
        <f t="shared" si="4"/>
        <v/>
      </c>
      <c r="J282" s="11"/>
    </row>
    <row r="283" spans="1:10" ht="15.75" customHeight="1" x14ac:dyDescent="0.25">
      <c r="A283" s="11"/>
      <c r="B283" s="11"/>
      <c r="C283" s="11"/>
      <c r="D283" s="11"/>
      <c r="E283" s="11"/>
      <c r="F283" s="11"/>
      <c r="G283" s="11"/>
      <c r="H283" s="11"/>
      <c r="I283" s="7" t="str">
        <f t="shared" si="4"/>
        <v/>
      </c>
      <c r="J283" s="11"/>
    </row>
    <row r="284" spans="1:10" ht="15.75" customHeight="1" x14ac:dyDescent="0.25">
      <c r="A284" s="11"/>
      <c r="B284" s="11"/>
      <c r="C284" s="11"/>
      <c r="D284" s="11"/>
      <c r="E284" s="11"/>
      <c r="F284" s="11"/>
      <c r="G284" s="11"/>
      <c r="H284" s="11"/>
      <c r="I284" s="7" t="str">
        <f t="shared" si="4"/>
        <v/>
      </c>
      <c r="J284" s="11"/>
    </row>
    <row r="285" spans="1:10" ht="15.75" customHeight="1" x14ac:dyDescent="0.25">
      <c r="A285" s="11"/>
      <c r="B285" s="11"/>
      <c r="C285" s="11"/>
      <c r="D285" s="11"/>
      <c r="E285" s="11"/>
      <c r="F285" s="11"/>
      <c r="G285" s="11"/>
      <c r="H285" s="11"/>
      <c r="I285" s="7" t="str">
        <f t="shared" si="4"/>
        <v/>
      </c>
      <c r="J285" s="11"/>
    </row>
    <row r="286" spans="1:10" ht="15.75" customHeight="1" x14ac:dyDescent="0.25">
      <c r="A286" s="11"/>
      <c r="B286" s="11"/>
      <c r="C286" s="11"/>
      <c r="D286" s="11"/>
      <c r="E286" s="11"/>
      <c r="F286" s="11"/>
      <c r="G286" s="11"/>
      <c r="H286" s="11"/>
      <c r="I286" s="7" t="str">
        <f t="shared" si="4"/>
        <v/>
      </c>
      <c r="J286" s="11"/>
    </row>
    <row r="287" spans="1:10" ht="15.75" customHeight="1" x14ac:dyDescent="0.25">
      <c r="A287" s="11"/>
      <c r="B287" s="11"/>
      <c r="C287" s="11"/>
      <c r="D287" s="11"/>
      <c r="E287" s="11"/>
      <c r="F287" s="11"/>
      <c r="G287" s="11"/>
      <c r="H287" s="11"/>
      <c r="I287" s="7" t="str">
        <f t="shared" si="4"/>
        <v/>
      </c>
      <c r="J287" s="11"/>
    </row>
    <row r="288" spans="1:10" ht="15.75" customHeight="1" x14ac:dyDescent="0.25">
      <c r="A288" s="11"/>
      <c r="B288" s="11"/>
      <c r="C288" s="11"/>
      <c r="D288" s="11"/>
      <c r="E288" s="11"/>
      <c r="F288" s="11"/>
      <c r="G288" s="11"/>
      <c r="H288" s="11"/>
      <c r="I288" s="7" t="str">
        <f t="shared" si="4"/>
        <v/>
      </c>
      <c r="J288" s="11"/>
    </row>
    <row r="289" spans="1:10" ht="15.75" customHeight="1" x14ac:dyDescent="0.25">
      <c r="A289" s="11"/>
      <c r="B289" s="11"/>
      <c r="C289" s="11"/>
      <c r="D289" s="11"/>
      <c r="E289" s="11"/>
      <c r="F289" s="11"/>
      <c r="G289" s="11"/>
      <c r="H289" s="11"/>
      <c r="I289" s="7" t="str">
        <f t="shared" si="4"/>
        <v/>
      </c>
      <c r="J289" s="11"/>
    </row>
    <row r="290" spans="1:10" ht="15.75" customHeight="1" x14ac:dyDescent="0.25">
      <c r="A290" s="11"/>
      <c r="B290" s="11"/>
      <c r="C290" s="11"/>
      <c r="D290" s="11"/>
      <c r="E290" s="11"/>
      <c r="F290" s="11"/>
      <c r="G290" s="11"/>
      <c r="H290" s="11"/>
      <c r="I290" s="7" t="str">
        <f t="shared" si="4"/>
        <v/>
      </c>
      <c r="J290" s="11"/>
    </row>
    <row r="291" spans="1:10" ht="15.75" customHeight="1" x14ac:dyDescent="0.25">
      <c r="A291" s="11"/>
      <c r="B291" s="11"/>
      <c r="C291" s="11"/>
      <c r="D291" s="11"/>
      <c r="E291" s="11"/>
      <c r="F291" s="11"/>
      <c r="G291" s="11"/>
      <c r="H291" s="11"/>
      <c r="I291" s="7" t="str">
        <f t="shared" si="4"/>
        <v/>
      </c>
      <c r="J291" s="11"/>
    </row>
    <row r="292" spans="1:10" ht="15.75" customHeight="1" x14ac:dyDescent="0.25">
      <c r="A292" s="11"/>
      <c r="B292" s="11"/>
      <c r="C292" s="11"/>
      <c r="D292" s="11"/>
      <c r="E292" s="11"/>
      <c r="F292" s="11"/>
      <c r="G292" s="11"/>
      <c r="H292" s="11"/>
      <c r="I292" s="7" t="str">
        <f t="shared" si="4"/>
        <v/>
      </c>
      <c r="J292" s="11"/>
    </row>
    <row r="293" spans="1:10" ht="15.75" customHeight="1" x14ac:dyDescent="0.25">
      <c r="A293" s="11"/>
      <c r="B293" s="11"/>
      <c r="C293" s="11"/>
      <c r="D293" s="11"/>
      <c r="E293" s="11"/>
      <c r="F293" s="11"/>
      <c r="G293" s="11"/>
      <c r="H293" s="11"/>
      <c r="I293" s="7" t="str">
        <f t="shared" si="4"/>
        <v/>
      </c>
      <c r="J293" s="11"/>
    </row>
    <row r="294" spans="1:10" ht="15.75" customHeight="1" x14ac:dyDescent="0.25">
      <c r="A294" s="11"/>
      <c r="B294" s="11"/>
      <c r="C294" s="11"/>
      <c r="D294" s="11"/>
      <c r="E294" s="11"/>
      <c r="F294" s="11"/>
      <c r="G294" s="11"/>
      <c r="H294" s="11"/>
      <c r="I294" s="7" t="str">
        <f t="shared" si="4"/>
        <v/>
      </c>
      <c r="J294" s="11"/>
    </row>
    <row r="295" spans="1:10" ht="15.75" customHeight="1" x14ac:dyDescent="0.25">
      <c r="A295" s="11"/>
      <c r="B295" s="11"/>
      <c r="C295" s="11"/>
      <c r="D295" s="11"/>
      <c r="E295" s="11"/>
      <c r="F295" s="11"/>
      <c r="G295" s="11"/>
      <c r="H295" s="11"/>
      <c r="I295" s="7" t="str">
        <f t="shared" si="4"/>
        <v/>
      </c>
      <c r="J295" s="11"/>
    </row>
    <row r="296" spans="1:10" ht="15.75" customHeight="1" x14ac:dyDescent="0.25">
      <c r="A296" s="11"/>
      <c r="B296" s="11"/>
      <c r="C296" s="11"/>
      <c r="D296" s="11"/>
      <c r="E296" s="11"/>
      <c r="F296" s="11"/>
      <c r="G296" s="11"/>
      <c r="H296" s="11"/>
      <c r="I296" s="7" t="str">
        <f t="shared" si="4"/>
        <v/>
      </c>
      <c r="J296" s="11"/>
    </row>
    <row r="297" spans="1:10" ht="15.75" customHeight="1" x14ac:dyDescent="0.25">
      <c r="A297" s="11"/>
      <c r="B297" s="11"/>
      <c r="C297" s="11"/>
      <c r="D297" s="11"/>
      <c r="E297" s="11"/>
      <c r="F297" s="11"/>
      <c r="G297" s="11"/>
      <c r="H297" s="11"/>
      <c r="I297" s="7" t="str">
        <f t="shared" si="4"/>
        <v/>
      </c>
      <c r="J297" s="11"/>
    </row>
    <row r="298" spans="1:10" ht="15.75" customHeight="1" x14ac:dyDescent="0.25">
      <c r="A298" s="11"/>
      <c r="B298" s="11"/>
      <c r="C298" s="11"/>
      <c r="D298" s="11"/>
      <c r="E298" s="11"/>
      <c r="F298" s="11"/>
      <c r="G298" s="11"/>
      <c r="H298" s="11"/>
      <c r="I298" s="7" t="str">
        <f t="shared" si="4"/>
        <v/>
      </c>
      <c r="J298" s="11"/>
    </row>
    <row r="299" spans="1:10" ht="15.75" customHeight="1" x14ac:dyDescent="0.25">
      <c r="A299" s="11"/>
      <c r="B299" s="11"/>
      <c r="C299" s="11"/>
      <c r="D299" s="11"/>
      <c r="E299" s="11"/>
      <c r="F299" s="11"/>
      <c r="G299" s="11"/>
      <c r="H299" s="11"/>
      <c r="I299" s="7" t="str">
        <f t="shared" si="4"/>
        <v/>
      </c>
      <c r="J299" s="11"/>
    </row>
    <row r="300" spans="1:10" ht="15.75" customHeight="1" x14ac:dyDescent="0.25">
      <c r="A300" s="11"/>
      <c r="B300" s="11"/>
      <c r="C300" s="11"/>
      <c r="D300" s="11"/>
      <c r="E300" s="11"/>
      <c r="F300" s="11"/>
      <c r="G300" s="11"/>
      <c r="H300" s="11"/>
      <c r="I300" s="7" t="str">
        <f t="shared" si="4"/>
        <v/>
      </c>
      <c r="J300" s="11"/>
    </row>
    <row r="301" spans="1:10" ht="15.75" customHeight="1" x14ac:dyDescent="0.25">
      <c r="A301" s="11"/>
      <c r="B301" s="11"/>
      <c r="C301" s="11"/>
      <c r="D301" s="11"/>
      <c r="E301" s="11"/>
      <c r="F301" s="11"/>
      <c r="G301" s="11"/>
      <c r="H301" s="11"/>
      <c r="I301" s="7" t="str">
        <f t="shared" si="4"/>
        <v/>
      </c>
      <c r="J301" s="11"/>
    </row>
    <row r="302" spans="1:10" ht="15.75" customHeight="1" x14ac:dyDescent="0.25">
      <c r="A302" s="11"/>
      <c r="B302" s="11"/>
      <c r="C302" s="11"/>
      <c r="D302" s="11"/>
      <c r="E302" s="11"/>
      <c r="F302" s="11"/>
      <c r="G302" s="11"/>
      <c r="H302" s="11"/>
      <c r="I302" s="7" t="str">
        <f t="shared" si="4"/>
        <v/>
      </c>
      <c r="J302" s="11"/>
    </row>
    <row r="303" spans="1:10" ht="15.75" customHeight="1" x14ac:dyDescent="0.25">
      <c r="A303" s="11"/>
      <c r="B303" s="11"/>
      <c r="C303" s="11"/>
      <c r="D303" s="11"/>
      <c r="E303" s="11"/>
      <c r="F303" s="11"/>
      <c r="G303" s="11"/>
      <c r="H303" s="11"/>
      <c r="I303" s="7" t="str">
        <f t="shared" si="4"/>
        <v/>
      </c>
      <c r="J303" s="11"/>
    </row>
    <row r="304" spans="1:10" ht="15.75" customHeight="1" x14ac:dyDescent="0.25">
      <c r="A304" s="11"/>
      <c r="B304" s="11"/>
      <c r="C304" s="11"/>
      <c r="D304" s="11"/>
      <c r="E304" s="11"/>
      <c r="F304" s="11"/>
      <c r="G304" s="11"/>
      <c r="H304" s="11"/>
      <c r="I304" s="7" t="str">
        <f t="shared" si="4"/>
        <v/>
      </c>
      <c r="J304" s="11"/>
    </row>
    <row r="305" spans="1:10" ht="15.75" customHeight="1" x14ac:dyDescent="0.25">
      <c r="A305" s="11"/>
      <c r="B305" s="11"/>
      <c r="C305" s="11"/>
      <c r="D305" s="11"/>
      <c r="E305" s="11"/>
      <c r="F305" s="11"/>
      <c r="G305" s="11"/>
      <c r="H305" s="11"/>
      <c r="I305" s="7" t="str">
        <f t="shared" si="4"/>
        <v/>
      </c>
      <c r="J305" s="11"/>
    </row>
    <row r="306" spans="1:10" ht="15.75" customHeight="1" x14ac:dyDescent="0.25">
      <c r="A306" s="11"/>
      <c r="B306" s="11"/>
      <c r="C306" s="11"/>
      <c r="D306" s="11"/>
      <c r="E306" s="11"/>
      <c r="F306" s="11"/>
      <c r="G306" s="11"/>
      <c r="H306" s="11"/>
      <c r="I306" s="7" t="str">
        <f t="shared" si="4"/>
        <v/>
      </c>
      <c r="J306" s="11"/>
    </row>
    <row r="307" spans="1:10" ht="15.75" customHeight="1" x14ac:dyDescent="0.25">
      <c r="A307" s="11"/>
      <c r="B307" s="11"/>
      <c r="C307" s="11"/>
      <c r="D307" s="11"/>
      <c r="E307" s="11"/>
      <c r="F307" s="11"/>
      <c r="G307" s="11"/>
      <c r="H307" s="11"/>
      <c r="I307" s="7" t="str">
        <f t="shared" si="4"/>
        <v/>
      </c>
      <c r="J307" s="11"/>
    </row>
    <row r="308" spans="1:10" ht="15.75" customHeight="1" x14ac:dyDescent="0.25">
      <c r="A308" s="11"/>
      <c r="B308" s="11"/>
      <c r="C308" s="11"/>
      <c r="D308" s="11"/>
      <c r="E308" s="11"/>
      <c r="F308" s="11"/>
      <c r="G308" s="11"/>
      <c r="H308" s="11"/>
      <c r="I308" s="7" t="str">
        <f t="shared" si="4"/>
        <v/>
      </c>
      <c r="J308" s="11"/>
    </row>
    <row r="309" spans="1:10" ht="15.75" customHeight="1" x14ac:dyDescent="0.25">
      <c r="A309" s="11"/>
      <c r="B309" s="11"/>
      <c r="C309" s="11"/>
      <c r="D309" s="11"/>
      <c r="E309" s="11"/>
      <c r="F309" s="11"/>
      <c r="G309" s="11"/>
      <c r="H309" s="11"/>
      <c r="I309" s="7" t="str">
        <f t="shared" si="4"/>
        <v/>
      </c>
      <c r="J309" s="11"/>
    </row>
    <row r="310" spans="1:10" ht="15.75" customHeight="1" x14ac:dyDescent="0.25">
      <c r="A310" s="11"/>
      <c r="B310" s="11"/>
      <c r="C310" s="11"/>
      <c r="D310" s="11"/>
      <c r="E310" s="11"/>
      <c r="F310" s="11"/>
      <c r="G310" s="11"/>
      <c r="H310" s="11"/>
      <c r="I310" s="7" t="str">
        <f t="shared" si="4"/>
        <v/>
      </c>
      <c r="J310" s="11"/>
    </row>
    <row r="311" spans="1:10" ht="15.75" customHeight="1" x14ac:dyDescent="0.25">
      <c r="A311" s="11"/>
      <c r="B311" s="11"/>
      <c r="C311" s="11"/>
      <c r="D311" s="11"/>
      <c r="E311" s="11"/>
      <c r="F311" s="11"/>
      <c r="G311" s="11"/>
      <c r="H311" s="11"/>
      <c r="I311" s="7" t="str">
        <f t="shared" si="4"/>
        <v/>
      </c>
      <c r="J311" s="11"/>
    </row>
    <row r="312" spans="1:10" ht="15.75" customHeight="1" x14ac:dyDescent="0.25">
      <c r="A312" s="11"/>
      <c r="B312" s="11"/>
      <c r="C312" s="11"/>
      <c r="D312" s="11"/>
      <c r="E312" s="11"/>
      <c r="F312" s="11"/>
      <c r="G312" s="11"/>
      <c r="H312" s="11"/>
      <c r="I312" s="7" t="str">
        <f t="shared" si="4"/>
        <v/>
      </c>
      <c r="J312" s="11"/>
    </row>
    <row r="313" spans="1:10" ht="15.75" customHeight="1" x14ac:dyDescent="0.25">
      <c r="A313" s="11"/>
      <c r="B313" s="11"/>
      <c r="C313" s="11"/>
      <c r="D313" s="11"/>
      <c r="E313" s="11"/>
      <c r="F313" s="11"/>
      <c r="G313" s="11"/>
      <c r="H313" s="11"/>
      <c r="I313" s="7" t="str">
        <f t="shared" si="4"/>
        <v/>
      </c>
      <c r="J313" s="11"/>
    </row>
    <row r="314" spans="1:10" ht="15.75" customHeight="1" x14ac:dyDescent="0.25">
      <c r="A314" s="11"/>
      <c r="B314" s="11"/>
      <c r="C314" s="11"/>
      <c r="D314" s="11"/>
      <c r="E314" s="11"/>
      <c r="F314" s="11"/>
      <c r="G314" s="11"/>
      <c r="H314" s="11"/>
      <c r="I314" s="7" t="str">
        <f t="shared" si="4"/>
        <v/>
      </c>
      <c r="J314" s="11"/>
    </row>
    <row r="315" spans="1:10" ht="15.75" customHeight="1" x14ac:dyDescent="0.25">
      <c r="A315" s="11"/>
      <c r="B315" s="11"/>
      <c r="C315" s="11"/>
      <c r="D315" s="11"/>
      <c r="E315" s="11"/>
      <c r="F315" s="11"/>
      <c r="G315" s="11"/>
      <c r="H315" s="11"/>
      <c r="I315" s="7" t="str">
        <f t="shared" si="4"/>
        <v/>
      </c>
      <c r="J315" s="11"/>
    </row>
    <row r="316" spans="1:10" ht="15.75" customHeight="1" x14ac:dyDescent="0.25">
      <c r="A316" s="11"/>
      <c r="B316" s="11"/>
      <c r="C316" s="11"/>
      <c r="D316" s="11"/>
      <c r="E316" s="11"/>
      <c r="F316" s="11"/>
      <c r="G316" s="11"/>
      <c r="H316" s="11"/>
      <c r="I316" s="7" t="str">
        <f t="shared" si="4"/>
        <v/>
      </c>
      <c r="J316" s="11"/>
    </row>
    <row r="317" spans="1:10" ht="15.75" customHeight="1" x14ac:dyDescent="0.25">
      <c r="A317" s="11"/>
      <c r="B317" s="11"/>
      <c r="C317" s="11"/>
      <c r="D317" s="11"/>
      <c r="E317" s="11"/>
      <c r="F317" s="11"/>
      <c r="G317" s="11"/>
      <c r="H317" s="11"/>
      <c r="I317" s="7" t="str">
        <f t="shared" si="4"/>
        <v/>
      </c>
      <c r="J317" s="11"/>
    </row>
    <row r="318" spans="1:10" ht="15.75" customHeight="1" x14ac:dyDescent="0.25">
      <c r="A318" s="11"/>
      <c r="B318" s="11"/>
      <c r="C318" s="11"/>
      <c r="D318" s="11"/>
      <c r="E318" s="11"/>
      <c r="F318" s="11"/>
      <c r="G318" s="11"/>
      <c r="H318" s="11"/>
      <c r="I318" s="7" t="str">
        <f t="shared" si="4"/>
        <v/>
      </c>
      <c r="J318" s="11"/>
    </row>
    <row r="319" spans="1:10" ht="15.75" customHeight="1" x14ac:dyDescent="0.25">
      <c r="A319" s="11"/>
      <c r="B319" s="11"/>
      <c r="C319" s="11"/>
      <c r="D319" s="11"/>
      <c r="E319" s="11"/>
      <c r="F319" s="11"/>
      <c r="G319" s="11"/>
      <c r="H319" s="11"/>
      <c r="I319" s="7" t="str">
        <f t="shared" si="4"/>
        <v/>
      </c>
      <c r="J319" s="11"/>
    </row>
    <row r="320" spans="1:10" ht="15.75" customHeight="1" x14ac:dyDescent="0.25">
      <c r="A320" s="11"/>
      <c r="B320" s="11"/>
      <c r="C320" s="11"/>
      <c r="D320" s="11"/>
      <c r="E320" s="11"/>
      <c r="F320" s="11"/>
      <c r="G320" s="11"/>
      <c r="H320" s="11"/>
      <c r="I320" s="7" t="str">
        <f t="shared" si="4"/>
        <v/>
      </c>
      <c r="J320" s="11"/>
    </row>
    <row r="321" spans="1:10" ht="15.75" customHeight="1" x14ac:dyDescent="0.25">
      <c r="A321" s="11"/>
      <c r="B321" s="11"/>
      <c r="C321" s="11"/>
      <c r="D321" s="11"/>
      <c r="E321" s="11"/>
      <c r="F321" s="11"/>
      <c r="G321" s="11"/>
      <c r="H321" s="11"/>
      <c r="I321" s="7" t="str">
        <f t="shared" si="4"/>
        <v/>
      </c>
      <c r="J321" s="11"/>
    </row>
    <row r="322" spans="1:10" ht="15.75" customHeight="1" x14ac:dyDescent="0.25">
      <c r="A322" s="11"/>
      <c r="B322" s="11"/>
      <c r="C322" s="11"/>
      <c r="D322" s="11"/>
      <c r="E322" s="11"/>
      <c r="F322" s="11"/>
      <c r="G322" s="11"/>
      <c r="H322" s="11"/>
      <c r="I322" s="7" t="str">
        <f t="shared" si="4"/>
        <v/>
      </c>
      <c r="J322" s="11"/>
    </row>
    <row r="323" spans="1:10" ht="15.75" customHeight="1" x14ac:dyDescent="0.25">
      <c r="A323" s="11"/>
      <c r="B323" s="11"/>
      <c r="C323" s="11"/>
      <c r="D323" s="11"/>
      <c r="E323" s="11"/>
      <c r="F323" s="11"/>
      <c r="G323" s="11"/>
      <c r="H323" s="11"/>
      <c r="I323" s="7" t="str">
        <f t="shared" ref="I323:I386" si="5">IF(B323="","",TEXT(D323,"MMMM"))</f>
        <v/>
      </c>
      <c r="J323" s="11"/>
    </row>
    <row r="324" spans="1:10" ht="15.75" customHeight="1" x14ac:dyDescent="0.25">
      <c r="A324" s="11"/>
      <c r="B324" s="11"/>
      <c r="C324" s="11"/>
      <c r="D324" s="11"/>
      <c r="E324" s="11"/>
      <c r="F324" s="11"/>
      <c r="G324" s="11"/>
      <c r="H324" s="11"/>
      <c r="I324" s="7" t="str">
        <f t="shared" si="5"/>
        <v/>
      </c>
      <c r="J324" s="11"/>
    </row>
    <row r="325" spans="1:10" ht="15.75" customHeight="1" x14ac:dyDescent="0.25">
      <c r="A325" s="11"/>
      <c r="B325" s="11"/>
      <c r="C325" s="11"/>
      <c r="D325" s="11"/>
      <c r="E325" s="11"/>
      <c r="F325" s="11"/>
      <c r="G325" s="11"/>
      <c r="H325" s="11"/>
      <c r="I325" s="7" t="str">
        <f t="shared" si="5"/>
        <v/>
      </c>
      <c r="J325" s="11"/>
    </row>
    <row r="326" spans="1:10" ht="15.75" customHeight="1" x14ac:dyDescent="0.25">
      <c r="A326" s="11"/>
      <c r="B326" s="11"/>
      <c r="C326" s="11"/>
      <c r="D326" s="11"/>
      <c r="E326" s="11"/>
      <c r="F326" s="11"/>
      <c r="G326" s="11"/>
      <c r="H326" s="11"/>
      <c r="I326" s="7" t="str">
        <f t="shared" si="5"/>
        <v/>
      </c>
      <c r="J326" s="11"/>
    </row>
    <row r="327" spans="1:10" ht="15.75" customHeight="1" x14ac:dyDescent="0.25">
      <c r="A327" s="11"/>
      <c r="B327" s="11"/>
      <c r="C327" s="11"/>
      <c r="D327" s="11"/>
      <c r="E327" s="11"/>
      <c r="F327" s="11"/>
      <c r="G327" s="11"/>
      <c r="H327" s="11"/>
      <c r="I327" s="7" t="str">
        <f t="shared" si="5"/>
        <v/>
      </c>
      <c r="J327" s="11"/>
    </row>
    <row r="328" spans="1:10" ht="15.75" customHeight="1" x14ac:dyDescent="0.25">
      <c r="A328" s="11"/>
      <c r="B328" s="11"/>
      <c r="C328" s="11"/>
      <c r="D328" s="11"/>
      <c r="E328" s="11"/>
      <c r="F328" s="11"/>
      <c r="G328" s="11"/>
      <c r="H328" s="11"/>
      <c r="I328" s="7" t="str">
        <f t="shared" si="5"/>
        <v/>
      </c>
      <c r="J328" s="11"/>
    </row>
    <row r="329" spans="1:10" ht="15.75" customHeight="1" x14ac:dyDescent="0.25">
      <c r="A329" s="11"/>
      <c r="B329" s="11"/>
      <c r="C329" s="11"/>
      <c r="D329" s="11"/>
      <c r="E329" s="11"/>
      <c r="F329" s="11"/>
      <c r="G329" s="11"/>
      <c r="H329" s="11"/>
      <c r="I329" s="7" t="str">
        <f t="shared" si="5"/>
        <v/>
      </c>
      <c r="J329" s="11"/>
    </row>
    <row r="330" spans="1:10" ht="15.75" customHeight="1" x14ac:dyDescent="0.25">
      <c r="A330" s="11"/>
      <c r="B330" s="11"/>
      <c r="C330" s="11"/>
      <c r="D330" s="11"/>
      <c r="E330" s="11"/>
      <c r="F330" s="11"/>
      <c r="G330" s="11"/>
      <c r="H330" s="11"/>
      <c r="I330" s="7" t="str">
        <f t="shared" si="5"/>
        <v/>
      </c>
      <c r="J330" s="11"/>
    </row>
    <row r="331" spans="1:10" ht="15.75" customHeight="1" x14ac:dyDescent="0.25">
      <c r="A331" s="11"/>
      <c r="B331" s="11"/>
      <c r="C331" s="11"/>
      <c r="D331" s="11"/>
      <c r="E331" s="11"/>
      <c r="F331" s="11"/>
      <c r="G331" s="11"/>
      <c r="H331" s="11"/>
      <c r="I331" s="7" t="str">
        <f t="shared" si="5"/>
        <v/>
      </c>
      <c r="J331" s="11"/>
    </row>
    <row r="332" spans="1:10" ht="15.75" customHeight="1" x14ac:dyDescent="0.25">
      <c r="A332" s="11"/>
      <c r="B332" s="11"/>
      <c r="C332" s="11"/>
      <c r="D332" s="11"/>
      <c r="E332" s="11"/>
      <c r="F332" s="11"/>
      <c r="G332" s="11"/>
      <c r="H332" s="11"/>
      <c r="I332" s="7" t="str">
        <f t="shared" si="5"/>
        <v/>
      </c>
      <c r="J332" s="11"/>
    </row>
    <row r="333" spans="1:10" ht="15.75" customHeight="1" x14ac:dyDescent="0.25">
      <c r="A333" s="11"/>
      <c r="B333" s="11"/>
      <c r="C333" s="11"/>
      <c r="D333" s="11"/>
      <c r="E333" s="11"/>
      <c r="F333" s="11"/>
      <c r="G333" s="11"/>
      <c r="H333" s="11"/>
      <c r="I333" s="7" t="str">
        <f t="shared" si="5"/>
        <v/>
      </c>
      <c r="J333" s="11"/>
    </row>
    <row r="334" spans="1:10" ht="15.75" customHeight="1" x14ac:dyDescent="0.25">
      <c r="A334" s="11"/>
      <c r="B334" s="11"/>
      <c r="C334" s="11"/>
      <c r="D334" s="11"/>
      <c r="E334" s="11"/>
      <c r="F334" s="11"/>
      <c r="G334" s="11"/>
      <c r="H334" s="11"/>
      <c r="I334" s="7" t="str">
        <f t="shared" si="5"/>
        <v/>
      </c>
      <c r="J334" s="11"/>
    </row>
    <row r="335" spans="1:10" ht="15.75" customHeight="1" x14ac:dyDescent="0.25">
      <c r="A335" s="11"/>
      <c r="B335" s="11"/>
      <c r="C335" s="11"/>
      <c r="D335" s="11"/>
      <c r="E335" s="11"/>
      <c r="F335" s="11"/>
      <c r="G335" s="11"/>
      <c r="H335" s="11"/>
      <c r="I335" s="7" t="str">
        <f t="shared" si="5"/>
        <v/>
      </c>
      <c r="J335" s="11"/>
    </row>
    <row r="336" spans="1:10" ht="15.75" customHeight="1" x14ac:dyDescent="0.25">
      <c r="A336" s="11"/>
      <c r="B336" s="11"/>
      <c r="C336" s="11"/>
      <c r="D336" s="11"/>
      <c r="E336" s="11"/>
      <c r="F336" s="11"/>
      <c r="G336" s="11"/>
      <c r="H336" s="11"/>
      <c r="I336" s="7" t="str">
        <f t="shared" si="5"/>
        <v/>
      </c>
      <c r="J336" s="11"/>
    </row>
    <row r="337" spans="1:10" ht="15.75" customHeight="1" x14ac:dyDescent="0.25">
      <c r="A337" s="11"/>
      <c r="B337" s="11"/>
      <c r="C337" s="11"/>
      <c r="D337" s="11"/>
      <c r="E337" s="11"/>
      <c r="F337" s="11"/>
      <c r="G337" s="11"/>
      <c r="H337" s="11"/>
      <c r="I337" s="7" t="str">
        <f t="shared" si="5"/>
        <v/>
      </c>
      <c r="J337" s="11"/>
    </row>
    <row r="338" spans="1:10" ht="15.75" customHeight="1" x14ac:dyDescent="0.25">
      <c r="A338" s="11"/>
      <c r="B338" s="11"/>
      <c r="C338" s="11"/>
      <c r="D338" s="11"/>
      <c r="E338" s="11"/>
      <c r="F338" s="11"/>
      <c r="G338" s="11"/>
      <c r="H338" s="11"/>
      <c r="I338" s="7" t="str">
        <f t="shared" si="5"/>
        <v/>
      </c>
      <c r="J338" s="11"/>
    </row>
    <row r="339" spans="1:10" ht="15.75" customHeight="1" x14ac:dyDescent="0.25">
      <c r="A339" s="11"/>
      <c r="B339" s="11"/>
      <c r="C339" s="11"/>
      <c r="D339" s="11"/>
      <c r="E339" s="11"/>
      <c r="F339" s="11"/>
      <c r="G339" s="11"/>
      <c r="H339" s="11"/>
      <c r="I339" s="7" t="str">
        <f t="shared" si="5"/>
        <v/>
      </c>
      <c r="J339" s="11"/>
    </row>
    <row r="340" spans="1:10" ht="15.75" customHeight="1" x14ac:dyDescent="0.25">
      <c r="A340" s="11"/>
      <c r="B340" s="11"/>
      <c r="C340" s="11"/>
      <c r="D340" s="11"/>
      <c r="E340" s="11"/>
      <c r="F340" s="11"/>
      <c r="G340" s="11"/>
      <c r="H340" s="11"/>
      <c r="I340" s="7" t="str">
        <f t="shared" si="5"/>
        <v/>
      </c>
      <c r="J340" s="11"/>
    </row>
    <row r="341" spans="1:10" ht="15.75" customHeight="1" x14ac:dyDescent="0.25">
      <c r="A341" s="11"/>
      <c r="B341" s="11"/>
      <c r="C341" s="11"/>
      <c r="D341" s="11"/>
      <c r="E341" s="11"/>
      <c r="F341" s="11"/>
      <c r="G341" s="11"/>
      <c r="H341" s="11"/>
      <c r="I341" s="7" t="str">
        <f t="shared" si="5"/>
        <v/>
      </c>
      <c r="J341" s="11"/>
    </row>
    <row r="342" spans="1:10" ht="15.75" customHeight="1" x14ac:dyDescent="0.25">
      <c r="A342" s="11"/>
      <c r="B342" s="11"/>
      <c r="C342" s="11"/>
      <c r="D342" s="11"/>
      <c r="E342" s="11"/>
      <c r="F342" s="11"/>
      <c r="G342" s="11"/>
      <c r="H342" s="11"/>
      <c r="I342" s="7" t="str">
        <f t="shared" si="5"/>
        <v/>
      </c>
      <c r="J342" s="11"/>
    </row>
    <row r="343" spans="1:10" ht="15.75" customHeight="1" x14ac:dyDescent="0.25">
      <c r="A343" s="11"/>
      <c r="B343" s="11"/>
      <c r="C343" s="11"/>
      <c r="D343" s="11"/>
      <c r="E343" s="11"/>
      <c r="F343" s="11"/>
      <c r="G343" s="11"/>
      <c r="H343" s="11"/>
      <c r="I343" s="7" t="str">
        <f t="shared" si="5"/>
        <v/>
      </c>
      <c r="J343" s="11"/>
    </row>
    <row r="344" spans="1:10" ht="15.75" customHeight="1" x14ac:dyDescent="0.25">
      <c r="A344" s="11"/>
      <c r="B344" s="11"/>
      <c r="C344" s="11"/>
      <c r="D344" s="11"/>
      <c r="E344" s="11"/>
      <c r="F344" s="11"/>
      <c r="G344" s="11"/>
      <c r="H344" s="11"/>
      <c r="I344" s="7" t="str">
        <f t="shared" si="5"/>
        <v/>
      </c>
      <c r="J344" s="11"/>
    </row>
    <row r="345" spans="1:10" ht="15.75" customHeight="1" x14ac:dyDescent="0.25">
      <c r="A345" s="11"/>
      <c r="B345" s="11"/>
      <c r="C345" s="11"/>
      <c r="D345" s="11"/>
      <c r="E345" s="11"/>
      <c r="F345" s="11"/>
      <c r="G345" s="11"/>
      <c r="H345" s="11"/>
      <c r="I345" s="7" t="str">
        <f t="shared" si="5"/>
        <v/>
      </c>
      <c r="J345" s="11"/>
    </row>
    <row r="346" spans="1:10" ht="15.75" customHeight="1" x14ac:dyDescent="0.25">
      <c r="A346" s="11"/>
      <c r="B346" s="11"/>
      <c r="C346" s="11"/>
      <c r="D346" s="11"/>
      <c r="E346" s="11"/>
      <c r="F346" s="11"/>
      <c r="G346" s="11"/>
      <c r="H346" s="11"/>
      <c r="I346" s="7" t="str">
        <f t="shared" si="5"/>
        <v/>
      </c>
      <c r="J346" s="11"/>
    </row>
    <row r="347" spans="1:10" ht="15.75" customHeight="1" x14ac:dyDescent="0.25">
      <c r="A347" s="11"/>
      <c r="B347" s="11"/>
      <c r="C347" s="11"/>
      <c r="D347" s="11"/>
      <c r="E347" s="11"/>
      <c r="F347" s="11"/>
      <c r="G347" s="11"/>
      <c r="H347" s="11"/>
      <c r="I347" s="7" t="str">
        <f t="shared" si="5"/>
        <v/>
      </c>
      <c r="J347" s="11"/>
    </row>
    <row r="348" spans="1:10" ht="15.75" customHeight="1" x14ac:dyDescent="0.25">
      <c r="A348" s="11"/>
      <c r="B348" s="11"/>
      <c r="C348" s="11"/>
      <c r="D348" s="11"/>
      <c r="E348" s="11"/>
      <c r="F348" s="11"/>
      <c r="G348" s="11"/>
      <c r="H348" s="11"/>
      <c r="I348" s="7" t="str">
        <f t="shared" si="5"/>
        <v/>
      </c>
      <c r="J348" s="11"/>
    </row>
    <row r="349" spans="1:10" ht="15.75" customHeight="1" x14ac:dyDescent="0.25">
      <c r="A349" s="11"/>
      <c r="B349" s="11"/>
      <c r="C349" s="11"/>
      <c r="D349" s="11"/>
      <c r="E349" s="11"/>
      <c r="F349" s="11"/>
      <c r="G349" s="11"/>
      <c r="H349" s="11"/>
      <c r="I349" s="7" t="str">
        <f t="shared" si="5"/>
        <v/>
      </c>
      <c r="J349" s="11"/>
    </row>
    <row r="350" spans="1:10" ht="15.75" customHeight="1" x14ac:dyDescent="0.25">
      <c r="A350" s="11"/>
      <c r="B350" s="11"/>
      <c r="C350" s="11"/>
      <c r="D350" s="11"/>
      <c r="E350" s="11"/>
      <c r="F350" s="11"/>
      <c r="G350" s="11"/>
      <c r="H350" s="11"/>
      <c r="I350" s="7" t="str">
        <f t="shared" si="5"/>
        <v/>
      </c>
      <c r="J350" s="11"/>
    </row>
    <row r="351" spans="1:10" ht="15.75" customHeight="1" x14ac:dyDescent="0.25">
      <c r="A351" s="11"/>
      <c r="B351" s="11"/>
      <c r="C351" s="11"/>
      <c r="D351" s="11"/>
      <c r="E351" s="11"/>
      <c r="F351" s="11"/>
      <c r="G351" s="11"/>
      <c r="H351" s="11"/>
      <c r="I351" s="7" t="str">
        <f t="shared" si="5"/>
        <v/>
      </c>
      <c r="J351" s="11"/>
    </row>
    <row r="352" spans="1:10" ht="15.75" customHeight="1" x14ac:dyDescent="0.25">
      <c r="A352" s="11"/>
      <c r="B352" s="11"/>
      <c r="C352" s="11"/>
      <c r="D352" s="11"/>
      <c r="E352" s="11"/>
      <c r="F352" s="11"/>
      <c r="G352" s="11"/>
      <c r="H352" s="11"/>
      <c r="I352" s="7" t="str">
        <f t="shared" si="5"/>
        <v/>
      </c>
      <c r="J352" s="11"/>
    </row>
    <row r="353" spans="1:10" ht="15.75" customHeight="1" x14ac:dyDescent="0.25">
      <c r="A353" s="11"/>
      <c r="B353" s="11"/>
      <c r="C353" s="11"/>
      <c r="D353" s="11"/>
      <c r="E353" s="11"/>
      <c r="F353" s="11"/>
      <c r="G353" s="11"/>
      <c r="H353" s="11"/>
      <c r="I353" s="7" t="str">
        <f t="shared" si="5"/>
        <v/>
      </c>
      <c r="J353" s="11"/>
    </row>
    <row r="354" spans="1:10" ht="15.75" customHeight="1" x14ac:dyDescent="0.25">
      <c r="A354" s="11"/>
      <c r="B354" s="11"/>
      <c r="C354" s="11"/>
      <c r="D354" s="11"/>
      <c r="E354" s="11"/>
      <c r="F354" s="11"/>
      <c r="G354" s="11"/>
      <c r="H354" s="11"/>
      <c r="I354" s="7" t="str">
        <f t="shared" si="5"/>
        <v/>
      </c>
      <c r="J354" s="11"/>
    </row>
    <row r="355" spans="1:10" ht="15.75" customHeight="1" x14ac:dyDescent="0.25">
      <c r="A355" s="11"/>
      <c r="B355" s="11"/>
      <c r="C355" s="11"/>
      <c r="D355" s="11"/>
      <c r="E355" s="11"/>
      <c r="F355" s="11"/>
      <c r="G355" s="11"/>
      <c r="H355" s="11"/>
      <c r="I355" s="7" t="str">
        <f t="shared" si="5"/>
        <v/>
      </c>
      <c r="J355" s="11"/>
    </row>
    <row r="356" spans="1:10" ht="15.75" customHeight="1" x14ac:dyDescent="0.25">
      <c r="A356" s="11"/>
      <c r="B356" s="11"/>
      <c r="C356" s="11"/>
      <c r="D356" s="11"/>
      <c r="E356" s="11"/>
      <c r="F356" s="11"/>
      <c r="G356" s="11"/>
      <c r="H356" s="11"/>
      <c r="I356" s="7" t="str">
        <f t="shared" si="5"/>
        <v/>
      </c>
      <c r="J356" s="11"/>
    </row>
    <row r="357" spans="1:10" ht="15.75" customHeight="1" x14ac:dyDescent="0.25">
      <c r="A357" s="11"/>
      <c r="B357" s="11"/>
      <c r="C357" s="11"/>
      <c r="D357" s="11"/>
      <c r="E357" s="11"/>
      <c r="F357" s="11"/>
      <c r="G357" s="11"/>
      <c r="H357" s="11"/>
      <c r="I357" s="7" t="str">
        <f t="shared" si="5"/>
        <v/>
      </c>
      <c r="J357" s="11"/>
    </row>
    <row r="358" spans="1:10" ht="15.75" customHeight="1" x14ac:dyDescent="0.25">
      <c r="A358" s="11"/>
      <c r="B358" s="11"/>
      <c r="C358" s="11"/>
      <c r="D358" s="11"/>
      <c r="E358" s="11"/>
      <c r="F358" s="11"/>
      <c r="G358" s="11"/>
      <c r="H358" s="11"/>
      <c r="I358" s="7" t="str">
        <f t="shared" si="5"/>
        <v/>
      </c>
      <c r="J358" s="11"/>
    </row>
    <row r="359" spans="1:10" ht="15.75" customHeight="1" x14ac:dyDescent="0.25">
      <c r="A359" s="11"/>
      <c r="B359" s="11"/>
      <c r="C359" s="11"/>
      <c r="D359" s="11"/>
      <c r="E359" s="11"/>
      <c r="F359" s="11"/>
      <c r="G359" s="11"/>
      <c r="H359" s="11"/>
      <c r="I359" s="7" t="str">
        <f t="shared" si="5"/>
        <v/>
      </c>
      <c r="J359" s="11"/>
    </row>
    <row r="360" spans="1:10" ht="15.75" customHeight="1" x14ac:dyDescent="0.25">
      <c r="A360" s="11"/>
      <c r="B360" s="11"/>
      <c r="C360" s="11"/>
      <c r="D360" s="11"/>
      <c r="E360" s="11"/>
      <c r="F360" s="11"/>
      <c r="G360" s="11"/>
      <c r="H360" s="11"/>
      <c r="I360" s="7" t="str">
        <f t="shared" si="5"/>
        <v/>
      </c>
      <c r="J360" s="11"/>
    </row>
    <row r="361" spans="1:10" ht="15.75" customHeight="1" x14ac:dyDescent="0.25">
      <c r="A361" s="11"/>
      <c r="B361" s="11"/>
      <c r="C361" s="11"/>
      <c r="D361" s="11"/>
      <c r="E361" s="11"/>
      <c r="F361" s="11"/>
      <c r="G361" s="11"/>
      <c r="H361" s="11"/>
      <c r="I361" s="7" t="str">
        <f t="shared" si="5"/>
        <v/>
      </c>
      <c r="J361" s="11"/>
    </row>
    <row r="362" spans="1:10" ht="15.75" customHeight="1" x14ac:dyDescent="0.25">
      <c r="A362" s="11"/>
      <c r="B362" s="11"/>
      <c r="C362" s="11"/>
      <c r="D362" s="11"/>
      <c r="E362" s="11"/>
      <c r="F362" s="11"/>
      <c r="G362" s="11"/>
      <c r="H362" s="11"/>
      <c r="I362" s="7" t="str">
        <f t="shared" si="5"/>
        <v/>
      </c>
      <c r="J362" s="11"/>
    </row>
    <row r="363" spans="1:10" ht="15.75" customHeight="1" x14ac:dyDescent="0.25">
      <c r="A363" s="11"/>
      <c r="B363" s="11"/>
      <c r="C363" s="11"/>
      <c r="D363" s="11"/>
      <c r="E363" s="11"/>
      <c r="F363" s="11"/>
      <c r="G363" s="11"/>
      <c r="H363" s="11"/>
      <c r="I363" s="7" t="str">
        <f t="shared" si="5"/>
        <v/>
      </c>
      <c r="J363" s="11"/>
    </row>
    <row r="364" spans="1:10" ht="15.75" customHeight="1" x14ac:dyDescent="0.25">
      <c r="A364" s="11"/>
      <c r="B364" s="11"/>
      <c r="C364" s="11"/>
      <c r="D364" s="11"/>
      <c r="E364" s="11"/>
      <c r="F364" s="11"/>
      <c r="G364" s="11"/>
      <c r="H364" s="11"/>
      <c r="I364" s="7" t="str">
        <f t="shared" si="5"/>
        <v/>
      </c>
      <c r="J364" s="11"/>
    </row>
    <row r="365" spans="1:10" ht="15.75" customHeight="1" x14ac:dyDescent="0.25">
      <c r="A365" s="11"/>
      <c r="B365" s="11"/>
      <c r="C365" s="11"/>
      <c r="D365" s="11"/>
      <c r="E365" s="11"/>
      <c r="F365" s="11"/>
      <c r="G365" s="11"/>
      <c r="H365" s="11"/>
      <c r="I365" s="7" t="str">
        <f t="shared" si="5"/>
        <v/>
      </c>
      <c r="J365" s="11"/>
    </row>
    <row r="366" spans="1:10" ht="15.75" customHeight="1" x14ac:dyDescent="0.25">
      <c r="A366" s="11"/>
      <c r="B366" s="11"/>
      <c r="C366" s="11"/>
      <c r="D366" s="11"/>
      <c r="E366" s="11"/>
      <c r="F366" s="11"/>
      <c r="G366" s="11"/>
      <c r="H366" s="11"/>
      <c r="I366" s="7" t="str">
        <f t="shared" si="5"/>
        <v/>
      </c>
      <c r="J366" s="11"/>
    </row>
    <row r="367" spans="1:10" ht="15.75" customHeight="1" x14ac:dyDescent="0.25">
      <c r="A367" s="11"/>
      <c r="B367" s="11"/>
      <c r="C367" s="11"/>
      <c r="D367" s="11"/>
      <c r="E367" s="11"/>
      <c r="F367" s="11"/>
      <c r="G367" s="11"/>
      <c r="H367" s="11"/>
      <c r="I367" s="7" t="str">
        <f t="shared" si="5"/>
        <v/>
      </c>
      <c r="J367" s="11"/>
    </row>
    <row r="368" spans="1:10" ht="15.75" customHeight="1" x14ac:dyDescent="0.25">
      <c r="A368" s="11"/>
      <c r="B368" s="11"/>
      <c r="C368" s="11"/>
      <c r="D368" s="11"/>
      <c r="E368" s="11"/>
      <c r="F368" s="11"/>
      <c r="G368" s="11"/>
      <c r="H368" s="11"/>
      <c r="I368" s="7" t="str">
        <f t="shared" si="5"/>
        <v/>
      </c>
      <c r="J368" s="11"/>
    </row>
    <row r="369" spans="1:10" ht="15.75" customHeight="1" x14ac:dyDescent="0.25">
      <c r="A369" s="11"/>
      <c r="B369" s="11"/>
      <c r="C369" s="11"/>
      <c r="D369" s="11"/>
      <c r="E369" s="11"/>
      <c r="F369" s="11"/>
      <c r="G369" s="11"/>
      <c r="H369" s="11"/>
      <c r="I369" s="7" t="str">
        <f t="shared" si="5"/>
        <v/>
      </c>
      <c r="J369" s="11"/>
    </row>
    <row r="370" spans="1:10" ht="15.75" customHeight="1" x14ac:dyDescent="0.25">
      <c r="A370" s="11"/>
      <c r="B370" s="11"/>
      <c r="C370" s="11"/>
      <c r="D370" s="11"/>
      <c r="E370" s="11"/>
      <c r="F370" s="11"/>
      <c r="G370" s="11"/>
      <c r="H370" s="11"/>
      <c r="I370" s="7" t="str">
        <f t="shared" si="5"/>
        <v/>
      </c>
      <c r="J370" s="11"/>
    </row>
    <row r="371" spans="1:10" ht="15.75" customHeight="1" x14ac:dyDescent="0.25">
      <c r="A371" s="11"/>
      <c r="B371" s="11"/>
      <c r="C371" s="11"/>
      <c r="D371" s="11"/>
      <c r="E371" s="11"/>
      <c r="F371" s="11"/>
      <c r="G371" s="11"/>
      <c r="H371" s="11"/>
      <c r="I371" s="7" t="str">
        <f t="shared" si="5"/>
        <v/>
      </c>
      <c r="J371" s="11"/>
    </row>
    <row r="372" spans="1:10" ht="15.75" customHeight="1" x14ac:dyDescent="0.25">
      <c r="A372" s="11"/>
      <c r="B372" s="11"/>
      <c r="C372" s="11"/>
      <c r="D372" s="11"/>
      <c r="E372" s="11"/>
      <c r="F372" s="11"/>
      <c r="G372" s="11"/>
      <c r="H372" s="11"/>
      <c r="I372" s="7" t="str">
        <f t="shared" si="5"/>
        <v/>
      </c>
      <c r="J372" s="11"/>
    </row>
    <row r="373" spans="1:10" ht="15.75" customHeight="1" x14ac:dyDescent="0.25">
      <c r="A373" s="11"/>
      <c r="B373" s="11"/>
      <c r="C373" s="11"/>
      <c r="D373" s="11"/>
      <c r="E373" s="11"/>
      <c r="F373" s="11"/>
      <c r="G373" s="11"/>
      <c r="H373" s="11"/>
      <c r="I373" s="7" t="str">
        <f t="shared" si="5"/>
        <v/>
      </c>
      <c r="J373" s="11"/>
    </row>
    <row r="374" spans="1:10" ht="15.75" customHeight="1" x14ac:dyDescent="0.25">
      <c r="A374" s="11"/>
      <c r="B374" s="11"/>
      <c r="C374" s="11"/>
      <c r="D374" s="11"/>
      <c r="E374" s="11"/>
      <c r="F374" s="11"/>
      <c r="G374" s="11"/>
      <c r="H374" s="11"/>
      <c r="I374" s="7" t="str">
        <f t="shared" si="5"/>
        <v/>
      </c>
      <c r="J374" s="11"/>
    </row>
    <row r="375" spans="1:10" ht="15.75" customHeight="1" x14ac:dyDescent="0.25">
      <c r="A375" s="11"/>
      <c r="B375" s="11"/>
      <c r="C375" s="11"/>
      <c r="D375" s="11"/>
      <c r="E375" s="11"/>
      <c r="F375" s="11"/>
      <c r="G375" s="11"/>
      <c r="H375" s="11"/>
      <c r="I375" s="7" t="str">
        <f t="shared" si="5"/>
        <v/>
      </c>
      <c r="J375" s="11"/>
    </row>
    <row r="376" spans="1:10" ht="15.75" customHeight="1" x14ac:dyDescent="0.25">
      <c r="A376" s="11"/>
      <c r="B376" s="11"/>
      <c r="C376" s="11"/>
      <c r="D376" s="11"/>
      <c r="E376" s="11"/>
      <c r="F376" s="11"/>
      <c r="G376" s="11"/>
      <c r="H376" s="11"/>
      <c r="I376" s="7" t="str">
        <f t="shared" si="5"/>
        <v/>
      </c>
      <c r="J376" s="11"/>
    </row>
    <row r="377" spans="1:10" ht="15.75" customHeight="1" x14ac:dyDescent="0.25">
      <c r="A377" s="11"/>
      <c r="B377" s="11"/>
      <c r="C377" s="11"/>
      <c r="D377" s="11"/>
      <c r="E377" s="11"/>
      <c r="F377" s="11"/>
      <c r="G377" s="11"/>
      <c r="H377" s="11"/>
      <c r="I377" s="7" t="str">
        <f t="shared" si="5"/>
        <v/>
      </c>
      <c r="J377" s="11"/>
    </row>
    <row r="378" spans="1:10" ht="15.75" customHeight="1" x14ac:dyDescent="0.25">
      <c r="A378" s="11"/>
      <c r="B378" s="11"/>
      <c r="C378" s="11"/>
      <c r="D378" s="11"/>
      <c r="E378" s="11"/>
      <c r="F378" s="11"/>
      <c r="G378" s="11"/>
      <c r="H378" s="11"/>
      <c r="I378" s="7" t="str">
        <f t="shared" si="5"/>
        <v/>
      </c>
      <c r="J378" s="11"/>
    </row>
    <row r="379" spans="1:10" ht="15.75" customHeight="1" x14ac:dyDescent="0.25">
      <c r="A379" s="11"/>
      <c r="B379" s="11"/>
      <c r="C379" s="11"/>
      <c r="D379" s="11"/>
      <c r="E379" s="11"/>
      <c r="F379" s="11"/>
      <c r="G379" s="11"/>
      <c r="H379" s="11"/>
      <c r="I379" s="7" t="str">
        <f t="shared" si="5"/>
        <v/>
      </c>
      <c r="J379" s="11"/>
    </row>
    <row r="380" spans="1:10" ht="15.75" customHeight="1" x14ac:dyDescent="0.25">
      <c r="A380" s="11"/>
      <c r="B380" s="11"/>
      <c r="C380" s="11"/>
      <c r="D380" s="11"/>
      <c r="E380" s="11"/>
      <c r="F380" s="11"/>
      <c r="G380" s="11"/>
      <c r="H380" s="11"/>
      <c r="I380" s="7" t="str">
        <f t="shared" si="5"/>
        <v/>
      </c>
      <c r="J380" s="11"/>
    </row>
    <row r="381" spans="1:10" ht="15.75" customHeight="1" x14ac:dyDescent="0.25">
      <c r="A381" s="11"/>
      <c r="B381" s="11"/>
      <c r="C381" s="11"/>
      <c r="D381" s="11"/>
      <c r="E381" s="11"/>
      <c r="F381" s="11"/>
      <c r="G381" s="11"/>
      <c r="H381" s="11"/>
      <c r="I381" s="7" t="str">
        <f t="shared" si="5"/>
        <v/>
      </c>
      <c r="J381" s="11"/>
    </row>
    <row r="382" spans="1:10" ht="15.75" customHeight="1" x14ac:dyDescent="0.25">
      <c r="A382" s="11"/>
      <c r="B382" s="11"/>
      <c r="C382" s="11"/>
      <c r="D382" s="11"/>
      <c r="E382" s="11"/>
      <c r="F382" s="11"/>
      <c r="G382" s="11"/>
      <c r="H382" s="11"/>
      <c r="I382" s="7" t="str">
        <f t="shared" si="5"/>
        <v/>
      </c>
      <c r="J382" s="11"/>
    </row>
    <row r="383" spans="1:10" ht="15.75" customHeight="1" x14ac:dyDescent="0.25">
      <c r="A383" s="11"/>
      <c r="B383" s="11"/>
      <c r="C383" s="11"/>
      <c r="D383" s="11"/>
      <c r="E383" s="11"/>
      <c r="F383" s="11"/>
      <c r="G383" s="11"/>
      <c r="H383" s="11"/>
      <c r="I383" s="7" t="str">
        <f t="shared" si="5"/>
        <v/>
      </c>
      <c r="J383" s="11"/>
    </row>
    <row r="384" spans="1:10" ht="15.75" customHeight="1" x14ac:dyDescent="0.25">
      <c r="A384" s="11"/>
      <c r="B384" s="11"/>
      <c r="C384" s="11"/>
      <c r="D384" s="11"/>
      <c r="E384" s="11"/>
      <c r="F384" s="11"/>
      <c r="G384" s="11"/>
      <c r="H384" s="11"/>
      <c r="I384" s="7" t="str">
        <f t="shared" si="5"/>
        <v/>
      </c>
      <c r="J384" s="11"/>
    </row>
    <row r="385" spans="1:10" ht="15.75" customHeight="1" x14ac:dyDescent="0.25">
      <c r="A385" s="11"/>
      <c r="B385" s="11"/>
      <c r="C385" s="11"/>
      <c r="D385" s="11"/>
      <c r="E385" s="11"/>
      <c r="F385" s="11"/>
      <c r="G385" s="11"/>
      <c r="H385" s="11"/>
      <c r="I385" s="7" t="str">
        <f t="shared" si="5"/>
        <v/>
      </c>
      <c r="J385" s="11"/>
    </row>
    <row r="386" spans="1:10" ht="15.75" customHeight="1" x14ac:dyDescent="0.25">
      <c r="A386" s="11"/>
      <c r="B386" s="11"/>
      <c r="C386" s="11"/>
      <c r="D386" s="11"/>
      <c r="E386" s="11"/>
      <c r="F386" s="11"/>
      <c r="G386" s="11"/>
      <c r="H386" s="11"/>
      <c r="I386" s="7" t="str">
        <f t="shared" si="5"/>
        <v/>
      </c>
      <c r="J386" s="11"/>
    </row>
    <row r="387" spans="1:10" ht="15.75" customHeight="1" x14ac:dyDescent="0.25">
      <c r="A387" s="11"/>
      <c r="B387" s="11"/>
      <c r="C387" s="11"/>
      <c r="D387" s="11"/>
      <c r="E387" s="11"/>
      <c r="F387" s="11"/>
      <c r="G387" s="11"/>
      <c r="H387" s="11"/>
      <c r="I387" s="7" t="str">
        <f t="shared" ref="I387:I450" si="6">IF(B387="","",TEXT(D387,"MMMM"))</f>
        <v/>
      </c>
      <c r="J387" s="11"/>
    </row>
    <row r="388" spans="1:10" ht="15.75" customHeight="1" x14ac:dyDescent="0.25">
      <c r="A388" s="11"/>
      <c r="B388" s="11"/>
      <c r="C388" s="11"/>
      <c r="D388" s="11"/>
      <c r="E388" s="11"/>
      <c r="F388" s="11"/>
      <c r="G388" s="11"/>
      <c r="H388" s="11"/>
      <c r="I388" s="7" t="str">
        <f t="shared" si="6"/>
        <v/>
      </c>
      <c r="J388" s="11"/>
    </row>
    <row r="389" spans="1:10" ht="15.75" customHeight="1" x14ac:dyDescent="0.25">
      <c r="A389" s="11"/>
      <c r="B389" s="11"/>
      <c r="C389" s="11"/>
      <c r="D389" s="11"/>
      <c r="E389" s="11"/>
      <c r="F389" s="11"/>
      <c r="G389" s="11"/>
      <c r="H389" s="11"/>
      <c r="I389" s="7" t="str">
        <f t="shared" si="6"/>
        <v/>
      </c>
      <c r="J389" s="11"/>
    </row>
    <row r="390" spans="1:10" ht="15.75" customHeight="1" x14ac:dyDescent="0.25">
      <c r="A390" s="11"/>
      <c r="B390" s="11"/>
      <c r="C390" s="11"/>
      <c r="D390" s="11"/>
      <c r="E390" s="11"/>
      <c r="F390" s="11"/>
      <c r="G390" s="11"/>
      <c r="H390" s="11"/>
      <c r="I390" s="7" t="str">
        <f t="shared" si="6"/>
        <v/>
      </c>
      <c r="J390" s="11"/>
    </row>
    <row r="391" spans="1:10" ht="15.75" customHeight="1" x14ac:dyDescent="0.25">
      <c r="A391" s="11"/>
      <c r="B391" s="11"/>
      <c r="C391" s="11"/>
      <c r="D391" s="11"/>
      <c r="E391" s="11"/>
      <c r="F391" s="11"/>
      <c r="G391" s="11"/>
      <c r="H391" s="11"/>
      <c r="I391" s="7" t="str">
        <f t="shared" si="6"/>
        <v/>
      </c>
      <c r="J391" s="11"/>
    </row>
    <row r="392" spans="1:10" ht="15.75" customHeight="1" x14ac:dyDescent="0.25">
      <c r="A392" s="11"/>
      <c r="B392" s="11"/>
      <c r="C392" s="11"/>
      <c r="D392" s="11"/>
      <c r="E392" s="11"/>
      <c r="F392" s="11"/>
      <c r="G392" s="11"/>
      <c r="H392" s="11"/>
      <c r="I392" s="7" t="str">
        <f t="shared" si="6"/>
        <v/>
      </c>
      <c r="J392" s="11"/>
    </row>
    <row r="393" spans="1:10" ht="15.75" customHeight="1" x14ac:dyDescent="0.25">
      <c r="A393" s="11"/>
      <c r="B393" s="11"/>
      <c r="C393" s="11"/>
      <c r="D393" s="11"/>
      <c r="E393" s="11"/>
      <c r="F393" s="11"/>
      <c r="G393" s="11"/>
      <c r="H393" s="11"/>
      <c r="I393" s="7" t="str">
        <f t="shared" si="6"/>
        <v/>
      </c>
      <c r="J393" s="11"/>
    </row>
    <row r="394" spans="1:10" ht="15.75" customHeight="1" x14ac:dyDescent="0.25">
      <c r="A394" s="11"/>
      <c r="B394" s="11"/>
      <c r="C394" s="11"/>
      <c r="D394" s="11"/>
      <c r="E394" s="11"/>
      <c r="F394" s="11"/>
      <c r="G394" s="11"/>
      <c r="H394" s="11"/>
      <c r="I394" s="7" t="str">
        <f t="shared" si="6"/>
        <v/>
      </c>
      <c r="J394" s="11"/>
    </row>
    <row r="395" spans="1:10" ht="15.75" customHeight="1" x14ac:dyDescent="0.25">
      <c r="A395" s="11"/>
      <c r="B395" s="11"/>
      <c r="C395" s="11"/>
      <c r="D395" s="11"/>
      <c r="E395" s="11"/>
      <c r="F395" s="11"/>
      <c r="G395" s="11"/>
      <c r="H395" s="11"/>
      <c r="I395" s="7" t="str">
        <f t="shared" si="6"/>
        <v/>
      </c>
      <c r="J395" s="11"/>
    </row>
    <row r="396" spans="1:10" ht="15.75" customHeight="1" x14ac:dyDescent="0.25">
      <c r="A396" s="11"/>
      <c r="B396" s="11"/>
      <c r="C396" s="11"/>
      <c r="D396" s="11"/>
      <c r="E396" s="11"/>
      <c r="F396" s="11"/>
      <c r="G396" s="11"/>
      <c r="H396" s="11"/>
      <c r="I396" s="7" t="str">
        <f t="shared" si="6"/>
        <v/>
      </c>
      <c r="J396" s="11"/>
    </row>
    <row r="397" spans="1:10" ht="15.75" customHeight="1" x14ac:dyDescent="0.25">
      <c r="A397" s="11"/>
      <c r="B397" s="11"/>
      <c r="C397" s="11"/>
      <c r="D397" s="11"/>
      <c r="E397" s="11"/>
      <c r="F397" s="11"/>
      <c r="G397" s="11"/>
      <c r="H397" s="11"/>
      <c r="I397" s="7" t="str">
        <f t="shared" si="6"/>
        <v/>
      </c>
      <c r="J397" s="11"/>
    </row>
    <row r="398" spans="1:10" ht="15.75" customHeight="1" x14ac:dyDescent="0.25">
      <c r="A398" s="11"/>
      <c r="B398" s="11"/>
      <c r="C398" s="11"/>
      <c r="D398" s="11"/>
      <c r="E398" s="11"/>
      <c r="F398" s="11"/>
      <c r="G398" s="11"/>
      <c r="H398" s="11"/>
      <c r="I398" s="7" t="str">
        <f t="shared" si="6"/>
        <v/>
      </c>
      <c r="J398" s="11"/>
    </row>
    <row r="399" spans="1:10" ht="15.75" customHeight="1" x14ac:dyDescent="0.25">
      <c r="A399" s="11"/>
      <c r="B399" s="11"/>
      <c r="C399" s="11"/>
      <c r="D399" s="11"/>
      <c r="E399" s="11"/>
      <c r="F399" s="11"/>
      <c r="G399" s="11"/>
      <c r="H399" s="11"/>
      <c r="I399" s="7" t="str">
        <f t="shared" si="6"/>
        <v/>
      </c>
      <c r="J399" s="11"/>
    </row>
    <row r="400" spans="1:10" ht="15.75" customHeight="1" x14ac:dyDescent="0.25">
      <c r="A400" s="11"/>
      <c r="B400" s="11"/>
      <c r="C400" s="11"/>
      <c r="D400" s="11"/>
      <c r="E400" s="11"/>
      <c r="F400" s="11"/>
      <c r="G400" s="11"/>
      <c r="H400" s="11"/>
      <c r="I400" s="7" t="str">
        <f t="shared" si="6"/>
        <v/>
      </c>
      <c r="J400" s="11"/>
    </row>
    <row r="401" spans="1:10" ht="15.75" customHeight="1" x14ac:dyDescent="0.25">
      <c r="A401" s="11"/>
      <c r="B401" s="11"/>
      <c r="C401" s="11"/>
      <c r="D401" s="11"/>
      <c r="E401" s="11"/>
      <c r="F401" s="11"/>
      <c r="G401" s="11"/>
      <c r="H401" s="11"/>
      <c r="I401" s="7" t="str">
        <f t="shared" si="6"/>
        <v/>
      </c>
      <c r="J401" s="11"/>
    </row>
    <row r="402" spans="1:10" ht="15.75" customHeight="1" x14ac:dyDescent="0.25">
      <c r="A402" s="11"/>
      <c r="B402" s="11"/>
      <c r="C402" s="11"/>
      <c r="D402" s="11"/>
      <c r="E402" s="11"/>
      <c r="F402" s="11"/>
      <c r="G402" s="11"/>
      <c r="H402" s="11"/>
      <c r="I402" s="7" t="str">
        <f t="shared" si="6"/>
        <v/>
      </c>
      <c r="J402" s="11"/>
    </row>
    <row r="403" spans="1:10" ht="15.75" customHeight="1" x14ac:dyDescent="0.25">
      <c r="A403" s="11"/>
      <c r="B403" s="11"/>
      <c r="C403" s="11"/>
      <c r="D403" s="11"/>
      <c r="E403" s="11"/>
      <c r="F403" s="11"/>
      <c r="G403" s="11"/>
      <c r="H403" s="11"/>
      <c r="I403" s="7" t="str">
        <f t="shared" si="6"/>
        <v/>
      </c>
      <c r="J403" s="11"/>
    </row>
    <row r="404" spans="1:10" ht="15.75" customHeight="1" x14ac:dyDescent="0.25">
      <c r="A404" s="11"/>
      <c r="B404" s="11"/>
      <c r="C404" s="11"/>
      <c r="D404" s="11"/>
      <c r="E404" s="11"/>
      <c r="F404" s="11"/>
      <c r="G404" s="11"/>
      <c r="H404" s="11"/>
      <c r="I404" s="7" t="str">
        <f t="shared" si="6"/>
        <v/>
      </c>
      <c r="J404" s="11"/>
    </row>
    <row r="405" spans="1:10" ht="15.75" customHeight="1" x14ac:dyDescent="0.25">
      <c r="A405" s="11"/>
      <c r="B405" s="11"/>
      <c r="C405" s="11"/>
      <c r="D405" s="11"/>
      <c r="E405" s="11"/>
      <c r="F405" s="11"/>
      <c r="G405" s="11"/>
      <c r="H405" s="11"/>
      <c r="I405" s="7" t="str">
        <f t="shared" si="6"/>
        <v/>
      </c>
      <c r="J405" s="11"/>
    </row>
    <row r="406" spans="1:10" ht="15.75" customHeight="1" x14ac:dyDescent="0.25">
      <c r="A406" s="11"/>
      <c r="B406" s="11"/>
      <c r="C406" s="11"/>
      <c r="D406" s="11"/>
      <c r="E406" s="11"/>
      <c r="F406" s="11"/>
      <c r="G406" s="11"/>
      <c r="H406" s="11"/>
      <c r="I406" s="7" t="str">
        <f t="shared" si="6"/>
        <v/>
      </c>
      <c r="J406" s="11"/>
    </row>
    <row r="407" spans="1:10" ht="15.75" customHeight="1" x14ac:dyDescent="0.25">
      <c r="A407" s="11"/>
      <c r="B407" s="11"/>
      <c r="C407" s="11"/>
      <c r="D407" s="11"/>
      <c r="E407" s="11"/>
      <c r="F407" s="11"/>
      <c r="G407" s="11"/>
      <c r="H407" s="11"/>
      <c r="I407" s="7" t="str">
        <f t="shared" si="6"/>
        <v/>
      </c>
      <c r="J407" s="11"/>
    </row>
    <row r="408" spans="1:10" ht="15.75" customHeight="1" x14ac:dyDescent="0.25">
      <c r="A408" s="11"/>
      <c r="B408" s="11"/>
      <c r="C408" s="11"/>
      <c r="D408" s="11"/>
      <c r="E408" s="11"/>
      <c r="F408" s="11"/>
      <c r="G408" s="11"/>
      <c r="H408" s="11"/>
      <c r="I408" s="7" t="str">
        <f t="shared" si="6"/>
        <v/>
      </c>
      <c r="J408" s="11"/>
    </row>
    <row r="409" spans="1:10" ht="15.75" customHeight="1" x14ac:dyDescent="0.25">
      <c r="A409" s="11"/>
      <c r="B409" s="11"/>
      <c r="C409" s="11"/>
      <c r="D409" s="11"/>
      <c r="E409" s="11"/>
      <c r="F409" s="11"/>
      <c r="G409" s="11"/>
      <c r="H409" s="11"/>
      <c r="I409" s="7" t="str">
        <f t="shared" si="6"/>
        <v/>
      </c>
      <c r="J409" s="11"/>
    </row>
    <row r="410" spans="1:10" ht="15.75" customHeight="1" x14ac:dyDescent="0.25">
      <c r="A410" s="11"/>
      <c r="B410" s="11"/>
      <c r="C410" s="11"/>
      <c r="D410" s="11"/>
      <c r="E410" s="11"/>
      <c r="F410" s="11"/>
      <c r="G410" s="11"/>
      <c r="H410" s="11"/>
      <c r="I410" s="7" t="str">
        <f t="shared" si="6"/>
        <v/>
      </c>
      <c r="J410" s="11"/>
    </row>
    <row r="411" spans="1:10" ht="15.75" customHeight="1" x14ac:dyDescent="0.25">
      <c r="A411" s="11"/>
      <c r="B411" s="11"/>
      <c r="C411" s="11"/>
      <c r="D411" s="11"/>
      <c r="E411" s="11"/>
      <c r="F411" s="11"/>
      <c r="G411" s="11"/>
      <c r="H411" s="11"/>
      <c r="I411" s="7" t="str">
        <f t="shared" si="6"/>
        <v/>
      </c>
      <c r="J411" s="11"/>
    </row>
    <row r="412" spans="1:10" ht="15.75" customHeight="1" x14ac:dyDescent="0.25">
      <c r="A412" s="11"/>
      <c r="B412" s="11"/>
      <c r="C412" s="11"/>
      <c r="D412" s="11"/>
      <c r="E412" s="11"/>
      <c r="F412" s="11"/>
      <c r="G412" s="11"/>
      <c r="H412" s="11"/>
      <c r="I412" s="7" t="str">
        <f t="shared" si="6"/>
        <v/>
      </c>
      <c r="J412" s="11"/>
    </row>
    <row r="413" spans="1:10" ht="15.75" customHeight="1" x14ac:dyDescent="0.25">
      <c r="A413" s="11"/>
      <c r="B413" s="11"/>
      <c r="C413" s="11"/>
      <c r="D413" s="11"/>
      <c r="E413" s="11"/>
      <c r="F413" s="11"/>
      <c r="G413" s="11"/>
      <c r="H413" s="11"/>
      <c r="I413" s="7" t="str">
        <f t="shared" si="6"/>
        <v/>
      </c>
      <c r="J413" s="11"/>
    </row>
    <row r="414" spans="1:10" ht="15.75" customHeight="1" x14ac:dyDescent="0.25">
      <c r="A414" s="11"/>
      <c r="B414" s="11"/>
      <c r="C414" s="11"/>
      <c r="D414" s="11"/>
      <c r="E414" s="11"/>
      <c r="F414" s="11"/>
      <c r="G414" s="11"/>
      <c r="H414" s="11"/>
      <c r="I414" s="7" t="str">
        <f t="shared" si="6"/>
        <v/>
      </c>
      <c r="J414" s="11"/>
    </row>
    <row r="415" spans="1:10" ht="15.75" customHeight="1" x14ac:dyDescent="0.25">
      <c r="A415" s="11"/>
      <c r="B415" s="11"/>
      <c r="C415" s="11"/>
      <c r="D415" s="11"/>
      <c r="E415" s="11"/>
      <c r="F415" s="11"/>
      <c r="G415" s="11"/>
      <c r="H415" s="11"/>
      <c r="I415" s="7" t="str">
        <f t="shared" si="6"/>
        <v/>
      </c>
      <c r="J415" s="11"/>
    </row>
    <row r="416" spans="1:10" ht="15.75" customHeight="1" x14ac:dyDescent="0.25">
      <c r="A416" s="11"/>
      <c r="B416" s="11"/>
      <c r="C416" s="11"/>
      <c r="D416" s="11"/>
      <c r="E416" s="11"/>
      <c r="F416" s="11"/>
      <c r="G416" s="11"/>
      <c r="H416" s="11"/>
      <c r="I416" s="7" t="str">
        <f t="shared" si="6"/>
        <v/>
      </c>
      <c r="J416" s="11"/>
    </row>
    <row r="417" spans="1:10" ht="15.75" customHeight="1" x14ac:dyDescent="0.25">
      <c r="A417" s="11"/>
      <c r="B417" s="11"/>
      <c r="C417" s="11"/>
      <c r="D417" s="11"/>
      <c r="E417" s="11"/>
      <c r="F417" s="11"/>
      <c r="G417" s="11"/>
      <c r="H417" s="11"/>
      <c r="I417" s="7" t="str">
        <f t="shared" si="6"/>
        <v/>
      </c>
      <c r="J417" s="11"/>
    </row>
    <row r="418" spans="1:10" ht="15.75" customHeight="1" x14ac:dyDescent="0.25">
      <c r="A418" s="11"/>
      <c r="B418" s="11"/>
      <c r="C418" s="11"/>
      <c r="D418" s="11"/>
      <c r="E418" s="11"/>
      <c r="F418" s="11"/>
      <c r="G418" s="11"/>
      <c r="H418" s="11"/>
      <c r="I418" s="7" t="str">
        <f t="shared" si="6"/>
        <v/>
      </c>
      <c r="J418" s="11"/>
    </row>
    <row r="419" spans="1:10" ht="15.75" customHeight="1" x14ac:dyDescent="0.25">
      <c r="A419" s="11"/>
      <c r="B419" s="11"/>
      <c r="C419" s="11"/>
      <c r="D419" s="11"/>
      <c r="E419" s="11"/>
      <c r="F419" s="11"/>
      <c r="G419" s="11"/>
      <c r="H419" s="11"/>
      <c r="I419" s="7" t="str">
        <f t="shared" si="6"/>
        <v/>
      </c>
      <c r="J419" s="11"/>
    </row>
    <row r="420" spans="1:10" ht="15.75" customHeight="1" x14ac:dyDescent="0.25">
      <c r="A420" s="11"/>
      <c r="B420" s="11"/>
      <c r="C420" s="11"/>
      <c r="D420" s="11"/>
      <c r="E420" s="11"/>
      <c r="F420" s="11"/>
      <c r="G420" s="11"/>
      <c r="H420" s="11"/>
      <c r="I420" s="7" t="str">
        <f t="shared" si="6"/>
        <v/>
      </c>
      <c r="J420" s="11"/>
    </row>
    <row r="421" spans="1:10" ht="15.75" customHeight="1" x14ac:dyDescent="0.25">
      <c r="A421" s="11"/>
      <c r="B421" s="11"/>
      <c r="C421" s="11"/>
      <c r="D421" s="11"/>
      <c r="E421" s="11"/>
      <c r="F421" s="11"/>
      <c r="G421" s="11"/>
      <c r="H421" s="11"/>
      <c r="I421" s="7" t="str">
        <f t="shared" si="6"/>
        <v/>
      </c>
      <c r="J421" s="11"/>
    </row>
    <row r="422" spans="1:10" ht="15.75" customHeight="1" x14ac:dyDescent="0.25">
      <c r="A422" s="11"/>
      <c r="B422" s="11"/>
      <c r="C422" s="11"/>
      <c r="D422" s="11"/>
      <c r="E422" s="11"/>
      <c r="F422" s="11"/>
      <c r="G422" s="11"/>
      <c r="H422" s="11"/>
      <c r="I422" s="7" t="str">
        <f t="shared" si="6"/>
        <v/>
      </c>
      <c r="J422" s="11"/>
    </row>
    <row r="423" spans="1:10" ht="15.75" customHeight="1" x14ac:dyDescent="0.25">
      <c r="A423" s="11"/>
      <c r="B423" s="11"/>
      <c r="C423" s="11"/>
      <c r="D423" s="11"/>
      <c r="E423" s="11"/>
      <c r="F423" s="11"/>
      <c r="G423" s="11"/>
      <c r="H423" s="11"/>
      <c r="I423" s="7" t="str">
        <f t="shared" si="6"/>
        <v/>
      </c>
      <c r="J423" s="11"/>
    </row>
    <row r="424" spans="1:10" ht="15.75" customHeight="1" x14ac:dyDescent="0.25">
      <c r="A424" s="11"/>
      <c r="B424" s="11"/>
      <c r="C424" s="11"/>
      <c r="D424" s="11"/>
      <c r="E424" s="11"/>
      <c r="F424" s="11"/>
      <c r="G424" s="11"/>
      <c r="H424" s="11"/>
      <c r="I424" s="7" t="str">
        <f t="shared" si="6"/>
        <v/>
      </c>
      <c r="J424" s="11"/>
    </row>
    <row r="425" spans="1:10" ht="15.75" customHeight="1" x14ac:dyDescent="0.25">
      <c r="A425" s="11"/>
      <c r="B425" s="11"/>
      <c r="C425" s="11"/>
      <c r="D425" s="11"/>
      <c r="E425" s="11"/>
      <c r="F425" s="11"/>
      <c r="G425" s="11"/>
      <c r="H425" s="11"/>
      <c r="I425" s="7" t="str">
        <f t="shared" si="6"/>
        <v/>
      </c>
      <c r="J425" s="11"/>
    </row>
    <row r="426" spans="1:10" ht="15.75" customHeight="1" x14ac:dyDescent="0.25">
      <c r="A426" s="11"/>
      <c r="B426" s="11"/>
      <c r="C426" s="11"/>
      <c r="D426" s="11"/>
      <c r="E426" s="11"/>
      <c r="F426" s="11"/>
      <c r="G426" s="11"/>
      <c r="H426" s="11"/>
      <c r="I426" s="7" t="str">
        <f t="shared" si="6"/>
        <v/>
      </c>
      <c r="J426" s="11"/>
    </row>
    <row r="427" spans="1:10" ht="15.75" customHeight="1" x14ac:dyDescent="0.25">
      <c r="A427" s="11"/>
      <c r="B427" s="11"/>
      <c r="C427" s="11"/>
      <c r="D427" s="11"/>
      <c r="E427" s="11"/>
      <c r="F427" s="11"/>
      <c r="G427" s="11"/>
      <c r="H427" s="11"/>
      <c r="I427" s="7" t="str">
        <f t="shared" si="6"/>
        <v/>
      </c>
      <c r="J427" s="11"/>
    </row>
    <row r="428" spans="1:10" ht="15.75" customHeight="1" x14ac:dyDescent="0.25">
      <c r="A428" s="11"/>
      <c r="B428" s="11"/>
      <c r="C428" s="11"/>
      <c r="D428" s="11"/>
      <c r="E428" s="11"/>
      <c r="F428" s="11"/>
      <c r="G428" s="11"/>
      <c r="H428" s="11"/>
      <c r="I428" s="7" t="str">
        <f t="shared" si="6"/>
        <v/>
      </c>
      <c r="J428" s="11"/>
    </row>
    <row r="429" spans="1:10" ht="15.75" customHeight="1" x14ac:dyDescent="0.25">
      <c r="A429" s="11"/>
      <c r="B429" s="11"/>
      <c r="C429" s="11"/>
      <c r="D429" s="11"/>
      <c r="E429" s="11"/>
      <c r="F429" s="11"/>
      <c r="G429" s="11"/>
      <c r="H429" s="11"/>
      <c r="I429" s="7" t="str">
        <f t="shared" si="6"/>
        <v/>
      </c>
      <c r="J429" s="11"/>
    </row>
    <row r="430" spans="1:10" ht="15.75" customHeight="1" x14ac:dyDescent="0.25">
      <c r="A430" s="11"/>
      <c r="B430" s="11"/>
      <c r="C430" s="11"/>
      <c r="D430" s="11"/>
      <c r="E430" s="11"/>
      <c r="F430" s="11"/>
      <c r="G430" s="11"/>
      <c r="H430" s="11"/>
      <c r="I430" s="7" t="str">
        <f t="shared" si="6"/>
        <v/>
      </c>
      <c r="J430" s="11"/>
    </row>
    <row r="431" spans="1:10" ht="15.75" customHeight="1" x14ac:dyDescent="0.25">
      <c r="A431" s="11"/>
      <c r="B431" s="11"/>
      <c r="C431" s="11"/>
      <c r="D431" s="11"/>
      <c r="E431" s="11"/>
      <c r="F431" s="11"/>
      <c r="G431" s="11"/>
      <c r="H431" s="11"/>
      <c r="I431" s="7" t="str">
        <f t="shared" si="6"/>
        <v/>
      </c>
      <c r="J431" s="11"/>
    </row>
    <row r="432" spans="1:10" ht="15.75" customHeight="1" x14ac:dyDescent="0.25">
      <c r="A432" s="11"/>
      <c r="B432" s="11"/>
      <c r="C432" s="11"/>
      <c r="D432" s="11"/>
      <c r="E432" s="11"/>
      <c r="F432" s="11"/>
      <c r="G432" s="11"/>
      <c r="H432" s="11"/>
      <c r="I432" s="7" t="str">
        <f t="shared" si="6"/>
        <v/>
      </c>
      <c r="J432" s="11"/>
    </row>
    <row r="433" spans="1:10" ht="15.75" customHeight="1" x14ac:dyDescent="0.25">
      <c r="A433" s="11"/>
      <c r="B433" s="11"/>
      <c r="C433" s="11"/>
      <c r="D433" s="11"/>
      <c r="E433" s="11"/>
      <c r="F433" s="11"/>
      <c r="G433" s="11"/>
      <c r="H433" s="11"/>
      <c r="I433" s="7" t="str">
        <f t="shared" si="6"/>
        <v/>
      </c>
      <c r="J433" s="11"/>
    </row>
    <row r="434" spans="1:10" ht="15.75" customHeight="1" x14ac:dyDescent="0.25">
      <c r="A434" s="11"/>
      <c r="B434" s="11"/>
      <c r="C434" s="11"/>
      <c r="D434" s="11"/>
      <c r="E434" s="11"/>
      <c r="F434" s="11"/>
      <c r="G434" s="11"/>
      <c r="H434" s="11"/>
      <c r="I434" s="7" t="str">
        <f t="shared" si="6"/>
        <v/>
      </c>
      <c r="J434" s="11"/>
    </row>
    <row r="435" spans="1:10" ht="15.75" customHeight="1" x14ac:dyDescent="0.25">
      <c r="A435" s="11"/>
      <c r="B435" s="11"/>
      <c r="C435" s="11"/>
      <c r="D435" s="11"/>
      <c r="E435" s="11"/>
      <c r="F435" s="11"/>
      <c r="G435" s="11"/>
      <c r="H435" s="11"/>
      <c r="I435" s="7" t="str">
        <f t="shared" si="6"/>
        <v/>
      </c>
      <c r="J435" s="11"/>
    </row>
    <row r="436" spans="1:10" ht="15.75" customHeight="1" x14ac:dyDescent="0.25">
      <c r="A436" s="11"/>
      <c r="B436" s="11"/>
      <c r="C436" s="11"/>
      <c r="D436" s="11"/>
      <c r="E436" s="11"/>
      <c r="F436" s="11"/>
      <c r="G436" s="11"/>
      <c r="H436" s="11"/>
      <c r="I436" s="7" t="str">
        <f t="shared" si="6"/>
        <v/>
      </c>
      <c r="J436" s="11"/>
    </row>
    <row r="437" spans="1:10" ht="15.75" customHeight="1" x14ac:dyDescent="0.25">
      <c r="A437" s="11"/>
      <c r="B437" s="11"/>
      <c r="C437" s="11"/>
      <c r="D437" s="11"/>
      <c r="E437" s="11"/>
      <c r="F437" s="11"/>
      <c r="G437" s="11"/>
      <c r="H437" s="11"/>
      <c r="I437" s="7" t="str">
        <f t="shared" si="6"/>
        <v/>
      </c>
      <c r="J437" s="11"/>
    </row>
    <row r="438" spans="1:10" ht="15.75" customHeight="1" x14ac:dyDescent="0.25">
      <c r="A438" s="11"/>
      <c r="B438" s="11"/>
      <c r="C438" s="11"/>
      <c r="D438" s="11"/>
      <c r="E438" s="11"/>
      <c r="F438" s="11"/>
      <c r="G438" s="11"/>
      <c r="H438" s="11"/>
      <c r="I438" s="7" t="str">
        <f t="shared" si="6"/>
        <v/>
      </c>
      <c r="J438" s="11"/>
    </row>
    <row r="439" spans="1:10" ht="15.75" customHeight="1" x14ac:dyDescent="0.25">
      <c r="A439" s="11"/>
      <c r="B439" s="11"/>
      <c r="C439" s="11"/>
      <c r="D439" s="11"/>
      <c r="E439" s="11"/>
      <c r="F439" s="11"/>
      <c r="G439" s="11"/>
      <c r="H439" s="11"/>
      <c r="I439" s="7" t="str">
        <f t="shared" si="6"/>
        <v/>
      </c>
      <c r="J439" s="11"/>
    </row>
    <row r="440" spans="1:10" ht="15.75" customHeight="1" x14ac:dyDescent="0.25">
      <c r="A440" s="11"/>
      <c r="B440" s="11"/>
      <c r="C440" s="11"/>
      <c r="D440" s="11"/>
      <c r="E440" s="11"/>
      <c r="F440" s="11"/>
      <c r="G440" s="11"/>
      <c r="H440" s="11"/>
      <c r="I440" s="7" t="str">
        <f t="shared" si="6"/>
        <v/>
      </c>
      <c r="J440" s="11"/>
    </row>
    <row r="441" spans="1:10" ht="15.75" customHeight="1" x14ac:dyDescent="0.25">
      <c r="A441" s="11"/>
      <c r="B441" s="11"/>
      <c r="C441" s="11"/>
      <c r="D441" s="11"/>
      <c r="E441" s="11"/>
      <c r="F441" s="11"/>
      <c r="G441" s="11"/>
      <c r="H441" s="11"/>
      <c r="I441" s="7" t="str">
        <f t="shared" si="6"/>
        <v/>
      </c>
      <c r="J441" s="11"/>
    </row>
    <row r="442" spans="1:10" ht="15.75" customHeight="1" x14ac:dyDescent="0.25">
      <c r="A442" s="11"/>
      <c r="B442" s="11"/>
      <c r="C442" s="11"/>
      <c r="D442" s="11"/>
      <c r="E442" s="11"/>
      <c r="F442" s="11"/>
      <c r="G442" s="11"/>
      <c r="H442" s="11"/>
      <c r="I442" s="7" t="str">
        <f t="shared" si="6"/>
        <v/>
      </c>
      <c r="J442" s="11"/>
    </row>
    <row r="443" spans="1:10" ht="15.75" customHeight="1" x14ac:dyDescent="0.25">
      <c r="A443" s="11"/>
      <c r="B443" s="11"/>
      <c r="C443" s="11"/>
      <c r="D443" s="11"/>
      <c r="E443" s="11"/>
      <c r="F443" s="11"/>
      <c r="G443" s="11"/>
      <c r="H443" s="11"/>
      <c r="I443" s="7" t="str">
        <f t="shared" si="6"/>
        <v/>
      </c>
      <c r="J443" s="11"/>
    </row>
    <row r="444" spans="1:10" ht="15.75" customHeight="1" x14ac:dyDescent="0.25">
      <c r="A444" s="11"/>
      <c r="B444" s="11"/>
      <c r="C444" s="11"/>
      <c r="D444" s="11"/>
      <c r="E444" s="11"/>
      <c r="F444" s="11"/>
      <c r="G444" s="11"/>
      <c r="H444" s="11"/>
      <c r="I444" s="7" t="str">
        <f t="shared" si="6"/>
        <v/>
      </c>
      <c r="J444" s="11"/>
    </row>
    <row r="445" spans="1:10" ht="15.75" customHeight="1" x14ac:dyDescent="0.25">
      <c r="A445" s="11"/>
      <c r="B445" s="11"/>
      <c r="C445" s="11"/>
      <c r="D445" s="11"/>
      <c r="E445" s="11"/>
      <c r="F445" s="11"/>
      <c r="G445" s="11"/>
      <c r="H445" s="11"/>
      <c r="I445" s="7" t="str">
        <f t="shared" si="6"/>
        <v/>
      </c>
      <c r="J445" s="11"/>
    </row>
    <row r="446" spans="1:10" ht="15.75" customHeight="1" x14ac:dyDescent="0.25">
      <c r="A446" s="11"/>
      <c r="B446" s="11"/>
      <c r="C446" s="11"/>
      <c r="D446" s="11"/>
      <c r="E446" s="11"/>
      <c r="F446" s="11"/>
      <c r="G446" s="11"/>
      <c r="H446" s="11"/>
      <c r="I446" s="7" t="str">
        <f t="shared" si="6"/>
        <v/>
      </c>
      <c r="J446" s="11"/>
    </row>
    <row r="447" spans="1:10" ht="15.75" customHeight="1" x14ac:dyDescent="0.25">
      <c r="A447" s="11"/>
      <c r="B447" s="11"/>
      <c r="C447" s="11"/>
      <c r="D447" s="11"/>
      <c r="E447" s="11"/>
      <c r="F447" s="11"/>
      <c r="G447" s="11"/>
      <c r="H447" s="11"/>
      <c r="I447" s="7" t="str">
        <f t="shared" si="6"/>
        <v/>
      </c>
      <c r="J447" s="11"/>
    </row>
    <row r="448" spans="1:10" ht="15.75" customHeight="1" x14ac:dyDescent="0.25">
      <c r="A448" s="11"/>
      <c r="B448" s="11"/>
      <c r="C448" s="11"/>
      <c r="D448" s="11"/>
      <c r="E448" s="11"/>
      <c r="F448" s="11"/>
      <c r="G448" s="11"/>
      <c r="H448" s="11"/>
      <c r="I448" s="7" t="str">
        <f t="shared" si="6"/>
        <v/>
      </c>
      <c r="J448" s="11"/>
    </row>
    <row r="449" spans="1:10" ht="15.75" customHeight="1" x14ac:dyDescent="0.25">
      <c r="A449" s="11"/>
      <c r="B449" s="11"/>
      <c r="C449" s="11"/>
      <c r="D449" s="11"/>
      <c r="E449" s="11"/>
      <c r="F449" s="11"/>
      <c r="G449" s="11"/>
      <c r="H449" s="11"/>
      <c r="I449" s="7" t="str">
        <f t="shared" si="6"/>
        <v/>
      </c>
      <c r="J449" s="11"/>
    </row>
    <row r="450" spans="1:10" ht="15.75" customHeight="1" x14ac:dyDescent="0.25">
      <c r="A450" s="11"/>
      <c r="B450" s="11"/>
      <c r="C450" s="11"/>
      <c r="D450" s="11"/>
      <c r="E450" s="11"/>
      <c r="F450" s="11"/>
      <c r="G450" s="11"/>
      <c r="H450" s="11"/>
      <c r="I450" s="7" t="str">
        <f t="shared" si="6"/>
        <v/>
      </c>
      <c r="J450" s="11"/>
    </row>
    <row r="451" spans="1:10" ht="15.75" customHeight="1" x14ac:dyDescent="0.25">
      <c r="A451" s="11"/>
      <c r="B451" s="11"/>
      <c r="C451" s="11"/>
      <c r="D451" s="11"/>
      <c r="E451" s="11"/>
      <c r="F451" s="11"/>
      <c r="G451" s="11"/>
      <c r="H451" s="11"/>
      <c r="I451" s="7" t="str">
        <f t="shared" ref="I451:I502" si="7">IF(B451="","",TEXT(D451,"MMMM"))</f>
        <v/>
      </c>
      <c r="J451" s="11"/>
    </row>
    <row r="452" spans="1:10" ht="15.75" customHeight="1" x14ac:dyDescent="0.25">
      <c r="A452" s="11"/>
      <c r="B452" s="11"/>
      <c r="C452" s="11"/>
      <c r="D452" s="11"/>
      <c r="E452" s="11"/>
      <c r="F452" s="11"/>
      <c r="G452" s="11"/>
      <c r="H452" s="11"/>
      <c r="I452" s="7" t="str">
        <f t="shared" si="7"/>
        <v/>
      </c>
      <c r="J452" s="11"/>
    </row>
    <row r="453" spans="1:10" ht="15.75" customHeight="1" x14ac:dyDescent="0.25">
      <c r="A453" s="11"/>
      <c r="B453" s="11"/>
      <c r="C453" s="11"/>
      <c r="D453" s="11"/>
      <c r="E453" s="11"/>
      <c r="F453" s="11"/>
      <c r="G453" s="11"/>
      <c r="H453" s="11"/>
      <c r="I453" s="7" t="str">
        <f t="shared" si="7"/>
        <v/>
      </c>
      <c r="J453" s="11"/>
    </row>
    <row r="454" spans="1:10" ht="15.75" customHeight="1" x14ac:dyDescent="0.25">
      <c r="A454" s="11"/>
      <c r="B454" s="11"/>
      <c r="C454" s="11"/>
      <c r="D454" s="11"/>
      <c r="E454" s="11"/>
      <c r="F454" s="11"/>
      <c r="G454" s="11"/>
      <c r="H454" s="11"/>
      <c r="I454" s="7" t="str">
        <f t="shared" si="7"/>
        <v/>
      </c>
      <c r="J454" s="11"/>
    </row>
    <row r="455" spans="1:10" ht="15.75" customHeight="1" x14ac:dyDescent="0.25">
      <c r="A455" s="11"/>
      <c r="B455" s="11"/>
      <c r="C455" s="11"/>
      <c r="D455" s="11"/>
      <c r="E455" s="11"/>
      <c r="F455" s="11"/>
      <c r="G455" s="11"/>
      <c r="H455" s="11"/>
      <c r="I455" s="7" t="str">
        <f t="shared" si="7"/>
        <v/>
      </c>
      <c r="J455" s="11"/>
    </row>
    <row r="456" spans="1:10" ht="15.75" customHeight="1" x14ac:dyDescent="0.25">
      <c r="A456" s="11"/>
      <c r="B456" s="11"/>
      <c r="C456" s="11"/>
      <c r="D456" s="11"/>
      <c r="E456" s="11"/>
      <c r="F456" s="11"/>
      <c r="G456" s="11"/>
      <c r="H456" s="11"/>
      <c r="I456" s="7" t="str">
        <f t="shared" si="7"/>
        <v/>
      </c>
      <c r="J456" s="11"/>
    </row>
    <row r="457" spans="1:10" ht="15.75" customHeight="1" x14ac:dyDescent="0.25">
      <c r="A457" s="11"/>
      <c r="B457" s="11"/>
      <c r="C457" s="11"/>
      <c r="D457" s="11"/>
      <c r="E457" s="11"/>
      <c r="F457" s="11"/>
      <c r="G457" s="11"/>
      <c r="H457" s="11"/>
      <c r="I457" s="7" t="str">
        <f t="shared" si="7"/>
        <v/>
      </c>
      <c r="J457" s="11"/>
    </row>
    <row r="458" spans="1:10" ht="15.75" customHeight="1" x14ac:dyDescent="0.25">
      <c r="A458" s="11"/>
      <c r="B458" s="11"/>
      <c r="C458" s="11"/>
      <c r="D458" s="11"/>
      <c r="E458" s="11"/>
      <c r="F458" s="11"/>
      <c r="G458" s="11"/>
      <c r="H458" s="11"/>
      <c r="I458" s="7" t="str">
        <f t="shared" si="7"/>
        <v/>
      </c>
      <c r="J458" s="11"/>
    </row>
    <row r="459" spans="1:10" ht="15.75" customHeight="1" x14ac:dyDescent="0.25">
      <c r="A459" s="11"/>
      <c r="B459" s="11"/>
      <c r="C459" s="11"/>
      <c r="D459" s="11"/>
      <c r="E459" s="11"/>
      <c r="F459" s="11"/>
      <c r="G459" s="11"/>
      <c r="H459" s="11"/>
      <c r="I459" s="7" t="str">
        <f t="shared" si="7"/>
        <v/>
      </c>
      <c r="J459" s="11"/>
    </row>
    <row r="460" spans="1:10" ht="15.75" customHeight="1" x14ac:dyDescent="0.25">
      <c r="A460" s="11"/>
      <c r="B460" s="11"/>
      <c r="C460" s="11"/>
      <c r="D460" s="11"/>
      <c r="E460" s="11"/>
      <c r="F460" s="11"/>
      <c r="G460" s="11"/>
      <c r="H460" s="11"/>
      <c r="I460" s="7" t="str">
        <f t="shared" si="7"/>
        <v/>
      </c>
      <c r="J460" s="11"/>
    </row>
    <row r="461" spans="1:10" ht="15.75" customHeight="1" x14ac:dyDescent="0.25">
      <c r="A461" s="11"/>
      <c r="B461" s="11"/>
      <c r="C461" s="11"/>
      <c r="D461" s="11"/>
      <c r="E461" s="11"/>
      <c r="F461" s="11"/>
      <c r="G461" s="11"/>
      <c r="H461" s="11"/>
      <c r="I461" s="7" t="str">
        <f t="shared" si="7"/>
        <v/>
      </c>
      <c r="J461" s="11"/>
    </row>
    <row r="462" spans="1:10" ht="15.75" customHeight="1" x14ac:dyDescent="0.25">
      <c r="A462" s="11"/>
      <c r="B462" s="11"/>
      <c r="C462" s="11"/>
      <c r="D462" s="11"/>
      <c r="E462" s="11"/>
      <c r="F462" s="11"/>
      <c r="G462" s="11"/>
      <c r="H462" s="11"/>
      <c r="I462" s="7" t="str">
        <f t="shared" si="7"/>
        <v/>
      </c>
      <c r="J462" s="11"/>
    </row>
    <row r="463" spans="1:10" ht="15.75" customHeight="1" x14ac:dyDescent="0.25">
      <c r="A463" s="11"/>
      <c r="B463" s="11"/>
      <c r="C463" s="11"/>
      <c r="D463" s="11"/>
      <c r="E463" s="11"/>
      <c r="F463" s="11"/>
      <c r="G463" s="11"/>
      <c r="H463" s="11"/>
      <c r="I463" s="7" t="str">
        <f t="shared" si="7"/>
        <v/>
      </c>
      <c r="J463" s="11"/>
    </row>
    <row r="464" spans="1:10" ht="15.75" customHeight="1" x14ac:dyDescent="0.25">
      <c r="A464" s="11"/>
      <c r="B464" s="11"/>
      <c r="C464" s="11"/>
      <c r="D464" s="11"/>
      <c r="E464" s="11"/>
      <c r="F464" s="11"/>
      <c r="G464" s="11"/>
      <c r="H464" s="11"/>
      <c r="I464" s="7" t="str">
        <f t="shared" si="7"/>
        <v/>
      </c>
      <c r="J464" s="11"/>
    </row>
    <row r="465" spans="1:10" ht="15.75" customHeight="1" x14ac:dyDescent="0.25">
      <c r="A465" s="11"/>
      <c r="B465" s="11"/>
      <c r="C465" s="11"/>
      <c r="D465" s="11"/>
      <c r="E465" s="11"/>
      <c r="F465" s="11"/>
      <c r="G465" s="11"/>
      <c r="H465" s="11"/>
      <c r="I465" s="7" t="str">
        <f t="shared" si="7"/>
        <v/>
      </c>
      <c r="J465" s="11"/>
    </row>
    <row r="466" spans="1:10" ht="15.75" customHeight="1" x14ac:dyDescent="0.25">
      <c r="A466" s="11"/>
      <c r="B466" s="11"/>
      <c r="C466" s="11"/>
      <c r="D466" s="11"/>
      <c r="E466" s="11"/>
      <c r="F466" s="11"/>
      <c r="G466" s="11"/>
      <c r="H466" s="11"/>
      <c r="I466" s="7" t="str">
        <f t="shared" si="7"/>
        <v/>
      </c>
      <c r="J466" s="11"/>
    </row>
    <row r="467" spans="1:10" ht="15.75" customHeight="1" x14ac:dyDescent="0.25">
      <c r="A467" s="11"/>
      <c r="B467" s="11"/>
      <c r="C467" s="11"/>
      <c r="D467" s="11"/>
      <c r="E467" s="11"/>
      <c r="F467" s="11"/>
      <c r="G467" s="11"/>
      <c r="H467" s="11"/>
      <c r="I467" s="7" t="str">
        <f t="shared" si="7"/>
        <v/>
      </c>
      <c r="J467" s="11"/>
    </row>
    <row r="468" spans="1:10" ht="15.75" customHeight="1" x14ac:dyDescent="0.25">
      <c r="A468" s="11"/>
      <c r="B468" s="11"/>
      <c r="C468" s="11"/>
      <c r="D468" s="11"/>
      <c r="E468" s="11"/>
      <c r="F468" s="11"/>
      <c r="G468" s="11"/>
      <c r="H468" s="11"/>
      <c r="I468" s="7" t="str">
        <f t="shared" si="7"/>
        <v/>
      </c>
      <c r="J468" s="11"/>
    </row>
    <row r="469" spans="1:10" ht="15.75" customHeight="1" x14ac:dyDescent="0.25">
      <c r="A469" s="11"/>
      <c r="B469" s="11"/>
      <c r="C469" s="11"/>
      <c r="D469" s="11"/>
      <c r="E469" s="11"/>
      <c r="F469" s="11"/>
      <c r="G469" s="11"/>
      <c r="H469" s="11"/>
      <c r="I469" s="7" t="str">
        <f t="shared" si="7"/>
        <v/>
      </c>
      <c r="J469" s="11"/>
    </row>
    <row r="470" spans="1:10" ht="15.75" customHeight="1" x14ac:dyDescent="0.25">
      <c r="A470" s="11"/>
      <c r="B470" s="11"/>
      <c r="C470" s="11"/>
      <c r="D470" s="11"/>
      <c r="E470" s="11"/>
      <c r="F470" s="11"/>
      <c r="G470" s="11"/>
      <c r="H470" s="11"/>
      <c r="I470" s="7" t="str">
        <f t="shared" si="7"/>
        <v/>
      </c>
      <c r="J470" s="11"/>
    </row>
    <row r="471" spans="1:10" ht="15.75" customHeight="1" x14ac:dyDescent="0.25">
      <c r="A471" s="11"/>
      <c r="B471" s="11"/>
      <c r="C471" s="11"/>
      <c r="D471" s="11"/>
      <c r="E471" s="11"/>
      <c r="F471" s="11"/>
      <c r="G471" s="11"/>
      <c r="H471" s="11"/>
      <c r="I471" s="7" t="str">
        <f t="shared" si="7"/>
        <v/>
      </c>
      <c r="J471" s="11"/>
    </row>
    <row r="472" spans="1:10" ht="15.75" customHeight="1" x14ac:dyDescent="0.25">
      <c r="A472" s="11"/>
      <c r="B472" s="11"/>
      <c r="C472" s="11"/>
      <c r="D472" s="11"/>
      <c r="E472" s="11"/>
      <c r="F472" s="11"/>
      <c r="G472" s="11"/>
      <c r="H472" s="11"/>
      <c r="I472" s="7" t="str">
        <f t="shared" si="7"/>
        <v/>
      </c>
      <c r="J472" s="11"/>
    </row>
    <row r="473" spans="1:10" ht="15.75" customHeight="1" x14ac:dyDescent="0.25">
      <c r="A473" s="11"/>
      <c r="B473" s="11"/>
      <c r="C473" s="11"/>
      <c r="D473" s="11"/>
      <c r="E473" s="11"/>
      <c r="F473" s="11"/>
      <c r="G473" s="11"/>
      <c r="H473" s="11"/>
      <c r="I473" s="7" t="str">
        <f t="shared" si="7"/>
        <v/>
      </c>
      <c r="J473" s="11"/>
    </row>
    <row r="474" spans="1:10" ht="15.75" customHeight="1" x14ac:dyDescent="0.25">
      <c r="A474" s="11"/>
      <c r="B474" s="11"/>
      <c r="C474" s="11"/>
      <c r="D474" s="11"/>
      <c r="E474" s="11"/>
      <c r="F474" s="11"/>
      <c r="G474" s="11"/>
      <c r="H474" s="11"/>
      <c r="I474" s="7" t="str">
        <f t="shared" si="7"/>
        <v/>
      </c>
      <c r="J474" s="11"/>
    </row>
    <row r="475" spans="1:10" ht="15.75" customHeight="1" x14ac:dyDescent="0.25">
      <c r="A475" s="11"/>
      <c r="B475" s="11"/>
      <c r="C475" s="11"/>
      <c r="D475" s="11"/>
      <c r="E475" s="11"/>
      <c r="F475" s="11"/>
      <c r="G475" s="11"/>
      <c r="H475" s="11"/>
      <c r="I475" s="7" t="str">
        <f t="shared" si="7"/>
        <v/>
      </c>
      <c r="J475" s="11"/>
    </row>
    <row r="476" spans="1:10" ht="15.75" customHeight="1" x14ac:dyDescent="0.25">
      <c r="A476" s="11"/>
      <c r="B476" s="11"/>
      <c r="C476" s="11"/>
      <c r="D476" s="11"/>
      <c r="E476" s="11"/>
      <c r="F476" s="11"/>
      <c r="G476" s="11"/>
      <c r="H476" s="11"/>
      <c r="I476" s="7" t="str">
        <f t="shared" si="7"/>
        <v/>
      </c>
      <c r="J476" s="11"/>
    </row>
    <row r="477" spans="1:10" ht="15.75" customHeight="1" x14ac:dyDescent="0.25">
      <c r="A477" s="11"/>
      <c r="B477" s="11"/>
      <c r="C477" s="11"/>
      <c r="D477" s="11"/>
      <c r="E477" s="11"/>
      <c r="F477" s="11"/>
      <c r="G477" s="11"/>
      <c r="H477" s="11"/>
      <c r="I477" s="7" t="str">
        <f t="shared" si="7"/>
        <v/>
      </c>
      <c r="J477" s="11"/>
    </row>
    <row r="478" spans="1:10" ht="15.75" customHeight="1" x14ac:dyDescent="0.25">
      <c r="A478" s="11"/>
      <c r="B478" s="11"/>
      <c r="C478" s="11"/>
      <c r="D478" s="11"/>
      <c r="E478" s="11"/>
      <c r="F478" s="11"/>
      <c r="G478" s="11"/>
      <c r="H478" s="11"/>
      <c r="I478" s="7" t="str">
        <f t="shared" si="7"/>
        <v/>
      </c>
      <c r="J478" s="11"/>
    </row>
    <row r="479" spans="1:10" ht="15.75" customHeight="1" x14ac:dyDescent="0.25">
      <c r="A479" s="11"/>
      <c r="B479" s="11"/>
      <c r="C479" s="11"/>
      <c r="D479" s="11"/>
      <c r="E479" s="11"/>
      <c r="F479" s="11"/>
      <c r="G479" s="11"/>
      <c r="H479" s="11"/>
      <c r="I479" s="7" t="str">
        <f t="shared" si="7"/>
        <v/>
      </c>
      <c r="J479" s="11"/>
    </row>
    <row r="480" spans="1:10" ht="15.75" customHeight="1" x14ac:dyDescent="0.25">
      <c r="A480" s="11"/>
      <c r="B480" s="11"/>
      <c r="C480" s="11"/>
      <c r="D480" s="11"/>
      <c r="E480" s="11"/>
      <c r="F480" s="11"/>
      <c r="G480" s="11"/>
      <c r="H480" s="11"/>
      <c r="I480" s="7" t="str">
        <f t="shared" si="7"/>
        <v/>
      </c>
      <c r="J480" s="11"/>
    </row>
    <row r="481" spans="1:10" ht="15.75" customHeight="1" x14ac:dyDescent="0.25">
      <c r="A481" s="11"/>
      <c r="B481" s="11"/>
      <c r="C481" s="11"/>
      <c r="D481" s="11"/>
      <c r="E481" s="11"/>
      <c r="F481" s="11"/>
      <c r="G481" s="11"/>
      <c r="H481" s="11"/>
      <c r="I481" s="7" t="str">
        <f t="shared" si="7"/>
        <v/>
      </c>
      <c r="J481" s="11"/>
    </row>
    <row r="482" spans="1:10" ht="15.75" customHeight="1" x14ac:dyDescent="0.25">
      <c r="A482" s="11"/>
      <c r="B482" s="11"/>
      <c r="C482" s="11"/>
      <c r="D482" s="11"/>
      <c r="E482" s="11"/>
      <c r="F482" s="11"/>
      <c r="G482" s="11"/>
      <c r="H482" s="11"/>
      <c r="I482" s="7" t="str">
        <f t="shared" si="7"/>
        <v/>
      </c>
      <c r="J482" s="11"/>
    </row>
    <row r="483" spans="1:10" ht="15.75" customHeight="1" x14ac:dyDescent="0.25">
      <c r="A483" s="11"/>
      <c r="B483" s="11"/>
      <c r="C483" s="11"/>
      <c r="D483" s="11"/>
      <c r="E483" s="11"/>
      <c r="F483" s="11"/>
      <c r="G483" s="11"/>
      <c r="H483" s="11"/>
      <c r="I483" s="7" t="str">
        <f t="shared" si="7"/>
        <v/>
      </c>
      <c r="J483" s="11"/>
    </row>
    <row r="484" spans="1:10" ht="15.75" customHeight="1" x14ac:dyDescent="0.25">
      <c r="A484" s="11"/>
      <c r="B484" s="11"/>
      <c r="C484" s="11"/>
      <c r="D484" s="11"/>
      <c r="E484" s="11"/>
      <c r="F484" s="11"/>
      <c r="G484" s="11"/>
      <c r="H484" s="11"/>
      <c r="I484" s="7" t="str">
        <f t="shared" si="7"/>
        <v/>
      </c>
      <c r="J484" s="11"/>
    </row>
    <row r="485" spans="1:10" ht="15.75" customHeight="1" x14ac:dyDescent="0.25">
      <c r="A485" s="11"/>
      <c r="B485" s="11"/>
      <c r="C485" s="11"/>
      <c r="D485" s="11"/>
      <c r="E485" s="11"/>
      <c r="F485" s="11"/>
      <c r="G485" s="11"/>
      <c r="H485" s="11"/>
      <c r="I485" s="7" t="str">
        <f t="shared" si="7"/>
        <v/>
      </c>
      <c r="J485" s="11"/>
    </row>
    <row r="486" spans="1:10" ht="15.75" customHeight="1" x14ac:dyDescent="0.25">
      <c r="A486" s="11"/>
      <c r="B486" s="11"/>
      <c r="C486" s="11"/>
      <c r="D486" s="11"/>
      <c r="E486" s="11"/>
      <c r="F486" s="11"/>
      <c r="G486" s="11"/>
      <c r="H486" s="11"/>
      <c r="I486" s="7" t="str">
        <f t="shared" si="7"/>
        <v/>
      </c>
      <c r="J486" s="11"/>
    </row>
    <row r="487" spans="1:10" ht="15.75" customHeight="1" x14ac:dyDescent="0.25">
      <c r="A487" s="11"/>
      <c r="B487" s="11"/>
      <c r="C487" s="11"/>
      <c r="D487" s="11"/>
      <c r="E487" s="11"/>
      <c r="F487" s="11"/>
      <c r="G487" s="11"/>
      <c r="H487" s="11"/>
      <c r="I487" s="7" t="str">
        <f t="shared" si="7"/>
        <v/>
      </c>
      <c r="J487" s="11"/>
    </row>
    <row r="488" spans="1:10" ht="15.75" customHeight="1" x14ac:dyDescent="0.25">
      <c r="A488" s="11"/>
      <c r="B488" s="11"/>
      <c r="C488" s="11"/>
      <c r="D488" s="11"/>
      <c r="E488" s="11"/>
      <c r="F488" s="11"/>
      <c r="G488" s="11"/>
      <c r="H488" s="11"/>
      <c r="I488" s="7" t="str">
        <f t="shared" si="7"/>
        <v/>
      </c>
      <c r="J488" s="11"/>
    </row>
    <row r="489" spans="1:10" ht="15.75" customHeight="1" x14ac:dyDescent="0.25">
      <c r="A489" s="11"/>
      <c r="B489" s="11"/>
      <c r="C489" s="11"/>
      <c r="D489" s="11"/>
      <c r="E489" s="11"/>
      <c r="F489" s="11"/>
      <c r="G489" s="11"/>
      <c r="H489" s="11"/>
      <c r="I489" s="7" t="str">
        <f t="shared" si="7"/>
        <v/>
      </c>
      <c r="J489" s="11"/>
    </row>
    <row r="490" spans="1:10" ht="15.75" customHeight="1" x14ac:dyDescent="0.25">
      <c r="A490" s="11"/>
      <c r="B490" s="11"/>
      <c r="C490" s="11"/>
      <c r="D490" s="11"/>
      <c r="E490" s="11"/>
      <c r="F490" s="11"/>
      <c r="G490" s="11"/>
      <c r="H490" s="11"/>
      <c r="I490" s="7" t="str">
        <f t="shared" si="7"/>
        <v/>
      </c>
      <c r="J490" s="11"/>
    </row>
    <row r="491" spans="1:10" ht="15.75" customHeight="1" x14ac:dyDescent="0.25">
      <c r="A491" s="11"/>
      <c r="B491" s="11"/>
      <c r="C491" s="11"/>
      <c r="D491" s="11"/>
      <c r="E491" s="11"/>
      <c r="F491" s="11"/>
      <c r="G491" s="11"/>
      <c r="H491" s="11"/>
      <c r="I491" s="7" t="str">
        <f t="shared" si="7"/>
        <v/>
      </c>
      <c r="J491" s="11"/>
    </row>
    <row r="492" spans="1:10" ht="15.75" customHeight="1" x14ac:dyDescent="0.25">
      <c r="A492" s="11"/>
      <c r="B492" s="11"/>
      <c r="C492" s="11"/>
      <c r="D492" s="11"/>
      <c r="E492" s="11"/>
      <c r="F492" s="11"/>
      <c r="G492" s="11"/>
      <c r="H492" s="11"/>
      <c r="I492" s="7" t="str">
        <f t="shared" si="7"/>
        <v/>
      </c>
      <c r="J492" s="11"/>
    </row>
    <row r="493" spans="1:10" ht="15.75" customHeight="1" x14ac:dyDescent="0.25">
      <c r="A493" s="11"/>
      <c r="B493" s="11"/>
      <c r="C493" s="11"/>
      <c r="D493" s="11"/>
      <c r="E493" s="11"/>
      <c r="F493" s="11"/>
      <c r="G493" s="11"/>
      <c r="H493" s="11"/>
      <c r="I493" s="7" t="str">
        <f t="shared" si="7"/>
        <v/>
      </c>
      <c r="J493" s="11"/>
    </row>
    <row r="494" spans="1:10" ht="15.75" customHeight="1" x14ac:dyDescent="0.25">
      <c r="A494" s="11"/>
      <c r="B494" s="11"/>
      <c r="C494" s="11"/>
      <c r="D494" s="11"/>
      <c r="E494" s="11"/>
      <c r="F494" s="11"/>
      <c r="G494" s="11"/>
      <c r="H494" s="11"/>
      <c r="I494" s="7" t="str">
        <f t="shared" si="7"/>
        <v/>
      </c>
      <c r="J494" s="11"/>
    </row>
    <row r="495" spans="1:10" ht="15.75" customHeight="1" x14ac:dyDescent="0.25">
      <c r="A495" s="11"/>
      <c r="B495" s="11"/>
      <c r="C495" s="11"/>
      <c r="D495" s="11"/>
      <c r="E495" s="11"/>
      <c r="F495" s="11"/>
      <c r="G495" s="11"/>
      <c r="H495" s="11"/>
      <c r="I495" s="7" t="str">
        <f t="shared" si="7"/>
        <v/>
      </c>
      <c r="J495" s="11"/>
    </row>
    <row r="496" spans="1:10" ht="15.75" customHeight="1" x14ac:dyDescent="0.25">
      <c r="A496" s="11"/>
      <c r="B496" s="11"/>
      <c r="C496" s="11"/>
      <c r="D496" s="11"/>
      <c r="E496" s="11"/>
      <c r="F496" s="11"/>
      <c r="G496" s="11"/>
      <c r="H496" s="11"/>
      <c r="I496" s="7" t="str">
        <f t="shared" si="7"/>
        <v/>
      </c>
      <c r="J496" s="11"/>
    </row>
    <row r="497" spans="1:10" ht="15.75" customHeight="1" x14ac:dyDescent="0.25">
      <c r="A497" s="11"/>
      <c r="B497" s="11"/>
      <c r="C497" s="11"/>
      <c r="D497" s="11"/>
      <c r="E497" s="11"/>
      <c r="F497" s="11"/>
      <c r="G497" s="11"/>
      <c r="H497" s="11"/>
      <c r="I497" s="7" t="str">
        <f t="shared" si="7"/>
        <v/>
      </c>
      <c r="J497" s="11"/>
    </row>
    <row r="498" spans="1:10" ht="15.75" customHeight="1" x14ac:dyDescent="0.25">
      <c r="A498" s="11"/>
      <c r="B498" s="11"/>
      <c r="C498" s="11"/>
      <c r="D498" s="11"/>
      <c r="E498" s="11"/>
      <c r="F498" s="11"/>
      <c r="G498" s="11"/>
      <c r="H498" s="11"/>
      <c r="I498" s="7" t="str">
        <f t="shared" si="7"/>
        <v/>
      </c>
      <c r="J498" s="11"/>
    </row>
    <row r="499" spans="1:10" ht="15.75" customHeight="1" x14ac:dyDescent="0.25">
      <c r="A499" s="11"/>
      <c r="B499" s="11"/>
      <c r="C499" s="11"/>
      <c r="D499" s="11"/>
      <c r="E499" s="11"/>
      <c r="F499" s="11"/>
      <c r="G499" s="11"/>
      <c r="H499" s="11"/>
      <c r="I499" s="7" t="str">
        <f t="shared" si="7"/>
        <v/>
      </c>
      <c r="J499" s="11"/>
    </row>
    <row r="500" spans="1:10" ht="15.75" customHeight="1" x14ac:dyDescent="0.25">
      <c r="A500" s="11"/>
      <c r="B500" s="11"/>
      <c r="C500" s="11"/>
      <c r="D500" s="11"/>
      <c r="E500" s="11"/>
      <c r="F500" s="11"/>
      <c r="G500" s="11"/>
      <c r="H500" s="11"/>
      <c r="I500" s="7" t="str">
        <f t="shared" si="7"/>
        <v/>
      </c>
      <c r="J500" s="11"/>
    </row>
    <row r="501" spans="1:10" ht="15.75" customHeight="1" x14ac:dyDescent="0.25">
      <c r="A501" s="11"/>
      <c r="B501" s="11"/>
      <c r="C501" s="11"/>
      <c r="D501" s="11"/>
      <c r="E501" s="11"/>
      <c r="F501" s="11"/>
      <c r="G501" s="11"/>
      <c r="H501" s="11"/>
      <c r="I501" s="7" t="str">
        <f t="shared" si="7"/>
        <v/>
      </c>
      <c r="J501" s="11"/>
    </row>
    <row r="502" spans="1:10" ht="15.75" customHeight="1" x14ac:dyDescent="0.25">
      <c r="A502" s="11"/>
      <c r="B502" s="11"/>
      <c r="C502" s="11"/>
      <c r="D502" s="11"/>
      <c r="E502" s="11"/>
      <c r="F502" s="11"/>
      <c r="G502" s="11"/>
      <c r="H502" s="11"/>
      <c r="I502" s="7" t="str">
        <f t="shared" si="7"/>
        <v/>
      </c>
      <c r="J502" s="11"/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H202"/>
  <sheetViews>
    <sheetView zoomScaleNormal="100" workbookViewId="0"/>
  </sheetViews>
  <sheetFormatPr defaultColWidth="8.7109375" defaultRowHeight="15" x14ac:dyDescent="0.25"/>
  <sheetData>
    <row r="1" spans="1:8" ht="24" customHeight="1" x14ac:dyDescent="0.25">
      <c r="A1" s="177" t="s">
        <v>446</v>
      </c>
      <c r="B1" s="162"/>
      <c r="C1" s="162"/>
      <c r="D1" s="162"/>
      <c r="E1" s="162"/>
      <c r="F1" s="162"/>
      <c r="G1" s="162"/>
      <c r="H1" s="162"/>
    </row>
    <row r="2" spans="1:8" ht="21.75" customHeight="1" x14ac:dyDescent="0.25">
      <c r="A2" s="10" t="s">
        <v>447</v>
      </c>
      <c r="B2" s="10" t="s">
        <v>41</v>
      </c>
      <c r="C2" s="10" t="s">
        <v>448</v>
      </c>
      <c r="D2" s="10" t="s">
        <v>449</v>
      </c>
      <c r="E2" s="10" t="s">
        <v>450</v>
      </c>
      <c r="F2" s="10" t="s">
        <v>451</v>
      </c>
      <c r="G2" s="10" t="s">
        <v>452</v>
      </c>
      <c r="H2" s="10" t="s">
        <v>453</v>
      </c>
    </row>
    <row r="3" spans="1:8" ht="15.75" customHeight="1" x14ac:dyDescent="0.25">
      <c r="A3" s="7"/>
      <c r="B3" s="7"/>
      <c r="C3" s="7"/>
      <c r="D3" s="7"/>
      <c r="E3" s="7"/>
      <c r="F3" s="7"/>
      <c r="G3" s="7"/>
      <c r="H3" s="7"/>
    </row>
    <row r="4" spans="1:8" ht="15.75" customHeight="1" x14ac:dyDescent="0.25">
      <c r="A4" s="7"/>
      <c r="B4" s="7"/>
      <c r="C4" s="7"/>
      <c r="D4" s="7"/>
      <c r="E4" s="7"/>
      <c r="F4" s="7"/>
      <c r="G4" s="7"/>
      <c r="H4" s="7"/>
    </row>
    <row r="5" spans="1:8" ht="15.75" customHeight="1" x14ac:dyDescent="0.25">
      <c r="A5" s="7"/>
      <c r="B5" s="7"/>
      <c r="C5" s="7"/>
      <c r="D5" s="7"/>
      <c r="E5" s="7"/>
      <c r="F5" s="7"/>
      <c r="G5" s="7"/>
      <c r="H5" s="7"/>
    </row>
    <row r="6" spans="1:8" ht="15.75" customHeight="1" x14ac:dyDescent="0.25">
      <c r="A6" s="7"/>
      <c r="B6" s="7"/>
      <c r="C6" s="7"/>
      <c r="D6" s="7"/>
      <c r="E6" s="7"/>
      <c r="F6" s="7"/>
      <c r="G6" s="7"/>
      <c r="H6" s="7"/>
    </row>
    <row r="7" spans="1:8" ht="15.75" customHeight="1" x14ac:dyDescent="0.25">
      <c r="A7" s="7"/>
      <c r="B7" s="7"/>
      <c r="C7" s="7"/>
      <c r="D7" s="7"/>
      <c r="E7" s="7"/>
      <c r="F7" s="7"/>
      <c r="G7" s="7"/>
      <c r="H7" s="7"/>
    </row>
    <row r="8" spans="1:8" ht="15.75" customHeight="1" x14ac:dyDescent="0.25">
      <c r="A8" s="7"/>
      <c r="B8" s="7"/>
      <c r="C8" s="7"/>
      <c r="D8" s="7"/>
      <c r="E8" s="7"/>
      <c r="F8" s="7"/>
      <c r="G8" s="7"/>
      <c r="H8" s="7"/>
    </row>
    <row r="9" spans="1:8" ht="15.75" customHeight="1" x14ac:dyDescent="0.25">
      <c r="A9" s="7"/>
      <c r="B9" s="7"/>
      <c r="C9" s="7"/>
      <c r="D9" s="7"/>
      <c r="E9" s="7"/>
      <c r="F9" s="7"/>
      <c r="G9" s="7"/>
      <c r="H9" s="7"/>
    </row>
    <row r="10" spans="1:8" ht="15.75" customHeight="1" x14ac:dyDescent="0.25">
      <c r="A10" s="7"/>
      <c r="B10" s="7"/>
      <c r="C10" s="7"/>
      <c r="D10" s="7"/>
      <c r="E10" s="7"/>
      <c r="F10" s="7"/>
      <c r="G10" s="7"/>
      <c r="H10" s="7"/>
    </row>
    <row r="11" spans="1:8" ht="15.75" customHeight="1" x14ac:dyDescent="0.25">
      <c r="A11" s="7"/>
      <c r="B11" s="7"/>
      <c r="C11" s="7"/>
      <c r="D11" s="7"/>
      <c r="E11" s="7"/>
      <c r="F11" s="7"/>
      <c r="G11" s="7"/>
      <c r="H11" s="7"/>
    </row>
    <row r="12" spans="1:8" ht="15.75" customHeight="1" x14ac:dyDescent="0.25">
      <c r="A12" s="7"/>
      <c r="B12" s="7"/>
      <c r="C12" s="7"/>
      <c r="D12" s="7"/>
      <c r="E12" s="7"/>
      <c r="F12" s="7"/>
      <c r="G12" s="7"/>
      <c r="H12" s="7"/>
    </row>
    <row r="13" spans="1:8" ht="15.75" customHeight="1" x14ac:dyDescent="0.25">
      <c r="A13" s="7"/>
      <c r="B13" s="7"/>
      <c r="C13" s="7"/>
      <c r="D13" s="7"/>
      <c r="E13" s="7"/>
      <c r="F13" s="7"/>
      <c r="G13" s="7"/>
      <c r="H13" s="7"/>
    </row>
    <row r="14" spans="1:8" ht="15.75" customHeight="1" x14ac:dyDescent="0.25">
      <c r="A14" s="7"/>
      <c r="B14" s="7"/>
      <c r="C14" s="7"/>
      <c r="D14" s="7"/>
      <c r="E14" s="7"/>
      <c r="F14" s="7"/>
      <c r="G14" s="7"/>
      <c r="H14" s="7"/>
    </row>
    <row r="15" spans="1:8" ht="15.75" customHeight="1" x14ac:dyDescent="0.25">
      <c r="A15" s="7"/>
      <c r="B15" s="7"/>
      <c r="C15" s="7"/>
      <c r="D15" s="7"/>
      <c r="E15" s="7"/>
      <c r="F15" s="7"/>
      <c r="G15" s="7"/>
      <c r="H15" s="7"/>
    </row>
    <row r="16" spans="1:8" ht="15.75" customHeight="1" x14ac:dyDescent="0.25">
      <c r="A16" s="7"/>
      <c r="B16" s="7"/>
      <c r="C16" s="7"/>
      <c r="D16" s="7"/>
      <c r="E16" s="7"/>
      <c r="F16" s="7"/>
      <c r="G16" s="7"/>
      <c r="H16" s="7"/>
    </row>
    <row r="17" spans="1:8" ht="15.75" customHeight="1" x14ac:dyDescent="0.25">
      <c r="A17" s="7"/>
      <c r="B17" s="7"/>
      <c r="C17" s="7"/>
      <c r="D17" s="7"/>
      <c r="E17" s="7"/>
      <c r="F17" s="7"/>
      <c r="G17" s="7"/>
      <c r="H17" s="7"/>
    </row>
    <row r="18" spans="1:8" ht="15.75" customHeight="1" x14ac:dyDescent="0.25">
      <c r="A18" s="7"/>
      <c r="B18" s="7"/>
      <c r="C18" s="7"/>
      <c r="D18" s="7"/>
      <c r="E18" s="7"/>
      <c r="F18" s="7"/>
      <c r="G18" s="7"/>
      <c r="H18" s="7"/>
    </row>
    <row r="19" spans="1:8" ht="15.75" customHeight="1" x14ac:dyDescent="0.25">
      <c r="A19" s="7"/>
      <c r="B19" s="7"/>
      <c r="C19" s="7"/>
      <c r="D19" s="7"/>
      <c r="E19" s="7"/>
      <c r="F19" s="7"/>
      <c r="G19" s="7"/>
      <c r="H19" s="7"/>
    </row>
    <row r="20" spans="1:8" ht="15.75" customHeight="1" x14ac:dyDescent="0.25">
      <c r="A20" s="7"/>
      <c r="B20" s="7"/>
      <c r="C20" s="7"/>
      <c r="D20" s="7"/>
      <c r="E20" s="7"/>
      <c r="F20" s="7"/>
      <c r="G20" s="7"/>
      <c r="H20" s="7"/>
    </row>
    <row r="21" spans="1:8" ht="15.75" customHeight="1" x14ac:dyDescent="0.25">
      <c r="A21" s="7"/>
      <c r="B21" s="7"/>
      <c r="C21" s="7"/>
      <c r="D21" s="7"/>
      <c r="E21" s="7"/>
      <c r="F21" s="7"/>
      <c r="G21" s="7"/>
      <c r="H21" s="7"/>
    </row>
    <row r="22" spans="1:8" ht="15.75" customHeight="1" x14ac:dyDescent="0.25">
      <c r="A22" s="7"/>
      <c r="B22" s="7"/>
      <c r="C22" s="7"/>
      <c r="D22" s="7"/>
      <c r="E22" s="7"/>
      <c r="F22" s="7"/>
      <c r="G22" s="7"/>
      <c r="H22" s="7"/>
    </row>
    <row r="23" spans="1:8" ht="15.75" customHeight="1" x14ac:dyDescent="0.25">
      <c r="A23" s="7"/>
      <c r="B23" s="7"/>
      <c r="C23" s="7"/>
      <c r="D23" s="7"/>
      <c r="E23" s="7"/>
      <c r="F23" s="7"/>
      <c r="G23" s="7"/>
      <c r="H23" s="7"/>
    </row>
    <row r="24" spans="1:8" ht="15.75" customHeight="1" x14ac:dyDescent="0.25">
      <c r="A24" s="7"/>
      <c r="B24" s="7"/>
      <c r="C24" s="7"/>
      <c r="D24" s="7"/>
      <c r="E24" s="7"/>
      <c r="F24" s="7"/>
      <c r="G24" s="7"/>
      <c r="H24" s="7"/>
    </row>
    <row r="25" spans="1:8" ht="15.75" customHeight="1" x14ac:dyDescent="0.25">
      <c r="A25" s="7"/>
      <c r="B25" s="7"/>
      <c r="C25" s="7"/>
      <c r="D25" s="7"/>
      <c r="E25" s="7"/>
      <c r="F25" s="7"/>
      <c r="G25" s="7"/>
      <c r="H25" s="7"/>
    </row>
    <row r="26" spans="1:8" ht="15.75" customHeight="1" x14ac:dyDescent="0.25">
      <c r="A26" s="7"/>
      <c r="B26" s="7"/>
      <c r="C26" s="7"/>
      <c r="D26" s="7"/>
      <c r="E26" s="7"/>
      <c r="F26" s="7"/>
      <c r="G26" s="7"/>
      <c r="H26" s="7"/>
    </row>
    <row r="27" spans="1:8" ht="15.75" customHeight="1" x14ac:dyDescent="0.25">
      <c r="A27" s="7"/>
      <c r="B27" s="7"/>
      <c r="C27" s="7"/>
      <c r="D27" s="7"/>
      <c r="E27" s="7"/>
      <c r="F27" s="7"/>
      <c r="G27" s="7"/>
      <c r="H27" s="7"/>
    </row>
    <row r="28" spans="1:8" ht="15.75" customHeight="1" x14ac:dyDescent="0.25">
      <c r="A28" s="7"/>
      <c r="B28" s="7"/>
      <c r="C28" s="7"/>
      <c r="D28" s="7"/>
      <c r="E28" s="7"/>
      <c r="F28" s="7"/>
      <c r="G28" s="7"/>
      <c r="H28" s="7"/>
    </row>
    <row r="29" spans="1:8" ht="15.75" customHeight="1" x14ac:dyDescent="0.25">
      <c r="A29" s="7"/>
      <c r="B29" s="7"/>
      <c r="C29" s="7"/>
      <c r="D29" s="7"/>
      <c r="E29" s="7"/>
      <c r="F29" s="7"/>
      <c r="G29" s="7"/>
      <c r="H29" s="7"/>
    </row>
    <row r="30" spans="1:8" ht="15.75" customHeight="1" x14ac:dyDescent="0.25">
      <c r="A30" s="7"/>
      <c r="B30" s="7"/>
      <c r="C30" s="7"/>
      <c r="D30" s="7"/>
      <c r="E30" s="7"/>
      <c r="F30" s="7"/>
      <c r="G30" s="7"/>
      <c r="H30" s="7"/>
    </row>
    <row r="31" spans="1:8" ht="15.75" customHeight="1" x14ac:dyDescent="0.25">
      <c r="A31" s="7"/>
      <c r="B31" s="7"/>
      <c r="C31" s="7"/>
      <c r="D31" s="7"/>
      <c r="E31" s="7"/>
      <c r="F31" s="7"/>
      <c r="G31" s="7"/>
      <c r="H31" s="7"/>
    </row>
    <row r="32" spans="1:8" ht="15.75" customHeight="1" x14ac:dyDescent="0.25">
      <c r="A32" s="7"/>
      <c r="B32" s="7"/>
      <c r="C32" s="7"/>
      <c r="D32" s="7"/>
      <c r="E32" s="7"/>
      <c r="F32" s="7"/>
      <c r="G32" s="7"/>
      <c r="H32" s="7"/>
    </row>
    <row r="33" spans="1:8" ht="15.75" customHeight="1" x14ac:dyDescent="0.25">
      <c r="A33" s="7"/>
      <c r="B33" s="7"/>
      <c r="C33" s="7"/>
      <c r="D33" s="7"/>
      <c r="E33" s="7"/>
      <c r="F33" s="7"/>
      <c r="G33" s="7"/>
      <c r="H33" s="7"/>
    </row>
    <row r="34" spans="1:8" ht="15.75" customHeight="1" x14ac:dyDescent="0.25">
      <c r="A34" s="7"/>
      <c r="B34" s="7"/>
      <c r="C34" s="7"/>
      <c r="D34" s="7"/>
      <c r="E34" s="7"/>
      <c r="F34" s="7"/>
      <c r="G34" s="7"/>
      <c r="H34" s="7"/>
    </row>
    <row r="35" spans="1:8" ht="15.75" customHeight="1" x14ac:dyDescent="0.25">
      <c r="A35" s="7"/>
      <c r="B35" s="7"/>
      <c r="C35" s="7"/>
      <c r="D35" s="7"/>
      <c r="E35" s="7"/>
      <c r="F35" s="7"/>
      <c r="G35" s="7"/>
      <c r="H35" s="7"/>
    </row>
    <row r="36" spans="1:8" ht="15.75" customHeight="1" x14ac:dyDescent="0.25">
      <c r="A36" s="7"/>
      <c r="B36" s="7"/>
      <c r="C36" s="7"/>
      <c r="D36" s="7"/>
      <c r="E36" s="7"/>
      <c r="F36" s="7"/>
      <c r="G36" s="7"/>
      <c r="H36" s="7"/>
    </row>
    <row r="37" spans="1:8" ht="15.75" customHeight="1" x14ac:dyDescent="0.25">
      <c r="A37" s="7"/>
      <c r="B37" s="7"/>
      <c r="C37" s="7"/>
      <c r="D37" s="7"/>
      <c r="E37" s="7"/>
      <c r="F37" s="7"/>
      <c r="G37" s="7"/>
      <c r="H37" s="7"/>
    </row>
    <row r="38" spans="1:8" ht="15.75" customHeight="1" x14ac:dyDescent="0.25">
      <c r="A38" s="7"/>
      <c r="B38" s="7"/>
      <c r="C38" s="7"/>
      <c r="D38" s="7"/>
      <c r="E38" s="7"/>
      <c r="F38" s="7"/>
      <c r="G38" s="7"/>
      <c r="H38" s="7"/>
    </row>
    <row r="39" spans="1:8" ht="15.75" customHeight="1" x14ac:dyDescent="0.25">
      <c r="A39" s="7"/>
      <c r="B39" s="7"/>
      <c r="C39" s="7"/>
      <c r="D39" s="7"/>
      <c r="E39" s="7"/>
      <c r="F39" s="7"/>
      <c r="G39" s="7"/>
      <c r="H39" s="7"/>
    </row>
    <row r="40" spans="1:8" ht="15.75" customHeight="1" x14ac:dyDescent="0.25">
      <c r="A40" s="7"/>
      <c r="B40" s="7"/>
      <c r="C40" s="7"/>
      <c r="D40" s="7"/>
      <c r="E40" s="7"/>
      <c r="F40" s="7"/>
      <c r="G40" s="7"/>
      <c r="H40" s="7"/>
    </row>
    <row r="41" spans="1:8" ht="15.75" customHeight="1" x14ac:dyDescent="0.25">
      <c r="A41" s="7"/>
      <c r="B41" s="7"/>
      <c r="C41" s="7"/>
      <c r="D41" s="7"/>
      <c r="E41" s="7"/>
      <c r="F41" s="7"/>
      <c r="G41" s="7"/>
      <c r="H41" s="7"/>
    </row>
    <row r="42" spans="1:8" ht="15.75" customHeight="1" x14ac:dyDescent="0.25">
      <c r="A42" s="7"/>
      <c r="B42" s="7"/>
      <c r="C42" s="7"/>
      <c r="D42" s="7"/>
      <c r="E42" s="7"/>
      <c r="F42" s="7"/>
      <c r="G42" s="7"/>
      <c r="H42" s="7"/>
    </row>
    <row r="43" spans="1:8" ht="15.75" customHeight="1" x14ac:dyDescent="0.25">
      <c r="A43" s="7"/>
      <c r="B43" s="7"/>
      <c r="C43" s="7"/>
      <c r="D43" s="7"/>
      <c r="E43" s="7"/>
      <c r="F43" s="7"/>
      <c r="G43" s="7"/>
      <c r="H43" s="7"/>
    </row>
    <row r="44" spans="1:8" ht="15.75" customHeight="1" x14ac:dyDescent="0.25">
      <c r="A44" s="7"/>
      <c r="B44" s="7"/>
      <c r="C44" s="7"/>
      <c r="D44" s="7"/>
      <c r="E44" s="7"/>
      <c r="F44" s="7"/>
      <c r="G44" s="7"/>
      <c r="H44" s="7"/>
    </row>
    <row r="45" spans="1:8" ht="15.75" customHeight="1" x14ac:dyDescent="0.25">
      <c r="A45" s="7"/>
      <c r="B45" s="7"/>
      <c r="C45" s="7"/>
      <c r="D45" s="7"/>
      <c r="E45" s="7"/>
      <c r="F45" s="7"/>
      <c r="G45" s="7"/>
      <c r="H45" s="7"/>
    </row>
    <row r="46" spans="1:8" ht="15.75" customHeight="1" x14ac:dyDescent="0.25">
      <c r="A46" s="7"/>
      <c r="B46" s="7"/>
      <c r="C46" s="7"/>
      <c r="D46" s="7"/>
      <c r="E46" s="7"/>
      <c r="F46" s="7"/>
      <c r="G46" s="7"/>
      <c r="H46" s="7"/>
    </row>
    <row r="47" spans="1:8" ht="15.75" customHeight="1" x14ac:dyDescent="0.25">
      <c r="A47" s="7"/>
      <c r="B47" s="7"/>
      <c r="C47" s="7"/>
      <c r="D47" s="7"/>
      <c r="E47" s="7"/>
      <c r="F47" s="7"/>
      <c r="G47" s="7"/>
      <c r="H47" s="7"/>
    </row>
    <row r="48" spans="1:8" ht="15.75" customHeight="1" x14ac:dyDescent="0.25">
      <c r="A48" s="7"/>
      <c r="B48" s="7"/>
      <c r="C48" s="7"/>
      <c r="D48" s="7"/>
      <c r="E48" s="7"/>
      <c r="F48" s="7"/>
      <c r="G48" s="7"/>
      <c r="H48" s="7"/>
    </row>
    <row r="49" spans="1:8" ht="15.75" customHeight="1" x14ac:dyDescent="0.25">
      <c r="A49" s="7"/>
      <c r="B49" s="7"/>
      <c r="C49" s="7"/>
      <c r="D49" s="7"/>
      <c r="E49" s="7"/>
      <c r="F49" s="7"/>
      <c r="G49" s="7"/>
      <c r="H49" s="7"/>
    </row>
    <row r="50" spans="1:8" ht="15.75" customHeight="1" x14ac:dyDescent="0.25">
      <c r="A50" s="7"/>
      <c r="B50" s="7"/>
      <c r="C50" s="7"/>
      <c r="D50" s="7"/>
      <c r="E50" s="7"/>
      <c r="F50" s="7"/>
      <c r="G50" s="7"/>
      <c r="H50" s="7"/>
    </row>
    <row r="51" spans="1:8" ht="15.75" customHeight="1" x14ac:dyDescent="0.25">
      <c r="A51" s="7"/>
      <c r="B51" s="7"/>
      <c r="C51" s="7"/>
      <c r="D51" s="7"/>
      <c r="E51" s="7"/>
      <c r="F51" s="7"/>
      <c r="G51" s="7"/>
      <c r="H51" s="7"/>
    </row>
    <row r="52" spans="1:8" ht="15.75" customHeight="1" x14ac:dyDescent="0.25">
      <c r="A52" s="7"/>
      <c r="B52" s="7"/>
      <c r="C52" s="7"/>
      <c r="D52" s="7"/>
      <c r="E52" s="7"/>
      <c r="F52" s="7"/>
      <c r="G52" s="7"/>
      <c r="H52" s="7"/>
    </row>
    <row r="53" spans="1:8" ht="15.75" customHeight="1" x14ac:dyDescent="0.25">
      <c r="A53" s="7"/>
      <c r="B53" s="7"/>
      <c r="C53" s="7"/>
      <c r="D53" s="7"/>
      <c r="E53" s="7"/>
      <c r="F53" s="7"/>
      <c r="G53" s="7"/>
      <c r="H53" s="7"/>
    </row>
    <row r="54" spans="1:8" ht="15.75" customHeight="1" x14ac:dyDescent="0.25">
      <c r="A54" s="7"/>
      <c r="B54" s="7"/>
      <c r="C54" s="7"/>
      <c r="D54" s="7"/>
      <c r="E54" s="7"/>
      <c r="F54" s="7"/>
      <c r="G54" s="7"/>
      <c r="H54" s="7"/>
    </row>
    <row r="55" spans="1:8" ht="15.75" customHeight="1" x14ac:dyDescent="0.25">
      <c r="A55" s="7"/>
      <c r="B55" s="7"/>
      <c r="C55" s="7"/>
      <c r="D55" s="7"/>
      <c r="E55" s="7"/>
      <c r="F55" s="7"/>
      <c r="G55" s="7"/>
      <c r="H55" s="7"/>
    </row>
    <row r="56" spans="1:8" ht="15.75" customHeight="1" x14ac:dyDescent="0.25">
      <c r="A56" s="7"/>
      <c r="B56" s="7"/>
      <c r="C56" s="7"/>
      <c r="D56" s="7"/>
      <c r="E56" s="7"/>
      <c r="F56" s="7"/>
      <c r="G56" s="7"/>
      <c r="H56" s="7"/>
    </row>
    <row r="57" spans="1:8" ht="15.75" customHeight="1" x14ac:dyDescent="0.25">
      <c r="A57" s="7"/>
      <c r="B57" s="7"/>
      <c r="C57" s="7"/>
      <c r="D57" s="7"/>
      <c r="E57" s="7"/>
      <c r="F57" s="7"/>
      <c r="G57" s="7"/>
      <c r="H57" s="7"/>
    </row>
    <row r="58" spans="1:8" ht="15.75" customHeight="1" x14ac:dyDescent="0.25">
      <c r="A58" s="7"/>
      <c r="B58" s="7"/>
      <c r="C58" s="7"/>
      <c r="D58" s="7"/>
      <c r="E58" s="7"/>
      <c r="F58" s="7"/>
      <c r="G58" s="7"/>
      <c r="H58" s="7"/>
    </row>
    <row r="59" spans="1:8" ht="15.75" customHeight="1" x14ac:dyDescent="0.25">
      <c r="A59" s="7"/>
      <c r="B59" s="7"/>
      <c r="C59" s="7"/>
      <c r="D59" s="7"/>
      <c r="E59" s="7"/>
      <c r="F59" s="7"/>
      <c r="G59" s="7"/>
      <c r="H59" s="7"/>
    </row>
    <row r="60" spans="1:8" ht="15.75" customHeight="1" x14ac:dyDescent="0.25">
      <c r="A60" s="7"/>
      <c r="B60" s="7"/>
      <c r="C60" s="7"/>
      <c r="D60" s="7"/>
      <c r="E60" s="7"/>
      <c r="F60" s="7"/>
      <c r="G60" s="7"/>
      <c r="H60" s="7"/>
    </row>
    <row r="61" spans="1:8" ht="15.75" customHeight="1" x14ac:dyDescent="0.25">
      <c r="A61" s="7"/>
      <c r="B61" s="7"/>
      <c r="C61" s="7"/>
      <c r="D61" s="7"/>
      <c r="E61" s="7"/>
      <c r="F61" s="7"/>
      <c r="G61" s="7"/>
      <c r="H61" s="7"/>
    </row>
    <row r="62" spans="1:8" ht="15.75" customHeight="1" x14ac:dyDescent="0.25">
      <c r="A62" s="7"/>
      <c r="B62" s="7"/>
      <c r="C62" s="7"/>
      <c r="D62" s="7"/>
      <c r="E62" s="7"/>
      <c r="F62" s="7"/>
      <c r="G62" s="7"/>
      <c r="H62" s="7"/>
    </row>
    <row r="63" spans="1:8" ht="15.75" customHeight="1" x14ac:dyDescent="0.25">
      <c r="A63" s="7"/>
      <c r="B63" s="7"/>
      <c r="C63" s="7"/>
      <c r="D63" s="7"/>
      <c r="E63" s="7"/>
      <c r="F63" s="7"/>
      <c r="G63" s="7"/>
      <c r="H63" s="7"/>
    </row>
    <row r="64" spans="1:8" ht="15.75" customHeight="1" x14ac:dyDescent="0.25">
      <c r="A64" s="7"/>
      <c r="B64" s="7"/>
      <c r="C64" s="7"/>
      <c r="D64" s="7"/>
      <c r="E64" s="7"/>
      <c r="F64" s="7"/>
      <c r="G64" s="7"/>
      <c r="H64" s="7"/>
    </row>
    <row r="65" spans="1:8" ht="15.75" customHeight="1" x14ac:dyDescent="0.25">
      <c r="A65" s="7"/>
      <c r="B65" s="7"/>
      <c r="C65" s="7"/>
      <c r="D65" s="7"/>
      <c r="E65" s="7"/>
      <c r="F65" s="7"/>
      <c r="G65" s="7"/>
      <c r="H65" s="7"/>
    </row>
    <row r="66" spans="1:8" ht="15.75" customHeight="1" x14ac:dyDescent="0.25">
      <c r="A66" s="7"/>
      <c r="B66" s="7"/>
      <c r="C66" s="7"/>
      <c r="D66" s="7"/>
      <c r="E66" s="7"/>
      <c r="F66" s="7"/>
      <c r="G66" s="7"/>
      <c r="H66" s="7"/>
    </row>
    <row r="67" spans="1:8" ht="15.75" customHeight="1" x14ac:dyDescent="0.25">
      <c r="A67" s="7"/>
      <c r="B67" s="7"/>
      <c r="C67" s="7"/>
      <c r="D67" s="7"/>
      <c r="E67" s="7"/>
      <c r="F67" s="7"/>
      <c r="G67" s="7"/>
      <c r="H67" s="7"/>
    </row>
    <row r="68" spans="1:8" ht="15.75" customHeight="1" x14ac:dyDescent="0.25">
      <c r="A68" s="7"/>
      <c r="B68" s="7"/>
      <c r="C68" s="7"/>
      <c r="D68" s="7"/>
      <c r="E68" s="7"/>
      <c r="F68" s="7"/>
      <c r="G68" s="7"/>
      <c r="H68" s="7"/>
    </row>
    <row r="69" spans="1:8" ht="15.75" customHeight="1" x14ac:dyDescent="0.25">
      <c r="A69" s="7"/>
      <c r="B69" s="7"/>
      <c r="C69" s="7"/>
      <c r="D69" s="7"/>
      <c r="E69" s="7"/>
      <c r="F69" s="7"/>
      <c r="G69" s="7"/>
      <c r="H69" s="7"/>
    </row>
    <row r="70" spans="1:8" ht="15.75" customHeight="1" x14ac:dyDescent="0.25">
      <c r="A70" s="7"/>
      <c r="B70" s="7"/>
      <c r="C70" s="7"/>
      <c r="D70" s="7"/>
      <c r="E70" s="7"/>
      <c r="F70" s="7"/>
      <c r="G70" s="7"/>
      <c r="H70" s="7"/>
    </row>
    <row r="71" spans="1:8" ht="15.75" customHeight="1" x14ac:dyDescent="0.25">
      <c r="A71" s="7"/>
      <c r="B71" s="7"/>
      <c r="C71" s="7"/>
      <c r="D71" s="7"/>
      <c r="E71" s="7"/>
      <c r="F71" s="7"/>
      <c r="G71" s="7"/>
      <c r="H71" s="7"/>
    </row>
    <row r="72" spans="1:8" ht="15.75" customHeight="1" x14ac:dyDescent="0.25">
      <c r="A72" s="7"/>
      <c r="B72" s="7"/>
      <c r="C72" s="7"/>
      <c r="D72" s="7"/>
      <c r="E72" s="7"/>
      <c r="F72" s="7"/>
      <c r="G72" s="7"/>
      <c r="H72" s="7"/>
    </row>
    <row r="73" spans="1:8" ht="15.75" customHeight="1" x14ac:dyDescent="0.25">
      <c r="A73" s="7"/>
      <c r="B73" s="7"/>
      <c r="C73" s="7"/>
      <c r="D73" s="7"/>
      <c r="E73" s="7"/>
      <c r="F73" s="7"/>
      <c r="G73" s="7"/>
      <c r="H73" s="7"/>
    </row>
    <row r="74" spans="1:8" ht="15.75" customHeight="1" x14ac:dyDescent="0.25">
      <c r="A74" s="7"/>
      <c r="B74" s="7"/>
      <c r="C74" s="7"/>
      <c r="D74" s="7"/>
      <c r="E74" s="7"/>
      <c r="F74" s="7"/>
      <c r="G74" s="7"/>
      <c r="H74" s="7"/>
    </row>
    <row r="75" spans="1:8" ht="15.75" customHeight="1" x14ac:dyDescent="0.25">
      <c r="A75" s="7"/>
      <c r="B75" s="7"/>
      <c r="C75" s="7"/>
      <c r="D75" s="7"/>
      <c r="E75" s="7"/>
      <c r="F75" s="7"/>
      <c r="G75" s="7"/>
      <c r="H75" s="7"/>
    </row>
    <row r="76" spans="1:8" ht="15.75" customHeight="1" x14ac:dyDescent="0.25">
      <c r="A76" s="7"/>
      <c r="B76" s="7"/>
      <c r="C76" s="7"/>
      <c r="D76" s="7"/>
      <c r="E76" s="7"/>
      <c r="F76" s="7"/>
      <c r="G76" s="7"/>
      <c r="H76" s="7"/>
    </row>
    <row r="77" spans="1:8" ht="15.75" customHeight="1" x14ac:dyDescent="0.25">
      <c r="A77" s="7"/>
      <c r="B77" s="7"/>
      <c r="C77" s="7"/>
      <c r="D77" s="7"/>
      <c r="E77" s="7"/>
      <c r="F77" s="7"/>
      <c r="G77" s="7"/>
      <c r="H77" s="7"/>
    </row>
    <row r="78" spans="1:8" ht="15.75" customHeight="1" x14ac:dyDescent="0.25">
      <c r="A78" s="7"/>
      <c r="B78" s="7"/>
      <c r="C78" s="7"/>
      <c r="D78" s="7"/>
      <c r="E78" s="7"/>
      <c r="F78" s="7"/>
      <c r="G78" s="7"/>
      <c r="H78" s="7"/>
    </row>
    <row r="79" spans="1:8" ht="15.75" customHeight="1" x14ac:dyDescent="0.25">
      <c r="A79" s="7"/>
      <c r="B79" s="7"/>
      <c r="C79" s="7"/>
      <c r="D79" s="7"/>
      <c r="E79" s="7"/>
      <c r="F79" s="7"/>
      <c r="G79" s="7"/>
      <c r="H79" s="7"/>
    </row>
    <row r="80" spans="1:8" ht="15.75" customHeight="1" x14ac:dyDescent="0.25">
      <c r="A80" s="7"/>
      <c r="B80" s="7"/>
      <c r="C80" s="7"/>
      <c r="D80" s="7"/>
      <c r="E80" s="7"/>
      <c r="F80" s="7"/>
      <c r="G80" s="7"/>
      <c r="H80" s="7"/>
    </row>
    <row r="81" spans="1:8" ht="15.75" customHeight="1" x14ac:dyDescent="0.25">
      <c r="A81" s="7"/>
      <c r="B81" s="7"/>
      <c r="C81" s="7"/>
      <c r="D81" s="7"/>
      <c r="E81" s="7"/>
      <c r="F81" s="7"/>
      <c r="G81" s="7"/>
      <c r="H81" s="7"/>
    </row>
    <row r="82" spans="1:8" ht="15.75" customHeight="1" x14ac:dyDescent="0.25">
      <c r="A82" s="7"/>
      <c r="B82" s="7"/>
      <c r="C82" s="7"/>
      <c r="D82" s="7"/>
      <c r="E82" s="7"/>
      <c r="F82" s="7"/>
      <c r="G82" s="7"/>
      <c r="H82" s="7"/>
    </row>
    <row r="83" spans="1:8" ht="15.75" customHeight="1" x14ac:dyDescent="0.25">
      <c r="A83" s="7"/>
      <c r="B83" s="7"/>
      <c r="C83" s="7"/>
      <c r="D83" s="7"/>
      <c r="E83" s="7"/>
      <c r="F83" s="7"/>
      <c r="G83" s="7"/>
      <c r="H83" s="7"/>
    </row>
    <row r="84" spans="1:8" ht="15.75" customHeight="1" x14ac:dyDescent="0.25">
      <c r="A84" s="7"/>
      <c r="B84" s="7"/>
      <c r="C84" s="7"/>
      <c r="D84" s="7"/>
      <c r="E84" s="7"/>
      <c r="F84" s="7"/>
      <c r="G84" s="7"/>
      <c r="H84" s="7"/>
    </row>
    <row r="85" spans="1:8" ht="15.75" customHeight="1" x14ac:dyDescent="0.25">
      <c r="A85" s="7"/>
      <c r="B85" s="7"/>
      <c r="C85" s="7"/>
      <c r="D85" s="7"/>
      <c r="E85" s="7"/>
      <c r="F85" s="7"/>
      <c r="G85" s="7"/>
      <c r="H85" s="7"/>
    </row>
    <row r="86" spans="1:8" ht="15.75" customHeight="1" x14ac:dyDescent="0.25">
      <c r="A86" s="7"/>
      <c r="B86" s="7"/>
      <c r="C86" s="7"/>
      <c r="D86" s="7"/>
      <c r="E86" s="7"/>
      <c r="F86" s="7"/>
      <c r="G86" s="7"/>
      <c r="H86" s="7"/>
    </row>
    <row r="87" spans="1:8" ht="15.75" customHeight="1" x14ac:dyDescent="0.25">
      <c r="A87" s="7"/>
      <c r="B87" s="7"/>
      <c r="C87" s="7"/>
      <c r="D87" s="7"/>
      <c r="E87" s="7"/>
      <c r="F87" s="7"/>
      <c r="G87" s="7"/>
      <c r="H87" s="7"/>
    </row>
    <row r="88" spans="1:8" ht="15.75" customHeight="1" x14ac:dyDescent="0.25">
      <c r="A88" s="7"/>
      <c r="B88" s="7"/>
      <c r="C88" s="7"/>
      <c r="D88" s="7"/>
      <c r="E88" s="7"/>
      <c r="F88" s="7"/>
      <c r="G88" s="7"/>
      <c r="H88" s="7"/>
    </row>
    <row r="89" spans="1:8" ht="15.75" customHeight="1" x14ac:dyDescent="0.25">
      <c r="A89" s="7"/>
      <c r="B89" s="7"/>
      <c r="C89" s="7"/>
      <c r="D89" s="7"/>
      <c r="E89" s="7"/>
      <c r="F89" s="7"/>
      <c r="G89" s="7"/>
      <c r="H89" s="7"/>
    </row>
    <row r="90" spans="1:8" ht="15.75" customHeight="1" x14ac:dyDescent="0.25">
      <c r="A90" s="7"/>
      <c r="B90" s="7"/>
      <c r="C90" s="7"/>
      <c r="D90" s="7"/>
      <c r="E90" s="7"/>
      <c r="F90" s="7"/>
      <c r="G90" s="7"/>
      <c r="H90" s="7"/>
    </row>
    <row r="91" spans="1:8" ht="15.75" customHeight="1" x14ac:dyDescent="0.25">
      <c r="A91" s="7"/>
      <c r="B91" s="7"/>
      <c r="C91" s="7"/>
      <c r="D91" s="7"/>
      <c r="E91" s="7"/>
      <c r="F91" s="7"/>
      <c r="G91" s="7"/>
      <c r="H91" s="7"/>
    </row>
    <row r="92" spans="1:8" ht="15.75" customHeight="1" x14ac:dyDescent="0.25">
      <c r="A92" s="7"/>
      <c r="B92" s="7"/>
      <c r="C92" s="7"/>
      <c r="D92" s="7"/>
      <c r="E92" s="7"/>
      <c r="F92" s="7"/>
      <c r="G92" s="7"/>
      <c r="H92" s="7"/>
    </row>
    <row r="93" spans="1:8" ht="15.75" customHeight="1" x14ac:dyDescent="0.25">
      <c r="A93" s="7"/>
      <c r="B93" s="7"/>
      <c r="C93" s="7"/>
      <c r="D93" s="7"/>
      <c r="E93" s="7"/>
      <c r="F93" s="7"/>
      <c r="G93" s="7"/>
      <c r="H93" s="7"/>
    </row>
    <row r="94" spans="1:8" ht="15.75" customHeight="1" x14ac:dyDescent="0.25">
      <c r="A94" s="7"/>
      <c r="B94" s="7"/>
      <c r="C94" s="7"/>
      <c r="D94" s="7"/>
      <c r="E94" s="7"/>
      <c r="F94" s="7"/>
      <c r="G94" s="7"/>
      <c r="H94" s="7"/>
    </row>
    <row r="95" spans="1:8" ht="15.75" customHeight="1" x14ac:dyDescent="0.25">
      <c r="A95" s="7"/>
      <c r="B95" s="7"/>
      <c r="C95" s="7"/>
      <c r="D95" s="7"/>
      <c r="E95" s="7"/>
      <c r="F95" s="7"/>
      <c r="G95" s="7"/>
      <c r="H95" s="7"/>
    </row>
    <row r="96" spans="1:8" ht="15.75" customHeight="1" x14ac:dyDescent="0.25">
      <c r="A96" s="7"/>
      <c r="B96" s="7"/>
      <c r="C96" s="7"/>
      <c r="D96" s="7"/>
      <c r="E96" s="7"/>
      <c r="F96" s="7"/>
      <c r="G96" s="7"/>
      <c r="H96" s="7"/>
    </row>
    <row r="97" spans="1:8" ht="15.75" customHeight="1" x14ac:dyDescent="0.25">
      <c r="A97" s="7"/>
      <c r="B97" s="7"/>
      <c r="C97" s="7"/>
      <c r="D97" s="7"/>
      <c r="E97" s="7"/>
      <c r="F97" s="7"/>
      <c r="G97" s="7"/>
      <c r="H97" s="7"/>
    </row>
    <row r="98" spans="1:8" ht="15.75" customHeight="1" x14ac:dyDescent="0.25">
      <c r="A98" s="7"/>
      <c r="B98" s="7"/>
      <c r="C98" s="7"/>
      <c r="D98" s="7"/>
      <c r="E98" s="7"/>
      <c r="F98" s="7"/>
      <c r="G98" s="7"/>
      <c r="H98" s="7"/>
    </row>
    <row r="99" spans="1:8" ht="15.75" customHeight="1" x14ac:dyDescent="0.25">
      <c r="A99" s="7"/>
      <c r="B99" s="7"/>
      <c r="C99" s="7"/>
      <c r="D99" s="7"/>
      <c r="E99" s="7"/>
      <c r="F99" s="7"/>
      <c r="G99" s="7"/>
      <c r="H99" s="7"/>
    </row>
    <row r="100" spans="1:8" ht="15.75" customHeight="1" x14ac:dyDescent="0.25">
      <c r="A100" s="7"/>
      <c r="B100" s="7"/>
      <c r="C100" s="7"/>
      <c r="D100" s="7"/>
      <c r="E100" s="7"/>
      <c r="F100" s="7"/>
      <c r="G100" s="7"/>
      <c r="H100" s="7"/>
    </row>
    <row r="101" spans="1:8" ht="15.75" customHeight="1" x14ac:dyDescent="0.25">
      <c r="A101" s="7"/>
      <c r="B101" s="7"/>
      <c r="C101" s="7"/>
      <c r="D101" s="7"/>
      <c r="E101" s="7"/>
      <c r="F101" s="7"/>
      <c r="G101" s="7"/>
      <c r="H101" s="7"/>
    </row>
    <row r="102" spans="1:8" ht="15.75" customHeight="1" x14ac:dyDescent="0.25">
      <c r="A102" s="7"/>
      <c r="B102" s="7"/>
      <c r="C102" s="7"/>
      <c r="D102" s="7"/>
      <c r="E102" s="7"/>
      <c r="F102" s="7"/>
      <c r="G102" s="7"/>
      <c r="H102" s="7"/>
    </row>
    <row r="103" spans="1:8" ht="15.75" customHeight="1" x14ac:dyDescent="0.25">
      <c r="A103" s="7"/>
      <c r="B103" s="7"/>
      <c r="C103" s="7"/>
      <c r="D103" s="7"/>
      <c r="E103" s="7"/>
      <c r="F103" s="7"/>
      <c r="G103" s="7"/>
      <c r="H103" s="7"/>
    </row>
    <row r="104" spans="1:8" ht="15.75" customHeight="1" x14ac:dyDescent="0.25">
      <c r="A104" s="7"/>
      <c r="B104" s="7"/>
      <c r="C104" s="7"/>
      <c r="D104" s="7"/>
      <c r="E104" s="7"/>
      <c r="F104" s="7"/>
      <c r="G104" s="7"/>
      <c r="H104" s="7"/>
    </row>
    <row r="105" spans="1:8" ht="15.75" customHeight="1" x14ac:dyDescent="0.25">
      <c r="A105" s="7"/>
      <c r="B105" s="7"/>
      <c r="C105" s="7"/>
      <c r="D105" s="7"/>
      <c r="E105" s="7"/>
      <c r="F105" s="7"/>
      <c r="G105" s="7"/>
      <c r="H105" s="7"/>
    </row>
    <row r="106" spans="1:8" ht="15.75" customHeight="1" x14ac:dyDescent="0.25">
      <c r="A106" s="7"/>
      <c r="B106" s="7"/>
      <c r="C106" s="7"/>
      <c r="D106" s="7"/>
      <c r="E106" s="7"/>
      <c r="F106" s="7"/>
      <c r="G106" s="7"/>
      <c r="H106" s="7"/>
    </row>
    <row r="107" spans="1:8" ht="15.75" customHeight="1" x14ac:dyDescent="0.25">
      <c r="A107" s="7"/>
      <c r="B107" s="7"/>
      <c r="C107" s="7"/>
      <c r="D107" s="7"/>
      <c r="E107" s="7"/>
      <c r="F107" s="7"/>
      <c r="G107" s="7"/>
      <c r="H107" s="7"/>
    </row>
    <row r="108" spans="1:8" ht="15.75" customHeight="1" x14ac:dyDescent="0.25">
      <c r="A108" s="7"/>
      <c r="B108" s="7"/>
      <c r="C108" s="7"/>
      <c r="D108" s="7"/>
      <c r="E108" s="7"/>
      <c r="F108" s="7"/>
      <c r="G108" s="7"/>
      <c r="H108" s="7"/>
    </row>
    <row r="109" spans="1:8" ht="15.75" customHeight="1" x14ac:dyDescent="0.25">
      <c r="A109" s="7"/>
      <c r="B109" s="7"/>
      <c r="C109" s="7"/>
      <c r="D109" s="7"/>
      <c r="E109" s="7"/>
      <c r="F109" s="7"/>
      <c r="G109" s="7"/>
      <c r="H109" s="7"/>
    </row>
    <row r="110" spans="1:8" ht="15.75" customHeight="1" x14ac:dyDescent="0.25">
      <c r="A110" s="7"/>
      <c r="B110" s="7"/>
      <c r="C110" s="7"/>
      <c r="D110" s="7"/>
      <c r="E110" s="7"/>
      <c r="F110" s="7"/>
      <c r="G110" s="7"/>
      <c r="H110" s="7"/>
    </row>
    <row r="111" spans="1:8" ht="15.75" customHeight="1" x14ac:dyDescent="0.25">
      <c r="A111" s="7"/>
      <c r="B111" s="7"/>
      <c r="C111" s="7"/>
      <c r="D111" s="7"/>
      <c r="E111" s="7"/>
      <c r="F111" s="7"/>
      <c r="G111" s="7"/>
      <c r="H111" s="7"/>
    </row>
    <row r="112" spans="1:8" ht="15.75" customHeight="1" x14ac:dyDescent="0.25">
      <c r="A112" s="7"/>
      <c r="B112" s="7"/>
      <c r="C112" s="7"/>
      <c r="D112" s="7"/>
      <c r="E112" s="7"/>
      <c r="F112" s="7"/>
      <c r="G112" s="7"/>
      <c r="H112" s="7"/>
    </row>
    <row r="113" spans="1:8" ht="15.75" customHeight="1" x14ac:dyDescent="0.25">
      <c r="A113" s="7"/>
      <c r="B113" s="7"/>
      <c r="C113" s="7"/>
      <c r="D113" s="7"/>
      <c r="E113" s="7"/>
      <c r="F113" s="7"/>
      <c r="G113" s="7"/>
      <c r="H113" s="7"/>
    </row>
    <row r="114" spans="1:8" ht="15.75" customHeight="1" x14ac:dyDescent="0.25">
      <c r="A114" s="7"/>
      <c r="B114" s="7"/>
      <c r="C114" s="7"/>
      <c r="D114" s="7"/>
      <c r="E114" s="7"/>
      <c r="F114" s="7"/>
      <c r="G114" s="7"/>
      <c r="H114" s="7"/>
    </row>
    <row r="115" spans="1:8" ht="15.75" customHeight="1" x14ac:dyDescent="0.25">
      <c r="A115" s="7"/>
      <c r="B115" s="7"/>
      <c r="C115" s="7"/>
      <c r="D115" s="7"/>
      <c r="E115" s="7"/>
      <c r="F115" s="7"/>
      <c r="G115" s="7"/>
      <c r="H115" s="7"/>
    </row>
    <row r="116" spans="1:8" ht="15.75" customHeight="1" x14ac:dyDescent="0.25">
      <c r="A116" s="7"/>
      <c r="B116" s="7"/>
      <c r="C116" s="7"/>
      <c r="D116" s="7"/>
      <c r="E116" s="7"/>
      <c r="F116" s="7"/>
      <c r="G116" s="7"/>
      <c r="H116" s="7"/>
    </row>
    <row r="117" spans="1:8" ht="15.75" customHeight="1" x14ac:dyDescent="0.25">
      <c r="A117" s="7"/>
      <c r="B117" s="7"/>
      <c r="C117" s="7"/>
      <c r="D117" s="7"/>
      <c r="E117" s="7"/>
      <c r="F117" s="7"/>
      <c r="G117" s="7"/>
      <c r="H117" s="7"/>
    </row>
    <row r="118" spans="1:8" ht="15.75" customHeight="1" x14ac:dyDescent="0.25">
      <c r="A118" s="7"/>
      <c r="B118" s="7"/>
      <c r="C118" s="7"/>
      <c r="D118" s="7"/>
      <c r="E118" s="7"/>
      <c r="F118" s="7"/>
      <c r="G118" s="7"/>
      <c r="H118" s="7"/>
    </row>
    <row r="119" spans="1:8" ht="15.75" customHeight="1" x14ac:dyDescent="0.25">
      <c r="A119" s="7"/>
      <c r="B119" s="7"/>
      <c r="C119" s="7"/>
      <c r="D119" s="7"/>
      <c r="E119" s="7"/>
      <c r="F119" s="7"/>
      <c r="G119" s="7"/>
      <c r="H119" s="7"/>
    </row>
    <row r="120" spans="1:8" ht="15.75" customHeight="1" x14ac:dyDescent="0.25">
      <c r="A120" s="7"/>
      <c r="B120" s="7"/>
      <c r="C120" s="7"/>
      <c r="D120" s="7"/>
      <c r="E120" s="7"/>
      <c r="F120" s="7"/>
      <c r="G120" s="7"/>
      <c r="H120" s="7"/>
    </row>
    <row r="121" spans="1:8" ht="15.75" customHeight="1" x14ac:dyDescent="0.25">
      <c r="A121" s="7"/>
      <c r="B121" s="7"/>
      <c r="C121" s="7"/>
      <c r="D121" s="7"/>
      <c r="E121" s="7"/>
      <c r="F121" s="7"/>
      <c r="G121" s="7"/>
      <c r="H121" s="7"/>
    </row>
    <row r="122" spans="1:8" ht="15.75" customHeight="1" x14ac:dyDescent="0.25">
      <c r="A122" s="7"/>
      <c r="B122" s="7"/>
      <c r="C122" s="7"/>
      <c r="D122" s="7"/>
      <c r="E122" s="7"/>
      <c r="F122" s="7"/>
      <c r="G122" s="7"/>
      <c r="H122" s="7"/>
    </row>
    <row r="123" spans="1:8" ht="15.75" customHeight="1" x14ac:dyDescent="0.25">
      <c r="A123" s="7"/>
      <c r="B123" s="7"/>
      <c r="C123" s="7"/>
      <c r="D123" s="7"/>
      <c r="E123" s="7"/>
      <c r="F123" s="7"/>
      <c r="G123" s="7"/>
      <c r="H123" s="7"/>
    </row>
    <row r="124" spans="1:8" ht="15.75" customHeight="1" x14ac:dyDescent="0.25">
      <c r="A124" s="7"/>
      <c r="B124" s="7"/>
      <c r="C124" s="7"/>
      <c r="D124" s="7"/>
      <c r="E124" s="7"/>
      <c r="F124" s="7"/>
      <c r="G124" s="7"/>
      <c r="H124" s="7"/>
    </row>
    <row r="125" spans="1:8" ht="15.75" customHeight="1" x14ac:dyDescent="0.25">
      <c r="A125" s="7"/>
      <c r="B125" s="7"/>
      <c r="C125" s="7"/>
      <c r="D125" s="7"/>
      <c r="E125" s="7"/>
      <c r="F125" s="7"/>
      <c r="G125" s="7"/>
      <c r="H125" s="7"/>
    </row>
    <row r="126" spans="1:8" ht="15.75" customHeight="1" x14ac:dyDescent="0.25">
      <c r="A126" s="7"/>
      <c r="B126" s="7"/>
      <c r="C126" s="7"/>
      <c r="D126" s="7"/>
      <c r="E126" s="7"/>
      <c r="F126" s="7"/>
      <c r="G126" s="7"/>
      <c r="H126" s="7"/>
    </row>
    <row r="127" spans="1:8" ht="15.75" customHeight="1" x14ac:dyDescent="0.25">
      <c r="A127" s="7"/>
      <c r="B127" s="7"/>
      <c r="C127" s="7"/>
      <c r="D127" s="7"/>
      <c r="E127" s="7"/>
      <c r="F127" s="7"/>
      <c r="G127" s="7"/>
      <c r="H127" s="7"/>
    </row>
    <row r="128" spans="1:8" ht="15.75" customHeight="1" x14ac:dyDescent="0.25">
      <c r="A128" s="7"/>
      <c r="B128" s="7"/>
      <c r="C128" s="7"/>
      <c r="D128" s="7"/>
      <c r="E128" s="7"/>
      <c r="F128" s="7"/>
      <c r="G128" s="7"/>
      <c r="H128" s="7"/>
    </row>
    <row r="129" spans="1:8" ht="15.75" customHeight="1" x14ac:dyDescent="0.25">
      <c r="A129" s="7"/>
      <c r="B129" s="7"/>
      <c r="C129" s="7"/>
      <c r="D129" s="7"/>
      <c r="E129" s="7"/>
      <c r="F129" s="7"/>
      <c r="G129" s="7"/>
      <c r="H129" s="7"/>
    </row>
    <row r="130" spans="1:8" ht="15.75" customHeight="1" x14ac:dyDescent="0.25">
      <c r="A130" s="7"/>
      <c r="B130" s="7"/>
      <c r="C130" s="7"/>
      <c r="D130" s="7"/>
      <c r="E130" s="7"/>
      <c r="F130" s="7"/>
      <c r="G130" s="7"/>
      <c r="H130" s="7"/>
    </row>
    <row r="131" spans="1:8" ht="15.75" customHeight="1" x14ac:dyDescent="0.25">
      <c r="A131" s="7"/>
      <c r="B131" s="7"/>
      <c r="C131" s="7"/>
      <c r="D131" s="7"/>
      <c r="E131" s="7"/>
      <c r="F131" s="7"/>
      <c r="G131" s="7"/>
      <c r="H131" s="7"/>
    </row>
    <row r="132" spans="1:8" ht="15.75" customHeight="1" x14ac:dyDescent="0.25">
      <c r="A132" s="7"/>
      <c r="B132" s="7"/>
      <c r="C132" s="7"/>
      <c r="D132" s="7"/>
      <c r="E132" s="7"/>
      <c r="F132" s="7"/>
      <c r="G132" s="7"/>
      <c r="H132" s="7"/>
    </row>
    <row r="133" spans="1:8" ht="15.75" customHeight="1" x14ac:dyDescent="0.25">
      <c r="A133" s="7"/>
      <c r="B133" s="7"/>
      <c r="C133" s="7"/>
      <c r="D133" s="7"/>
      <c r="E133" s="7"/>
      <c r="F133" s="7"/>
      <c r="G133" s="7"/>
      <c r="H133" s="7"/>
    </row>
    <row r="134" spans="1:8" ht="15.75" customHeight="1" x14ac:dyDescent="0.25">
      <c r="A134" s="7"/>
      <c r="B134" s="7"/>
      <c r="C134" s="7"/>
      <c r="D134" s="7"/>
      <c r="E134" s="7"/>
      <c r="F134" s="7"/>
      <c r="G134" s="7"/>
      <c r="H134" s="7"/>
    </row>
    <row r="135" spans="1:8" ht="15.75" customHeight="1" x14ac:dyDescent="0.25">
      <c r="A135" s="7"/>
      <c r="B135" s="7"/>
      <c r="C135" s="7"/>
      <c r="D135" s="7"/>
      <c r="E135" s="7"/>
      <c r="F135" s="7"/>
      <c r="G135" s="7"/>
      <c r="H135" s="7"/>
    </row>
    <row r="136" spans="1:8" ht="15.75" customHeight="1" x14ac:dyDescent="0.25">
      <c r="A136" s="7"/>
      <c r="B136" s="7"/>
      <c r="C136" s="7"/>
      <c r="D136" s="7"/>
      <c r="E136" s="7"/>
      <c r="F136" s="7"/>
      <c r="G136" s="7"/>
      <c r="H136" s="7"/>
    </row>
    <row r="137" spans="1:8" ht="15.75" customHeight="1" x14ac:dyDescent="0.25">
      <c r="A137" s="7"/>
      <c r="B137" s="7"/>
      <c r="C137" s="7"/>
      <c r="D137" s="7"/>
      <c r="E137" s="7"/>
      <c r="F137" s="7"/>
      <c r="G137" s="7"/>
      <c r="H137" s="7"/>
    </row>
    <row r="138" spans="1:8" ht="15.75" customHeight="1" x14ac:dyDescent="0.25">
      <c r="A138" s="7"/>
      <c r="B138" s="7"/>
      <c r="C138" s="7"/>
      <c r="D138" s="7"/>
      <c r="E138" s="7"/>
      <c r="F138" s="7"/>
      <c r="G138" s="7"/>
      <c r="H138" s="7"/>
    </row>
    <row r="139" spans="1:8" ht="15.75" customHeight="1" x14ac:dyDescent="0.25">
      <c r="A139" s="7"/>
      <c r="B139" s="7"/>
      <c r="C139" s="7"/>
      <c r="D139" s="7"/>
      <c r="E139" s="7"/>
      <c r="F139" s="7"/>
      <c r="G139" s="7"/>
      <c r="H139" s="7"/>
    </row>
    <row r="140" spans="1:8" ht="15.75" customHeight="1" x14ac:dyDescent="0.25">
      <c r="A140" s="7"/>
      <c r="B140" s="7"/>
      <c r="C140" s="7"/>
      <c r="D140" s="7"/>
      <c r="E140" s="7"/>
      <c r="F140" s="7"/>
      <c r="G140" s="7"/>
      <c r="H140" s="7"/>
    </row>
    <row r="141" spans="1:8" ht="15.75" customHeight="1" x14ac:dyDescent="0.25">
      <c r="A141" s="7"/>
      <c r="B141" s="7"/>
      <c r="C141" s="7"/>
      <c r="D141" s="7"/>
      <c r="E141" s="7"/>
      <c r="F141" s="7"/>
      <c r="G141" s="7"/>
      <c r="H141" s="7"/>
    </row>
    <row r="142" spans="1:8" ht="15.75" customHeight="1" x14ac:dyDescent="0.25">
      <c r="A142" s="7"/>
      <c r="B142" s="7"/>
      <c r="C142" s="7"/>
      <c r="D142" s="7"/>
      <c r="E142" s="7"/>
      <c r="F142" s="7"/>
      <c r="G142" s="7"/>
      <c r="H142" s="7"/>
    </row>
    <row r="143" spans="1:8" ht="15.75" customHeight="1" x14ac:dyDescent="0.25">
      <c r="A143" s="7"/>
      <c r="B143" s="7"/>
      <c r="C143" s="7"/>
      <c r="D143" s="7"/>
      <c r="E143" s="7"/>
      <c r="F143" s="7"/>
      <c r="G143" s="7"/>
      <c r="H143" s="7"/>
    </row>
    <row r="144" spans="1:8" ht="15.75" customHeight="1" x14ac:dyDescent="0.25">
      <c r="A144" s="7"/>
      <c r="B144" s="7"/>
      <c r="C144" s="7"/>
      <c r="D144" s="7"/>
      <c r="E144" s="7"/>
      <c r="F144" s="7"/>
      <c r="G144" s="7"/>
      <c r="H144" s="7"/>
    </row>
    <row r="145" spans="1:8" ht="15.75" customHeight="1" x14ac:dyDescent="0.25">
      <c r="A145" s="7"/>
      <c r="B145" s="7"/>
      <c r="C145" s="7"/>
      <c r="D145" s="7"/>
      <c r="E145" s="7"/>
      <c r="F145" s="7"/>
      <c r="G145" s="7"/>
      <c r="H145" s="7"/>
    </row>
    <row r="146" spans="1:8" ht="15.75" customHeight="1" x14ac:dyDescent="0.25">
      <c r="A146" s="7"/>
      <c r="B146" s="7"/>
      <c r="C146" s="7"/>
      <c r="D146" s="7"/>
      <c r="E146" s="7"/>
      <c r="F146" s="7"/>
      <c r="G146" s="7"/>
      <c r="H146" s="7"/>
    </row>
    <row r="147" spans="1:8" ht="15.75" customHeight="1" x14ac:dyDescent="0.25">
      <c r="A147" s="7"/>
      <c r="B147" s="7"/>
      <c r="C147" s="7"/>
      <c r="D147" s="7"/>
      <c r="E147" s="7"/>
      <c r="F147" s="7"/>
      <c r="G147" s="7"/>
      <c r="H147" s="7"/>
    </row>
    <row r="148" spans="1:8" ht="15.75" customHeight="1" x14ac:dyDescent="0.25">
      <c r="A148" s="7"/>
      <c r="B148" s="7"/>
      <c r="C148" s="7"/>
      <c r="D148" s="7"/>
      <c r="E148" s="7"/>
      <c r="F148" s="7"/>
      <c r="G148" s="7"/>
      <c r="H148" s="7"/>
    </row>
    <row r="149" spans="1:8" ht="15.75" customHeight="1" x14ac:dyDescent="0.25">
      <c r="A149" s="7"/>
      <c r="B149" s="7"/>
      <c r="C149" s="7"/>
      <c r="D149" s="7"/>
      <c r="E149" s="7"/>
      <c r="F149" s="7"/>
      <c r="G149" s="7"/>
      <c r="H149" s="7"/>
    </row>
    <row r="150" spans="1:8" ht="15.75" customHeight="1" x14ac:dyDescent="0.25">
      <c r="A150" s="7"/>
      <c r="B150" s="7"/>
      <c r="C150" s="7"/>
      <c r="D150" s="7"/>
      <c r="E150" s="7"/>
      <c r="F150" s="7"/>
      <c r="G150" s="7"/>
      <c r="H150" s="7"/>
    </row>
    <row r="151" spans="1:8" ht="15.75" customHeight="1" x14ac:dyDescent="0.25">
      <c r="A151" s="7"/>
      <c r="B151" s="7"/>
      <c r="C151" s="7"/>
      <c r="D151" s="7"/>
      <c r="E151" s="7"/>
      <c r="F151" s="7"/>
      <c r="G151" s="7"/>
      <c r="H151" s="7"/>
    </row>
    <row r="152" spans="1:8" ht="15.75" customHeight="1" x14ac:dyDescent="0.25">
      <c r="A152" s="7"/>
      <c r="B152" s="7"/>
      <c r="C152" s="7"/>
      <c r="D152" s="7"/>
      <c r="E152" s="7"/>
      <c r="F152" s="7"/>
      <c r="G152" s="7"/>
      <c r="H152" s="7"/>
    </row>
    <row r="153" spans="1:8" ht="15.75" customHeight="1" x14ac:dyDescent="0.25">
      <c r="A153" s="7"/>
      <c r="B153" s="7"/>
      <c r="C153" s="7"/>
      <c r="D153" s="7"/>
      <c r="E153" s="7"/>
      <c r="F153" s="7"/>
      <c r="G153" s="7"/>
      <c r="H153" s="7"/>
    </row>
    <row r="154" spans="1:8" ht="15.75" customHeight="1" x14ac:dyDescent="0.25">
      <c r="A154" s="7"/>
      <c r="B154" s="7"/>
      <c r="C154" s="7"/>
      <c r="D154" s="7"/>
      <c r="E154" s="7"/>
      <c r="F154" s="7"/>
      <c r="G154" s="7"/>
      <c r="H154" s="7"/>
    </row>
    <row r="155" spans="1:8" ht="15.75" customHeight="1" x14ac:dyDescent="0.25">
      <c r="A155" s="7"/>
      <c r="B155" s="7"/>
      <c r="C155" s="7"/>
      <c r="D155" s="7"/>
      <c r="E155" s="7"/>
      <c r="F155" s="7"/>
      <c r="G155" s="7"/>
      <c r="H155" s="7"/>
    </row>
    <row r="156" spans="1:8" ht="15.75" customHeight="1" x14ac:dyDescent="0.25">
      <c r="A156" s="7"/>
      <c r="B156" s="7"/>
      <c r="C156" s="7"/>
      <c r="D156" s="7"/>
      <c r="E156" s="7"/>
      <c r="F156" s="7"/>
      <c r="G156" s="7"/>
      <c r="H156" s="7"/>
    </row>
    <row r="157" spans="1:8" ht="15.75" customHeight="1" x14ac:dyDescent="0.25">
      <c r="A157" s="7"/>
      <c r="B157" s="7"/>
      <c r="C157" s="7"/>
      <c r="D157" s="7"/>
      <c r="E157" s="7"/>
      <c r="F157" s="7"/>
      <c r="G157" s="7"/>
      <c r="H157" s="7"/>
    </row>
    <row r="158" spans="1:8" ht="15.75" customHeight="1" x14ac:dyDescent="0.25">
      <c r="A158" s="7"/>
      <c r="B158" s="7"/>
      <c r="C158" s="7"/>
      <c r="D158" s="7"/>
      <c r="E158" s="7"/>
      <c r="F158" s="7"/>
      <c r="G158" s="7"/>
      <c r="H158" s="7"/>
    </row>
    <row r="159" spans="1:8" ht="15.75" customHeight="1" x14ac:dyDescent="0.25">
      <c r="A159" s="7"/>
      <c r="B159" s="7"/>
      <c r="C159" s="7"/>
      <c r="D159" s="7"/>
      <c r="E159" s="7"/>
      <c r="F159" s="7"/>
      <c r="G159" s="7"/>
      <c r="H159" s="7"/>
    </row>
    <row r="160" spans="1:8" ht="15.75" customHeight="1" x14ac:dyDescent="0.25">
      <c r="A160" s="7"/>
      <c r="B160" s="7"/>
      <c r="C160" s="7"/>
      <c r="D160" s="7"/>
      <c r="E160" s="7"/>
      <c r="F160" s="7"/>
      <c r="G160" s="7"/>
      <c r="H160" s="7"/>
    </row>
    <row r="161" spans="1:8" ht="15.75" customHeight="1" x14ac:dyDescent="0.25">
      <c r="A161" s="7"/>
      <c r="B161" s="7"/>
      <c r="C161" s="7"/>
      <c r="D161" s="7"/>
      <c r="E161" s="7"/>
      <c r="F161" s="7"/>
      <c r="G161" s="7"/>
      <c r="H161" s="7"/>
    </row>
    <row r="162" spans="1:8" ht="15.75" customHeight="1" x14ac:dyDescent="0.25">
      <c r="A162" s="7"/>
      <c r="B162" s="7"/>
      <c r="C162" s="7"/>
      <c r="D162" s="7"/>
      <c r="E162" s="7"/>
      <c r="F162" s="7"/>
      <c r="G162" s="7"/>
      <c r="H162" s="7"/>
    </row>
    <row r="163" spans="1:8" ht="15.75" customHeight="1" x14ac:dyDescent="0.25">
      <c r="A163" s="7"/>
      <c r="B163" s="7"/>
      <c r="C163" s="7"/>
      <c r="D163" s="7"/>
      <c r="E163" s="7"/>
      <c r="F163" s="7"/>
      <c r="G163" s="7"/>
      <c r="H163" s="7"/>
    </row>
    <row r="164" spans="1:8" ht="15.75" customHeight="1" x14ac:dyDescent="0.25">
      <c r="A164" s="7"/>
      <c r="B164" s="7"/>
      <c r="C164" s="7"/>
      <c r="D164" s="7"/>
      <c r="E164" s="7"/>
      <c r="F164" s="7"/>
      <c r="G164" s="7"/>
      <c r="H164" s="7"/>
    </row>
    <row r="165" spans="1:8" ht="15.75" customHeight="1" x14ac:dyDescent="0.25">
      <c r="A165" s="7"/>
      <c r="B165" s="7"/>
      <c r="C165" s="7"/>
      <c r="D165" s="7"/>
      <c r="E165" s="7"/>
      <c r="F165" s="7"/>
      <c r="G165" s="7"/>
      <c r="H165" s="7"/>
    </row>
    <row r="166" spans="1:8" ht="15.75" customHeight="1" x14ac:dyDescent="0.25">
      <c r="A166" s="7"/>
      <c r="B166" s="7"/>
      <c r="C166" s="7"/>
      <c r="D166" s="7"/>
      <c r="E166" s="7"/>
      <c r="F166" s="7"/>
      <c r="G166" s="7"/>
      <c r="H166" s="7"/>
    </row>
    <row r="167" spans="1:8" ht="15.75" customHeight="1" x14ac:dyDescent="0.25">
      <c r="A167" s="7"/>
      <c r="B167" s="7"/>
      <c r="C167" s="7"/>
      <c r="D167" s="7"/>
      <c r="E167" s="7"/>
      <c r="F167" s="7"/>
      <c r="G167" s="7"/>
      <c r="H167" s="7"/>
    </row>
    <row r="168" spans="1:8" ht="15.75" customHeight="1" x14ac:dyDescent="0.25">
      <c r="A168" s="7"/>
      <c r="B168" s="7"/>
      <c r="C168" s="7"/>
      <c r="D168" s="7"/>
      <c r="E168" s="7"/>
      <c r="F168" s="7"/>
      <c r="G168" s="7"/>
      <c r="H168" s="7"/>
    </row>
    <row r="169" spans="1:8" ht="15.75" customHeight="1" x14ac:dyDescent="0.25">
      <c r="A169" s="7"/>
      <c r="B169" s="7"/>
      <c r="C169" s="7"/>
      <c r="D169" s="7"/>
      <c r="E169" s="7"/>
      <c r="F169" s="7"/>
      <c r="G169" s="7"/>
      <c r="H169" s="7"/>
    </row>
    <row r="170" spans="1:8" ht="15.75" customHeight="1" x14ac:dyDescent="0.25">
      <c r="A170" s="7"/>
      <c r="B170" s="7"/>
      <c r="C170" s="7"/>
      <c r="D170" s="7"/>
      <c r="E170" s="7"/>
      <c r="F170" s="7"/>
      <c r="G170" s="7"/>
      <c r="H170" s="7"/>
    </row>
    <row r="171" spans="1:8" ht="15.75" customHeight="1" x14ac:dyDescent="0.25">
      <c r="A171" s="7"/>
      <c r="B171" s="7"/>
      <c r="C171" s="7"/>
      <c r="D171" s="7"/>
      <c r="E171" s="7"/>
      <c r="F171" s="7"/>
      <c r="G171" s="7"/>
      <c r="H171" s="7"/>
    </row>
    <row r="172" spans="1:8" ht="15.75" customHeight="1" x14ac:dyDescent="0.25">
      <c r="A172" s="7"/>
      <c r="B172" s="7"/>
      <c r="C172" s="7"/>
      <c r="D172" s="7"/>
      <c r="E172" s="7"/>
      <c r="F172" s="7"/>
      <c r="G172" s="7"/>
      <c r="H172" s="7"/>
    </row>
    <row r="173" spans="1:8" ht="15.75" customHeight="1" x14ac:dyDescent="0.25">
      <c r="A173" s="7"/>
      <c r="B173" s="7"/>
      <c r="C173" s="7"/>
      <c r="D173" s="7"/>
      <c r="E173" s="7"/>
      <c r="F173" s="7"/>
      <c r="G173" s="7"/>
      <c r="H173" s="7"/>
    </row>
    <row r="174" spans="1:8" ht="15.75" customHeight="1" x14ac:dyDescent="0.25">
      <c r="A174" s="7"/>
      <c r="B174" s="7"/>
      <c r="C174" s="7"/>
      <c r="D174" s="7"/>
      <c r="E174" s="7"/>
      <c r="F174" s="7"/>
      <c r="G174" s="7"/>
      <c r="H174" s="7"/>
    </row>
    <row r="175" spans="1:8" ht="15.75" customHeight="1" x14ac:dyDescent="0.25">
      <c r="A175" s="7"/>
      <c r="B175" s="7"/>
      <c r="C175" s="7"/>
      <c r="D175" s="7"/>
      <c r="E175" s="7"/>
      <c r="F175" s="7"/>
      <c r="G175" s="7"/>
      <c r="H175" s="7"/>
    </row>
    <row r="176" spans="1:8" ht="15.75" customHeight="1" x14ac:dyDescent="0.25">
      <c r="A176" s="7"/>
      <c r="B176" s="7"/>
      <c r="C176" s="7"/>
      <c r="D176" s="7"/>
      <c r="E176" s="7"/>
      <c r="F176" s="7"/>
      <c r="G176" s="7"/>
      <c r="H176" s="7"/>
    </row>
    <row r="177" spans="1:8" ht="15.75" customHeight="1" x14ac:dyDescent="0.25">
      <c r="A177" s="7"/>
      <c r="B177" s="7"/>
      <c r="C177" s="7"/>
      <c r="D177" s="7"/>
      <c r="E177" s="7"/>
      <c r="F177" s="7"/>
      <c r="G177" s="7"/>
      <c r="H177" s="7"/>
    </row>
    <row r="178" spans="1:8" ht="15.75" customHeight="1" x14ac:dyDescent="0.25">
      <c r="A178" s="7"/>
      <c r="B178" s="7"/>
      <c r="C178" s="7"/>
      <c r="D178" s="7"/>
      <c r="E178" s="7"/>
      <c r="F178" s="7"/>
      <c r="G178" s="7"/>
      <c r="H178" s="7"/>
    </row>
    <row r="179" spans="1:8" ht="15.75" customHeight="1" x14ac:dyDescent="0.25">
      <c r="A179" s="7"/>
      <c r="B179" s="7"/>
      <c r="C179" s="7"/>
      <c r="D179" s="7"/>
      <c r="E179" s="7"/>
      <c r="F179" s="7"/>
      <c r="G179" s="7"/>
      <c r="H179" s="7"/>
    </row>
    <row r="180" spans="1:8" ht="15.75" customHeight="1" x14ac:dyDescent="0.25">
      <c r="A180" s="7"/>
      <c r="B180" s="7"/>
      <c r="C180" s="7"/>
      <c r="D180" s="7"/>
      <c r="E180" s="7"/>
      <c r="F180" s="7"/>
      <c r="G180" s="7"/>
      <c r="H180" s="7"/>
    </row>
    <row r="181" spans="1:8" ht="15.75" customHeight="1" x14ac:dyDescent="0.25">
      <c r="A181" s="7"/>
      <c r="B181" s="7"/>
      <c r="C181" s="7"/>
      <c r="D181" s="7"/>
      <c r="E181" s="7"/>
      <c r="F181" s="7"/>
      <c r="G181" s="7"/>
      <c r="H181" s="7"/>
    </row>
    <row r="182" spans="1:8" ht="15.75" customHeight="1" x14ac:dyDescent="0.25">
      <c r="A182" s="7"/>
      <c r="B182" s="7"/>
      <c r="C182" s="7"/>
      <c r="D182" s="7"/>
      <c r="E182" s="7"/>
      <c r="F182" s="7"/>
      <c r="G182" s="7"/>
      <c r="H182" s="7"/>
    </row>
    <row r="183" spans="1:8" ht="15.75" customHeight="1" x14ac:dyDescent="0.25">
      <c r="A183" s="7"/>
      <c r="B183" s="7"/>
      <c r="C183" s="7"/>
      <c r="D183" s="7"/>
      <c r="E183" s="7"/>
      <c r="F183" s="7"/>
      <c r="G183" s="7"/>
      <c r="H183" s="7"/>
    </row>
    <row r="184" spans="1:8" ht="15.75" customHeight="1" x14ac:dyDescent="0.25">
      <c r="A184" s="7"/>
      <c r="B184" s="7"/>
      <c r="C184" s="7"/>
      <c r="D184" s="7"/>
      <c r="E184" s="7"/>
      <c r="F184" s="7"/>
      <c r="G184" s="7"/>
      <c r="H184" s="7"/>
    </row>
    <row r="185" spans="1:8" ht="15.75" customHeight="1" x14ac:dyDescent="0.25">
      <c r="A185" s="7"/>
      <c r="B185" s="7"/>
      <c r="C185" s="7"/>
      <c r="D185" s="7"/>
      <c r="E185" s="7"/>
      <c r="F185" s="7"/>
      <c r="G185" s="7"/>
      <c r="H185" s="7"/>
    </row>
    <row r="186" spans="1:8" ht="15.75" customHeight="1" x14ac:dyDescent="0.25">
      <c r="A186" s="7"/>
      <c r="B186" s="7"/>
      <c r="C186" s="7"/>
      <c r="D186" s="7"/>
      <c r="E186" s="7"/>
      <c r="F186" s="7"/>
      <c r="G186" s="7"/>
      <c r="H186" s="7"/>
    </row>
    <row r="187" spans="1:8" ht="15.75" customHeight="1" x14ac:dyDescent="0.25">
      <c r="A187" s="7"/>
      <c r="B187" s="7"/>
      <c r="C187" s="7"/>
      <c r="D187" s="7"/>
      <c r="E187" s="7"/>
      <c r="F187" s="7"/>
      <c r="G187" s="7"/>
      <c r="H187" s="7"/>
    </row>
    <row r="188" spans="1:8" ht="15.75" customHeight="1" x14ac:dyDescent="0.25">
      <c r="A188" s="7"/>
      <c r="B188" s="7"/>
      <c r="C188" s="7"/>
      <c r="D188" s="7"/>
      <c r="E188" s="7"/>
      <c r="F188" s="7"/>
      <c r="G188" s="7"/>
      <c r="H188" s="7"/>
    </row>
    <row r="189" spans="1:8" ht="15.75" customHeight="1" x14ac:dyDescent="0.25">
      <c r="A189" s="7"/>
      <c r="B189" s="7"/>
      <c r="C189" s="7"/>
      <c r="D189" s="7"/>
      <c r="E189" s="7"/>
      <c r="F189" s="7"/>
      <c r="G189" s="7"/>
      <c r="H189" s="7"/>
    </row>
    <row r="190" spans="1:8" ht="15.75" customHeight="1" x14ac:dyDescent="0.25">
      <c r="A190" s="7"/>
      <c r="B190" s="7"/>
      <c r="C190" s="7"/>
      <c r="D190" s="7"/>
      <c r="E190" s="7"/>
      <c r="F190" s="7"/>
      <c r="G190" s="7"/>
      <c r="H190" s="7"/>
    </row>
    <row r="191" spans="1:8" ht="15.75" customHeight="1" x14ac:dyDescent="0.25">
      <c r="A191" s="7"/>
      <c r="B191" s="7"/>
      <c r="C191" s="7"/>
      <c r="D191" s="7"/>
      <c r="E191" s="7"/>
      <c r="F191" s="7"/>
      <c r="G191" s="7"/>
      <c r="H191" s="7"/>
    </row>
    <row r="192" spans="1:8" ht="15.75" customHeight="1" x14ac:dyDescent="0.25">
      <c r="A192" s="7"/>
      <c r="B192" s="7"/>
      <c r="C192" s="7"/>
      <c r="D192" s="7"/>
      <c r="E192" s="7"/>
      <c r="F192" s="7"/>
      <c r="G192" s="7"/>
      <c r="H192" s="7"/>
    </row>
    <row r="193" spans="1:8" ht="15.75" customHeight="1" x14ac:dyDescent="0.25">
      <c r="A193" s="7"/>
      <c r="B193" s="7"/>
      <c r="C193" s="7"/>
      <c r="D193" s="7"/>
      <c r="E193" s="7"/>
      <c r="F193" s="7"/>
      <c r="G193" s="7"/>
      <c r="H193" s="7"/>
    </row>
    <row r="194" spans="1:8" ht="15.75" customHeight="1" x14ac:dyDescent="0.25">
      <c r="A194" s="7"/>
      <c r="B194" s="7"/>
      <c r="C194" s="7"/>
      <c r="D194" s="7"/>
      <c r="E194" s="7"/>
      <c r="F194" s="7"/>
      <c r="G194" s="7"/>
      <c r="H194" s="7"/>
    </row>
    <row r="195" spans="1:8" ht="15.75" customHeight="1" x14ac:dyDescent="0.25">
      <c r="A195" s="7"/>
      <c r="B195" s="7"/>
      <c r="C195" s="7"/>
      <c r="D195" s="7"/>
      <c r="E195" s="7"/>
      <c r="F195" s="7"/>
      <c r="G195" s="7"/>
      <c r="H195" s="7"/>
    </row>
    <row r="196" spans="1:8" ht="15.75" customHeight="1" x14ac:dyDescent="0.25">
      <c r="A196" s="7"/>
      <c r="B196" s="7"/>
      <c r="C196" s="7"/>
      <c r="D196" s="7"/>
      <c r="E196" s="7"/>
      <c r="F196" s="7"/>
      <c r="G196" s="7"/>
      <c r="H196" s="7"/>
    </row>
    <row r="197" spans="1:8" ht="15.75" customHeight="1" x14ac:dyDescent="0.25">
      <c r="A197" s="7"/>
      <c r="B197" s="7"/>
      <c r="C197" s="7"/>
      <c r="D197" s="7"/>
      <c r="E197" s="7"/>
      <c r="F197" s="7"/>
      <c r="G197" s="7"/>
      <c r="H197" s="7"/>
    </row>
    <row r="198" spans="1:8" ht="15.75" customHeight="1" x14ac:dyDescent="0.25">
      <c r="A198" s="7"/>
      <c r="B198" s="7"/>
      <c r="C198" s="7"/>
      <c r="D198" s="7"/>
      <c r="E198" s="7"/>
      <c r="F198" s="7"/>
      <c r="G198" s="7"/>
      <c r="H198" s="7"/>
    </row>
    <row r="199" spans="1:8" ht="15.75" customHeight="1" x14ac:dyDescent="0.25">
      <c r="A199" s="7"/>
      <c r="B199" s="7"/>
      <c r="C199" s="7"/>
      <c r="D199" s="7"/>
      <c r="E199" s="7"/>
      <c r="F199" s="7"/>
      <c r="G199" s="7"/>
      <c r="H199" s="7"/>
    </row>
    <row r="200" spans="1:8" ht="15.75" customHeight="1" x14ac:dyDescent="0.25">
      <c r="A200" s="7"/>
      <c r="B200" s="7"/>
      <c r="C200" s="7"/>
      <c r="D200" s="7"/>
      <c r="E200" s="7"/>
      <c r="F200" s="7"/>
      <c r="G200" s="7"/>
      <c r="H200" s="7"/>
    </row>
    <row r="201" spans="1:8" ht="15.75" customHeight="1" x14ac:dyDescent="0.25">
      <c r="A201" s="7"/>
      <c r="B201" s="7"/>
      <c r="C201" s="7"/>
      <c r="D201" s="7"/>
      <c r="E201" s="7"/>
      <c r="F201" s="7"/>
      <c r="G201" s="7"/>
      <c r="H201" s="7"/>
    </row>
    <row r="202" spans="1:8" ht="15.75" customHeight="1" x14ac:dyDescent="0.25">
      <c r="A202" s="7"/>
      <c r="B202" s="7"/>
      <c r="C202" s="7"/>
      <c r="D202" s="7"/>
      <c r="E202" s="7"/>
      <c r="F202" s="7"/>
      <c r="G202" s="7"/>
      <c r="H202" s="7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D21"/>
  <sheetViews>
    <sheetView zoomScaleNormal="100" workbookViewId="0"/>
  </sheetViews>
  <sheetFormatPr defaultColWidth="8.7109375" defaultRowHeight="15" x14ac:dyDescent="0.25"/>
  <cols>
    <col min="1" max="1" width="22" customWidth="1"/>
    <col min="2" max="2" width="32" customWidth="1"/>
    <col min="3" max="3" width="20" customWidth="1"/>
    <col min="4" max="4" width="28" customWidth="1"/>
  </cols>
  <sheetData>
    <row r="1" spans="1:4" ht="27.75" customHeight="1" x14ac:dyDescent="0.25">
      <c r="A1" s="177" t="s">
        <v>454</v>
      </c>
      <c r="B1" s="162"/>
      <c r="C1" s="162"/>
      <c r="D1" s="162"/>
    </row>
    <row r="2" spans="1:4" ht="18" customHeight="1" x14ac:dyDescent="0.25">
      <c r="A2" s="55" t="s">
        <v>455</v>
      </c>
      <c r="B2" s="55" t="s">
        <v>456</v>
      </c>
      <c r="C2" s="55" t="s">
        <v>457</v>
      </c>
      <c r="D2" s="55" t="s">
        <v>51</v>
      </c>
    </row>
    <row r="3" spans="1:4" ht="18" customHeight="1" x14ac:dyDescent="0.25">
      <c r="A3" s="55" t="s">
        <v>458</v>
      </c>
      <c r="B3" s="55">
        <f>IFERROR(COUNTA(Members!A4:A1003)-COUNTIF(Members!A4:A1003,""),0)</f>
        <v>-1000</v>
      </c>
      <c r="C3" s="60">
        <f t="shared" ref="C3:C9" ca="1" si="0">NOW()</f>
        <v>46124.776256365738</v>
      </c>
      <c r="D3" s="55" t="s">
        <v>459</v>
      </c>
    </row>
    <row r="4" spans="1:4" ht="18" customHeight="1" x14ac:dyDescent="0.25">
      <c r="A4" s="55" t="s">
        <v>460</v>
      </c>
      <c r="B4" s="55">
        <f>IFERROR(SUMIF(Transactions!E4:E1003,"Savings Deposit",Transactions!F4:F1003),0)</f>
        <v>0</v>
      </c>
      <c r="C4" s="60">
        <f t="shared" ca="1" si="0"/>
        <v>46124.776256365738</v>
      </c>
      <c r="D4" s="55" t="s">
        <v>461</v>
      </c>
    </row>
    <row r="5" spans="1:4" ht="18" customHeight="1" x14ac:dyDescent="0.25">
      <c r="A5" s="55" t="s">
        <v>62</v>
      </c>
      <c r="B5" s="55">
        <f>IFERROR(SUMIF(Transactions!E4:E1003,"Loan Disbursement",Transactions!F4:F1003),0)</f>
        <v>0</v>
      </c>
      <c r="C5" s="60">
        <f t="shared" ca="1" si="0"/>
        <v>46124.776256365738</v>
      </c>
      <c r="D5" s="55" t="s">
        <v>461</v>
      </c>
    </row>
    <row r="6" spans="1:4" ht="18" customHeight="1" x14ac:dyDescent="0.25">
      <c r="A6" s="55" t="s">
        <v>462</v>
      </c>
      <c r="B6" s="55">
        <f>IFERROR(SUMIF(Transactions!E4:E1003,"Loan Repayment",Transactions!F4:F1003),0)</f>
        <v>0</v>
      </c>
      <c r="C6" s="60">
        <f t="shared" ca="1" si="0"/>
        <v>46124.776256365738</v>
      </c>
      <c r="D6" s="55" t="s">
        <v>461</v>
      </c>
    </row>
    <row r="7" spans="1:4" ht="18" customHeight="1" x14ac:dyDescent="0.25">
      <c r="A7" s="55" t="s">
        <v>463</v>
      </c>
      <c r="B7" s="55">
        <f>B3+B6-B4</f>
        <v>-1000</v>
      </c>
      <c r="C7" s="60">
        <f t="shared" ca="1" si="0"/>
        <v>46124.776256365738</v>
      </c>
      <c r="D7" s="55" t="s">
        <v>464</v>
      </c>
    </row>
    <row r="8" spans="1:4" ht="18" customHeight="1" x14ac:dyDescent="0.25">
      <c r="A8" s="55" t="s">
        <v>465</v>
      </c>
      <c r="B8" s="55">
        <f>IFERROR(COUNTIF(Pending_Loans!J4:J103,"Pending"),0)</f>
        <v>0</v>
      </c>
      <c r="C8" s="60">
        <f t="shared" ca="1" si="0"/>
        <v>46124.776256365738</v>
      </c>
      <c r="D8" s="55" t="s">
        <v>459</v>
      </c>
    </row>
    <row r="9" spans="1:4" ht="18" customHeight="1" x14ac:dyDescent="0.25">
      <c r="A9" s="55" t="s">
        <v>466</v>
      </c>
      <c r="B9" s="55"/>
      <c r="C9" s="60">
        <f t="shared" ca="1" si="0"/>
        <v>46124.776256365738</v>
      </c>
      <c r="D9" s="55" t="s">
        <v>467</v>
      </c>
    </row>
    <row r="10" spans="1:4" ht="18" customHeight="1" x14ac:dyDescent="0.25">
      <c r="A10" s="55" t="s">
        <v>466</v>
      </c>
      <c r="B10" s="55"/>
      <c r="C10" s="55"/>
      <c r="D10" s="55" t="s">
        <v>467</v>
      </c>
    </row>
    <row r="11" spans="1:4" ht="18" customHeight="1" x14ac:dyDescent="0.25">
      <c r="A11" s="55" t="s">
        <v>468</v>
      </c>
      <c r="B11" s="55" t="s">
        <v>469</v>
      </c>
      <c r="C11" s="55" t="s">
        <v>470</v>
      </c>
      <c r="D11" s="55" t="s">
        <v>471</v>
      </c>
    </row>
    <row r="12" spans="1:4" ht="18" customHeight="1" x14ac:dyDescent="0.25">
      <c r="A12" s="55" t="s">
        <v>472</v>
      </c>
      <c r="B12" s="55"/>
      <c r="C12" s="55"/>
      <c r="D12" s="55" t="s">
        <v>473</v>
      </c>
    </row>
    <row r="13" spans="1:4" ht="18" customHeight="1" x14ac:dyDescent="0.25">
      <c r="A13" s="55" t="s">
        <v>474</v>
      </c>
      <c r="B13" s="55"/>
      <c r="C13" s="55"/>
      <c r="D13" s="55" t="s">
        <v>475</v>
      </c>
    </row>
    <row r="14" spans="1:4" ht="18" customHeight="1" x14ac:dyDescent="0.25">
      <c r="A14" s="55" t="s">
        <v>476</v>
      </c>
      <c r="B14" s="55" t="s">
        <v>477</v>
      </c>
      <c r="C14" s="55"/>
      <c r="D14" s="55" t="s">
        <v>478</v>
      </c>
    </row>
    <row r="15" spans="1:4" ht="18" customHeight="1" x14ac:dyDescent="0.25">
      <c r="A15" s="55" t="s">
        <v>479</v>
      </c>
      <c r="B15" s="55" t="s">
        <v>378</v>
      </c>
      <c r="C15" s="55"/>
      <c r="D15" s="55" t="s">
        <v>480</v>
      </c>
    </row>
    <row r="16" spans="1:4" ht="18" customHeight="1" x14ac:dyDescent="0.25">
      <c r="A16" s="55" t="s">
        <v>481</v>
      </c>
      <c r="B16" s="55" t="s">
        <v>482</v>
      </c>
      <c r="C16" s="55"/>
      <c r="D16" s="55" t="s">
        <v>483</v>
      </c>
    </row>
    <row r="17" spans="1:4" ht="18" customHeight="1" x14ac:dyDescent="0.25">
      <c r="A17" s="55" t="s">
        <v>484</v>
      </c>
      <c r="B17" s="55" t="s">
        <v>485</v>
      </c>
      <c r="C17" s="55"/>
      <c r="D17" s="55" t="s">
        <v>486</v>
      </c>
    </row>
    <row r="18" spans="1:4" ht="18" customHeight="1" x14ac:dyDescent="0.25">
      <c r="A18" s="55" t="s">
        <v>487</v>
      </c>
      <c r="B18" s="55" t="s">
        <v>488</v>
      </c>
      <c r="C18" s="55"/>
      <c r="D18" s="55" t="s">
        <v>489</v>
      </c>
    </row>
    <row r="19" spans="1:4" ht="18" customHeight="1" x14ac:dyDescent="0.25">
      <c r="A19" s="55" t="s">
        <v>490</v>
      </c>
      <c r="B19" s="55">
        <f>IFERROR(VALUE(SUBSTITUTE(B17,"%",""))/100,0.02)</f>
        <v>0.05</v>
      </c>
      <c r="C19" s="55"/>
      <c r="D19" s="55" t="s">
        <v>491</v>
      </c>
    </row>
    <row r="20" spans="1:4" ht="18" customHeight="1" x14ac:dyDescent="0.25">
      <c r="A20" s="55" t="s">
        <v>492</v>
      </c>
      <c r="B20" s="55" t="s">
        <v>493</v>
      </c>
      <c r="C20" s="55"/>
      <c r="D20" s="55" t="s">
        <v>494</v>
      </c>
    </row>
    <row r="21" spans="1:4" ht="18" customHeight="1" x14ac:dyDescent="0.25">
      <c r="A21" s="55" t="s">
        <v>495</v>
      </c>
      <c r="B21" s="55" t="s">
        <v>496</v>
      </c>
      <c r="C21" s="60">
        <f ca="1">NOW()</f>
        <v>46124.776256365738</v>
      </c>
      <c r="D21" s="55" t="s">
        <v>497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D10"/>
  <sheetViews>
    <sheetView zoomScaleNormal="100" workbookViewId="0"/>
  </sheetViews>
  <sheetFormatPr defaultColWidth="8.7109375" defaultRowHeight="15" x14ac:dyDescent="0.25"/>
  <cols>
    <col min="1" max="1" width="28" customWidth="1"/>
    <col min="2" max="2" width="22" customWidth="1"/>
    <col min="3" max="3" width="28" customWidth="1"/>
    <col min="4" max="4" width="32" customWidth="1"/>
  </cols>
  <sheetData>
    <row r="1" spans="1:4" ht="15" customHeight="1" x14ac:dyDescent="0.25">
      <c r="A1" t="s">
        <v>498</v>
      </c>
      <c r="D1" t="s">
        <v>499</v>
      </c>
    </row>
    <row r="2" spans="1:4" ht="15" customHeight="1" x14ac:dyDescent="0.25">
      <c r="A2" t="s">
        <v>500</v>
      </c>
    </row>
    <row r="3" spans="1:4" ht="15" customHeight="1" x14ac:dyDescent="0.25">
      <c r="A3" t="s">
        <v>501</v>
      </c>
    </row>
    <row r="4" spans="1:4" ht="15" customHeight="1" x14ac:dyDescent="0.25">
      <c r="A4" t="s">
        <v>502</v>
      </c>
    </row>
    <row r="5" spans="1:4" ht="15" customHeight="1" x14ac:dyDescent="0.25">
      <c r="A5" t="s">
        <v>503</v>
      </c>
    </row>
    <row r="6" spans="1:4" ht="15" customHeight="1" x14ac:dyDescent="0.25">
      <c r="A6" t="s">
        <v>504</v>
      </c>
    </row>
    <row r="7" spans="1:4" ht="15" customHeight="1" x14ac:dyDescent="0.25">
      <c r="A7" t="s">
        <v>505</v>
      </c>
    </row>
    <row r="8" spans="1:4" ht="15" customHeight="1" x14ac:dyDescent="0.25">
      <c r="A8" t="s">
        <v>506</v>
      </c>
    </row>
    <row r="9" spans="1:4" ht="15" customHeight="1" x14ac:dyDescent="0.25">
      <c r="A9" t="s">
        <v>507</v>
      </c>
    </row>
    <row r="10" spans="1:4" ht="15" customHeight="1" x14ac:dyDescent="0.25">
      <c r="A10" t="s">
        <v>508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G1"/>
  <sheetViews>
    <sheetView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3" width="22" customWidth="1"/>
    <col min="4" max="4" width="30" customWidth="1"/>
    <col min="5" max="5" width="22" customWidth="1"/>
    <col min="6" max="6" width="12" customWidth="1"/>
    <col min="7" max="7" width="40" customWidth="1"/>
  </cols>
  <sheetData>
    <row r="1" spans="1:7" ht="21.75" customHeight="1" x14ac:dyDescent="0.25">
      <c r="A1" s="9" t="s">
        <v>41</v>
      </c>
      <c r="B1" s="9" t="s">
        <v>509</v>
      </c>
      <c r="C1" s="9" t="s">
        <v>510</v>
      </c>
      <c r="D1" s="9" t="s">
        <v>511</v>
      </c>
      <c r="E1" s="9" t="s">
        <v>512</v>
      </c>
      <c r="F1" s="9" t="s">
        <v>48</v>
      </c>
      <c r="G1" s="9" t="s">
        <v>513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D47"/>
  <sheetViews>
    <sheetView zoomScaleNormal="100" workbookViewId="0">
      <selection sqref="A1:D1"/>
    </sheetView>
  </sheetViews>
  <sheetFormatPr defaultColWidth="8.7109375" defaultRowHeight="15" x14ac:dyDescent="0.25"/>
  <cols>
    <col min="1" max="1" width="24" customWidth="1"/>
    <col min="2" max="2" width="80" customWidth="1"/>
  </cols>
  <sheetData>
    <row r="1" spans="1:4" ht="36" customHeight="1" x14ac:dyDescent="0.25">
      <c r="A1" s="178" t="s">
        <v>514</v>
      </c>
      <c r="B1" s="162"/>
      <c r="C1" s="162"/>
      <c r="D1" s="162"/>
    </row>
    <row r="2" spans="1:4" ht="21.75" customHeight="1" x14ac:dyDescent="0.25">
      <c r="A2" s="61" t="s">
        <v>515</v>
      </c>
      <c r="B2" s="61" t="s">
        <v>516</v>
      </c>
    </row>
    <row r="3" spans="1:4" ht="18" customHeight="1" x14ac:dyDescent="0.25">
      <c r="A3" s="55" t="s">
        <v>515</v>
      </c>
      <c r="B3" s="55" t="s">
        <v>516</v>
      </c>
    </row>
    <row r="4" spans="1:4" ht="19.5" customHeight="1" x14ac:dyDescent="0.25">
      <c r="A4" s="55" t="s">
        <v>517</v>
      </c>
      <c r="B4" s="55" t="s">
        <v>518</v>
      </c>
    </row>
    <row r="5" spans="1:4" ht="19.5" customHeight="1" x14ac:dyDescent="0.25">
      <c r="A5" s="55" t="s">
        <v>519</v>
      </c>
      <c r="B5" s="55" t="s">
        <v>520</v>
      </c>
    </row>
    <row r="6" spans="1:4" ht="19.5" customHeight="1" x14ac:dyDescent="0.25">
      <c r="A6" s="55" t="s">
        <v>521</v>
      </c>
      <c r="B6" s="55" t="s">
        <v>522</v>
      </c>
    </row>
    <row r="7" spans="1:4" ht="19.5" customHeight="1" x14ac:dyDescent="0.25">
      <c r="A7" s="55" t="s">
        <v>523</v>
      </c>
      <c r="B7" s="55" t="s">
        <v>524</v>
      </c>
    </row>
    <row r="8" spans="1:4" ht="19.5" customHeight="1" x14ac:dyDescent="0.25">
      <c r="A8" s="55" t="s">
        <v>525</v>
      </c>
      <c r="B8" s="55" t="s">
        <v>526</v>
      </c>
    </row>
    <row r="9" spans="1:4" ht="19.5" customHeight="1" x14ac:dyDescent="0.25">
      <c r="A9" s="55" t="s">
        <v>527</v>
      </c>
      <c r="B9" s="55" t="s">
        <v>528</v>
      </c>
    </row>
    <row r="10" spans="1:4" ht="19.5" customHeight="1" x14ac:dyDescent="0.25">
      <c r="A10" s="55" t="s">
        <v>529</v>
      </c>
      <c r="B10" s="55" t="s">
        <v>530</v>
      </c>
    </row>
    <row r="11" spans="1:4" ht="18" customHeight="1" x14ac:dyDescent="0.25">
      <c r="A11" s="55" t="s">
        <v>531</v>
      </c>
      <c r="B11" s="55" t="s">
        <v>532</v>
      </c>
    </row>
    <row r="12" spans="1:4" ht="19.5" customHeight="1" x14ac:dyDescent="0.25">
      <c r="A12" s="55" t="s">
        <v>533</v>
      </c>
      <c r="B12" s="55" t="s">
        <v>534</v>
      </c>
    </row>
    <row r="13" spans="1:4" ht="19.5" customHeight="1" x14ac:dyDescent="0.25">
      <c r="A13" s="55" t="s">
        <v>535</v>
      </c>
      <c r="B13" s="55" t="s">
        <v>536</v>
      </c>
    </row>
    <row r="14" spans="1:4" ht="19.5" customHeight="1" x14ac:dyDescent="0.25">
      <c r="A14" s="55" t="s">
        <v>537</v>
      </c>
      <c r="B14" s="55" t="s">
        <v>538</v>
      </c>
    </row>
    <row r="15" spans="1:4" ht="18" customHeight="1" x14ac:dyDescent="0.25">
      <c r="A15" s="55" t="s">
        <v>539</v>
      </c>
      <c r="B15" s="55" t="s">
        <v>540</v>
      </c>
    </row>
    <row r="16" spans="1:4" ht="19.5" customHeight="1" x14ac:dyDescent="0.25">
      <c r="A16" s="55" t="s">
        <v>541</v>
      </c>
      <c r="B16" s="55" t="s">
        <v>542</v>
      </c>
    </row>
    <row r="17" spans="1:2" ht="18" customHeight="1" x14ac:dyDescent="0.25">
      <c r="A17" s="55" t="s">
        <v>543</v>
      </c>
      <c r="B17" s="55" t="s">
        <v>544</v>
      </c>
    </row>
    <row r="18" spans="1:2" ht="18" customHeight="1" x14ac:dyDescent="0.25">
      <c r="A18" s="55" t="s">
        <v>545</v>
      </c>
      <c r="B18" s="55" t="s">
        <v>546</v>
      </c>
    </row>
    <row r="19" spans="1:2" ht="19.5" customHeight="1" x14ac:dyDescent="0.25">
      <c r="A19" s="55" t="s">
        <v>547</v>
      </c>
      <c r="B19" s="55" t="s">
        <v>548</v>
      </c>
    </row>
    <row r="20" spans="1:2" ht="18" customHeight="1" x14ac:dyDescent="0.25">
      <c r="A20" s="55" t="s">
        <v>549</v>
      </c>
      <c r="B20" s="55" t="s">
        <v>550</v>
      </c>
    </row>
    <row r="21" spans="1:2" ht="7.5" customHeight="1" x14ac:dyDescent="0.25"/>
    <row r="22" spans="1:2" ht="18" customHeight="1" x14ac:dyDescent="0.25">
      <c r="A22" s="62" t="s">
        <v>551</v>
      </c>
      <c r="B22" s="63"/>
    </row>
    <row r="23" spans="1:2" ht="18" customHeight="1" x14ac:dyDescent="0.25">
      <c r="A23" s="55" t="s">
        <v>552</v>
      </c>
      <c r="B23" s="55" t="s">
        <v>553</v>
      </c>
    </row>
    <row r="24" spans="1:2" ht="19.5" customHeight="1" x14ac:dyDescent="0.25">
      <c r="A24" s="55" t="s">
        <v>554</v>
      </c>
      <c r="B24" s="55" t="s">
        <v>555</v>
      </c>
    </row>
    <row r="25" spans="1:2" ht="18" customHeight="1" x14ac:dyDescent="0.25">
      <c r="A25" s="55" t="s">
        <v>556</v>
      </c>
      <c r="B25" s="55" t="s">
        <v>557</v>
      </c>
    </row>
    <row r="26" spans="1:2" ht="7.5" customHeight="1" x14ac:dyDescent="0.25"/>
    <row r="27" spans="1:2" ht="18" customHeight="1" x14ac:dyDescent="0.25">
      <c r="A27" s="62" t="s">
        <v>558</v>
      </c>
      <c r="B27" s="63"/>
    </row>
    <row r="28" spans="1:2" ht="18" customHeight="1" x14ac:dyDescent="0.25">
      <c r="A28" s="55" t="s">
        <v>559</v>
      </c>
      <c r="B28" s="55" t="s">
        <v>560</v>
      </c>
    </row>
    <row r="29" spans="1:2" ht="18" customHeight="1" x14ac:dyDescent="0.25">
      <c r="A29" s="55" t="s">
        <v>561</v>
      </c>
      <c r="B29" s="55" t="s">
        <v>562</v>
      </c>
    </row>
    <row r="30" spans="1:2" ht="18" customHeight="1" x14ac:dyDescent="0.25">
      <c r="A30" s="55" t="s">
        <v>563</v>
      </c>
      <c r="B30" s="55" t="s">
        <v>564</v>
      </c>
    </row>
    <row r="31" spans="1:2" ht="18" customHeight="1" x14ac:dyDescent="0.25">
      <c r="A31" s="55" t="s">
        <v>565</v>
      </c>
      <c r="B31" s="55" t="s">
        <v>566</v>
      </c>
    </row>
    <row r="32" spans="1:2" ht="18" customHeight="1" x14ac:dyDescent="0.25">
      <c r="A32" s="55" t="s">
        <v>567</v>
      </c>
      <c r="B32" s="55" t="s">
        <v>568</v>
      </c>
    </row>
    <row r="33" spans="1:4" ht="7.5" customHeight="1" x14ac:dyDescent="0.25"/>
    <row r="34" spans="1:4" ht="18" customHeight="1" x14ac:dyDescent="0.25">
      <c r="A34" s="62" t="s">
        <v>569</v>
      </c>
      <c r="B34" s="63"/>
    </row>
    <row r="35" spans="1:4" ht="18" customHeight="1" x14ac:dyDescent="0.25">
      <c r="A35" s="55" t="s">
        <v>570</v>
      </c>
      <c r="B35" s="55" t="s">
        <v>571</v>
      </c>
    </row>
    <row r="36" spans="1:4" ht="18" customHeight="1" x14ac:dyDescent="0.25">
      <c r="A36" s="55" t="s">
        <v>572</v>
      </c>
      <c r="B36" s="55" t="s">
        <v>573</v>
      </c>
    </row>
    <row r="37" spans="1:4" ht="19.5" customHeight="1" x14ac:dyDescent="0.25">
      <c r="A37" s="55" t="s">
        <v>574</v>
      </c>
      <c r="B37" s="55" t="s">
        <v>575</v>
      </c>
    </row>
    <row r="38" spans="1:4" ht="19.5" customHeight="1" x14ac:dyDescent="0.25">
      <c r="A38" s="55" t="s">
        <v>576</v>
      </c>
      <c r="B38" s="55" t="s">
        <v>577</v>
      </c>
    </row>
    <row r="39" spans="1:4" ht="19.5" customHeight="1" x14ac:dyDescent="0.25">
      <c r="A39" s="55" t="s">
        <v>578</v>
      </c>
      <c r="B39" s="55" t="s">
        <v>579</v>
      </c>
    </row>
    <row r="41" spans="1:4" x14ac:dyDescent="0.25">
      <c r="A41" s="181" t="s">
        <v>580</v>
      </c>
      <c r="B41" s="130"/>
      <c r="C41" s="130"/>
      <c r="D41" s="130"/>
    </row>
    <row r="42" spans="1:4" ht="39.950000000000003" customHeight="1" x14ac:dyDescent="0.25">
      <c r="A42" s="116" t="s">
        <v>581</v>
      </c>
      <c r="B42" s="179" t="s">
        <v>582</v>
      </c>
      <c r="C42" s="130"/>
      <c r="D42" s="130"/>
    </row>
    <row r="43" spans="1:4" ht="39.950000000000003" customHeight="1" x14ac:dyDescent="0.25">
      <c r="A43" s="117" t="s">
        <v>583</v>
      </c>
      <c r="B43" s="180" t="s">
        <v>584</v>
      </c>
      <c r="C43" s="130"/>
      <c r="D43" s="130"/>
    </row>
    <row r="44" spans="1:4" ht="39.950000000000003" customHeight="1" x14ac:dyDescent="0.25">
      <c r="A44" s="116" t="s">
        <v>585</v>
      </c>
      <c r="B44" s="179" t="s">
        <v>586</v>
      </c>
      <c r="C44" s="130"/>
      <c r="D44" s="130"/>
    </row>
    <row r="45" spans="1:4" ht="39.950000000000003" customHeight="1" x14ac:dyDescent="0.25">
      <c r="A45" s="117" t="s">
        <v>587</v>
      </c>
      <c r="B45" s="180" t="s">
        <v>588</v>
      </c>
      <c r="C45" s="130"/>
      <c r="D45" s="130"/>
    </row>
    <row r="46" spans="1:4" ht="39.950000000000003" customHeight="1" x14ac:dyDescent="0.25">
      <c r="A46" s="116" t="s">
        <v>589</v>
      </c>
      <c r="B46" s="179" t="s">
        <v>590</v>
      </c>
      <c r="C46" s="130"/>
      <c r="D46" s="130"/>
    </row>
    <row r="47" spans="1:4" ht="39.950000000000003" customHeight="1" x14ac:dyDescent="0.25">
      <c r="A47" s="117" t="s">
        <v>591</v>
      </c>
      <c r="B47" s="180" t="s">
        <v>592</v>
      </c>
      <c r="C47" s="130"/>
      <c r="D47" s="130"/>
    </row>
  </sheetData>
  <mergeCells count="8">
    <mergeCell ref="B47:D47"/>
    <mergeCell ref="A1:D1"/>
    <mergeCell ref="B42:D42"/>
    <mergeCell ref="B45:D45"/>
    <mergeCell ref="B46:D46"/>
    <mergeCell ref="B44:D44"/>
    <mergeCell ref="A41:D41"/>
    <mergeCell ref="B43:D4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MANAGER_DASHBOARD</vt:lpstr>
      <vt:lpstr>Daily_Balance_Control</vt:lpstr>
      <vt:lpstr>AGENT_1</vt:lpstr>
      <vt:lpstr>AGENT_2</vt:lpstr>
      <vt:lpstr>AGENT_3</vt:lpstr>
      <vt:lpstr>AGENT_4</vt:lpstr>
      <vt:lpstr>AGENT_5</vt:lpstr>
      <vt:lpstr>AGENT_6</vt:lpstr>
      <vt:lpstr>AGENT_7</vt:lpstr>
      <vt:lpstr>AGENT_8</vt:lpstr>
      <vt:lpstr>AGENT_9</vt:lpstr>
      <vt:lpstr>AGENT_10</vt:lpstr>
      <vt:lpstr>ARCHIVE</vt:lpstr>
      <vt:lpstr>SETTINGS</vt:lpstr>
      <vt:lpstr>AGENT_DATABASE</vt:lpstr>
      <vt:lpstr>Members</vt:lpstr>
      <vt:lpstr>Transactions</vt:lpstr>
      <vt:lpstr>Loans</vt:lpstr>
      <vt:lpstr>Pending_Loans</vt:lpstr>
      <vt:lpstr>Interest_Engine</vt:lpstr>
      <vt:lpstr>Int_Repayments</vt:lpstr>
      <vt:lpstr>Savings_Passbook</vt:lpstr>
      <vt:lpstr>Arrears_Tracker</vt:lpstr>
      <vt:lpstr>Loan_Aging</vt:lpstr>
      <vt:lpstr>Income_Expenses</vt:lpstr>
      <vt:lpstr>CashFlow_Summary</vt:lpstr>
      <vt:lpstr>Reports</vt:lpstr>
      <vt:lpstr>Member_Ledger</vt:lpstr>
      <vt:lpstr>Profit_Sharing</vt:lpstr>
      <vt:lpstr>Repayment_Log</vt:lpstr>
      <vt:lpstr>Local_Cache</vt:lpstr>
      <vt:lpstr>Config</vt:lpstr>
      <vt:lpstr>AdminSettings</vt:lpstr>
      <vt:lpstr>AuditLog</vt:lpstr>
      <vt:lpstr>HOW_TO_USE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FRANK ABBAN</cp:lastModifiedBy>
  <cp:revision>0</cp:revision>
  <dcterms:created xsi:type="dcterms:W3CDTF">2026-04-10T15:14:45Z</dcterms:created>
  <dcterms:modified xsi:type="dcterms:W3CDTF">2026-04-12T18:39:36Z</dcterms:modified>
  <dc:language>en-US</dc:language>
</cp:coreProperties>
</file>