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36cdf6249d3033e/Desktop/SAMICIOUS MICROFINANCE/"/>
    </mc:Choice>
  </mc:AlternateContent>
  <xr:revisionPtr revIDLastSave="17" documentId="11_9F780B3A0269CEA407097B03363B4B49BE0A8BFE" xr6:coauthVersionLast="47" xr6:coauthVersionMax="47" xr10:uidLastSave="{0B26D027-2D0E-4697-9E61-C728EA93AED1}"/>
  <bookViews>
    <workbookView xWindow="-120" yWindow="-120" windowWidth="29040" windowHeight="15720" tabRatio="500" activeTab="4" xr2:uid="{00000000-000D-0000-FFFF-FFFF00000000}"/>
  </bookViews>
  <sheets>
    <sheet name="Manager_Dashboard" sheetId="1" r:id="rId1"/>
    <sheet name="Account_Opening" sheetId="2" r:id="rId2"/>
    <sheet name="Agent01_Savings" sheetId="3" r:id="rId3"/>
    <sheet name="Agent01_Withdrawals" sheetId="4" r:id="rId4"/>
    <sheet name="Agent01_Loans" sheetId="5" r:id="rId5"/>
    <sheet name="Agent02_Savings" sheetId="6" r:id="rId6"/>
    <sheet name="Agent02_Withdrawals" sheetId="7" r:id="rId7"/>
    <sheet name="Agent02_Loans" sheetId="8" r:id="rId8"/>
    <sheet name="Agent03_Savings" sheetId="9" r:id="rId9"/>
    <sheet name="Agent03_Withdrawals" sheetId="10" r:id="rId10"/>
    <sheet name="Agent03_Loans" sheetId="11" r:id="rId11"/>
    <sheet name="Agent04_Savings" sheetId="12" r:id="rId12"/>
    <sheet name="Agent04_Withdrawals" sheetId="13" r:id="rId13"/>
    <sheet name="Agent04_Loans" sheetId="14" r:id="rId14"/>
    <sheet name="Agent05_Savings" sheetId="15" r:id="rId15"/>
    <sheet name="Agent05_Withdrawals" sheetId="16" r:id="rId16"/>
    <sheet name="Agent05_Loans" sheetId="17" r:id="rId17"/>
    <sheet name="Agent06_Savings" sheetId="18" r:id="rId18"/>
    <sheet name="Agent06_Withdrawals" sheetId="19" r:id="rId19"/>
    <sheet name="Agent06_Loans" sheetId="20" r:id="rId20"/>
    <sheet name="Agent07_Savings" sheetId="21" r:id="rId21"/>
    <sheet name="Agent07_Withdrawals" sheetId="22" r:id="rId22"/>
    <sheet name="Agent07_Loans" sheetId="23" r:id="rId23"/>
    <sheet name="Agent08_Savings" sheetId="24" r:id="rId24"/>
    <sheet name="Agent08_Withdrawals" sheetId="25" r:id="rId25"/>
    <sheet name="Agent08_Loans" sheetId="26" r:id="rId26"/>
    <sheet name="Agent09_Savings" sheetId="27" r:id="rId27"/>
    <sheet name="Agent09_Withdrawals" sheetId="28" r:id="rId28"/>
    <sheet name="Agent09_Loans" sheetId="29" r:id="rId29"/>
    <sheet name="Agent10_Savings" sheetId="30" r:id="rId30"/>
    <sheet name="Agent10_Withdrawals" sheetId="31" r:id="rId31"/>
    <sheet name="Agent10_Loans" sheetId="32" r:id="rId32"/>
    <sheet name="Daily_Balancing" sheetId="33" r:id="rId33"/>
    <sheet name="Weekly_Balancing" sheetId="34" r:id="rId34"/>
    <sheet name="Monthly_Balancing" sheetId="35" r:id="rId35"/>
    <sheet name="DB_Agents" sheetId="36" r:id="rId36"/>
    <sheet name="DB_Customers" sheetId="37" r:id="rId37"/>
    <sheet name="DB_Savings" sheetId="38" r:id="rId38"/>
    <sheet name="DB_Withdrawals" sheetId="39" r:id="rId39"/>
    <sheet name="DB_Loans" sheetId="40" r:id="rId40"/>
    <sheet name="System_Config" sheetId="41" state="hidden" r:id="rId41"/>
    <sheet name="Audit_Log" sheetId="42" state="hidden" r:id="rId42"/>
    <sheet name="VBA_Macros" sheetId="43" r:id="rId43"/>
  </sheets>
  <definedNames>
    <definedName name="_xlnm._FilterDatabase" localSheetId="36" hidden="1">DB_Customers!$A$3:$N$3</definedName>
    <definedName name="_xlnm._FilterDatabase" localSheetId="39" hidden="1">DB_Loans!$A$3:$M$3</definedName>
    <definedName name="_xlnm._FilterDatabase" localSheetId="37" hidden="1">DB_Savings!$A$3:$J$3</definedName>
    <definedName name="_xlnm._FilterDatabase" localSheetId="38" hidden="1">DB_Withdrawals!$A$3:$L$3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40" l="1"/>
  <c r="J8" i="40" s="1"/>
  <c r="I7" i="40"/>
  <c r="J7" i="40" s="1"/>
  <c r="J6" i="40"/>
  <c r="I6" i="40"/>
  <c r="J5" i="40"/>
  <c r="I5" i="40"/>
  <c r="J4" i="40"/>
  <c r="I4" i="40"/>
  <c r="M23" i="37"/>
  <c r="L23" i="37"/>
  <c r="N23" i="37" s="1"/>
  <c r="M22" i="37"/>
  <c r="L22" i="37"/>
  <c r="N22" i="37" s="1"/>
  <c r="M21" i="37"/>
  <c r="L21" i="37"/>
  <c r="N21" i="37" s="1"/>
  <c r="M20" i="37"/>
  <c r="N20" i="37" s="1"/>
  <c r="L20" i="37"/>
  <c r="N19" i="37"/>
  <c r="M19" i="37"/>
  <c r="L19" i="37"/>
  <c r="M18" i="37"/>
  <c r="L18" i="37"/>
  <c r="N18" i="37" s="1"/>
  <c r="N17" i="37"/>
  <c r="M17" i="37"/>
  <c r="L17" i="37"/>
  <c r="M16" i="37"/>
  <c r="L16" i="37"/>
  <c r="N16" i="37" s="1"/>
  <c r="M15" i="37"/>
  <c r="L15" i="37"/>
  <c r="N15" i="37" s="1"/>
  <c r="M14" i="37"/>
  <c r="L14" i="37"/>
  <c r="N14" i="37" s="1"/>
  <c r="N13" i="37"/>
  <c r="M13" i="37"/>
  <c r="L13" i="37"/>
  <c r="M12" i="37"/>
  <c r="L12" i="37"/>
  <c r="N12" i="37" s="1"/>
  <c r="M11" i="37"/>
  <c r="L11" i="37"/>
  <c r="N11" i="37" s="1"/>
  <c r="M10" i="37"/>
  <c r="L10" i="37"/>
  <c r="N10" i="37" s="1"/>
  <c r="N9" i="37"/>
  <c r="M9" i="37"/>
  <c r="L9" i="37"/>
  <c r="M8" i="37"/>
  <c r="L8" i="37"/>
  <c r="N8" i="37" s="1"/>
  <c r="M7" i="37"/>
  <c r="L7" i="37"/>
  <c r="N7" i="37" s="1"/>
  <c r="M6" i="37"/>
  <c r="L6" i="37"/>
  <c r="N6" i="37" s="1"/>
  <c r="N5" i="37"/>
  <c r="M5" i="37"/>
  <c r="L5" i="37"/>
  <c r="M4" i="37"/>
  <c r="L4" i="37"/>
  <c r="N4" i="37" s="1"/>
  <c r="G20" i="35"/>
  <c r="F20" i="35"/>
  <c r="E20" i="35"/>
  <c r="D20" i="35"/>
  <c r="C20" i="35"/>
  <c r="B20" i="35"/>
  <c r="E4" i="35"/>
  <c r="D4" i="35"/>
  <c r="A2" i="34"/>
  <c r="E13" i="33"/>
  <c r="C13" i="33"/>
  <c r="B13" i="33"/>
  <c r="G17" i="34" s="1"/>
  <c r="E12" i="33"/>
  <c r="C12" i="33"/>
  <c r="B12" i="33"/>
  <c r="G16" i="34" s="1"/>
  <c r="E11" i="33"/>
  <c r="C11" i="33"/>
  <c r="B11" i="33"/>
  <c r="B16" i="1" s="1"/>
  <c r="G16" i="1" s="1"/>
  <c r="E10" i="33"/>
  <c r="E15" i="1" s="1"/>
  <c r="C10" i="33"/>
  <c r="B10" i="33"/>
  <c r="B15" i="1" s="1"/>
  <c r="G15" i="1" s="1"/>
  <c r="E9" i="33"/>
  <c r="C9" i="33"/>
  <c r="B9" i="33"/>
  <c r="D13" i="34" s="1"/>
  <c r="E8" i="33"/>
  <c r="C8" i="33"/>
  <c r="B8" i="33"/>
  <c r="C12" i="34" s="1"/>
  <c r="E7" i="33"/>
  <c r="C7" i="33"/>
  <c r="B7" i="33"/>
  <c r="E6" i="33"/>
  <c r="C6" i="33"/>
  <c r="B6" i="33"/>
  <c r="G6" i="33" s="1"/>
  <c r="E5" i="33"/>
  <c r="E10" i="1" s="1"/>
  <c r="C5" i="33"/>
  <c r="C10" i="1" s="1"/>
  <c r="B5" i="33"/>
  <c r="G9" i="34" s="1"/>
  <c r="E4" i="33"/>
  <c r="E9" i="1" s="1"/>
  <c r="C4" i="33"/>
  <c r="B4" i="33"/>
  <c r="G4" i="33" s="1"/>
  <c r="K113" i="32"/>
  <c r="J113" i="32"/>
  <c r="I113" i="32"/>
  <c r="D113" i="32"/>
  <c r="C113" i="32"/>
  <c r="A113" i="32"/>
  <c r="K112" i="32"/>
  <c r="J112" i="32"/>
  <c r="I112" i="32"/>
  <c r="D112" i="32"/>
  <c r="C112" i="32"/>
  <c r="A112" i="32"/>
  <c r="K111" i="32"/>
  <c r="J111" i="32"/>
  <c r="I111" i="32"/>
  <c r="D111" i="32"/>
  <c r="C111" i="32"/>
  <c r="A111" i="32"/>
  <c r="K110" i="32"/>
  <c r="I110" i="32"/>
  <c r="J110" i="32" s="1"/>
  <c r="D110" i="32"/>
  <c r="C110" i="32"/>
  <c r="A110" i="32"/>
  <c r="K109" i="32"/>
  <c r="J109" i="32"/>
  <c r="I109" i="32"/>
  <c r="D109" i="32"/>
  <c r="C109" i="32"/>
  <c r="A109" i="32"/>
  <c r="K108" i="32"/>
  <c r="J108" i="32"/>
  <c r="I108" i="32"/>
  <c r="D108" i="32"/>
  <c r="C108" i="32"/>
  <c r="A108" i="32"/>
  <c r="K107" i="32"/>
  <c r="J107" i="32"/>
  <c r="I107" i="32"/>
  <c r="D107" i="32"/>
  <c r="C107" i="32"/>
  <c r="A107" i="32"/>
  <c r="K106" i="32"/>
  <c r="I106" i="32"/>
  <c r="J106" i="32" s="1"/>
  <c r="D106" i="32"/>
  <c r="C106" i="32"/>
  <c r="A106" i="32"/>
  <c r="K105" i="32"/>
  <c r="J105" i="32"/>
  <c r="I105" i="32"/>
  <c r="D105" i="32"/>
  <c r="C105" i="32"/>
  <c r="A105" i="32"/>
  <c r="K104" i="32"/>
  <c r="J104" i="32"/>
  <c r="I104" i="32"/>
  <c r="D104" i="32"/>
  <c r="C104" i="32"/>
  <c r="A104" i="32"/>
  <c r="K103" i="32"/>
  <c r="J103" i="32"/>
  <c r="I103" i="32"/>
  <c r="D103" i="32"/>
  <c r="C103" i="32"/>
  <c r="A103" i="32"/>
  <c r="K102" i="32"/>
  <c r="I102" i="32"/>
  <c r="J102" i="32" s="1"/>
  <c r="D102" i="32"/>
  <c r="C102" i="32"/>
  <c r="A102" i="32"/>
  <c r="K101" i="32"/>
  <c r="J101" i="32"/>
  <c r="I101" i="32"/>
  <c r="D101" i="32"/>
  <c r="C101" i="32"/>
  <c r="A101" i="32"/>
  <c r="K100" i="32"/>
  <c r="J100" i="32"/>
  <c r="I100" i="32"/>
  <c r="D100" i="32"/>
  <c r="C100" i="32"/>
  <c r="A100" i="32"/>
  <c r="K99" i="32"/>
  <c r="J99" i="32"/>
  <c r="I99" i="32"/>
  <c r="D99" i="32"/>
  <c r="C99" i="32"/>
  <c r="A99" i="32"/>
  <c r="K98" i="32"/>
  <c r="I98" i="32"/>
  <c r="J98" i="32" s="1"/>
  <c r="D98" i="32"/>
  <c r="C98" i="32"/>
  <c r="A98" i="32"/>
  <c r="K97" i="32"/>
  <c r="J97" i="32"/>
  <c r="I97" i="32"/>
  <c r="D97" i="32"/>
  <c r="C97" i="32"/>
  <c r="A97" i="32"/>
  <c r="K96" i="32"/>
  <c r="J96" i="32"/>
  <c r="I96" i="32"/>
  <c r="D96" i="32"/>
  <c r="C96" i="32"/>
  <c r="A96" i="32"/>
  <c r="K95" i="32"/>
  <c r="J95" i="32"/>
  <c r="I95" i="32"/>
  <c r="D95" i="32"/>
  <c r="C95" i="32"/>
  <c r="A95" i="32"/>
  <c r="K94" i="32"/>
  <c r="I94" i="32"/>
  <c r="J94" i="32" s="1"/>
  <c r="D94" i="32"/>
  <c r="C94" i="32"/>
  <c r="A94" i="32"/>
  <c r="K93" i="32"/>
  <c r="J93" i="32"/>
  <c r="I93" i="32"/>
  <c r="D93" i="32"/>
  <c r="C93" i="32"/>
  <c r="A93" i="32"/>
  <c r="K92" i="32"/>
  <c r="J92" i="32"/>
  <c r="I92" i="32"/>
  <c r="D92" i="32"/>
  <c r="C92" i="32"/>
  <c r="A92" i="32"/>
  <c r="K91" i="32"/>
  <c r="J91" i="32"/>
  <c r="I91" i="32"/>
  <c r="D91" i="32"/>
  <c r="C91" i="32"/>
  <c r="A91" i="32"/>
  <c r="K90" i="32"/>
  <c r="I90" i="32"/>
  <c r="J90" i="32" s="1"/>
  <c r="D90" i="32"/>
  <c r="C90" i="32"/>
  <c r="A90" i="32"/>
  <c r="K89" i="32"/>
  <c r="J89" i="32"/>
  <c r="I89" i="32"/>
  <c r="D89" i="32"/>
  <c r="C89" i="32"/>
  <c r="A89" i="32"/>
  <c r="K88" i="32"/>
  <c r="J88" i="32"/>
  <c r="I88" i="32"/>
  <c r="D88" i="32"/>
  <c r="C88" i="32"/>
  <c r="A88" i="32"/>
  <c r="K87" i="32"/>
  <c r="J87" i="32"/>
  <c r="I87" i="32"/>
  <c r="D87" i="32"/>
  <c r="C87" i="32"/>
  <c r="A87" i="32"/>
  <c r="K86" i="32"/>
  <c r="I86" i="32"/>
  <c r="J86" i="32" s="1"/>
  <c r="D86" i="32"/>
  <c r="C86" i="32"/>
  <c r="A86" i="32"/>
  <c r="K85" i="32"/>
  <c r="J85" i="32"/>
  <c r="I85" i="32"/>
  <c r="D85" i="32"/>
  <c r="C85" i="32"/>
  <c r="A85" i="32"/>
  <c r="K84" i="32"/>
  <c r="J84" i="32"/>
  <c r="I84" i="32"/>
  <c r="D84" i="32"/>
  <c r="C84" i="32"/>
  <c r="A84" i="32"/>
  <c r="K83" i="32"/>
  <c r="J83" i="32"/>
  <c r="I83" i="32"/>
  <c r="D83" i="32"/>
  <c r="C83" i="32"/>
  <c r="A83" i="32"/>
  <c r="K82" i="32"/>
  <c r="I82" i="32"/>
  <c r="J82" i="32" s="1"/>
  <c r="D82" i="32"/>
  <c r="C82" i="32"/>
  <c r="A82" i="32"/>
  <c r="K81" i="32"/>
  <c r="J81" i="32"/>
  <c r="I81" i="32"/>
  <c r="D81" i="32"/>
  <c r="C81" i="32"/>
  <c r="A81" i="32"/>
  <c r="K80" i="32"/>
  <c r="J80" i="32"/>
  <c r="I80" i="32"/>
  <c r="D80" i="32"/>
  <c r="C80" i="32"/>
  <c r="A80" i="32"/>
  <c r="K79" i="32"/>
  <c r="J79" i="32"/>
  <c r="I79" i="32"/>
  <c r="D79" i="32"/>
  <c r="C79" i="32"/>
  <c r="A79" i="32"/>
  <c r="K78" i="32"/>
  <c r="I78" i="32"/>
  <c r="J78" i="32" s="1"/>
  <c r="D78" i="32"/>
  <c r="C78" i="32"/>
  <c r="A78" i="32"/>
  <c r="K77" i="32"/>
  <c r="J77" i="32"/>
  <c r="I77" i="32"/>
  <c r="D77" i="32"/>
  <c r="C77" i="32"/>
  <c r="A77" i="32"/>
  <c r="K76" i="32"/>
  <c r="J76" i="32"/>
  <c r="I76" i="32"/>
  <c r="D76" i="32"/>
  <c r="C76" i="32"/>
  <c r="A76" i="32"/>
  <c r="K75" i="32"/>
  <c r="J75" i="32"/>
  <c r="I75" i="32"/>
  <c r="D75" i="32"/>
  <c r="C75" i="32"/>
  <c r="A75" i="32"/>
  <c r="K74" i="32"/>
  <c r="I74" i="32"/>
  <c r="J74" i="32" s="1"/>
  <c r="D74" i="32"/>
  <c r="C74" i="32"/>
  <c r="A74" i="32"/>
  <c r="K73" i="32"/>
  <c r="J73" i="32"/>
  <c r="I73" i="32"/>
  <c r="D73" i="32"/>
  <c r="C73" i="32"/>
  <c r="A73" i="32"/>
  <c r="K72" i="32"/>
  <c r="J72" i="32"/>
  <c r="I72" i="32"/>
  <c r="D72" i="32"/>
  <c r="C72" i="32"/>
  <c r="A72" i="32"/>
  <c r="K71" i="32"/>
  <c r="J71" i="32"/>
  <c r="I71" i="32"/>
  <c r="D71" i="32"/>
  <c r="C71" i="32"/>
  <c r="A71" i="32"/>
  <c r="K70" i="32"/>
  <c r="I70" i="32"/>
  <c r="J70" i="32" s="1"/>
  <c r="D70" i="32"/>
  <c r="C70" i="32"/>
  <c r="A70" i="32"/>
  <c r="K69" i="32"/>
  <c r="J69" i="32"/>
  <c r="I69" i="32"/>
  <c r="D69" i="32"/>
  <c r="C69" i="32"/>
  <c r="A69" i="32"/>
  <c r="K68" i="32"/>
  <c r="J68" i="32"/>
  <c r="I68" i="32"/>
  <c r="D68" i="32"/>
  <c r="C68" i="32"/>
  <c r="A68" i="32"/>
  <c r="K67" i="32"/>
  <c r="J67" i="32"/>
  <c r="I67" i="32"/>
  <c r="D67" i="32"/>
  <c r="C67" i="32"/>
  <c r="A67" i="32"/>
  <c r="K66" i="32"/>
  <c r="I66" i="32"/>
  <c r="J66" i="32" s="1"/>
  <c r="D66" i="32"/>
  <c r="C66" i="32"/>
  <c r="A66" i="32"/>
  <c r="K65" i="32"/>
  <c r="J65" i="32"/>
  <c r="I65" i="32"/>
  <c r="D65" i="32"/>
  <c r="C65" i="32"/>
  <c r="A65" i="32"/>
  <c r="K64" i="32"/>
  <c r="J64" i="32"/>
  <c r="I64" i="32"/>
  <c r="D64" i="32"/>
  <c r="C64" i="32"/>
  <c r="A64" i="32"/>
  <c r="K63" i="32"/>
  <c r="J63" i="32"/>
  <c r="I63" i="32"/>
  <c r="D63" i="32"/>
  <c r="C63" i="32"/>
  <c r="A63" i="32"/>
  <c r="K62" i="32"/>
  <c r="I62" i="32"/>
  <c r="J62" i="32" s="1"/>
  <c r="D62" i="32"/>
  <c r="C62" i="32"/>
  <c r="A62" i="32"/>
  <c r="K61" i="32"/>
  <c r="J61" i="32"/>
  <c r="I61" i="32"/>
  <c r="D61" i="32"/>
  <c r="C61" i="32"/>
  <c r="A61" i="32"/>
  <c r="K60" i="32"/>
  <c r="J60" i="32"/>
  <c r="I60" i="32"/>
  <c r="D60" i="32"/>
  <c r="C60" i="32"/>
  <c r="A60" i="32"/>
  <c r="K59" i="32"/>
  <c r="J59" i="32"/>
  <c r="I59" i="32"/>
  <c r="D59" i="32"/>
  <c r="C59" i="32"/>
  <c r="A59" i="32"/>
  <c r="K58" i="32"/>
  <c r="I58" i="32"/>
  <c r="J58" i="32" s="1"/>
  <c r="D58" i="32"/>
  <c r="C58" i="32"/>
  <c r="A58" i="32"/>
  <c r="K57" i="32"/>
  <c r="J57" i="32"/>
  <c r="I57" i="32"/>
  <c r="D57" i="32"/>
  <c r="C57" i="32"/>
  <c r="A57" i="32"/>
  <c r="K56" i="32"/>
  <c r="J56" i="32"/>
  <c r="I56" i="32"/>
  <c r="D56" i="32"/>
  <c r="C56" i="32"/>
  <c r="A56" i="32"/>
  <c r="K55" i="32"/>
  <c r="J55" i="32"/>
  <c r="I55" i="32"/>
  <c r="D55" i="32"/>
  <c r="C55" i="32"/>
  <c r="A55" i="32"/>
  <c r="K54" i="32"/>
  <c r="I54" i="32"/>
  <c r="J54" i="32" s="1"/>
  <c r="D54" i="32"/>
  <c r="C54" i="32"/>
  <c r="A54" i="32"/>
  <c r="K53" i="32"/>
  <c r="J53" i="32"/>
  <c r="I53" i="32"/>
  <c r="D53" i="32"/>
  <c r="C53" i="32"/>
  <c r="A53" i="32"/>
  <c r="K52" i="32"/>
  <c r="J52" i="32"/>
  <c r="I52" i="32"/>
  <c r="D52" i="32"/>
  <c r="C52" i="32"/>
  <c r="A52" i="32"/>
  <c r="K51" i="32"/>
  <c r="J51" i="32"/>
  <c r="I51" i="32"/>
  <c r="D51" i="32"/>
  <c r="C51" i="32"/>
  <c r="A51" i="32"/>
  <c r="K50" i="32"/>
  <c r="I50" i="32"/>
  <c r="J50" i="32" s="1"/>
  <c r="D50" i="32"/>
  <c r="C50" i="32"/>
  <c r="A50" i="32"/>
  <c r="K49" i="32"/>
  <c r="J49" i="32"/>
  <c r="I49" i="32"/>
  <c r="D49" i="32"/>
  <c r="C49" i="32"/>
  <c r="A49" i="32"/>
  <c r="K48" i="32"/>
  <c r="J48" i="32"/>
  <c r="I48" i="32"/>
  <c r="D48" i="32"/>
  <c r="C48" i="32"/>
  <c r="A48" i="32"/>
  <c r="K47" i="32"/>
  <c r="J47" i="32"/>
  <c r="I47" i="32"/>
  <c r="D47" i="32"/>
  <c r="C47" i="32"/>
  <c r="A47" i="32"/>
  <c r="K46" i="32"/>
  <c r="I46" i="32"/>
  <c r="J46" i="32" s="1"/>
  <c r="D46" i="32"/>
  <c r="C46" i="32"/>
  <c r="A46" i="32"/>
  <c r="K45" i="32"/>
  <c r="J45" i="32"/>
  <c r="I45" i="32"/>
  <c r="D45" i="32"/>
  <c r="C45" i="32"/>
  <c r="A45" i="32"/>
  <c r="K44" i="32"/>
  <c r="J44" i="32"/>
  <c r="I44" i="32"/>
  <c r="D44" i="32"/>
  <c r="C44" i="32"/>
  <c r="A44" i="32"/>
  <c r="K43" i="32"/>
  <c r="J43" i="32"/>
  <c r="I43" i="32"/>
  <c r="D43" i="32"/>
  <c r="C43" i="32"/>
  <c r="A43" i="32"/>
  <c r="K42" i="32"/>
  <c r="I42" i="32"/>
  <c r="J42" i="32" s="1"/>
  <c r="D42" i="32"/>
  <c r="C42" i="32"/>
  <c r="A42" i="32"/>
  <c r="K41" i="32"/>
  <c r="J41" i="32"/>
  <c r="I41" i="32"/>
  <c r="D41" i="32"/>
  <c r="C41" i="32"/>
  <c r="A41" i="32"/>
  <c r="K40" i="32"/>
  <c r="J40" i="32"/>
  <c r="I40" i="32"/>
  <c r="D40" i="32"/>
  <c r="C40" i="32"/>
  <c r="A40" i="32"/>
  <c r="K39" i="32"/>
  <c r="J39" i="32"/>
  <c r="I39" i="32"/>
  <c r="D39" i="32"/>
  <c r="C39" i="32"/>
  <c r="A39" i="32"/>
  <c r="K38" i="32"/>
  <c r="I38" i="32"/>
  <c r="J38" i="32" s="1"/>
  <c r="D38" i="32"/>
  <c r="C38" i="32"/>
  <c r="A38" i="32"/>
  <c r="K37" i="32"/>
  <c r="J37" i="32"/>
  <c r="I37" i="32"/>
  <c r="D37" i="32"/>
  <c r="C37" i="32"/>
  <c r="A37" i="32"/>
  <c r="K36" i="32"/>
  <c r="J36" i="32"/>
  <c r="I36" i="32"/>
  <c r="D36" i="32"/>
  <c r="C36" i="32"/>
  <c r="A36" i="32"/>
  <c r="K35" i="32"/>
  <c r="J35" i="32"/>
  <c r="I35" i="32"/>
  <c r="D35" i="32"/>
  <c r="C35" i="32"/>
  <c r="A35" i="32"/>
  <c r="K34" i="32"/>
  <c r="I34" i="32"/>
  <c r="J34" i="32" s="1"/>
  <c r="D34" i="32"/>
  <c r="C34" i="32"/>
  <c r="A34" i="32"/>
  <c r="K33" i="32"/>
  <c r="J33" i="32"/>
  <c r="I33" i="32"/>
  <c r="D33" i="32"/>
  <c r="C33" i="32"/>
  <c r="A33" i="32"/>
  <c r="K32" i="32"/>
  <c r="J32" i="32"/>
  <c r="I32" i="32"/>
  <c r="D32" i="32"/>
  <c r="C32" i="32"/>
  <c r="A32" i="32"/>
  <c r="K31" i="32"/>
  <c r="J31" i="32"/>
  <c r="I31" i="32"/>
  <c r="D31" i="32"/>
  <c r="C31" i="32"/>
  <c r="A31" i="32"/>
  <c r="K30" i="32"/>
  <c r="I30" i="32"/>
  <c r="J30" i="32" s="1"/>
  <c r="D30" i="32"/>
  <c r="C30" i="32"/>
  <c r="A30" i="32"/>
  <c r="K29" i="32"/>
  <c r="J29" i="32"/>
  <c r="I29" i="32"/>
  <c r="D29" i="32"/>
  <c r="C29" i="32"/>
  <c r="A29" i="32"/>
  <c r="K28" i="32"/>
  <c r="J28" i="32"/>
  <c r="I28" i="32"/>
  <c r="D28" i="32"/>
  <c r="C28" i="32"/>
  <c r="A28" i="32"/>
  <c r="K27" i="32"/>
  <c r="J27" i="32"/>
  <c r="I27" i="32"/>
  <c r="D27" i="32"/>
  <c r="C27" i="32"/>
  <c r="A27" i="32"/>
  <c r="K26" i="32"/>
  <c r="I26" i="32"/>
  <c r="J26" i="32" s="1"/>
  <c r="D26" i="32"/>
  <c r="C26" i="32"/>
  <c r="A26" i="32"/>
  <c r="K25" i="32"/>
  <c r="J25" i="32"/>
  <c r="I25" i="32"/>
  <c r="D25" i="32"/>
  <c r="C25" i="32"/>
  <c r="A25" i="32"/>
  <c r="K24" i="32"/>
  <c r="J24" i="32"/>
  <c r="I24" i="32"/>
  <c r="D24" i="32"/>
  <c r="C24" i="32"/>
  <c r="A24" i="32"/>
  <c r="K23" i="32"/>
  <c r="J23" i="32"/>
  <c r="I23" i="32"/>
  <c r="D23" i="32"/>
  <c r="C23" i="32"/>
  <c r="A23" i="32"/>
  <c r="K22" i="32"/>
  <c r="I22" i="32"/>
  <c r="J22" i="32" s="1"/>
  <c r="D22" i="32"/>
  <c r="C22" i="32"/>
  <c r="A22" i="32"/>
  <c r="K21" i="32"/>
  <c r="J21" i="32"/>
  <c r="I21" i="32"/>
  <c r="D21" i="32"/>
  <c r="C21" i="32"/>
  <c r="A21" i="32"/>
  <c r="K20" i="32"/>
  <c r="J20" i="32"/>
  <c r="I20" i="32"/>
  <c r="D20" i="32"/>
  <c r="C20" i="32"/>
  <c r="A20" i="32"/>
  <c r="K19" i="32"/>
  <c r="J19" i="32"/>
  <c r="I19" i="32"/>
  <c r="D19" i="32"/>
  <c r="C19" i="32"/>
  <c r="A19" i="32"/>
  <c r="K18" i="32"/>
  <c r="I18" i="32"/>
  <c r="J18" i="32" s="1"/>
  <c r="D18" i="32"/>
  <c r="C18" i="32"/>
  <c r="A18" i="32"/>
  <c r="K17" i="32"/>
  <c r="J17" i="32"/>
  <c r="I17" i="32"/>
  <c r="D17" i="32"/>
  <c r="C17" i="32"/>
  <c r="A17" i="32"/>
  <c r="K16" i="32"/>
  <c r="J16" i="32"/>
  <c r="I16" i="32"/>
  <c r="D16" i="32"/>
  <c r="C16" i="32"/>
  <c r="A16" i="32"/>
  <c r="K15" i="32"/>
  <c r="J15" i="32"/>
  <c r="I15" i="32"/>
  <c r="D15" i="32"/>
  <c r="A15" i="32" s="1"/>
  <c r="C15" i="32"/>
  <c r="K14" i="32"/>
  <c r="I14" i="32"/>
  <c r="J14" i="32" s="1"/>
  <c r="D14" i="32"/>
  <c r="A14" i="32" s="1"/>
  <c r="C14" i="32"/>
  <c r="B9" i="32"/>
  <c r="B10" i="32" s="1"/>
  <c r="B8" i="32"/>
  <c r="I208" i="31"/>
  <c r="J208" i="31" s="1"/>
  <c r="G208" i="31"/>
  <c r="D208" i="31"/>
  <c r="C208" i="31"/>
  <c r="B208" i="31"/>
  <c r="J207" i="31"/>
  <c r="I207" i="31"/>
  <c r="G207" i="31"/>
  <c r="D207" i="31"/>
  <c r="C207" i="31"/>
  <c r="B207" i="31"/>
  <c r="J206" i="31"/>
  <c r="I206" i="31"/>
  <c r="G206" i="31"/>
  <c r="D206" i="31"/>
  <c r="C206" i="31"/>
  <c r="B206" i="31"/>
  <c r="J205" i="31"/>
  <c r="I205" i="31"/>
  <c r="G205" i="31"/>
  <c r="D205" i="31"/>
  <c r="C205" i="31"/>
  <c r="B205" i="31"/>
  <c r="I204" i="31"/>
  <c r="J204" i="31" s="1"/>
  <c r="G204" i="31"/>
  <c r="D204" i="31"/>
  <c r="C204" i="31"/>
  <c r="B204" i="31"/>
  <c r="J203" i="31"/>
  <c r="I203" i="31"/>
  <c r="G203" i="31"/>
  <c r="D203" i="31"/>
  <c r="C203" i="31"/>
  <c r="B203" i="31"/>
  <c r="J202" i="31"/>
  <c r="I202" i="31"/>
  <c r="G202" i="31"/>
  <c r="D202" i="31"/>
  <c r="C202" i="31"/>
  <c r="B202" i="31"/>
  <c r="J201" i="31"/>
  <c r="I201" i="31"/>
  <c r="G201" i="31"/>
  <c r="D201" i="31"/>
  <c r="C201" i="31"/>
  <c r="B201" i="31"/>
  <c r="I200" i="31"/>
  <c r="J200" i="31" s="1"/>
  <c r="G200" i="31"/>
  <c r="D200" i="31"/>
  <c r="C200" i="31"/>
  <c r="B200" i="31"/>
  <c r="J199" i="31"/>
  <c r="I199" i="31"/>
  <c r="G199" i="31"/>
  <c r="D199" i="31"/>
  <c r="C199" i="31"/>
  <c r="B199" i="31"/>
  <c r="J198" i="31"/>
  <c r="I198" i="31"/>
  <c r="G198" i="31"/>
  <c r="D198" i="31"/>
  <c r="C198" i="31"/>
  <c r="B198" i="31"/>
  <c r="J197" i="31"/>
  <c r="I197" i="31"/>
  <c r="G197" i="31"/>
  <c r="D197" i="31"/>
  <c r="C197" i="31"/>
  <c r="B197" i="31"/>
  <c r="I196" i="31"/>
  <c r="J196" i="31" s="1"/>
  <c r="G196" i="31"/>
  <c r="D196" i="31"/>
  <c r="C196" i="31"/>
  <c r="B196" i="31"/>
  <c r="J195" i="31"/>
  <c r="I195" i="31"/>
  <c r="G195" i="31"/>
  <c r="D195" i="31"/>
  <c r="C195" i="31"/>
  <c r="B195" i="31"/>
  <c r="J194" i="31"/>
  <c r="I194" i="31"/>
  <c r="G194" i="31"/>
  <c r="D194" i="31"/>
  <c r="C194" i="31"/>
  <c r="B194" i="31"/>
  <c r="J193" i="31"/>
  <c r="I193" i="31"/>
  <c r="G193" i="31"/>
  <c r="D193" i="31"/>
  <c r="C193" i="31"/>
  <c r="B193" i="31"/>
  <c r="I192" i="31"/>
  <c r="J192" i="31" s="1"/>
  <c r="G192" i="31"/>
  <c r="D192" i="31"/>
  <c r="C192" i="31"/>
  <c r="B192" i="31"/>
  <c r="J191" i="31"/>
  <c r="I191" i="31"/>
  <c r="G191" i="31"/>
  <c r="D191" i="31"/>
  <c r="C191" i="31"/>
  <c r="B191" i="31"/>
  <c r="J190" i="31"/>
  <c r="I190" i="31"/>
  <c r="G190" i="31"/>
  <c r="D190" i="31"/>
  <c r="C190" i="31"/>
  <c r="B190" i="31"/>
  <c r="J189" i="31"/>
  <c r="I189" i="31"/>
  <c r="G189" i="31"/>
  <c r="D189" i="31"/>
  <c r="C189" i="31"/>
  <c r="B189" i="31"/>
  <c r="I188" i="31"/>
  <c r="J188" i="31" s="1"/>
  <c r="G188" i="31"/>
  <c r="D188" i="31"/>
  <c r="C188" i="31"/>
  <c r="B188" i="31"/>
  <c r="J187" i="31"/>
  <c r="I187" i="31"/>
  <c r="G187" i="31"/>
  <c r="D187" i="31"/>
  <c r="C187" i="31"/>
  <c r="B187" i="31"/>
  <c r="J186" i="31"/>
  <c r="I186" i="31"/>
  <c r="G186" i="31"/>
  <c r="D186" i="31"/>
  <c r="C186" i="31"/>
  <c r="B186" i="31"/>
  <c r="J185" i="31"/>
  <c r="I185" i="31"/>
  <c r="G185" i="31"/>
  <c r="D185" i="31"/>
  <c r="C185" i="31"/>
  <c r="B185" i="31"/>
  <c r="I184" i="31"/>
  <c r="J184" i="31" s="1"/>
  <c r="G184" i="31"/>
  <c r="D184" i="31"/>
  <c r="C184" i="31"/>
  <c r="B184" i="31"/>
  <c r="J183" i="31"/>
  <c r="I183" i="31"/>
  <c r="G183" i="31"/>
  <c r="D183" i="31"/>
  <c r="C183" i="31"/>
  <c r="B183" i="31"/>
  <c r="J182" i="31"/>
  <c r="I182" i="31"/>
  <c r="G182" i="31"/>
  <c r="D182" i="31"/>
  <c r="C182" i="31"/>
  <c r="B182" i="31"/>
  <c r="J181" i="31"/>
  <c r="I181" i="31"/>
  <c r="G181" i="31"/>
  <c r="D181" i="31"/>
  <c r="C181" i="31"/>
  <c r="B181" i="31"/>
  <c r="I180" i="31"/>
  <c r="J180" i="31" s="1"/>
  <c r="G180" i="31"/>
  <c r="D180" i="31"/>
  <c r="C180" i="31"/>
  <c r="B180" i="31"/>
  <c r="J179" i="31"/>
  <c r="I179" i="31"/>
  <c r="G179" i="31"/>
  <c r="D179" i="31"/>
  <c r="C179" i="31"/>
  <c r="B179" i="31"/>
  <c r="J178" i="31"/>
  <c r="I178" i="31"/>
  <c r="G178" i="31"/>
  <c r="D178" i="31"/>
  <c r="C178" i="31"/>
  <c r="B178" i="31"/>
  <c r="J177" i="31"/>
  <c r="I177" i="31"/>
  <c r="G177" i="31"/>
  <c r="D177" i="31"/>
  <c r="C177" i="31"/>
  <c r="B177" i="31"/>
  <c r="I176" i="31"/>
  <c r="J176" i="31" s="1"/>
  <c r="G176" i="31"/>
  <c r="D176" i="31"/>
  <c r="C176" i="31"/>
  <c r="B176" i="31"/>
  <c r="J175" i="31"/>
  <c r="I175" i="31"/>
  <c r="G175" i="31"/>
  <c r="D175" i="31"/>
  <c r="C175" i="31"/>
  <c r="B175" i="31"/>
  <c r="J174" i="31"/>
  <c r="I174" i="31"/>
  <c r="G174" i="31"/>
  <c r="D174" i="31"/>
  <c r="C174" i="31"/>
  <c r="B174" i="31"/>
  <c r="J173" i="31"/>
  <c r="I173" i="31"/>
  <c r="G173" i="31"/>
  <c r="D173" i="31"/>
  <c r="C173" i="31"/>
  <c r="B173" i="31"/>
  <c r="I172" i="31"/>
  <c r="J172" i="31" s="1"/>
  <c r="G172" i="31"/>
  <c r="D172" i="31"/>
  <c r="C172" i="31"/>
  <c r="B172" i="31"/>
  <c r="J171" i="31"/>
  <c r="I171" i="31"/>
  <c r="G171" i="31"/>
  <c r="D171" i="31"/>
  <c r="C171" i="31"/>
  <c r="B171" i="31"/>
  <c r="J170" i="31"/>
  <c r="I170" i="31"/>
  <c r="G170" i="31"/>
  <c r="D170" i="31"/>
  <c r="C170" i="31"/>
  <c r="B170" i="31"/>
  <c r="J169" i="31"/>
  <c r="I169" i="31"/>
  <c r="G169" i="31"/>
  <c r="D169" i="31"/>
  <c r="C169" i="31"/>
  <c r="B169" i="31"/>
  <c r="I168" i="31"/>
  <c r="J168" i="31" s="1"/>
  <c r="G168" i="31"/>
  <c r="D168" i="31"/>
  <c r="C168" i="31"/>
  <c r="B168" i="31"/>
  <c r="J167" i="31"/>
  <c r="I167" i="31"/>
  <c r="G167" i="31"/>
  <c r="D167" i="31"/>
  <c r="C167" i="31"/>
  <c r="B167" i="31"/>
  <c r="J166" i="31"/>
  <c r="I166" i="31"/>
  <c r="G166" i="31"/>
  <c r="D166" i="31"/>
  <c r="C166" i="31"/>
  <c r="B166" i="31"/>
  <c r="J165" i="31"/>
  <c r="I165" i="31"/>
  <c r="G165" i="31"/>
  <c r="D165" i="31"/>
  <c r="C165" i="31"/>
  <c r="B165" i="31"/>
  <c r="I164" i="31"/>
  <c r="J164" i="31" s="1"/>
  <c r="G164" i="31"/>
  <c r="D164" i="31"/>
  <c r="C164" i="31"/>
  <c r="B164" i="31"/>
  <c r="J163" i="31"/>
  <c r="I163" i="31"/>
  <c r="G163" i="31"/>
  <c r="D163" i="31"/>
  <c r="C163" i="31"/>
  <c r="B163" i="31"/>
  <c r="J162" i="31"/>
  <c r="I162" i="31"/>
  <c r="G162" i="31"/>
  <c r="D162" i="31"/>
  <c r="C162" i="31"/>
  <c r="B162" i="31"/>
  <c r="J161" i="31"/>
  <c r="I161" i="31"/>
  <c r="G161" i="31"/>
  <c r="D161" i="31"/>
  <c r="C161" i="31"/>
  <c r="B161" i="31"/>
  <c r="I160" i="31"/>
  <c r="J160" i="31" s="1"/>
  <c r="G160" i="31"/>
  <c r="D160" i="31"/>
  <c r="C160" i="31"/>
  <c r="B160" i="31"/>
  <c r="J159" i="31"/>
  <c r="I159" i="31"/>
  <c r="G159" i="31"/>
  <c r="D159" i="31"/>
  <c r="C159" i="31"/>
  <c r="B159" i="31"/>
  <c r="J158" i="31"/>
  <c r="I158" i="31"/>
  <c r="G158" i="31"/>
  <c r="D158" i="31"/>
  <c r="C158" i="31"/>
  <c r="B158" i="31"/>
  <c r="J157" i="31"/>
  <c r="I157" i="31"/>
  <c r="G157" i="31"/>
  <c r="D157" i="31"/>
  <c r="C157" i="31"/>
  <c r="B157" i="31"/>
  <c r="I156" i="31"/>
  <c r="J156" i="31" s="1"/>
  <c r="G156" i="31"/>
  <c r="D156" i="31"/>
  <c r="C156" i="31"/>
  <c r="B156" i="31"/>
  <c r="J155" i="31"/>
  <c r="I155" i="31"/>
  <c r="G155" i="31"/>
  <c r="D155" i="31"/>
  <c r="C155" i="31"/>
  <c r="B155" i="31"/>
  <c r="J154" i="31"/>
  <c r="I154" i="31"/>
  <c r="G154" i="31"/>
  <c r="D154" i="31"/>
  <c r="C154" i="31"/>
  <c r="B154" i="31"/>
  <c r="J153" i="31"/>
  <c r="I153" i="31"/>
  <c r="G153" i="31"/>
  <c r="D153" i="31"/>
  <c r="C153" i="31"/>
  <c r="B153" i="31"/>
  <c r="I152" i="31"/>
  <c r="J152" i="31" s="1"/>
  <c r="G152" i="31"/>
  <c r="D152" i="31"/>
  <c r="C152" i="31"/>
  <c r="B152" i="31"/>
  <c r="J151" i="31"/>
  <c r="I151" i="31"/>
  <c r="G151" i="31"/>
  <c r="D151" i="31"/>
  <c r="C151" i="31"/>
  <c r="B151" i="31"/>
  <c r="J150" i="31"/>
  <c r="I150" i="31"/>
  <c r="G150" i="31"/>
  <c r="D150" i="31"/>
  <c r="C150" i="31"/>
  <c r="B150" i="31"/>
  <c r="J149" i="31"/>
  <c r="I149" i="31"/>
  <c r="G149" i="31"/>
  <c r="D149" i="31"/>
  <c r="C149" i="31"/>
  <c r="B149" i="31"/>
  <c r="I148" i="31"/>
  <c r="J148" i="31" s="1"/>
  <c r="G148" i="31"/>
  <c r="D148" i="31"/>
  <c r="C148" i="31"/>
  <c r="B148" i="31"/>
  <c r="J147" i="31"/>
  <c r="I147" i="31"/>
  <c r="G147" i="31"/>
  <c r="D147" i="31"/>
  <c r="C147" i="31"/>
  <c r="B147" i="31"/>
  <c r="J146" i="31"/>
  <c r="I146" i="31"/>
  <c r="G146" i="31"/>
  <c r="D146" i="31"/>
  <c r="C146" i="31"/>
  <c r="B146" i="31"/>
  <c r="J145" i="31"/>
  <c r="I145" i="31"/>
  <c r="G145" i="31"/>
  <c r="D145" i="31"/>
  <c r="C145" i="31"/>
  <c r="B145" i="31"/>
  <c r="I144" i="31"/>
  <c r="J144" i="31" s="1"/>
  <c r="G144" i="31"/>
  <c r="D144" i="31"/>
  <c r="C144" i="31"/>
  <c r="B144" i="31"/>
  <c r="J143" i="31"/>
  <c r="I143" i="31"/>
  <c r="G143" i="31"/>
  <c r="D143" i="31"/>
  <c r="C143" i="31"/>
  <c r="B143" i="31"/>
  <c r="J142" i="31"/>
  <c r="I142" i="31"/>
  <c r="G142" i="31"/>
  <c r="D142" i="31"/>
  <c r="C142" i="31"/>
  <c r="B142" i="31"/>
  <c r="J141" i="31"/>
  <c r="I141" i="31"/>
  <c r="G141" i="31"/>
  <c r="D141" i="31"/>
  <c r="C141" i="31"/>
  <c r="B141" i="31"/>
  <c r="I140" i="31"/>
  <c r="J140" i="31" s="1"/>
  <c r="G140" i="31"/>
  <c r="D140" i="31"/>
  <c r="C140" i="31"/>
  <c r="B140" i="31"/>
  <c r="J139" i="31"/>
  <c r="I139" i="31"/>
  <c r="G139" i="31"/>
  <c r="D139" i="31"/>
  <c r="C139" i="31"/>
  <c r="B139" i="31"/>
  <c r="J138" i="31"/>
  <c r="I138" i="31"/>
  <c r="G138" i="31"/>
  <c r="D138" i="31"/>
  <c r="C138" i="31"/>
  <c r="B138" i="31"/>
  <c r="J137" i="31"/>
  <c r="I137" i="31"/>
  <c r="G137" i="31"/>
  <c r="D137" i="31"/>
  <c r="C137" i="31"/>
  <c r="B137" i="31"/>
  <c r="I136" i="31"/>
  <c r="J136" i="31" s="1"/>
  <c r="G136" i="31"/>
  <c r="D136" i="31"/>
  <c r="C136" i="31"/>
  <c r="B136" i="31"/>
  <c r="J135" i="31"/>
  <c r="I135" i="31"/>
  <c r="G135" i="31"/>
  <c r="D135" i="31"/>
  <c r="C135" i="31"/>
  <c r="B135" i="31"/>
  <c r="J134" i="31"/>
  <c r="I134" i="31"/>
  <c r="G134" i="31"/>
  <c r="D134" i="31"/>
  <c r="C134" i="31"/>
  <c r="B134" i="31"/>
  <c r="J133" i="31"/>
  <c r="I133" i="31"/>
  <c r="G133" i="31"/>
  <c r="D133" i="31"/>
  <c r="C133" i="31"/>
  <c r="B133" i="31"/>
  <c r="I132" i="31"/>
  <c r="J132" i="31" s="1"/>
  <c r="G132" i="31"/>
  <c r="D132" i="31"/>
  <c r="C132" i="31"/>
  <c r="B132" i="31"/>
  <c r="J131" i="31"/>
  <c r="I131" i="31"/>
  <c r="G131" i="31"/>
  <c r="D131" i="31"/>
  <c r="C131" i="31"/>
  <c r="B131" i="31"/>
  <c r="J130" i="31"/>
  <c r="I130" i="31"/>
  <c r="G130" i="31"/>
  <c r="D130" i="31"/>
  <c r="C130" i="31"/>
  <c r="B130" i="31"/>
  <c r="J129" i="31"/>
  <c r="I129" i="31"/>
  <c r="G129" i="31"/>
  <c r="D129" i="31"/>
  <c r="C129" i="31"/>
  <c r="B129" i="31"/>
  <c r="I128" i="31"/>
  <c r="J128" i="31" s="1"/>
  <c r="G128" i="31"/>
  <c r="D128" i="31"/>
  <c r="C128" i="31"/>
  <c r="B128" i="31"/>
  <c r="J127" i="31"/>
  <c r="I127" i="31"/>
  <c r="G127" i="31"/>
  <c r="D127" i="31"/>
  <c r="C127" i="31"/>
  <c r="B127" i="31"/>
  <c r="J126" i="31"/>
  <c r="I126" i="31"/>
  <c r="G126" i="31"/>
  <c r="D126" i="31"/>
  <c r="C126" i="31"/>
  <c r="B126" i="31"/>
  <c r="J125" i="31"/>
  <c r="I125" i="31"/>
  <c r="G125" i="31"/>
  <c r="D125" i="31"/>
  <c r="C125" i="31"/>
  <c r="B125" i="31"/>
  <c r="I124" i="31"/>
  <c r="J124" i="31" s="1"/>
  <c r="G124" i="31"/>
  <c r="D124" i="31"/>
  <c r="C124" i="31"/>
  <c r="B124" i="31"/>
  <c r="J123" i="31"/>
  <c r="I123" i="31"/>
  <c r="G123" i="31"/>
  <c r="D123" i="31"/>
  <c r="C123" i="31"/>
  <c r="B123" i="31"/>
  <c r="J122" i="31"/>
  <c r="I122" i="31"/>
  <c r="G122" i="31"/>
  <c r="D122" i="31"/>
  <c r="C122" i="31"/>
  <c r="B122" i="31"/>
  <c r="J121" i="31"/>
  <c r="I121" i="31"/>
  <c r="G121" i="31"/>
  <c r="D121" i="31"/>
  <c r="C121" i="31"/>
  <c r="B121" i="31"/>
  <c r="I120" i="31"/>
  <c r="J120" i="31" s="1"/>
  <c r="G120" i="31"/>
  <c r="D120" i="31"/>
  <c r="C120" i="31"/>
  <c r="B120" i="31"/>
  <c r="J119" i="31"/>
  <c r="I119" i="31"/>
  <c r="G119" i="31"/>
  <c r="D119" i="31"/>
  <c r="C119" i="31"/>
  <c r="B119" i="31"/>
  <c r="J118" i="31"/>
  <c r="I118" i="31"/>
  <c r="G118" i="31"/>
  <c r="D118" i="31"/>
  <c r="C118" i="31"/>
  <c r="B118" i="31"/>
  <c r="J117" i="31"/>
  <c r="I117" i="31"/>
  <c r="G117" i="31"/>
  <c r="D117" i="31"/>
  <c r="C117" i="31"/>
  <c r="B117" i="31"/>
  <c r="I116" i="31"/>
  <c r="J116" i="31" s="1"/>
  <c r="G116" i="31"/>
  <c r="D116" i="31"/>
  <c r="C116" i="31"/>
  <c r="B116" i="31"/>
  <c r="J115" i="31"/>
  <c r="I115" i="31"/>
  <c r="G115" i="31"/>
  <c r="D115" i="31"/>
  <c r="C115" i="31"/>
  <c r="B115" i="31"/>
  <c r="J114" i="31"/>
  <c r="I114" i="31"/>
  <c r="G114" i="31"/>
  <c r="D114" i="31"/>
  <c r="C114" i="31"/>
  <c r="B114" i="31"/>
  <c r="J113" i="31"/>
  <c r="I113" i="31"/>
  <c r="G113" i="31"/>
  <c r="D113" i="31"/>
  <c r="C113" i="31"/>
  <c r="B113" i="31"/>
  <c r="I112" i="31"/>
  <c r="J112" i="31" s="1"/>
  <c r="G112" i="31"/>
  <c r="D112" i="31"/>
  <c r="C112" i="31"/>
  <c r="B112" i="31"/>
  <c r="J111" i="31"/>
  <c r="I111" i="31"/>
  <c r="G111" i="31"/>
  <c r="D111" i="31"/>
  <c r="C111" i="31"/>
  <c r="B111" i="31"/>
  <c r="J110" i="31"/>
  <c r="I110" i="31"/>
  <c r="G110" i="31"/>
  <c r="D110" i="31"/>
  <c r="C110" i="31"/>
  <c r="B110" i="31"/>
  <c r="J109" i="31"/>
  <c r="I109" i="31"/>
  <c r="G109" i="31"/>
  <c r="D109" i="31"/>
  <c r="C109" i="31"/>
  <c r="B109" i="31"/>
  <c r="I108" i="31"/>
  <c r="J108" i="31" s="1"/>
  <c r="G108" i="31"/>
  <c r="D108" i="31"/>
  <c r="C108" i="31"/>
  <c r="B108" i="31"/>
  <c r="J107" i="31"/>
  <c r="I107" i="31"/>
  <c r="G107" i="31"/>
  <c r="D107" i="31"/>
  <c r="C107" i="31"/>
  <c r="B107" i="31"/>
  <c r="J106" i="31"/>
  <c r="I106" i="31"/>
  <c r="G106" i="31"/>
  <c r="D106" i="31"/>
  <c r="C106" i="31"/>
  <c r="B106" i="31"/>
  <c r="J105" i="31"/>
  <c r="I105" i="31"/>
  <c r="G105" i="31"/>
  <c r="D105" i="31"/>
  <c r="C105" i="31"/>
  <c r="B105" i="31"/>
  <c r="I104" i="31"/>
  <c r="J104" i="31" s="1"/>
  <c r="G104" i="31"/>
  <c r="D104" i="31"/>
  <c r="C104" i="31"/>
  <c r="B104" i="31"/>
  <c r="J103" i="31"/>
  <c r="I103" i="31"/>
  <c r="G103" i="31"/>
  <c r="D103" i="31"/>
  <c r="C103" i="31"/>
  <c r="B103" i="31"/>
  <c r="J102" i="31"/>
  <c r="I102" i="31"/>
  <c r="G102" i="31"/>
  <c r="D102" i="31"/>
  <c r="C102" i="31"/>
  <c r="B102" i="31"/>
  <c r="J101" i="31"/>
  <c r="I101" i="31"/>
  <c r="G101" i="31"/>
  <c r="D101" i="31"/>
  <c r="C101" i="31"/>
  <c r="B101" i="31"/>
  <c r="I100" i="31"/>
  <c r="J100" i="31" s="1"/>
  <c r="G100" i="31"/>
  <c r="D100" i="31"/>
  <c r="C100" i="31"/>
  <c r="B100" i="31"/>
  <c r="J99" i="31"/>
  <c r="I99" i="31"/>
  <c r="G99" i="31"/>
  <c r="D99" i="31"/>
  <c r="C99" i="31"/>
  <c r="B99" i="31"/>
  <c r="J98" i="31"/>
  <c r="I98" i="31"/>
  <c r="G98" i="31"/>
  <c r="D98" i="31"/>
  <c r="C98" i="31"/>
  <c r="B98" i="31"/>
  <c r="J97" i="31"/>
  <c r="I97" i="31"/>
  <c r="G97" i="31"/>
  <c r="D97" i="31"/>
  <c r="C97" i="31"/>
  <c r="B97" i="31"/>
  <c r="I96" i="31"/>
  <c r="J96" i="31" s="1"/>
  <c r="G96" i="31"/>
  <c r="D96" i="31"/>
  <c r="C96" i="31"/>
  <c r="B96" i="31"/>
  <c r="J95" i="31"/>
  <c r="I95" i="31"/>
  <c r="G95" i="31"/>
  <c r="D95" i="31"/>
  <c r="C95" i="31"/>
  <c r="B95" i="31"/>
  <c r="J94" i="31"/>
  <c r="I94" i="31"/>
  <c r="G94" i="31"/>
  <c r="D94" i="31"/>
  <c r="C94" i="31"/>
  <c r="B94" i="31"/>
  <c r="J93" i="31"/>
  <c r="I93" i="31"/>
  <c r="G93" i="31"/>
  <c r="D93" i="31"/>
  <c r="C93" i="31"/>
  <c r="B93" i="31"/>
  <c r="I92" i="31"/>
  <c r="J92" i="31" s="1"/>
  <c r="G92" i="31"/>
  <c r="D92" i="31"/>
  <c r="C92" i="31"/>
  <c r="B92" i="31"/>
  <c r="J91" i="31"/>
  <c r="I91" i="31"/>
  <c r="G91" i="31"/>
  <c r="D91" i="31"/>
  <c r="C91" i="31"/>
  <c r="B91" i="31"/>
  <c r="J90" i="31"/>
  <c r="I90" i="31"/>
  <c r="G90" i="31"/>
  <c r="D90" i="31"/>
  <c r="C90" i="31"/>
  <c r="B90" i="31"/>
  <c r="J89" i="31"/>
  <c r="I89" i="31"/>
  <c r="G89" i="31"/>
  <c r="D89" i="31"/>
  <c r="C89" i="31"/>
  <c r="B89" i="31"/>
  <c r="I88" i="31"/>
  <c r="J88" i="31" s="1"/>
  <c r="G88" i="31"/>
  <c r="D88" i="31"/>
  <c r="C88" i="31"/>
  <c r="B88" i="31"/>
  <c r="J87" i="31"/>
  <c r="I87" i="31"/>
  <c r="G87" i="31"/>
  <c r="D87" i="31"/>
  <c r="C87" i="31"/>
  <c r="B87" i="31"/>
  <c r="J86" i="31"/>
  <c r="I86" i="31"/>
  <c r="G86" i="31"/>
  <c r="D86" i="31"/>
  <c r="C86" i="31"/>
  <c r="B86" i="31"/>
  <c r="J85" i="31"/>
  <c r="I85" i="31"/>
  <c r="G85" i="31"/>
  <c r="D85" i="31"/>
  <c r="C85" i="31"/>
  <c r="B85" i="31"/>
  <c r="I84" i="31"/>
  <c r="J84" i="31" s="1"/>
  <c r="G84" i="31"/>
  <c r="D84" i="31"/>
  <c r="C84" i="31"/>
  <c r="B84" i="31"/>
  <c r="J83" i="31"/>
  <c r="I83" i="31"/>
  <c r="G83" i="31"/>
  <c r="D83" i="31"/>
  <c r="C83" i="31"/>
  <c r="B83" i="31"/>
  <c r="J82" i="31"/>
  <c r="I82" i="31"/>
  <c r="G82" i="31"/>
  <c r="D82" i="31"/>
  <c r="C82" i="31"/>
  <c r="B82" i="31"/>
  <c r="J81" i="31"/>
  <c r="I81" i="31"/>
  <c r="G81" i="31"/>
  <c r="D81" i="31"/>
  <c r="C81" i="31"/>
  <c r="B81" i="31"/>
  <c r="I80" i="31"/>
  <c r="J80" i="31" s="1"/>
  <c r="G80" i="31"/>
  <c r="D80" i="31"/>
  <c r="C80" i="31"/>
  <c r="B80" i="31"/>
  <c r="J79" i="31"/>
  <c r="I79" i="31"/>
  <c r="G79" i="31"/>
  <c r="D79" i="31"/>
  <c r="C79" i="31"/>
  <c r="B79" i="31"/>
  <c r="J78" i="31"/>
  <c r="I78" i="31"/>
  <c r="G78" i="31"/>
  <c r="D78" i="31"/>
  <c r="C78" i="31"/>
  <c r="B78" i="31"/>
  <c r="J77" i="31"/>
  <c r="I77" i="31"/>
  <c r="G77" i="31"/>
  <c r="D77" i="31"/>
  <c r="C77" i="31"/>
  <c r="B77" i="31"/>
  <c r="I76" i="31"/>
  <c r="J76" i="31" s="1"/>
  <c r="G76" i="31"/>
  <c r="D76" i="31"/>
  <c r="C76" i="31"/>
  <c r="B76" i="31"/>
  <c r="J75" i="31"/>
  <c r="I75" i="31"/>
  <c r="G75" i="31"/>
  <c r="D75" i="31"/>
  <c r="C75" i="31"/>
  <c r="B75" i="31"/>
  <c r="J74" i="31"/>
  <c r="I74" i="31"/>
  <c r="G74" i="31"/>
  <c r="D74" i="31"/>
  <c r="C74" i="31"/>
  <c r="B74" i="31"/>
  <c r="J73" i="31"/>
  <c r="I73" i="31"/>
  <c r="G73" i="31"/>
  <c r="D73" i="31"/>
  <c r="C73" i="31"/>
  <c r="B73" i="31"/>
  <c r="I72" i="31"/>
  <c r="J72" i="31" s="1"/>
  <c r="G72" i="31"/>
  <c r="D72" i="31"/>
  <c r="C72" i="31"/>
  <c r="B72" i="31"/>
  <c r="J71" i="31"/>
  <c r="I71" i="31"/>
  <c r="G71" i="31"/>
  <c r="D71" i="31"/>
  <c r="C71" i="31"/>
  <c r="B71" i="31"/>
  <c r="J70" i="31"/>
  <c r="I70" i="31"/>
  <c r="G70" i="31"/>
  <c r="D70" i="31"/>
  <c r="C70" i="31"/>
  <c r="B70" i="31"/>
  <c r="J69" i="31"/>
  <c r="I69" i="31"/>
  <c r="G69" i="31"/>
  <c r="D69" i="31"/>
  <c r="C69" i="31"/>
  <c r="B69" i="31"/>
  <c r="I68" i="31"/>
  <c r="J68" i="31" s="1"/>
  <c r="G68" i="31"/>
  <c r="D68" i="31"/>
  <c r="C68" i="31"/>
  <c r="B68" i="31"/>
  <c r="J67" i="31"/>
  <c r="I67" i="31"/>
  <c r="G67" i="31"/>
  <c r="D67" i="31"/>
  <c r="C67" i="31"/>
  <c r="B67" i="31"/>
  <c r="J66" i="31"/>
  <c r="I66" i="31"/>
  <c r="G66" i="31"/>
  <c r="D66" i="31"/>
  <c r="C66" i="31"/>
  <c r="B66" i="31"/>
  <c r="J65" i="31"/>
  <c r="I65" i="31"/>
  <c r="G65" i="31"/>
  <c r="D65" i="31"/>
  <c r="C65" i="31"/>
  <c r="B65" i="31"/>
  <c r="I64" i="31"/>
  <c r="J64" i="31" s="1"/>
  <c r="G64" i="31"/>
  <c r="D64" i="31"/>
  <c r="C64" i="31"/>
  <c r="B64" i="31"/>
  <c r="J63" i="31"/>
  <c r="I63" i="31"/>
  <c r="G63" i="31"/>
  <c r="D63" i="31"/>
  <c r="C63" i="31"/>
  <c r="B63" i="31"/>
  <c r="J62" i="31"/>
  <c r="I62" i="31"/>
  <c r="G62" i="31"/>
  <c r="D62" i="31"/>
  <c r="C62" i="31"/>
  <c r="B62" i="31"/>
  <c r="J61" i="31"/>
  <c r="I61" i="31"/>
  <c r="G61" i="31"/>
  <c r="D61" i="31"/>
  <c r="C61" i="31"/>
  <c r="B61" i="31"/>
  <c r="I60" i="31"/>
  <c r="J60" i="31" s="1"/>
  <c r="G60" i="31"/>
  <c r="D60" i="31"/>
  <c r="C60" i="31"/>
  <c r="B60" i="31"/>
  <c r="J59" i="31"/>
  <c r="I59" i="31"/>
  <c r="G59" i="31"/>
  <c r="D59" i="31"/>
  <c r="C59" i="31"/>
  <c r="B59" i="31"/>
  <c r="J58" i="31"/>
  <c r="I58" i="31"/>
  <c r="G58" i="31"/>
  <c r="D58" i="31"/>
  <c r="C58" i="31"/>
  <c r="B58" i="31"/>
  <c r="J57" i="31"/>
  <c r="I57" i="31"/>
  <c r="G57" i="31"/>
  <c r="D57" i="31"/>
  <c r="C57" i="31"/>
  <c r="B57" i="31"/>
  <c r="I56" i="31"/>
  <c r="J56" i="31" s="1"/>
  <c r="G56" i="31"/>
  <c r="D56" i="31"/>
  <c r="C56" i="31"/>
  <c r="B56" i="31"/>
  <c r="J55" i="31"/>
  <c r="I55" i="31"/>
  <c r="G55" i="31"/>
  <c r="D55" i="31"/>
  <c r="C55" i="31"/>
  <c r="B55" i="31"/>
  <c r="J54" i="31"/>
  <c r="I54" i="31"/>
  <c r="G54" i="31"/>
  <c r="D54" i="31"/>
  <c r="C54" i="31"/>
  <c r="B54" i="31"/>
  <c r="J53" i="31"/>
  <c r="I53" i="31"/>
  <c r="G53" i="31"/>
  <c r="D53" i="31"/>
  <c r="C53" i="31"/>
  <c r="B53" i="31"/>
  <c r="I52" i="31"/>
  <c r="J52" i="31" s="1"/>
  <c r="G52" i="31"/>
  <c r="D52" i="31"/>
  <c r="C52" i="31"/>
  <c r="B52" i="31"/>
  <c r="J51" i="31"/>
  <c r="I51" i="31"/>
  <c r="G51" i="31"/>
  <c r="D51" i="31"/>
  <c r="C51" i="31"/>
  <c r="B51" i="31"/>
  <c r="J50" i="31"/>
  <c r="I50" i="31"/>
  <c r="G50" i="31"/>
  <c r="D50" i="31"/>
  <c r="C50" i="31"/>
  <c r="B50" i="31"/>
  <c r="J49" i="31"/>
  <c r="I49" i="31"/>
  <c r="G49" i="31"/>
  <c r="D49" i="31"/>
  <c r="C49" i="31"/>
  <c r="B49" i="31"/>
  <c r="I48" i="31"/>
  <c r="J48" i="31" s="1"/>
  <c r="G48" i="31"/>
  <c r="D48" i="31"/>
  <c r="C48" i="31"/>
  <c r="B48" i="31"/>
  <c r="J47" i="31"/>
  <c r="I47" i="31"/>
  <c r="G47" i="31"/>
  <c r="D47" i="31"/>
  <c r="C47" i="31"/>
  <c r="B47" i="31"/>
  <c r="J46" i="31"/>
  <c r="I46" i="31"/>
  <c r="G46" i="31"/>
  <c r="D46" i="31"/>
  <c r="C46" i="31"/>
  <c r="B46" i="31"/>
  <c r="J45" i="31"/>
  <c r="I45" i="31"/>
  <c r="G45" i="31"/>
  <c r="D45" i="31"/>
  <c r="C45" i="31"/>
  <c r="B45" i="31"/>
  <c r="I44" i="31"/>
  <c r="J44" i="31" s="1"/>
  <c r="G44" i="31"/>
  <c r="D44" i="31"/>
  <c r="C44" i="31"/>
  <c r="B44" i="31"/>
  <c r="J43" i="31"/>
  <c r="I43" i="31"/>
  <c r="G43" i="31"/>
  <c r="D43" i="31"/>
  <c r="C43" i="31"/>
  <c r="B43" i="31"/>
  <c r="J42" i="31"/>
  <c r="I42" i="31"/>
  <c r="G42" i="31"/>
  <c r="D42" i="31"/>
  <c r="C42" i="31"/>
  <c r="B42" i="31"/>
  <c r="J41" i="31"/>
  <c r="I41" i="31"/>
  <c r="G41" i="31"/>
  <c r="D41" i="31"/>
  <c r="C41" i="31"/>
  <c r="B41" i="31"/>
  <c r="I40" i="31"/>
  <c r="J40" i="31" s="1"/>
  <c r="G40" i="31"/>
  <c r="D40" i="31"/>
  <c r="C40" i="31"/>
  <c r="B40" i="31"/>
  <c r="J39" i="31"/>
  <c r="I39" i="31"/>
  <c r="G39" i="31"/>
  <c r="D39" i="31"/>
  <c r="C39" i="31"/>
  <c r="B39" i="31"/>
  <c r="J38" i="31"/>
  <c r="I38" i="31"/>
  <c r="G38" i="31"/>
  <c r="D38" i="31"/>
  <c r="C38" i="31"/>
  <c r="B38" i="31"/>
  <c r="J37" i="31"/>
  <c r="I37" i="31"/>
  <c r="G37" i="31"/>
  <c r="D37" i="31"/>
  <c r="C37" i="31"/>
  <c r="B37" i="31"/>
  <c r="I36" i="31"/>
  <c r="J36" i="31" s="1"/>
  <c r="G36" i="31"/>
  <c r="D36" i="31"/>
  <c r="C36" i="31"/>
  <c r="B36" i="31"/>
  <c r="J35" i="31"/>
  <c r="I35" i="31"/>
  <c r="G35" i="31"/>
  <c r="D35" i="31"/>
  <c r="C35" i="31"/>
  <c r="B35" i="31"/>
  <c r="J34" i="31"/>
  <c r="I34" i="31"/>
  <c r="G34" i="31"/>
  <c r="D34" i="31"/>
  <c r="C34" i="31"/>
  <c r="B34" i="31"/>
  <c r="J33" i="31"/>
  <c r="I33" i="31"/>
  <c r="G33" i="31"/>
  <c r="D33" i="31"/>
  <c r="C33" i="31"/>
  <c r="B33" i="31"/>
  <c r="I32" i="31"/>
  <c r="J32" i="31" s="1"/>
  <c r="G32" i="31"/>
  <c r="D32" i="31"/>
  <c r="C32" i="31"/>
  <c r="B32" i="31"/>
  <c r="J31" i="31"/>
  <c r="I31" i="31"/>
  <c r="G31" i="31"/>
  <c r="D31" i="31"/>
  <c r="C31" i="31"/>
  <c r="B31" i="31"/>
  <c r="J30" i="31"/>
  <c r="I30" i="31"/>
  <c r="G30" i="31"/>
  <c r="D30" i="31"/>
  <c r="C30" i="31"/>
  <c r="B30" i="31"/>
  <c r="J29" i="31"/>
  <c r="I29" i="31"/>
  <c r="G29" i="31"/>
  <c r="D29" i="31"/>
  <c r="C29" i="31"/>
  <c r="B29" i="31"/>
  <c r="I28" i="31"/>
  <c r="J28" i="31" s="1"/>
  <c r="G28" i="31"/>
  <c r="D28" i="31"/>
  <c r="C28" i="31"/>
  <c r="B28" i="31"/>
  <c r="J27" i="31"/>
  <c r="I27" i="31"/>
  <c r="G27" i="31"/>
  <c r="D27" i="31"/>
  <c r="C27" i="31"/>
  <c r="B27" i="31"/>
  <c r="J26" i="31"/>
  <c r="I26" i="31"/>
  <c r="G26" i="31"/>
  <c r="D26" i="31"/>
  <c r="C26" i="31"/>
  <c r="B26" i="31"/>
  <c r="J25" i="31"/>
  <c r="I25" i="31"/>
  <c r="G25" i="31"/>
  <c r="D25" i="31"/>
  <c r="C25" i="31"/>
  <c r="B25" i="31"/>
  <c r="I24" i="31"/>
  <c r="J24" i="31" s="1"/>
  <c r="G24" i="31"/>
  <c r="D24" i="31"/>
  <c r="C24" i="31"/>
  <c r="B24" i="31"/>
  <c r="J23" i="31"/>
  <c r="I23" i="31"/>
  <c r="G23" i="31"/>
  <c r="D23" i="31"/>
  <c r="C23" i="31"/>
  <c r="B23" i="31"/>
  <c r="J22" i="31"/>
  <c r="I22" i="31"/>
  <c r="G22" i="31"/>
  <c r="D22" i="31"/>
  <c r="C22" i="31"/>
  <c r="B22" i="31"/>
  <c r="J21" i="31"/>
  <c r="I21" i="31"/>
  <c r="G21" i="31"/>
  <c r="D21" i="31"/>
  <c r="C21" i="31"/>
  <c r="B21" i="31"/>
  <c r="I20" i="31"/>
  <c r="J20" i="31" s="1"/>
  <c r="G20" i="31"/>
  <c r="D20" i="31"/>
  <c r="C20" i="31"/>
  <c r="B20" i="31"/>
  <c r="J19" i="31"/>
  <c r="I19" i="31"/>
  <c r="G19" i="31"/>
  <c r="D19" i="31"/>
  <c r="C19" i="31"/>
  <c r="B19" i="31"/>
  <c r="J18" i="31"/>
  <c r="I18" i="31"/>
  <c r="G18" i="31"/>
  <c r="D18" i="31"/>
  <c r="C18" i="31"/>
  <c r="B18" i="31"/>
  <c r="J17" i="31"/>
  <c r="I17" i="31"/>
  <c r="G17" i="31"/>
  <c r="D17" i="31"/>
  <c r="C17" i="31"/>
  <c r="B17" i="31"/>
  <c r="I16" i="31"/>
  <c r="J16" i="31" s="1"/>
  <c r="G16" i="31"/>
  <c r="D16" i="31"/>
  <c r="C16" i="31"/>
  <c r="B16" i="31"/>
  <c r="J15" i="31"/>
  <c r="I15" i="31"/>
  <c r="G15" i="31"/>
  <c r="D15" i="31"/>
  <c r="C15" i="31"/>
  <c r="B15" i="31"/>
  <c r="J14" i="31"/>
  <c r="I14" i="31"/>
  <c r="G14" i="31"/>
  <c r="D14" i="31"/>
  <c r="C14" i="31"/>
  <c r="B14" i="31"/>
  <c r="J13" i="31"/>
  <c r="I13" i="31"/>
  <c r="G13" i="31"/>
  <c r="D13" i="31"/>
  <c r="C13" i="31"/>
  <c r="B13" i="31"/>
  <c r="I12" i="31"/>
  <c r="J12" i="31" s="1"/>
  <c r="G12" i="31"/>
  <c r="D12" i="31"/>
  <c r="C12" i="31"/>
  <c r="B12" i="31"/>
  <c r="J11" i="31"/>
  <c r="I11" i="31"/>
  <c r="G11" i="31"/>
  <c r="D11" i="31"/>
  <c r="C11" i="31"/>
  <c r="B11" i="31"/>
  <c r="G10" i="31"/>
  <c r="D10" i="31"/>
  <c r="C10" i="31"/>
  <c r="I10" i="31" s="1"/>
  <c r="J10" i="31" s="1"/>
  <c r="B10" i="31"/>
  <c r="J9" i="31"/>
  <c r="D9" i="31"/>
  <c r="C9" i="31"/>
  <c r="I9" i="31" s="1"/>
  <c r="B9" i="31"/>
  <c r="J4" i="31"/>
  <c r="G4" i="31"/>
  <c r="D4" i="31"/>
  <c r="A4" i="31"/>
  <c r="H208" i="30"/>
  <c r="I208" i="30" s="1"/>
  <c r="F208" i="30"/>
  <c r="D208" i="30"/>
  <c r="C208" i="30"/>
  <c r="B208" i="30"/>
  <c r="I207" i="30"/>
  <c r="H207" i="30"/>
  <c r="F207" i="30"/>
  <c r="D207" i="30"/>
  <c r="C207" i="30"/>
  <c r="B207" i="30"/>
  <c r="H206" i="30"/>
  <c r="I206" i="30" s="1"/>
  <c r="F206" i="30"/>
  <c r="D206" i="30"/>
  <c r="C206" i="30"/>
  <c r="B206" i="30"/>
  <c r="I205" i="30"/>
  <c r="H205" i="30"/>
  <c r="F205" i="30"/>
  <c r="D205" i="30"/>
  <c r="C205" i="30"/>
  <c r="B205" i="30"/>
  <c r="H204" i="30"/>
  <c r="I204" i="30" s="1"/>
  <c r="F204" i="30"/>
  <c r="D204" i="30"/>
  <c r="C204" i="30"/>
  <c r="B204" i="30"/>
  <c r="I203" i="30"/>
  <c r="H203" i="30"/>
  <c r="F203" i="30"/>
  <c r="D203" i="30"/>
  <c r="C203" i="30"/>
  <c r="B203" i="30"/>
  <c r="H202" i="30"/>
  <c r="I202" i="30" s="1"/>
  <c r="F202" i="30"/>
  <c r="D202" i="30"/>
  <c r="C202" i="30"/>
  <c r="B202" i="30"/>
  <c r="I201" i="30"/>
  <c r="H201" i="30"/>
  <c r="F201" i="30"/>
  <c r="D201" i="30"/>
  <c r="C201" i="30"/>
  <c r="B201" i="30"/>
  <c r="H200" i="30"/>
  <c r="I200" i="30" s="1"/>
  <c r="F200" i="30"/>
  <c r="D200" i="30"/>
  <c r="C200" i="30"/>
  <c r="B200" i="30"/>
  <c r="I199" i="30"/>
  <c r="H199" i="30"/>
  <c r="F199" i="30"/>
  <c r="D199" i="30"/>
  <c r="C199" i="30"/>
  <c r="B199" i="30"/>
  <c r="H198" i="30"/>
  <c r="I198" i="30" s="1"/>
  <c r="F198" i="30"/>
  <c r="D198" i="30"/>
  <c r="C198" i="30"/>
  <c r="B198" i="30"/>
  <c r="I197" i="30"/>
  <c r="H197" i="30"/>
  <c r="F197" i="30"/>
  <c r="D197" i="30"/>
  <c r="C197" i="30"/>
  <c r="B197" i="30"/>
  <c r="H196" i="30"/>
  <c r="I196" i="30" s="1"/>
  <c r="F196" i="30"/>
  <c r="D196" i="30"/>
  <c r="C196" i="30"/>
  <c r="B196" i="30"/>
  <c r="I195" i="30"/>
  <c r="H195" i="30"/>
  <c r="F195" i="30"/>
  <c r="D195" i="30"/>
  <c r="C195" i="30"/>
  <c r="B195" i="30"/>
  <c r="H194" i="30"/>
  <c r="I194" i="30" s="1"/>
  <c r="F194" i="30"/>
  <c r="D194" i="30"/>
  <c r="C194" i="30"/>
  <c r="B194" i="30"/>
  <c r="I193" i="30"/>
  <c r="H193" i="30"/>
  <c r="F193" i="30"/>
  <c r="D193" i="30"/>
  <c r="C193" i="30"/>
  <c r="B193" i="30"/>
  <c r="H192" i="30"/>
  <c r="I192" i="30" s="1"/>
  <c r="F192" i="30"/>
  <c r="D192" i="30"/>
  <c r="C192" i="30"/>
  <c r="B192" i="30"/>
  <c r="I191" i="30"/>
  <c r="H191" i="30"/>
  <c r="F191" i="30"/>
  <c r="D191" i="30"/>
  <c r="C191" i="30"/>
  <c r="B191" i="30"/>
  <c r="H190" i="30"/>
  <c r="I190" i="30" s="1"/>
  <c r="F190" i="30"/>
  <c r="D190" i="30"/>
  <c r="C190" i="30"/>
  <c r="B190" i="30"/>
  <c r="I189" i="30"/>
  <c r="H189" i="30"/>
  <c r="F189" i="30"/>
  <c r="D189" i="30"/>
  <c r="C189" i="30"/>
  <c r="B189" i="30"/>
  <c r="H188" i="30"/>
  <c r="I188" i="30" s="1"/>
  <c r="F188" i="30"/>
  <c r="D188" i="30"/>
  <c r="C188" i="30"/>
  <c r="B188" i="30"/>
  <c r="I187" i="30"/>
  <c r="H187" i="30"/>
  <c r="F187" i="30"/>
  <c r="D187" i="30"/>
  <c r="C187" i="30"/>
  <c r="B187" i="30"/>
  <c r="H186" i="30"/>
  <c r="I186" i="30" s="1"/>
  <c r="F186" i="30"/>
  <c r="D186" i="30"/>
  <c r="C186" i="30"/>
  <c r="B186" i="30"/>
  <c r="I185" i="30"/>
  <c r="H185" i="30"/>
  <c r="F185" i="30"/>
  <c r="D185" i="30"/>
  <c r="C185" i="30"/>
  <c r="B185" i="30"/>
  <c r="H184" i="30"/>
  <c r="I184" i="30" s="1"/>
  <c r="F184" i="30"/>
  <c r="D184" i="30"/>
  <c r="C184" i="30"/>
  <c r="B184" i="30"/>
  <c r="I183" i="30"/>
  <c r="H183" i="30"/>
  <c r="F183" i="30"/>
  <c r="D183" i="30"/>
  <c r="C183" i="30"/>
  <c r="B183" i="30"/>
  <c r="H182" i="30"/>
  <c r="I182" i="30" s="1"/>
  <c r="F182" i="30"/>
  <c r="D182" i="30"/>
  <c r="C182" i="30"/>
  <c r="B182" i="30"/>
  <c r="I181" i="30"/>
  <c r="H181" i="30"/>
  <c r="F181" i="30"/>
  <c r="D181" i="30"/>
  <c r="C181" i="30"/>
  <c r="B181" i="30"/>
  <c r="H180" i="30"/>
  <c r="I180" i="30" s="1"/>
  <c r="F180" i="30"/>
  <c r="D180" i="30"/>
  <c r="C180" i="30"/>
  <c r="B180" i="30"/>
  <c r="I179" i="30"/>
  <c r="H179" i="30"/>
  <c r="F179" i="30"/>
  <c r="D179" i="30"/>
  <c r="C179" i="30"/>
  <c r="B179" i="30"/>
  <c r="H178" i="30"/>
  <c r="I178" i="30" s="1"/>
  <c r="F178" i="30"/>
  <c r="D178" i="30"/>
  <c r="C178" i="30"/>
  <c r="B178" i="30"/>
  <c r="I177" i="30"/>
  <c r="H177" i="30"/>
  <c r="F177" i="30"/>
  <c r="D177" i="30"/>
  <c r="C177" i="30"/>
  <c r="B177" i="30"/>
  <c r="H176" i="30"/>
  <c r="I176" i="30" s="1"/>
  <c r="F176" i="30"/>
  <c r="D176" i="30"/>
  <c r="C176" i="30"/>
  <c r="B176" i="30"/>
  <c r="I175" i="30"/>
  <c r="H175" i="30"/>
  <c r="F175" i="30"/>
  <c r="D175" i="30"/>
  <c r="C175" i="30"/>
  <c r="B175" i="30"/>
  <c r="H174" i="30"/>
  <c r="I174" i="30" s="1"/>
  <c r="F174" i="30"/>
  <c r="D174" i="30"/>
  <c r="C174" i="30"/>
  <c r="B174" i="30"/>
  <c r="I173" i="30"/>
  <c r="H173" i="30"/>
  <c r="F173" i="30"/>
  <c r="D173" i="30"/>
  <c r="C173" i="30"/>
  <c r="B173" i="30"/>
  <c r="H172" i="30"/>
  <c r="I172" i="30" s="1"/>
  <c r="F172" i="30"/>
  <c r="D172" i="30"/>
  <c r="C172" i="30"/>
  <c r="B172" i="30"/>
  <c r="I171" i="30"/>
  <c r="H171" i="30"/>
  <c r="F171" i="30"/>
  <c r="D171" i="30"/>
  <c r="C171" i="30"/>
  <c r="B171" i="30"/>
  <c r="H170" i="30"/>
  <c r="I170" i="30" s="1"/>
  <c r="F170" i="30"/>
  <c r="D170" i="30"/>
  <c r="C170" i="30"/>
  <c r="B170" i="30"/>
  <c r="I169" i="30"/>
  <c r="H169" i="30"/>
  <c r="F169" i="30"/>
  <c r="D169" i="30"/>
  <c r="C169" i="30"/>
  <c r="B169" i="30"/>
  <c r="H168" i="30"/>
  <c r="I168" i="30" s="1"/>
  <c r="F168" i="30"/>
  <c r="D168" i="30"/>
  <c r="C168" i="30"/>
  <c r="B168" i="30"/>
  <c r="I167" i="30"/>
  <c r="H167" i="30"/>
  <c r="F167" i="30"/>
  <c r="D167" i="30"/>
  <c r="C167" i="30"/>
  <c r="B167" i="30"/>
  <c r="H166" i="30"/>
  <c r="I166" i="30" s="1"/>
  <c r="F166" i="30"/>
  <c r="D166" i="30"/>
  <c r="C166" i="30"/>
  <c r="B166" i="30"/>
  <c r="I165" i="30"/>
  <c r="H165" i="30"/>
  <c r="F165" i="30"/>
  <c r="D165" i="30"/>
  <c r="C165" i="30"/>
  <c r="B165" i="30"/>
  <c r="H164" i="30"/>
  <c r="I164" i="30" s="1"/>
  <c r="F164" i="30"/>
  <c r="D164" i="30"/>
  <c r="C164" i="30"/>
  <c r="B164" i="30"/>
  <c r="I163" i="30"/>
  <c r="H163" i="30"/>
  <c r="F163" i="30"/>
  <c r="D163" i="30"/>
  <c r="C163" i="30"/>
  <c r="B163" i="30"/>
  <c r="H162" i="30"/>
  <c r="I162" i="30" s="1"/>
  <c r="F162" i="30"/>
  <c r="D162" i="30"/>
  <c r="C162" i="30"/>
  <c r="B162" i="30"/>
  <c r="I161" i="30"/>
  <c r="H161" i="30"/>
  <c r="F161" i="30"/>
  <c r="D161" i="30"/>
  <c r="C161" i="30"/>
  <c r="B161" i="30"/>
  <c r="H160" i="30"/>
  <c r="I160" i="30" s="1"/>
  <c r="F160" i="30"/>
  <c r="D160" i="30"/>
  <c r="C160" i="30"/>
  <c r="B160" i="30"/>
  <c r="I159" i="30"/>
  <c r="H159" i="30"/>
  <c r="F159" i="30"/>
  <c r="D159" i="30"/>
  <c r="C159" i="30"/>
  <c r="B159" i="30"/>
  <c r="H158" i="30"/>
  <c r="I158" i="30" s="1"/>
  <c r="F158" i="30"/>
  <c r="D158" i="30"/>
  <c r="C158" i="30"/>
  <c r="B158" i="30"/>
  <c r="I157" i="30"/>
  <c r="H157" i="30"/>
  <c r="F157" i="30"/>
  <c r="D157" i="30"/>
  <c r="C157" i="30"/>
  <c r="B157" i="30"/>
  <c r="H156" i="30"/>
  <c r="I156" i="30" s="1"/>
  <c r="F156" i="30"/>
  <c r="D156" i="30"/>
  <c r="C156" i="30"/>
  <c r="B156" i="30"/>
  <c r="I155" i="30"/>
  <c r="H155" i="30"/>
  <c r="F155" i="30"/>
  <c r="D155" i="30"/>
  <c r="C155" i="30"/>
  <c r="B155" i="30"/>
  <c r="H154" i="30"/>
  <c r="I154" i="30" s="1"/>
  <c r="F154" i="30"/>
  <c r="D154" i="30"/>
  <c r="C154" i="30"/>
  <c r="B154" i="30"/>
  <c r="I153" i="30"/>
  <c r="H153" i="30"/>
  <c r="F153" i="30"/>
  <c r="D153" i="30"/>
  <c r="C153" i="30"/>
  <c r="B153" i="30"/>
  <c r="H152" i="30"/>
  <c r="I152" i="30" s="1"/>
  <c r="F152" i="30"/>
  <c r="D152" i="30"/>
  <c r="C152" i="30"/>
  <c r="B152" i="30"/>
  <c r="I151" i="30"/>
  <c r="H151" i="30"/>
  <c r="F151" i="30"/>
  <c r="D151" i="30"/>
  <c r="C151" i="30"/>
  <c r="B151" i="30"/>
  <c r="H150" i="30"/>
  <c r="I150" i="30" s="1"/>
  <c r="F150" i="30"/>
  <c r="D150" i="30"/>
  <c r="C150" i="30"/>
  <c r="B150" i="30"/>
  <c r="I149" i="30"/>
  <c r="H149" i="30"/>
  <c r="F149" i="30"/>
  <c r="D149" i="30"/>
  <c r="C149" i="30"/>
  <c r="B149" i="30"/>
  <c r="H148" i="30"/>
  <c r="I148" i="30" s="1"/>
  <c r="F148" i="30"/>
  <c r="D148" i="30"/>
  <c r="C148" i="30"/>
  <c r="B148" i="30"/>
  <c r="I147" i="30"/>
  <c r="H147" i="30"/>
  <c r="F147" i="30"/>
  <c r="D147" i="30"/>
  <c r="C147" i="30"/>
  <c r="B147" i="30"/>
  <c r="H146" i="30"/>
  <c r="I146" i="30" s="1"/>
  <c r="F146" i="30"/>
  <c r="D146" i="30"/>
  <c r="C146" i="30"/>
  <c r="B146" i="30"/>
  <c r="I145" i="30"/>
  <c r="H145" i="30"/>
  <c r="F145" i="30"/>
  <c r="D145" i="30"/>
  <c r="C145" i="30"/>
  <c r="B145" i="30"/>
  <c r="H144" i="30"/>
  <c r="I144" i="30" s="1"/>
  <c r="F144" i="30"/>
  <c r="D144" i="30"/>
  <c r="C144" i="30"/>
  <c r="B144" i="30"/>
  <c r="I143" i="30"/>
  <c r="H143" i="30"/>
  <c r="F143" i="30"/>
  <c r="D143" i="30"/>
  <c r="C143" i="30"/>
  <c r="B143" i="30"/>
  <c r="H142" i="30"/>
  <c r="I142" i="30" s="1"/>
  <c r="F142" i="30"/>
  <c r="D142" i="30"/>
  <c r="C142" i="30"/>
  <c r="B142" i="30"/>
  <c r="I141" i="30"/>
  <c r="H141" i="30"/>
  <c r="F141" i="30"/>
  <c r="D141" i="30"/>
  <c r="C141" i="30"/>
  <c r="B141" i="30"/>
  <c r="H140" i="30"/>
  <c r="I140" i="30" s="1"/>
  <c r="F140" i="30"/>
  <c r="D140" i="30"/>
  <c r="C140" i="30"/>
  <c r="B140" i="30"/>
  <c r="I139" i="30"/>
  <c r="H139" i="30"/>
  <c r="F139" i="30"/>
  <c r="D139" i="30"/>
  <c r="C139" i="30"/>
  <c r="B139" i="30"/>
  <c r="H138" i="30"/>
  <c r="I138" i="30" s="1"/>
  <c r="F138" i="30"/>
  <c r="D138" i="30"/>
  <c r="C138" i="30"/>
  <c r="B138" i="30"/>
  <c r="I137" i="30"/>
  <c r="H137" i="30"/>
  <c r="F137" i="30"/>
  <c r="D137" i="30"/>
  <c r="C137" i="30"/>
  <c r="B137" i="30"/>
  <c r="H136" i="30"/>
  <c r="I136" i="30" s="1"/>
  <c r="F136" i="30"/>
  <c r="D136" i="30"/>
  <c r="C136" i="30"/>
  <c r="B136" i="30"/>
  <c r="I135" i="30"/>
  <c r="H135" i="30"/>
  <c r="F135" i="30"/>
  <c r="D135" i="30"/>
  <c r="C135" i="30"/>
  <c r="B135" i="30"/>
  <c r="H134" i="30"/>
  <c r="I134" i="30" s="1"/>
  <c r="F134" i="30"/>
  <c r="D134" i="30"/>
  <c r="C134" i="30"/>
  <c r="B134" i="30"/>
  <c r="I133" i="30"/>
  <c r="H133" i="30"/>
  <c r="F133" i="30"/>
  <c r="D133" i="30"/>
  <c r="C133" i="30"/>
  <c r="B133" i="30"/>
  <c r="H132" i="30"/>
  <c r="I132" i="30" s="1"/>
  <c r="F132" i="30"/>
  <c r="D132" i="30"/>
  <c r="C132" i="30"/>
  <c r="B132" i="30"/>
  <c r="I131" i="30"/>
  <c r="H131" i="30"/>
  <c r="F131" i="30"/>
  <c r="D131" i="30"/>
  <c r="C131" i="30"/>
  <c r="B131" i="30"/>
  <c r="H130" i="30"/>
  <c r="I130" i="30" s="1"/>
  <c r="F130" i="30"/>
  <c r="D130" i="30"/>
  <c r="C130" i="30"/>
  <c r="B130" i="30"/>
  <c r="I129" i="30"/>
  <c r="H129" i="30"/>
  <c r="F129" i="30"/>
  <c r="D129" i="30"/>
  <c r="C129" i="30"/>
  <c r="B129" i="30"/>
  <c r="H128" i="30"/>
  <c r="I128" i="30" s="1"/>
  <c r="F128" i="30"/>
  <c r="D128" i="30"/>
  <c r="C128" i="30"/>
  <c r="B128" i="30"/>
  <c r="I127" i="30"/>
  <c r="H127" i="30"/>
  <c r="F127" i="30"/>
  <c r="D127" i="30"/>
  <c r="C127" i="30"/>
  <c r="B127" i="30"/>
  <c r="H126" i="30"/>
  <c r="I126" i="30" s="1"/>
  <c r="F126" i="30"/>
  <c r="D126" i="30"/>
  <c r="C126" i="30"/>
  <c r="B126" i="30"/>
  <c r="I125" i="30"/>
  <c r="H125" i="30"/>
  <c r="F125" i="30"/>
  <c r="D125" i="30"/>
  <c r="C125" i="30"/>
  <c r="B125" i="30"/>
  <c r="H124" i="30"/>
  <c r="I124" i="30" s="1"/>
  <c r="F124" i="30"/>
  <c r="D124" i="30"/>
  <c r="C124" i="30"/>
  <c r="B124" i="30"/>
  <c r="I123" i="30"/>
  <c r="H123" i="30"/>
  <c r="F123" i="30"/>
  <c r="D123" i="30"/>
  <c r="C123" i="30"/>
  <c r="B123" i="30"/>
  <c r="H122" i="30"/>
  <c r="I122" i="30" s="1"/>
  <c r="F122" i="30"/>
  <c r="D122" i="30"/>
  <c r="C122" i="30"/>
  <c r="B122" i="30"/>
  <c r="I121" i="30"/>
  <c r="H121" i="30"/>
  <c r="F121" i="30"/>
  <c r="D121" i="30"/>
  <c r="C121" i="30"/>
  <c r="B121" i="30"/>
  <c r="H120" i="30"/>
  <c r="I120" i="30" s="1"/>
  <c r="F120" i="30"/>
  <c r="D120" i="30"/>
  <c r="C120" i="30"/>
  <c r="B120" i="30"/>
  <c r="I119" i="30"/>
  <c r="H119" i="30"/>
  <c r="F119" i="30"/>
  <c r="D119" i="30"/>
  <c r="C119" i="30"/>
  <c r="B119" i="30"/>
  <c r="H118" i="30"/>
  <c r="I118" i="30" s="1"/>
  <c r="F118" i="30"/>
  <c r="D118" i="30"/>
  <c r="C118" i="30"/>
  <c r="B118" i="30"/>
  <c r="I117" i="30"/>
  <c r="H117" i="30"/>
  <c r="F117" i="30"/>
  <c r="D117" i="30"/>
  <c r="C117" i="30"/>
  <c r="B117" i="30"/>
  <c r="H116" i="30"/>
  <c r="I116" i="30" s="1"/>
  <c r="F116" i="30"/>
  <c r="D116" i="30"/>
  <c r="C116" i="30"/>
  <c r="B116" i="30"/>
  <c r="I115" i="30"/>
  <c r="H115" i="30"/>
  <c r="F115" i="30"/>
  <c r="D115" i="30"/>
  <c r="C115" i="30"/>
  <c r="B115" i="30"/>
  <c r="H114" i="30"/>
  <c r="I114" i="30" s="1"/>
  <c r="F114" i="30"/>
  <c r="D114" i="30"/>
  <c r="C114" i="30"/>
  <c r="B114" i="30"/>
  <c r="I113" i="30"/>
  <c r="H113" i="30"/>
  <c r="F113" i="30"/>
  <c r="D113" i="30"/>
  <c r="C113" i="30"/>
  <c r="B113" i="30"/>
  <c r="H112" i="30"/>
  <c r="I112" i="30" s="1"/>
  <c r="F112" i="30"/>
  <c r="D112" i="30"/>
  <c r="C112" i="30"/>
  <c r="B112" i="30"/>
  <c r="I111" i="30"/>
  <c r="H111" i="30"/>
  <c r="F111" i="30"/>
  <c r="D111" i="30"/>
  <c r="C111" i="30"/>
  <c r="B111" i="30"/>
  <c r="H110" i="30"/>
  <c r="I110" i="30" s="1"/>
  <c r="F110" i="30"/>
  <c r="D110" i="30"/>
  <c r="C110" i="30"/>
  <c r="B110" i="30"/>
  <c r="I109" i="30"/>
  <c r="H109" i="30"/>
  <c r="F109" i="30"/>
  <c r="D109" i="30"/>
  <c r="C109" i="30"/>
  <c r="B109" i="30"/>
  <c r="H108" i="30"/>
  <c r="I108" i="30" s="1"/>
  <c r="F108" i="30"/>
  <c r="D108" i="30"/>
  <c r="C108" i="30"/>
  <c r="B108" i="30"/>
  <c r="I107" i="30"/>
  <c r="H107" i="30"/>
  <c r="F107" i="30"/>
  <c r="D107" i="30"/>
  <c r="C107" i="30"/>
  <c r="B107" i="30"/>
  <c r="H106" i="30"/>
  <c r="I106" i="30" s="1"/>
  <c r="F106" i="30"/>
  <c r="D106" i="30"/>
  <c r="C106" i="30"/>
  <c r="B106" i="30"/>
  <c r="I105" i="30"/>
  <c r="H105" i="30"/>
  <c r="F105" i="30"/>
  <c r="D105" i="30"/>
  <c r="C105" i="30"/>
  <c r="B105" i="30"/>
  <c r="H104" i="30"/>
  <c r="I104" i="30" s="1"/>
  <c r="F104" i="30"/>
  <c r="D104" i="30"/>
  <c r="C104" i="30"/>
  <c r="B104" i="30"/>
  <c r="I103" i="30"/>
  <c r="H103" i="30"/>
  <c r="F103" i="30"/>
  <c r="D103" i="30"/>
  <c r="C103" i="30"/>
  <c r="B103" i="30"/>
  <c r="H102" i="30"/>
  <c r="I102" i="30" s="1"/>
  <c r="F102" i="30"/>
  <c r="D102" i="30"/>
  <c r="C102" i="30"/>
  <c r="B102" i="30"/>
  <c r="I101" i="30"/>
  <c r="H101" i="30"/>
  <c r="F101" i="30"/>
  <c r="D101" i="30"/>
  <c r="C101" i="30"/>
  <c r="B101" i="30"/>
  <c r="H100" i="30"/>
  <c r="I100" i="30" s="1"/>
  <c r="F100" i="30"/>
  <c r="D100" i="30"/>
  <c r="C100" i="30"/>
  <c r="B100" i="30"/>
  <c r="I99" i="30"/>
  <c r="H99" i="30"/>
  <c r="F99" i="30"/>
  <c r="D99" i="30"/>
  <c r="C99" i="30"/>
  <c r="B99" i="30"/>
  <c r="H98" i="30"/>
  <c r="I98" i="30" s="1"/>
  <c r="F98" i="30"/>
  <c r="D98" i="30"/>
  <c r="C98" i="30"/>
  <c r="B98" i="30"/>
  <c r="I97" i="30"/>
  <c r="H97" i="30"/>
  <c r="F97" i="30"/>
  <c r="D97" i="30"/>
  <c r="C97" i="30"/>
  <c r="B97" i="30"/>
  <c r="H96" i="30"/>
  <c r="I96" i="30" s="1"/>
  <c r="F96" i="30"/>
  <c r="D96" i="30"/>
  <c r="C96" i="30"/>
  <c r="B96" i="30"/>
  <c r="I95" i="30"/>
  <c r="H95" i="30"/>
  <c r="F95" i="30"/>
  <c r="D95" i="30"/>
  <c r="C95" i="30"/>
  <c r="B95" i="30"/>
  <c r="H94" i="30"/>
  <c r="I94" i="30" s="1"/>
  <c r="F94" i="30"/>
  <c r="D94" i="30"/>
  <c r="C94" i="30"/>
  <c r="B94" i="30"/>
  <c r="I93" i="30"/>
  <c r="H93" i="30"/>
  <c r="F93" i="30"/>
  <c r="D93" i="30"/>
  <c r="C93" i="30"/>
  <c r="B93" i="30"/>
  <c r="H92" i="30"/>
  <c r="I92" i="30" s="1"/>
  <c r="F92" i="30"/>
  <c r="D92" i="30"/>
  <c r="C92" i="30"/>
  <c r="B92" i="30"/>
  <c r="I91" i="30"/>
  <c r="H91" i="30"/>
  <c r="F91" i="30"/>
  <c r="D91" i="30"/>
  <c r="C91" i="30"/>
  <c r="B91" i="30"/>
  <c r="H90" i="30"/>
  <c r="I90" i="30" s="1"/>
  <c r="F90" i="30"/>
  <c r="D90" i="30"/>
  <c r="C90" i="30"/>
  <c r="B90" i="30"/>
  <c r="I89" i="30"/>
  <c r="H89" i="30"/>
  <c r="F89" i="30"/>
  <c r="D89" i="30"/>
  <c r="C89" i="30"/>
  <c r="B89" i="30"/>
  <c r="H88" i="30"/>
  <c r="I88" i="30" s="1"/>
  <c r="F88" i="30"/>
  <c r="D88" i="30"/>
  <c r="C88" i="30"/>
  <c r="B88" i="30"/>
  <c r="I87" i="30"/>
  <c r="H87" i="30"/>
  <c r="F87" i="30"/>
  <c r="D87" i="30"/>
  <c r="C87" i="30"/>
  <c r="B87" i="30"/>
  <c r="H86" i="30"/>
  <c r="I86" i="30" s="1"/>
  <c r="F86" i="30"/>
  <c r="D86" i="30"/>
  <c r="C86" i="30"/>
  <c r="B86" i="30"/>
  <c r="I85" i="30"/>
  <c r="H85" i="30"/>
  <c r="F85" i="30"/>
  <c r="D85" i="30"/>
  <c r="C85" i="30"/>
  <c r="B85" i="30"/>
  <c r="H84" i="30"/>
  <c r="I84" i="30" s="1"/>
  <c r="F84" i="30"/>
  <c r="D84" i="30"/>
  <c r="C84" i="30"/>
  <c r="B84" i="30"/>
  <c r="I83" i="30"/>
  <c r="H83" i="30"/>
  <c r="F83" i="30"/>
  <c r="D83" i="30"/>
  <c r="C83" i="30"/>
  <c r="B83" i="30"/>
  <c r="H82" i="30"/>
  <c r="I82" i="30" s="1"/>
  <c r="F82" i="30"/>
  <c r="D82" i="30"/>
  <c r="C82" i="30"/>
  <c r="B82" i="30"/>
  <c r="I81" i="30"/>
  <c r="H81" i="30"/>
  <c r="F81" i="30"/>
  <c r="D81" i="30"/>
  <c r="C81" i="30"/>
  <c r="B81" i="30"/>
  <c r="H80" i="30"/>
  <c r="I80" i="30" s="1"/>
  <c r="F80" i="30"/>
  <c r="D80" i="30"/>
  <c r="C80" i="30"/>
  <c r="B80" i="30"/>
  <c r="I79" i="30"/>
  <c r="H79" i="30"/>
  <c r="F79" i="30"/>
  <c r="D79" i="30"/>
  <c r="C79" i="30"/>
  <c r="B79" i="30"/>
  <c r="H78" i="30"/>
  <c r="I78" i="30" s="1"/>
  <c r="F78" i="30"/>
  <c r="D78" i="30"/>
  <c r="C78" i="30"/>
  <c r="B78" i="30"/>
  <c r="I77" i="30"/>
  <c r="H77" i="30"/>
  <c r="F77" i="30"/>
  <c r="D77" i="30"/>
  <c r="C77" i="30"/>
  <c r="B77" i="30"/>
  <c r="H76" i="30"/>
  <c r="I76" i="30" s="1"/>
  <c r="F76" i="30"/>
  <c r="D76" i="30"/>
  <c r="C76" i="30"/>
  <c r="B76" i="30"/>
  <c r="I75" i="30"/>
  <c r="H75" i="30"/>
  <c r="F75" i="30"/>
  <c r="D75" i="30"/>
  <c r="C75" i="30"/>
  <c r="B75" i="30"/>
  <c r="H74" i="30"/>
  <c r="I74" i="30" s="1"/>
  <c r="F74" i="30"/>
  <c r="D74" i="30"/>
  <c r="C74" i="30"/>
  <c r="B74" i="30"/>
  <c r="I73" i="30"/>
  <c r="H73" i="30"/>
  <c r="F73" i="30"/>
  <c r="D73" i="30"/>
  <c r="C73" i="30"/>
  <c r="B73" i="30"/>
  <c r="H72" i="30"/>
  <c r="I72" i="30" s="1"/>
  <c r="F72" i="30"/>
  <c r="D72" i="30"/>
  <c r="C72" i="30"/>
  <c r="B72" i="30"/>
  <c r="I71" i="30"/>
  <c r="H71" i="30"/>
  <c r="F71" i="30"/>
  <c r="D71" i="30"/>
  <c r="C71" i="30"/>
  <c r="B71" i="30"/>
  <c r="H70" i="30"/>
  <c r="I70" i="30" s="1"/>
  <c r="F70" i="30"/>
  <c r="D70" i="30"/>
  <c r="C70" i="30"/>
  <c r="B70" i="30"/>
  <c r="I69" i="30"/>
  <c r="H69" i="30"/>
  <c r="F69" i="30"/>
  <c r="D69" i="30"/>
  <c r="C69" i="30"/>
  <c r="B69" i="30"/>
  <c r="H68" i="30"/>
  <c r="I68" i="30" s="1"/>
  <c r="F68" i="30"/>
  <c r="D68" i="30"/>
  <c r="C68" i="30"/>
  <c r="B68" i="30"/>
  <c r="I67" i="30"/>
  <c r="H67" i="30"/>
  <c r="F67" i="30"/>
  <c r="D67" i="30"/>
  <c r="C67" i="30"/>
  <c r="B67" i="30"/>
  <c r="H66" i="30"/>
  <c r="I66" i="30" s="1"/>
  <c r="F66" i="30"/>
  <c r="D66" i="30"/>
  <c r="C66" i="30"/>
  <c r="B66" i="30"/>
  <c r="I65" i="30"/>
  <c r="H65" i="30"/>
  <c r="F65" i="30"/>
  <c r="D65" i="30"/>
  <c r="C65" i="30"/>
  <c r="B65" i="30"/>
  <c r="H64" i="30"/>
  <c r="I64" i="30" s="1"/>
  <c r="F64" i="30"/>
  <c r="D64" i="30"/>
  <c r="C64" i="30"/>
  <c r="B64" i="30"/>
  <c r="I63" i="30"/>
  <c r="H63" i="30"/>
  <c r="F63" i="30"/>
  <c r="D63" i="30"/>
  <c r="C63" i="30"/>
  <c r="B63" i="30"/>
  <c r="H62" i="30"/>
  <c r="I62" i="30" s="1"/>
  <c r="F62" i="30"/>
  <c r="D62" i="30"/>
  <c r="C62" i="30"/>
  <c r="B62" i="30"/>
  <c r="I61" i="30"/>
  <c r="H61" i="30"/>
  <c r="F61" i="30"/>
  <c r="D61" i="30"/>
  <c r="C61" i="30"/>
  <c r="B61" i="30"/>
  <c r="H60" i="30"/>
  <c r="I60" i="30" s="1"/>
  <c r="F60" i="30"/>
  <c r="D60" i="30"/>
  <c r="C60" i="30"/>
  <c r="B60" i="30"/>
  <c r="I59" i="30"/>
  <c r="H59" i="30"/>
  <c r="F59" i="30"/>
  <c r="D59" i="30"/>
  <c r="C59" i="30"/>
  <c r="B59" i="30"/>
  <c r="H58" i="30"/>
  <c r="I58" i="30" s="1"/>
  <c r="F58" i="30"/>
  <c r="D58" i="30"/>
  <c r="C58" i="30"/>
  <c r="B58" i="30"/>
  <c r="I57" i="30"/>
  <c r="H57" i="30"/>
  <c r="F57" i="30"/>
  <c r="D57" i="30"/>
  <c r="C57" i="30"/>
  <c r="B57" i="30"/>
  <c r="H56" i="30"/>
  <c r="I56" i="30" s="1"/>
  <c r="F56" i="30"/>
  <c r="D56" i="30"/>
  <c r="C56" i="30"/>
  <c r="B56" i="30"/>
  <c r="I55" i="30"/>
  <c r="H55" i="30"/>
  <c r="F55" i="30"/>
  <c r="D55" i="30"/>
  <c r="C55" i="30"/>
  <c r="B55" i="30"/>
  <c r="H54" i="30"/>
  <c r="I54" i="30" s="1"/>
  <c r="F54" i="30"/>
  <c r="D54" i="30"/>
  <c r="C54" i="30"/>
  <c r="B54" i="30"/>
  <c r="I53" i="30"/>
  <c r="H53" i="30"/>
  <c r="F53" i="30"/>
  <c r="D53" i="30"/>
  <c r="C53" i="30"/>
  <c r="B53" i="30"/>
  <c r="H52" i="30"/>
  <c r="I52" i="30" s="1"/>
  <c r="F52" i="30"/>
  <c r="D52" i="30"/>
  <c r="C52" i="30"/>
  <c r="B52" i="30"/>
  <c r="I51" i="30"/>
  <c r="H51" i="30"/>
  <c r="F51" i="30"/>
  <c r="D51" i="30"/>
  <c r="C51" i="30"/>
  <c r="B51" i="30"/>
  <c r="H50" i="30"/>
  <c r="I50" i="30" s="1"/>
  <c r="F50" i="30"/>
  <c r="D50" i="30"/>
  <c r="C50" i="30"/>
  <c r="B50" i="30"/>
  <c r="I49" i="30"/>
  <c r="H49" i="30"/>
  <c r="F49" i="30"/>
  <c r="D49" i="30"/>
  <c r="C49" i="30"/>
  <c r="B49" i="30"/>
  <c r="H48" i="30"/>
  <c r="I48" i="30" s="1"/>
  <c r="F48" i="30"/>
  <c r="D48" i="30"/>
  <c r="C48" i="30"/>
  <c r="B48" i="30"/>
  <c r="I47" i="30"/>
  <c r="H47" i="30"/>
  <c r="F47" i="30"/>
  <c r="D47" i="30"/>
  <c r="C47" i="30"/>
  <c r="B47" i="30"/>
  <c r="H46" i="30"/>
  <c r="I46" i="30" s="1"/>
  <c r="F46" i="30"/>
  <c r="D46" i="30"/>
  <c r="C46" i="30"/>
  <c r="B46" i="30"/>
  <c r="I45" i="30"/>
  <c r="H45" i="30"/>
  <c r="F45" i="30"/>
  <c r="D45" i="30"/>
  <c r="C45" i="30"/>
  <c r="B45" i="30"/>
  <c r="H44" i="30"/>
  <c r="I44" i="30" s="1"/>
  <c r="F44" i="30"/>
  <c r="D44" i="30"/>
  <c r="C44" i="30"/>
  <c r="B44" i="30"/>
  <c r="I43" i="30"/>
  <c r="H43" i="30"/>
  <c r="F43" i="30"/>
  <c r="D43" i="30"/>
  <c r="C43" i="30"/>
  <c r="B43" i="30"/>
  <c r="H42" i="30"/>
  <c r="I42" i="30" s="1"/>
  <c r="F42" i="30"/>
  <c r="D42" i="30"/>
  <c r="C42" i="30"/>
  <c r="B42" i="30"/>
  <c r="I41" i="30"/>
  <c r="H41" i="30"/>
  <c r="F41" i="30"/>
  <c r="D41" i="30"/>
  <c r="C41" i="30"/>
  <c r="B41" i="30"/>
  <c r="H40" i="30"/>
  <c r="I40" i="30" s="1"/>
  <c r="F40" i="30"/>
  <c r="D40" i="30"/>
  <c r="C40" i="30"/>
  <c r="B40" i="30"/>
  <c r="I39" i="30"/>
  <c r="H39" i="30"/>
  <c r="F39" i="30"/>
  <c r="D39" i="30"/>
  <c r="C39" i="30"/>
  <c r="B39" i="30"/>
  <c r="H38" i="30"/>
  <c r="I38" i="30" s="1"/>
  <c r="F38" i="30"/>
  <c r="D38" i="30"/>
  <c r="C38" i="30"/>
  <c r="B38" i="30"/>
  <c r="I37" i="30"/>
  <c r="H37" i="30"/>
  <c r="F37" i="30"/>
  <c r="D37" i="30"/>
  <c r="C37" i="30"/>
  <c r="B37" i="30"/>
  <c r="H36" i="30"/>
  <c r="I36" i="30" s="1"/>
  <c r="F36" i="30"/>
  <c r="D36" i="30"/>
  <c r="C36" i="30"/>
  <c r="B36" i="30"/>
  <c r="I35" i="30"/>
  <c r="H35" i="30"/>
  <c r="F35" i="30"/>
  <c r="D35" i="30"/>
  <c r="C35" i="30"/>
  <c r="B35" i="30"/>
  <c r="H34" i="30"/>
  <c r="I34" i="30" s="1"/>
  <c r="F34" i="30"/>
  <c r="D34" i="30"/>
  <c r="C34" i="30"/>
  <c r="B34" i="30"/>
  <c r="I33" i="30"/>
  <c r="H33" i="30"/>
  <c r="F33" i="30"/>
  <c r="D33" i="30"/>
  <c r="C33" i="30"/>
  <c r="B33" i="30"/>
  <c r="H32" i="30"/>
  <c r="I32" i="30" s="1"/>
  <c r="F32" i="30"/>
  <c r="D32" i="30"/>
  <c r="C32" i="30"/>
  <c r="B32" i="30"/>
  <c r="I31" i="30"/>
  <c r="H31" i="30"/>
  <c r="F31" i="30"/>
  <c r="D31" i="30"/>
  <c r="C31" i="30"/>
  <c r="B31" i="30"/>
  <c r="H30" i="30"/>
  <c r="I30" i="30" s="1"/>
  <c r="F30" i="30"/>
  <c r="D30" i="30"/>
  <c r="C30" i="30"/>
  <c r="B30" i="30"/>
  <c r="I29" i="30"/>
  <c r="H29" i="30"/>
  <c r="F29" i="30"/>
  <c r="D29" i="30"/>
  <c r="C29" i="30"/>
  <c r="B29" i="30"/>
  <c r="H28" i="30"/>
  <c r="I28" i="30" s="1"/>
  <c r="F28" i="30"/>
  <c r="D28" i="30"/>
  <c r="C28" i="30"/>
  <c r="B28" i="30"/>
  <c r="I27" i="30"/>
  <c r="H27" i="30"/>
  <c r="F27" i="30"/>
  <c r="D27" i="30"/>
  <c r="C27" i="30"/>
  <c r="B27" i="30"/>
  <c r="H26" i="30"/>
  <c r="I26" i="30" s="1"/>
  <c r="F26" i="30"/>
  <c r="D26" i="30"/>
  <c r="C26" i="30"/>
  <c r="B26" i="30"/>
  <c r="I25" i="30"/>
  <c r="H25" i="30"/>
  <c r="F25" i="30"/>
  <c r="D25" i="30"/>
  <c r="C25" i="30"/>
  <c r="B25" i="30"/>
  <c r="H24" i="30"/>
  <c r="I24" i="30" s="1"/>
  <c r="F24" i="30"/>
  <c r="D24" i="30"/>
  <c r="C24" i="30"/>
  <c r="B24" i="30"/>
  <c r="I23" i="30"/>
  <c r="H23" i="30"/>
  <c r="F23" i="30"/>
  <c r="D23" i="30"/>
  <c r="C23" i="30"/>
  <c r="B23" i="30"/>
  <c r="H22" i="30"/>
  <c r="I22" i="30" s="1"/>
  <c r="F22" i="30"/>
  <c r="D22" i="30"/>
  <c r="C22" i="30"/>
  <c r="B22" i="30"/>
  <c r="I21" i="30"/>
  <c r="H21" i="30"/>
  <c r="F21" i="30"/>
  <c r="D21" i="30"/>
  <c r="C21" i="30"/>
  <c r="B21" i="30"/>
  <c r="H20" i="30"/>
  <c r="I20" i="30" s="1"/>
  <c r="F20" i="30"/>
  <c r="D20" i="30"/>
  <c r="C20" i="30"/>
  <c r="B20" i="30"/>
  <c r="I19" i="30"/>
  <c r="H19" i="30"/>
  <c r="F19" i="30"/>
  <c r="D19" i="30"/>
  <c r="C19" i="30"/>
  <c r="B19" i="30"/>
  <c r="H18" i="30"/>
  <c r="I18" i="30" s="1"/>
  <c r="F18" i="30"/>
  <c r="D18" i="30"/>
  <c r="C18" i="30"/>
  <c r="B18" i="30"/>
  <c r="I17" i="30"/>
  <c r="H17" i="30"/>
  <c r="F17" i="30"/>
  <c r="D17" i="30"/>
  <c r="C17" i="30"/>
  <c r="B17" i="30"/>
  <c r="H16" i="30"/>
  <c r="I16" i="30" s="1"/>
  <c r="F16" i="30"/>
  <c r="D16" i="30"/>
  <c r="C16" i="30"/>
  <c r="B16" i="30"/>
  <c r="I15" i="30"/>
  <c r="H15" i="30"/>
  <c r="F15" i="30"/>
  <c r="D15" i="30"/>
  <c r="C15" i="30"/>
  <c r="B15" i="30"/>
  <c r="H14" i="30"/>
  <c r="I14" i="30" s="1"/>
  <c r="F14" i="30"/>
  <c r="D14" i="30"/>
  <c r="C14" i="30"/>
  <c r="B14" i="30"/>
  <c r="I13" i="30"/>
  <c r="H13" i="30"/>
  <c r="F13" i="30"/>
  <c r="D13" i="30"/>
  <c r="C13" i="30"/>
  <c r="B13" i="30"/>
  <c r="H12" i="30"/>
  <c r="I12" i="30" s="1"/>
  <c r="F12" i="30"/>
  <c r="D12" i="30"/>
  <c r="C12" i="30"/>
  <c r="B12" i="30"/>
  <c r="I11" i="30"/>
  <c r="H11" i="30"/>
  <c r="F11" i="30"/>
  <c r="D11" i="30"/>
  <c r="C11" i="30"/>
  <c r="B11" i="30"/>
  <c r="H10" i="30"/>
  <c r="I10" i="30" s="1"/>
  <c r="F10" i="30"/>
  <c r="D10" i="30"/>
  <c r="C10" i="30"/>
  <c r="B10" i="30"/>
  <c r="I9" i="30"/>
  <c r="H9" i="30"/>
  <c r="D9" i="30"/>
  <c r="C9" i="30"/>
  <c r="F9" i="30" s="1"/>
  <c r="B9" i="30"/>
  <c r="A5" i="30"/>
  <c r="G4" i="30"/>
  <c r="D4" i="30"/>
  <c r="A4" i="30"/>
  <c r="K113" i="29"/>
  <c r="I113" i="29"/>
  <c r="J113" i="29" s="1"/>
  <c r="D113" i="29"/>
  <c r="C113" i="29"/>
  <c r="A113" i="29"/>
  <c r="K112" i="29"/>
  <c r="I112" i="29"/>
  <c r="J112" i="29" s="1"/>
  <c r="D112" i="29"/>
  <c r="C112" i="29"/>
  <c r="A112" i="29"/>
  <c r="K111" i="29"/>
  <c r="I111" i="29"/>
  <c r="J111" i="29" s="1"/>
  <c r="D111" i="29"/>
  <c r="C111" i="29"/>
  <c r="A111" i="29"/>
  <c r="K110" i="29"/>
  <c r="I110" i="29"/>
  <c r="J110" i="29" s="1"/>
  <c r="D110" i="29"/>
  <c r="C110" i="29"/>
  <c r="A110" i="29"/>
  <c r="K109" i="29"/>
  <c r="J109" i="29"/>
  <c r="I109" i="29"/>
  <c r="D109" i="29"/>
  <c r="C109" i="29"/>
  <c r="A109" i="29"/>
  <c r="K108" i="29"/>
  <c r="I108" i="29"/>
  <c r="J108" i="29" s="1"/>
  <c r="D108" i="29"/>
  <c r="C108" i="29"/>
  <c r="A108" i="29"/>
  <c r="K107" i="29"/>
  <c r="J107" i="29"/>
  <c r="I107" i="29"/>
  <c r="D107" i="29"/>
  <c r="C107" i="29"/>
  <c r="A107" i="29"/>
  <c r="K106" i="29"/>
  <c r="I106" i="29"/>
  <c r="J106" i="29" s="1"/>
  <c r="D106" i="29"/>
  <c r="C106" i="29"/>
  <c r="A106" i="29"/>
  <c r="K105" i="29"/>
  <c r="I105" i="29"/>
  <c r="J105" i="29" s="1"/>
  <c r="D105" i="29"/>
  <c r="C105" i="29"/>
  <c r="A105" i="29"/>
  <c r="K104" i="29"/>
  <c r="I104" i="29"/>
  <c r="J104" i="29" s="1"/>
  <c r="D104" i="29"/>
  <c r="C104" i="29"/>
  <c r="A104" i="29"/>
  <c r="K103" i="29"/>
  <c r="I103" i="29"/>
  <c r="J103" i="29" s="1"/>
  <c r="D103" i="29"/>
  <c r="C103" i="29"/>
  <c r="A103" i="29"/>
  <c r="K102" i="29"/>
  <c r="I102" i="29"/>
  <c r="J102" i="29" s="1"/>
  <c r="D102" i="29"/>
  <c r="C102" i="29"/>
  <c r="A102" i="29"/>
  <c r="K101" i="29"/>
  <c r="J101" i="29"/>
  <c r="I101" i="29"/>
  <c r="D101" i="29"/>
  <c r="C101" i="29"/>
  <c r="A101" i="29"/>
  <c r="K100" i="29"/>
  <c r="I100" i="29"/>
  <c r="J100" i="29" s="1"/>
  <c r="D100" i="29"/>
  <c r="C100" i="29"/>
  <c r="A100" i="29"/>
  <c r="K99" i="29"/>
  <c r="I99" i="29"/>
  <c r="J99" i="29" s="1"/>
  <c r="D99" i="29"/>
  <c r="C99" i="29"/>
  <c r="A99" i="29"/>
  <c r="K98" i="29"/>
  <c r="I98" i="29"/>
  <c r="J98" i="29" s="1"/>
  <c r="D98" i="29"/>
  <c r="C98" i="29"/>
  <c r="A98" i="29"/>
  <c r="K97" i="29"/>
  <c r="J97" i="29"/>
  <c r="I97" i="29"/>
  <c r="D97" i="29"/>
  <c r="C97" i="29"/>
  <c r="A97" i="29"/>
  <c r="K96" i="29"/>
  <c r="I96" i="29"/>
  <c r="J96" i="29" s="1"/>
  <c r="D96" i="29"/>
  <c r="C96" i="29"/>
  <c r="A96" i="29"/>
  <c r="K95" i="29"/>
  <c r="I95" i="29"/>
  <c r="J95" i="29" s="1"/>
  <c r="D95" i="29"/>
  <c r="C95" i="29"/>
  <c r="A95" i="29"/>
  <c r="K94" i="29"/>
  <c r="I94" i="29"/>
  <c r="J94" i="29" s="1"/>
  <c r="D94" i="29"/>
  <c r="C94" i="29"/>
  <c r="A94" i="29"/>
  <c r="K93" i="29"/>
  <c r="J93" i="29"/>
  <c r="I93" i="29"/>
  <c r="D93" i="29"/>
  <c r="C93" i="29"/>
  <c r="A93" i="29"/>
  <c r="K92" i="29"/>
  <c r="I92" i="29"/>
  <c r="J92" i="29" s="1"/>
  <c r="D92" i="29"/>
  <c r="C92" i="29"/>
  <c r="A92" i="29"/>
  <c r="K91" i="29"/>
  <c r="J91" i="29"/>
  <c r="I91" i="29"/>
  <c r="D91" i="29"/>
  <c r="C91" i="29"/>
  <c r="A91" i="29"/>
  <c r="K90" i="29"/>
  <c r="I90" i="29"/>
  <c r="J90" i="29" s="1"/>
  <c r="D90" i="29"/>
  <c r="C90" i="29"/>
  <c r="A90" i="29"/>
  <c r="K89" i="29"/>
  <c r="J89" i="29"/>
  <c r="I89" i="29"/>
  <c r="D89" i="29"/>
  <c r="C89" i="29"/>
  <c r="A89" i="29"/>
  <c r="K88" i="29"/>
  <c r="I88" i="29"/>
  <c r="J88" i="29" s="1"/>
  <c r="D88" i="29"/>
  <c r="C88" i="29"/>
  <c r="A88" i="29"/>
  <c r="K87" i="29"/>
  <c r="I87" i="29"/>
  <c r="J87" i="29" s="1"/>
  <c r="D87" i="29"/>
  <c r="C87" i="29"/>
  <c r="A87" i="29"/>
  <c r="K86" i="29"/>
  <c r="I86" i="29"/>
  <c r="J86" i="29" s="1"/>
  <c r="D86" i="29"/>
  <c r="C86" i="29"/>
  <c r="A86" i="29"/>
  <c r="K85" i="29"/>
  <c r="J85" i="29"/>
  <c r="I85" i="29"/>
  <c r="D85" i="29"/>
  <c r="C85" i="29"/>
  <c r="A85" i="29"/>
  <c r="K84" i="29"/>
  <c r="I84" i="29"/>
  <c r="J84" i="29" s="1"/>
  <c r="D84" i="29"/>
  <c r="C84" i="29"/>
  <c r="A84" i="29"/>
  <c r="K83" i="29"/>
  <c r="J83" i="29"/>
  <c r="I83" i="29"/>
  <c r="D83" i="29"/>
  <c r="C83" i="29"/>
  <c r="A83" i="29"/>
  <c r="K82" i="29"/>
  <c r="I82" i="29"/>
  <c r="J82" i="29" s="1"/>
  <c r="D82" i="29"/>
  <c r="C82" i="29"/>
  <c r="A82" i="29"/>
  <c r="K81" i="29"/>
  <c r="J81" i="29"/>
  <c r="I81" i="29"/>
  <c r="D81" i="29"/>
  <c r="C81" i="29"/>
  <c r="A81" i="29"/>
  <c r="K80" i="29"/>
  <c r="I80" i="29"/>
  <c r="J80" i="29" s="1"/>
  <c r="D80" i="29"/>
  <c r="C80" i="29"/>
  <c r="A80" i="29"/>
  <c r="K79" i="29"/>
  <c r="I79" i="29"/>
  <c r="J79" i="29" s="1"/>
  <c r="D79" i="29"/>
  <c r="C79" i="29"/>
  <c r="A79" i="29"/>
  <c r="K78" i="29"/>
  <c r="I78" i="29"/>
  <c r="J78" i="29" s="1"/>
  <c r="D78" i="29"/>
  <c r="C78" i="29"/>
  <c r="A78" i="29"/>
  <c r="K77" i="29"/>
  <c r="J77" i="29"/>
  <c r="I77" i="29"/>
  <c r="D77" i="29"/>
  <c r="C77" i="29"/>
  <c r="A77" i="29"/>
  <c r="K76" i="29"/>
  <c r="I76" i="29"/>
  <c r="J76" i="29" s="1"/>
  <c r="D76" i="29"/>
  <c r="C76" i="29"/>
  <c r="A76" i="29"/>
  <c r="K75" i="29"/>
  <c r="J75" i="29"/>
  <c r="I75" i="29"/>
  <c r="D75" i="29"/>
  <c r="C75" i="29"/>
  <c r="A75" i="29"/>
  <c r="K74" i="29"/>
  <c r="I74" i="29"/>
  <c r="J74" i="29" s="1"/>
  <c r="D74" i="29"/>
  <c r="C74" i="29"/>
  <c r="A74" i="29"/>
  <c r="K73" i="29"/>
  <c r="J73" i="29"/>
  <c r="I73" i="29"/>
  <c r="D73" i="29"/>
  <c r="C73" i="29"/>
  <c r="A73" i="29"/>
  <c r="K72" i="29"/>
  <c r="I72" i="29"/>
  <c r="J72" i="29" s="1"/>
  <c r="D72" i="29"/>
  <c r="C72" i="29"/>
  <c r="A72" i="29"/>
  <c r="K71" i="29"/>
  <c r="I71" i="29"/>
  <c r="J71" i="29" s="1"/>
  <c r="D71" i="29"/>
  <c r="C71" i="29"/>
  <c r="A71" i="29"/>
  <c r="K70" i="29"/>
  <c r="I70" i="29"/>
  <c r="J70" i="29" s="1"/>
  <c r="D70" i="29"/>
  <c r="C70" i="29"/>
  <c r="A70" i="29"/>
  <c r="K69" i="29"/>
  <c r="J69" i="29"/>
  <c r="I69" i="29"/>
  <c r="D69" i="29"/>
  <c r="C69" i="29"/>
  <c r="A69" i="29"/>
  <c r="K68" i="29"/>
  <c r="I68" i="29"/>
  <c r="J68" i="29" s="1"/>
  <c r="D68" i="29"/>
  <c r="C68" i="29"/>
  <c r="A68" i="29"/>
  <c r="K67" i="29"/>
  <c r="J67" i="29"/>
  <c r="I67" i="29"/>
  <c r="D67" i="29"/>
  <c r="C67" i="29"/>
  <c r="A67" i="29"/>
  <c r="K66" i="29"/>
  <c r="I66" i="29"/>
  <c r="J66" i="29" s="1"/>
  <c r="D66" i="29"/>
  <c r="C66" i="29"/>
  <c r="A66" i="29"/>
  <c r="K65" i="29"/>
  <c r="J65" i="29"/>
  <c r="I65" i="29"/>
  <c r="D65" i="29"/>
  <c r="C65" i="29"/>
  <c r="A65" i="29"/>
  <c r="K64" i="29"/>
  <c r="I64" i="29"/>
  <c r="J64" i="29" s="1"/>
  <c r="D64" i="29"/>
  <c r="C64" i="29"/>
  <c r="A64" i="29"/>
  <c r="K63" i="29"/>
  <c r="I63" i="29"/>
  <c r="J63" i="29" s="1"/>
  <c r="D63" i="29"/>
  <c r="C63" i="29"/>
  <c r="A63" i="29"/>
  <c r="K62" i="29"/>
  <c r="I62" i="29"/>
  <c r="J62" i="29" s="1"/>
  <c r="D62" i="29"/>
  <c r="C62" i="29"/>
  <c r="A62" i="29"/>
  <c r="K61" i="29"/>
  <c r="J61" i="29"/>
  <c r="I61" i="29"/>
  <c r="D61" i="29"/>
  <c r="C61" i="29"/>
  <c r="A61" i="29"/>
  <c r="K60" i="29"/>
  <c r="I60" i="29"/>
  <c r="J60" i="29" s="1"/>
  <c r="D60" i="29"/>
  <c r="C60" i="29"/>
  <c r="A60" i="29"/>
  <c r="K59" i="29"/>
  <c r="J59" i="29"/>
  <c r="I59" i="29"/>
  <c r="D59" i="29"/>
  <c r="C59" i="29"/>
  <c r="A59" i="29"/>
  <c r="K58" i="29"/>
  <c r="I58" i="29"/>
  <c r="J58" i="29" s="1"/>
  <c r="D58" i="29"/>
  <c r="C58" i="29"/>
  <c r="A58" i="29"/>
  <c r="K57" i="29"/>
  <c r="I57" i="29"/>
  <c r="J57" i="29" s="1"/>
  <c r="D57" i="29"/>
  <c r="C57" i="29"/>
  <c r="A57" i="29"/>
  <c r="K56" i="29"/>
  <c r="I56" i="29"/>
  <c r="J56" i="29" s="1"/>
  <c r="D56" i="29"/>
  <c r="C56" i="29"/>
  <c r="A56" i="29"/>
  <c r="K55" i="29"/>
  <c r="I55" i="29"/>
  <c r="J55" i="29" s="1"/>
  <c r="D55" i="29"/>
  <c r="C55" i="29"/>
  <c r="A55" i="29"/>
  <c r="K54" i="29"/>
  <c r="I54" i="29"/>
  <c r="J54" i="29" s="1"/>
  <c r="D54" i="29"/>
  <c r="C54" i="29"/>
  <c r="A54" i="29"/>
  <c r="K53" i="29"/>
  <c r="J53" i="29"/>
  <c r="I53" i="29"/>
  <c r="D53" i="29"/>
  <c r="C53" i="29"/>
  <c r="A53" i="29"/>
  <c r="K52" i="29"/>
  <c r="I52" i="29"/>
  <c r="J52" i="29" s="1"/>
  <c r="D52" i="29"/>
  <c r="C52" i="29"/>
  <c r="A52" i="29"/>
  <c r="K51" i="29"/>
  <c r="I51" i="29"/>
  <c r="J51" i="29" s="1"/>
  <c r="D51" i="29"/>
  <c r="C51" i="29"/>
  <c r="A51" i="29"/>
  <c r="K50" i="29"/>
  <c r="I50" i="29"/>
  <c r="J50" i="29" s="1"/>
  <c r="D50" i="29"/>
  <c r="C50" i="29"/>
  <c r="A50" i="29"/>
  <c r="K49" i="29"/>
  <c r="I49" i="29"/>
  <c r="J49" i="29" s="1"/>
  <c r="D49" i="29"/>
  <c r="C49" i="29"/>
  <c r="A49" i="29"/>
  <c r="K48" i="29"/>
  <c r="I48" i="29"/>
  <c r="J48" i="29" s="1"/>
  <c r="D48" i="29"/>
  <c r="C48" i="29"/>
  <c r="A48" i="29"/>
  <c r="K47" i="29"/>
  <c r="I47" i="29"/>
  <c r="J47" i="29" s="1"/>
  <c r="D47" i="29"/>
  <c r="C47" i="29"/>
  <c r="A47" i="29"/>
  <c r="K46" i="29"/>
  <c r="I46" i="29"/>
  <c r="J46" i="29" s="1"/>
  <c r="D46" i="29"/>
  <c r="C46" i="29"/>
  <c r="A46" i="29"/>
  <c r="K45" i="29"/>
  <c r="J45" i="29"/>
  <c r="I45" i="29"/>
  <c r="D45" i="29"/>
  <c r="C45" i="29"/>
  <c r="A45" i="29"/>
  <c r="K44" i="29"/>
  <c r="I44" i="29"/>
  <c r="J44" i="29" s="1"/>
  <c r="D44" i="29"/>
  <c r="C44" i="29"/>
  <c r="A44" i="29"/>
  <c r="K43" i="29"/>
  <c r="J43" i="29"/>
  <c r="I43" i="29"/>
  <c r="D43" i="29"/>
  <c r="C43" i="29"/>
  <c r="A43" i="29"/>
  <c r="K42" i="29"/>
  <c r="I42" i="29"/>
  <c r="J42" i="29" s="1"/>
  <c r="D42" i="29"/>
  <c r="C42" i="29"/>
  <c r="A42" i="29"/>
  <c r="K41" i="29"/>
  <c r="I41" i="29"/>
  <c r="J41" i="29" s="1"/>
  <c r="D41" i="29"/>
  <c r="C41" i="29"/>
  <c r="A41" i="29"/>
  <c r="K40" i="29"/>
  <c r="I40" i="29"/>
  <c r="J40" i="29" s="1"/>
  <c r="D40" i="29"/>
  <c r="C40" i="29"/>
  <c r="A40" i="29"/>
  <c r="K39" i="29"/>
  <c r="I39" i="29"/>
  <c r="J39" i="29" s="1"/>
  <c r="D39" i="29"/>
  <c r="C39" i="29"/>
  <c r="A39" i="29"/>
  <c r="K38" i="29"/>
  <c r="I38" i="29"/>
  <c r="J38" i="29" s="1"/>
  <c r="D38" i="29"/>
  <c r="C38" i="29"/>
  <c r="A38" i="29"/>
  <c r="K37" i="29"/>
  <c r="J37" i="29"/>
  <c r="I37" i="29"/>
  <c r="D37" i="29"/>
  <c r="C37" i="29"/>
  <c r="A37" i="29"/>
  <c r="K36" i="29"/>
  <c r="I36" i="29"/>
  <c r="J36" i="29" s="1"/>
  <c r="D36" i="29"/>
  <c r="C36" i="29"/>
  <c r="A36" i="29"/>
  <c r="K35" i="29"/>
  <c r="I35" i="29"/>
  <c r="J35" i="29" s="1"/>
  <c r="D35" i="29"/>
  <c r="C35" i="29"/>
  <c r="A35" i="29"/>
  <c r="K34" i="29"/>
  <c r="I34" i="29"/>
  <c r="J34" i="29" s="1"/>
  <c r="D34" i="29"/>
  <c r="C34" i="29"/>
  <c r="A34" i="29"/>
  <c r="K33" i="29"/>
  <c r="J33" i="29"/>
  <c r="I33" i="29"/>
  <c r="D33" i="29"/>
  <c r="C33" i="29"/>
  <c r="A33" i="29"/>
  <c r="K32" i="29"/>
  <c r="I32" i="29"/>
  <c r="J32" i="29" s="1"/>
  <c r="D32" i="29"/>
  <c r="C32" i="29"/>
  <c r="A32" i="29"/>
  <c r="K31" i="29"/>
  <c r="I31" i="29"/>
  <c r="J31" i="29" s="1"/>
  <c r="D31" i="29"/>
  <c r="C31" i="29"/>
  <c r="A31" i="29"/>
  <c r="K30" i="29"/>
  <c r="I30" i="29"/>
  <c r="J30" i="29" s="1"/>
  <c r="D30" i="29"/>
  <c r="C30" i="29"/>
  <c r="A30" i="29"/>
  <c r="K29" i="29"/>
  <c r="J29" i="29"/>
  <c r="I29" i="29"/>
  <c r="D29" i="29"/>
  <c r="C29" i="29"/>
  <c r="A29" i="29"/>
  <c r="K28" i="29"/>
  <c r="I28" i="29"/>
  <c r="J28" i="29" s="1"/>
  <c r="D28" i="29"/>
  <c r="C28" i="29"/>
  <c r="A28" i="29"/>
  <c r="K27" i="29"/>
  <c r="J27" i="29"/>
  <c r="I27" i="29"/>
  <c r="D27" i="29"/>
  <c r="C27" i="29"/>
  <c r="A27" i="29"/>
  <c r="K26" i="29"/>
  <c r="I26" i="29"/>
  <c r="J26" i="29" s="1"/>
  <c r="D26" i="29"/>
  <c r="C26" i="29"/>
  <c r="A26" i="29"/>
  <c r="K25" i="29"/>
  <c r="J25" i="29"/>
  <c r="I25" i="29"/>
  <c r="D25" i="29"/>
  <c r="C25" i="29"/>
  <c r="A25" i="29"/>
  <c r="K24" i="29"/>
  <c r="I24" i="29"/>
  <c r="J24" i="29" s="1"/>
  <c r="D24" i="29"/>
  <c r="C24" i="29"/>
  <c r="A24" i="29"/>
  <c r="K23" i="29"/>
  <c r="I23" i="29"/>
  <c r="J23" i="29" s="1"/>
  <c r="D23" i="29"/>
  <c r="C23" i="29"/>
  <c r="A23" i="29"/>
  <c r="K22" i="29"/>
  <c r="I22" i="29"/>
  <c r="J22" i="29" s="1"/>
  <c r="D22" i="29"/>
  <c r="C22" i="29"/>
  <c r="A22" i="29"/>
  <c r="K21" i="29"/>
  <c r="J21" i="29"/>
  <c r="I21" i="29"/>
  <c r="D21" i="29"/>
  <c r="C21" i="29"/>
  <c r="A21" i="29"/>
  <c r="K20" i="29"/>
  <c r="I20" i="29"/>
  <c r="J20" i="29" s="1"/>
  <c r="D20" i="29"/>
  <c r="C20" i="29"/>
  <c r="A20" i="29"/>
  <c r="K19" i="29"/>
  <c r="J19" i="29"/>
  <c r="I19" i="29"/>
  <c r="D19" i="29"/>
  <c r="C19" i="29"/>
  <c r="A19" i="29"/>
  <c r="K18" i="29"/>
  <c r="I18" i="29"/>
  <c r="J18" i="29" s="1"/>
  <c r="D18" i="29"/>
  <c r="C18" i="29"/>
  <c r="A18" i="29"/>
  <c r="K17" i="29"/>
  <c r="J17" i="29"/>
  <c r="I17" i="29"/>
  <c r="D17" i="29"/>
  <c r="C17" i="29"/>
  <c r="A17" i="29"/>
  <c r="K16" i="29"/>
  <c r="I16" i="29"/>
  <c r="J16" i="29" s="1"/>
  <c r="D16" i="29"/>
  <c r="C16" i="29"/>
  <c r="A16" i="29"/>
  <c r="K15" i="29"/>
  <c r="I15" i="29"/>
  <c r="J15" i="29" s="1"/>
  <c r="D15" i="29"/>
  <c r="C15" i="29"/>
  <c r="K14" i="29"/>
  <c r="I14" i="29"/>
  <c r="J14" i="29" s="1"/>
  <c r="D14" i="29"/>
  <c r="C14" i="29"/>
  <c r="B10" i="29"/>
  <c r="B9" i="29"/>
  <c r="B8" i="29"/>
  <c r="I208" i="28"/>
  <c r="J208" i="28" s="1"/>
  <c r="G208" i="28"/>
  <c r="D208" i="28"/>
  <c r="C208" i="28"/>
  <c r="B208" i="28"/>
  <c r="J207" i="28"/>
  <c r="I207" i="28"/>
  <c r="G207" i="28"/>
  <c r="D207" i="28"/>
  <c r="C207" i="28"/>
  <c r="B207" i="28"/>
  <c r="I206" i="28"/>
  <c r="J206" i="28" s="1"/>
  <c r="G206" i="28"/>
  <c r="D206" i="28"/>
  <c r="C206" i="28"/>
  <c r="B206" i="28"/>
  <c r="I205" i="28"/>
  <c r="J205" i="28" s="1"/>
  <c r="G205" i="28"/>
  <c r="D205" i="28"/>
  <c r="C205" i="28"/>
  <c r="B205" i="28"/>
  <c r="I204" i="28"/>
  <c r="J204" i="28" s="1"/>
  <c r="G204" i="28"/>
  <c r="D204" i="28"/>
  <c r="C204" i="28"/>
  <c r="B204" i="28"/>
  <c r="I203" i="28"/>
  <c r="J203" i="28" s="1"/>
  <c r="G203" i="28"/>
  <c r="D203" i="28"/>
  <c r="C203" i="28"/>
  <c r="B203" i="28"/>
  <c r="I202" i="28"/>
  <c r="J202" i="28" s="1"/>
  <c r="G202" i="28"/>
  <c r="D202" i="28"/>
  <c r="C202" i="28"/>
  <c r="B202" i="28"/>
  <c r="I201" i="28"/>
  <c r="J201" i="28" s="1"/>
  <c r="G201" i="28"/>
  <c r="D201" i="28"/>
  <c r="C201" i="28"/>
  <c r="B201" i="28"/>
  <c r="I200" i="28"/>
  <c r="J200" i="28" s="1"/>
  <c r="G200" i="28"/>
  <c r="D200" i="28"/>
  <c r="C200" i="28"/>
  <c r="B200" i="28"/>
  <c r="I199" i="28"/>
  <c r="J199" i="28" s="1"/>
  <c r="G199" i="28"/>
  <c r="D199" i="28"/>
  <c r="C199" i="28"/>
  <c r="B199" i="28"/>
  <c r="I198" i="28"/>
  <c r="J198" i="28" s="1"/>
  <c r="G198" i="28"/>
  <c r="D198" i="28"/>
  <c r="C198" i="28"/>
  <c r="B198" i="28"/>
  <c r="I197" i="28"/>
  <c r="J197" i="28" s="1"/>
  <c r="G197" i="28"/>
  <c r="D197" i="28"/>
  <c r="C197" i="28"/>
  <c r="B197" i="28"/>
  <c r="I196" i="28"/>
  <c r="J196" i="28" s="1"/>
  <c r="G196" i="28"/>
  <c r="D196" i="28"/>
  <c r="C196" i="28"/>
  <c r="B196" i="28"/>
  <c r="J195" i="28"/>
  <c r="I195" i="28"/>
  <c r="G195" i="28"/>
  <c r="D195" i="28"/>
  <c r="C195" i="28"/>
  <c r="B195" i="28"/>
  <c r="I194" i="28"/>
  <c r="J194" i="28" s="1"/>
  <c r="G194" i="28"/>
  <c r="D194" i="28"/>
  <c r="C194" i="28"/>
  <c r="B194" i="28"/>
  <c r="J193" i="28"/>
  <c r="I193" i="28"/>
  <c r="G193" i="28"/>
  <c r="D193" i="28"/>
  <c r="C193" i="28"/>
  <c r="B193" i="28"/>
  <c r="I192" i="28"/>
  <c r="J192" i="28" s="1"/>
  <c r="G192" i="28"/>
  <c r="D192" i="28"/>
  <c r="C192" i="28"/>
  <c r="B192" i="28"/>
  <c r="I191" i="28"/>
  <c r="J191" i="28" s="1"/>
  <c r="G191" i="28"/>
  <c r="D191" i="28"/>
  <c r="C191" i="28"/>
  <c r="B191" i="28"/>
  <c r="I190" i="28"/>
  <c r="J190" i="28" s="1"/>
  <c r="G190" i="28"/>
  <c r="D190" i="28"/>
  <c r="C190" i="28"/>
  <c r="B190" i="28"/>
  <c r="I189" i="28"/>
  <c r="J189" i="28" s="1"/>
  <c r="G189" i="28"/>
  <c r="D189" i="28"/>
  <c r="C189" i="28"/>
  <c r="B189" i="28"/>
  <c r="I188" i="28"/>
  <c r="J188" i="28" s="1"/>
  <c r="G188" i="28"/>
  <c r="D188" i="28"/>
  <c r="C188" i="28"/>
  <c r="B188" i="28"/>
  <c r="I187" i="28"/>
  <c r="J187" i="28" s="1"/>
  <c r="G187" i="28"/>
  <c r="D187" i="28"/>
  <c r="C187" i="28"/>
  <c r="B187" i="28"/>
  <c r="I186" i="28"/>
  <c r="J186" i="28" s="1"/>
  <c r="G186" i="28"/>
  <c r="D186" i="28"/>
  <c r="C186" i="28"/>
  <c r="B186" i="28"/>
  <c r="J185" i="28"/>
  <c r="I185" i="28"/>
  <c r="G185" i="28"/>
  <c r="D185" i="28"/>
  <c r="C185" i="28"/>
  <c r="B185" i="28"/>
  <c r="I184" i="28"/>
  <c r="J184" i="28" s="1"/>
  <c r="G184" i="28"/>
  <c r="D184" i="28"/>
  <c r="C184" i="28"/>
  <c r="B184" i="28"/>
  <c r="I183" i="28"/>
  <c r="J183" i="28" s="1"/>
  <c r="G183" i="28"/>
  <c r="D183" i="28"/>
  <c r="C183" i="28"/>
  <c r="B183" i="28"/>
  <c r="I182" i="28"/>
  <c r="J182" i="28" s="1"/>
  <c r="G182" i="28"/>
  <c r="D182" i="28"/>
  <c r="C182" i="28"/>
  <c r="B182" i="28"/>
  <c r="I181" i="28"/>
  <c r="J181" i="28" s="1"/>
  <c r="G181" i="28"/>
  <c r="D181" i="28"/>
  <c r="C181" i="28"/>
  <c r="B181" i="28"/>
  <c r="I180" i="28"/>
  <c r="J180" i="28" s="1"/>
  <c r="G180" i="28"/>
  <c r="D180" i="28"/>
  <c r="C180" i="28"/>
  <c r="B180" i="28"/>
  <c r="J179" i="28"/>
  <c r="I179" i="28"/>
  <c r="G179" i="28"/>
  <c r="D179" i="28"/>
  <c r="C179" i="28"/>
  <c r="B179" i="28"/>
  <c r="I178" i="28"/>
  <c r="J178" i="28" s="1"/>
  <c r="G178" i="28"/>
  <c r="D178" i="28"/>
  <c r="C178" i="28"/>
  <c r="B178" i="28"/>
  <c r="J177" i="28"/>
  <c r="I177" i="28"/>
  <c r="G177" i="28"/>
  <c r="D177" i="28"/>
  <c r="C177" i="28"/>
  <c r="B177" i="28"/>
  <c r="I176" i="28"/>
  <c r="J176" i="28" s="1"/>
  <c r="G176" i="28"/>
  <c r="D176" i="28"/>
  <c r="C176" i="28"/>
  <c r="B176" i="28"/>
  <c r="I175" i="28"/>
  <c r="J175" i="28" s="1"/>
  <c r="G175" i="28"/>
  <c r="D175" i="28"/>
  <c r="C175" i="28"/>
  <c r="B175" i="28"/>
  <c r="I174" i="28"/>
  <c r="J174" i="28" s="1"/>
  <c r="G174" i="28"/>
  <c r="D174" i="28"/>
  <c r="C174" i="28"/>
  <c r="B174" i="28"/>
  <c r="I173" i="28"/>
  <c r="J173" i="28" s="1"/>
  <c r="G173" i="28"/>
  <c r="D173" i="28"/>
  <c r="C173" i="28"/>
  <c r="B173" i="28"/>
  <c r="I172" i="28"/>
  <c r="J172" i="28" s="1"/>
  <c r="G172" i="28"/>
  <c r="D172" i="28"/>
  <c r="C172" i="28"/>
  <c r="B172" i="28"/>
  <c r="I171" i="28"/>
  <c r="J171" i="28" s="1"/>
  <c r="G171" i="28"/>
  <c r="D171" i="28"/>
  <c r="C171" i="28"/>
  <c r="B171" i="28"/>
  <c r="I170" i="28"/>
  <c r="J170" i="28" s="1"/>
  <c r="G170" i="28"/>
  <c r="D170" i="28"/>
  <c r="C170" i="28"/>
  <c r="B170" i="28"/>
  <c r="J169" i="28"/>
  <c r="I169" i="28"/>
  <c r="G169" i="28"/>
  <c r="D169" i="28"/>
  <c r="C169" i="28"/>
  <c r="B169" i="28"/>
  <c r="I168" i="28"/>
  <c r="J168" i="28" s="1"/>
  <c r="G168" i="28"/>
  <c r="D168" i="28"/>
  <c r="C168" i="28"/>
  <c r="B168" i="28"/>
  <c r="J167" i="28"/>
  <c r="I167" i="28"/>
  <c r="G167" i="28"/>
  <c r="D167" i="28"/>
  <c r="C167" i="28"/>
  <c r="B167" i="28"/>
  <c r="I166" i="28"/>
  <c r="J166" i="28" s="1"/>
  <c r="G166" i="28"/>
  <c r="D166" i="28"/>
  <c r="C166" i="28"/>
  <c r="B166" i="28"/>
  <c r="I165" i="28"/>
  <c r="J165" i="28" s="1"/>
  <c r="G165" i="28"/>
  <c r="D165" i="28"/>
  <c r="C165" i="28"/>
  <c r="B165" i="28"/>
  <c r="I164" i="28"/>
  <c r="J164" i="28" s="1"/>
  <c r="G164" i="28"/>
  <c r="D164" i="28"/>
  <c r="C164" i="28"/>
  <c r="B164" i="28"/>
  <c r="J163" i="28"/>
  <c r="I163" i="28"/>
  <c r="G163" i="28"/>
  <c r="D163" i="28"/>
  <c r="C163" i="28"/>
  <c r="B163" i="28"/>
  <c r="I162" i="28"/>
  <c r="J162" i="28" s="1"/>
  <c r="G162" i="28"/>
  <c r="D162" i="28"/>
  <c r="C162" i="28"/>
  <c r="B162" i="28"/>
  <c r="J161" i="28"/>
  <c r="I161" i="28"/>
  <c r="G161" i="28"/>
  <c r="D161" i="28"/>
  <c r="C161" i="28"/>
  <c r="B161" i="28"/>
  <c r="I160" i="28"/>
  <c r="J160" i="28" s="1"/>
  <c r="G160" i="28"/>
  <c r="D160" i="28"/>
  <c r="C160" i="28"/>
  <c r="B160" i="28"/>
  <c r="I159" i="28"/>
  <c r="J159" i="28" s="1"/>
  <c r="G159" i="28"/>
  <c r="D159" i="28"/>
  <c r="C159" i="28"/>
  <c r="B159" i="28"/>
  <c r="I158" i="28"/>
  <c r="J158" i="28" s="1"/>
  <c r="G158" i="28"/>
  <c r="D158" i="28"/>
  <c r="C158" i="28"/>
  <c r="B158" i="28"/>
  <c r="I157" i="28"/>
  <c r="J157" i="28" s="1"/>
  <c r="G157" i="28"/>
  <c r="D157" i="28"/>
  <c r="C157" i="28"/>
  <c r="B157" i="28"/>
  <c r="I156" i="28"/>
  <c r="J156" i="28" s="1"/>
  <c r="G156" i="28"/>
  <c r="D156" i="28"/>
  <c r="C156" i="28"/>
  <c r="B156" i="28"/>
  <c r="I155" i="28"/>
  <c r="J155" i="28" s="1"/>
  <c r="G155" i="28"/>
  <c r="D155" i="28"/>
  <c r="C155" i="28"/>
  <c r="B155" i="28"/>
  <c r="I154" i="28"/>
  <c r="J154" i="28" s="1"/>
  <c r="G154" i="28"/>
  <c r="D154" i="28"/>
  <c r="C154" i="28"/>
  <c r="B154" i="28"/>
  <c r="J153" i="28"/>
  <c r="I153" i="28"/>
  <c r="G153" i="28"/>
  <c r="D153" i="28"/>
  <c r="C153" i="28"/>
  <c r="B153" i="28"/>
  <c r="I152" i="28"/>
  <c r="J152" i="28" s="1"/>
  <c r="G152" i="28"/>
  <c r="D152" i="28"/>
  <c r="C152" i="28"/>
  <c r="B152" i="28"/>
  <c r="J151" i="28"/>
  <c r="I151" i="28"/>
  <c r="G151" i="28"/>
  <c r="D151" i="28"/>
  <c r="C151" i="28"/>
  <c r="B151" i="28"/>
  <c r="I150" i="28"/>
  <c r="J150" i="28" s="1"/>
  <c r="G150" i="28"/>
  <c r="D150" i="28"/>
  <c r="C150" i="28"/>
  <c r="B150" i="28"/>
  <c r="J149" i="28"/>
  <c r="I149" i="28"/>
  <c r="G149" i="28"/>
  <c r="D149" i="28"/>
  <c r="C149" i="28"/>
  <c r="B149" i="28"/>
  <c r="I148" i="28"/>
  <c r="J148" i="28" s="1"/>
  <c r="G148" i="28"/>
  <c r="D148" i="28"/>
  <c r="C148" i="28"/>
  <c r="B148" i="28"/>
  <c r="J147" i="28"/>
  <c r="I147" i="28"/>
  <c r="G147" i="28"/>
  <c r="D147" i="28"/>
  <c r="C147" i="28"/>
  <c r="B147" i="28"/>
  <c r="I146" i="28"/>
  <c r="J146" i="28" s="1"/>
  <c r="G146" i="28"/>
  <c r="D146" i="28"/>
  <c r="C146" i="28"/>
  <c r="B146" i="28"/>
  <c r="J145" i="28"/>
  <c r="I145" i="28"/>
  <c r="G145" i="28"/>
  <c r="D145" i="28"/>
  <c r="C145" i="28"/>
  <c r="B145" i="28"/>
  <c r="I144" i="28"/>
  <c r="J144" i="28" s="1"/>
  <c r="G144" i="28"/>
  <c r="D144" i="28"/>
  <c r="C144" i="28"/>
  <c r="B144" i="28"/>
  <c r="I143" i="28"/>
  <c r="J143" i="28" s="1"/>
  <c r="G143" i="28"/>
  <c r="D143" i="28"/>
  <c r="C143" i="28"/>
  <c r="B143" i="28"/>
  <c r="I142" i="28"/>
  <c r="J142" i="28" s="1"/>
  <c r="G142" i="28"/>
  <c r="D142" i="28"/>
  <c r="C142" i="28"/>
  <c r="B142" i="28"/>
  <c r="I141" i="28"/>
  <c r="J141" i="28" s="1"/>
  <c r="G141" i="28"/>
  <c r="D141" i="28"/>
  <c r="C141" i="28"/>
  <c r="B141" i="28"/>
  <c r="I140" i="28"/>
  <c r="J140" i="28" s="1"/>
  <c r="G140" i="28"/>
  <c r="D140" i="28"/>
  <c r="C140" i="28"/>
  <c r="B140" i="28"/>
  <c r="I139" i="28"/>
  <c r="J139" i="28" s="1"/>
  <c r="G139" i="28"/>
  <c r="D139" i="28"/>
  <c r="C139" i="28"/>
  <c r="B139" i="28"/>
  <c r="I138" i="28"/>
  <c r="J138" i="28" s="1"/>
  <c r="G138" i="28"/>
  <c r="D138" i="28"/>
  <c r="C138" i="28"/>
  <c r="B138" i="28"/>
  <c r="J137" i="28"/>
  <c r="I137" i="28"/>
  <c r="G137" i="28"/>
  <c r="D137" i="28"/>
  <c r="C137" i="28"/>
  <c r="B137" i="28"/>
  <c r="I136" i="28"/>
  <c r="J136" i="28" s="1"/>
  <c r="G136" i="28"/>
  <c r="D136" i="28"/>
  <c r="C136" i="28"/>
  <c r="B136" i="28"/>
  <c r="I135" i="28"/>
  <c r="J135" i="28" s="1"/>
  <c r="G135" i="28"/>
  <c r="D135" i="28"/>
  <c r="C135" i="28"/>
  <c r="B135" i="28"/>
  <c r="I134" i="28"/>
  <c r="J134" i="28" s="1"/>
  <c r="G134" i="28"/>
  <c r="D134" i="28"/>
  <c r="C134" i="28"/>
  <c r="B134" i="28"/>
  <c r="I133" i="28"/>
  <c r="J133" i="28" s="1"/>
  <c r="G133" i="28"/>
  <c r="D133" i="28"/>
  <c r="C133" i="28"/>
  <c r="B133" i="28"/>
  <c r="I132" i="28"/>
  <c r="J132" i="28" s="1"/>
  <c r="G132" i="28"/>
  <c r="D132" i="28"/>
  <c r="C132" i="28"/>
  <c r="B132" i="28"/>
  <c r="J131" i="28"/>
  <c r="I131" i="28"/>
  <c r="G131" i="28"/>
  <c r="D131" i="28"/>
  <c r="C131" i="28"/>
  <c r="B131" i="28"/>
  <c r="I130" i="28"/>
  <c r="J130" i="28" s="1"/>
  <c r="G130" i="28"/>
  <c r="D130" i="28"/>
  <c r="C130" i="28"/>
  <c r="B130" i="28"/>
  <c r="J129" i="28"/>
  <c r="I129" i="28"/>
  <c r="G129" i="28"/>
  <c r="D129" i="28"/>
  <c r="C129" i="28"/>
  <c r="B129" i="28"/>
  <c r="I128" i="28"/>
  <c r="J128" i="28" s="1"/>
  <c r="G128" i="28"/>
  <c r="D128" i="28"/>
  <c r="C128" i="28"/>
  <c r="B128" i="28"/>
  <c r="J127" i="28"/>
  <c r="I127" i="28"/>
  <c r="G127" i="28"/>
  <c r="D127" i="28"/>
  <c r="C127" i="28"/>
  <c r="B127" i="28"/>
  <c r="I126" i="28"/>
  <c r="J126" i="28" s="1"/>
  <c r="G126" i="28"/>
  <c r="D126" i="28"/>
  <c r="C126" i="28"/>
  <c r="B126" i="28"/>
  <c r="I125" i="28"/>
  <c r="J125" i="28" s="1"/>
  <c r="G125" i="28"/>
  <c r="D125" i="28"/>
  <c r="C125" i="28"/>
  <c r="B125" i="28"/>
  <c r="I124" i="28"/>
  <c r="J124" i="28" s="1"/>
  <c r="G124" i="28"/>
  <c r="D124" i="28"/>
  <c r="C124" i="28"/>
  <c r="B124" i="28"/>
  <c r="I123" i="28"/>
  <c r="J123" i="28" s="1"/>
  <c r="G123" i="28"/>
  <c r="D123" i="28"/>
  <c r="C123" i="28"/>
  <c r="B123" i="28"/>
  <c r="I122" i="28"/>
  <c r="J122" i="28" s="1"/>
  <c r="G122" i="28"/>
  <c r="D122" i="28"/>
  <c r="C122" i="28"/>
  <c r="B122" i="28"/>
  <c r="I121" i="28"/>
  <c r="J121" i="28" s="1"/>
  <c r="G121" i="28"/>
  <c r="D121" i="28"/>
  <c r="C121" i="28"/>
  <c r="B121" i="28"/>
  <c r="I120" i="28"/>
  <c r="J120" i="28" s="1"/>
  <c r="G120" i="28"/>
  <c r="D120" i="28"/>
  <c r="C120" i="28"/>
  <c r="B120" i="28"/>
  <c r="I119" i="28"/>
  <c r="J119" i="28" s="1"/>
  <c r="G119" i="28"/>
  <c r="D119" i="28"/>
  <c r="C119" i="28"/>
  <c r="B119" i="28"/>
  <c r="I118" i="28"/>
  <c r="J118" i="28" s="1"/>
  <c r="G118" i="28"/>
  <c r="D118" i="28"/>
  <c r="C118" i="28"/>
  <c r="B118" i="28"/>
  <c r="J117" i="28"/>
  <c r="I117" i="28"/>
  <c r="G117" i="28"/>
  <c r="D117" i="28"/>
  <c r="C117" i="28"/>
  <c r="B117" i="28"/>
  <c r="I116" i="28"/>
  <c r="J116" i="28" s="1"/>
  <c r="G116" i="28"/>
  <c r="D116" i="28"/>
  <c r="C116" i="28"/>
  <c r="B116" i="28"/>
  <c r="J115" i="28"/>
  <c r="I115" i="28"/>
  <c r="G115" i="28"/>
  <c r="D115" i="28"/>
  <c r="C115" i="28"/>
  <c r="B115" i="28"/>
  <c r="I114" i="28"/>
  <c r="J114" i="28" s="1"/>
  <c r="G114" i="28"/>
  <c r="D114" i="28"/>
  <c r="C114" i="28"/>
  <c r="B114" i="28"/>
  <c r="J113" i="28"/>
  <c r="I113" i="28"/>
  <c r="G113" i="28"/>
  <c r="D113" i="28"/>
  <c r="C113" i="28"/>
  <c r="B113" i="28"/>
  <c r="I112" i="28"/>
  <c r="J112" i="28" s="1"/>
  <c r="G112" i="28"/>
  <c r="D112" i="28"/>
  <c r="C112" i="28"/>
  <c r="B112" i="28"/>
  <c r="J111" i="28"/>
  <c r="I111" i="28"/>
  <c r="G111" i="28"/>
  <c r="D111" i="28"/>
  <c r="C111" i="28"/>
  <c r="B111" i="28"/>
  <c r="I110" i="28"/>
  <c r="J110" i="28" s="1"/>
  <c r="G110" i="28"/>
  <c r="D110" i="28"/>
  <c r="C110" i="28"/>
  <c r="B110" i="28"/>
  <c r="I109" i="28"/>
  <c r="J109" i="28" s="1"/>
  <c r="G109" i="28"/>
  <c r="D109" i="28"/>
  <c r="C109" i="28"/>
  <c r="B109" i="28"/>
  <c r="I108" i="28"/>
  <c r="J108" i="28" s="1"/>
  <c r="G108" i="28"/>
  <c r="D108" i="28"/>
  <c r="C108" i="28"/>
  <c r="B108" i="28"/>
  <c r="I107" i="28"/>
  <c r="J107" i="28" s="1"/>
  <c r="G107" i="28"/>
  <c r="D107" i="28"/>
  <c r="C107" i="28"/>
  <c r="B107" i="28"/>
  <c r="I106" i="28"/>
  <c r="J106" i="28" s="1"/>
  <c r="G106" i="28"/>
  <c r="D106" i="28"/>
  <c r="C106" i="28"/>
  <c r="B106" i="28"/>
  <c r="J105" i="28"/>
  <c r="I105" i="28"/>
  <c r="G105" i="28"/>
  <c r="D105" i="28"/>
  <c r="C105" i="28"/>
  <c r="B105" i="28"/>
  <c r="I104" i="28"/>
  <c r="J104" i="28" s="1"/>
  <c r="G104" i="28"/>
  <c r="D104" i="28"/>
  <c r="C104" i="28"/>
  <c r="B104" i="28"/>
  <c r="J103" i="28"/>
  <c r="I103" i="28"/>
  <c r="G103" i="28"/>
  <c r="D103" i="28"/>
  <c r="C103" i="28"/>
  <c r="B103" i="28"/>
  <c r="I102" i="28"/>
  <c r="J102" i="28" s="1"/>
  <c r="G102" i="28"/>
  <c r="D102" i="28"/>
  <c r="C102" i="28"/>
  <c r="B102" i="28"/>
  <c r="J101" i="28"/>
  <c r="I101" i="28"/>
  <c r="G101" i="28"/>
  <c r="D101" i="28"/>
  <c r="C101" i="28"/>
  <c r="B101" i="28"/>
  <c r="I100" i="28"/>
  <c r="J100" i="28" s="1"/>
  <c r="G100" i="28"/>
  <c r="D100" i="28"/>
  <c r="C100" i="28"/>
  <c r="B100" i="28"/>
  <c r="J99" i="28"/>
  <c r="I99" i="28"/>
  <c r="G99" i="28"/>
  <c r="D99" i="28"/>
  <c r="C99" i="28"/>
  <c r="B99" i="28"/>
  <c r="I98" i="28"/>
  <c r="J98" i="28" s="1"/>
  <c r="G98" i="28"/>
  <c r="D98" i="28"/>
  <c r="C98" i="28"/>
  <c r="B98" i="28"/>
  <c r="J97" i="28"/>
  <c r="I97" i="28"/>
  <c r="G97" i="28"/>
  <c r="D97" i="28"/>
  <c r="C97" i="28"/>
  <c r="B97" i="28"/>
  <c r="I96" i="28"/>
  <c r="J96" i="28" s="1"/>
  <c r="G96" i="28"/>
  <c r="D96" i="28"/>
  <c r="C96" i="28"/>
  <c r="B96" i="28"/>
  <c r="I95" i="28"/>
  <c r="J95" i="28" s="1"/>
  <c r="G95" i="28"/>
  <c r="D95" i="28"/>
  <c r="C95" i="28"/>
  <c r="B95" i="28"/>
  <c r="I94" i="28"/>
  <c r="J94" i="28" s="1"/>
  <c r="G94" i="28"/>
  <c r="D94" i="28"/>
  <c r="C94" i="28"/>
  <c r="B94" i="28"/>
  <c r="I93" i="28"/>
  <c r="J93" i="28" s="1"/>
  <c r="G93" i="28"/>
  <c r="D93" i="28"/>
  <c r="C93" i="28"/>
  <c r="B93" i="28"/>
  <c r="I92" i="28"/>
  <c r="J92" i="28" s="1"/>
  <c r="G92" i="28"/>
  <c r="D92" i="28"/>
  <c r="C92" i="28"/>
  <c r="B92" i="28"/>
  <c r="I91" i="28"/>
  <c r="J91" i="28" s="1"/>
  <c r="G91" i="28"/>
  <c r="D91" i="28"/>
  <c r="C91" i="28"/>
  <c r="B91" i="28"/>
  <c r="I90" i="28"/>
  <c r="J90" i="28" s="1"/>
  <c r="G90" i="28"/>
  <c r="D90" i="28"/>
  <c r="C90" i="28"/>
  <c r="B90" i="28"/>
  <c r="J89" i="28"/>
  <c r="I89" i="28"/>
  <c r="G89" i="28"/>
  <c r="D89" i="28"/>
  <c r="C89" i="28"/>
  <c r="B89" i="28"/>
  <c r="I88" i="28"/>
  <c r="J88" i="28" s="1"/>
  <c r="G88" i="28"/>
  <c r="D88" i="28"/>
  <c r="C88" i="28"/>
  <c r="B88" i="28"/>
  <c r="J87" i="28"/>
  <c r="I87" i="28"/>
  <c r="G87" i="28"/>
  <c r="D87" i="28"/>
  <c r="C87" i="28"/>
  <c r="B87" i="28"/>
  <c r="I86" i="28"/>
  <c r="J86" i="28" s="1"/>
  <c r="G86" i="28"/>
  <c r="D86" i="28"/>
  <c r="C86" i="28"/>
  <c r="B86" i="28"/>
  <c r="J85" i="28"/>
  <c r="I85" i="28"/>
  <c r="G85" i="28"/>
  <c r="D85" i="28"/>
  <c r="C85" i="28"/>
  <c r="B85" i="28"/>
  <c r="I84" i="28"/>
  <c r="J84" i="28" s="1"/>
  <c r="G84" i="28"/>
  <c r="D84" i="28"/>
  <c r="C84" i="28"/>
  <c r="B84" i="28"/>
  <c r="J83" i="28"/>
  <c r="I83" i="28"/>
  <c r="G83" i="28"/>
  <c r="D83" i="28"/>
  <c r="C83" i="28"/>
  <c r="B83" i="28"/>
  <c r="I82" i="28"/>
  <c r="J82" i="28" s="1"/>
  <c r="G82" i="28"/>
  <c r="D82" i="28"/>
  <c r="C82" i="28"/>
  <c r="B82" i="28"/>
  <c r="J81" i="28"/>
  <c r="I81" i="28"/>
  <c r="G81" i="28"/>
  <c r="D81" i="28"/>
  <c r="C81" i="28"/>
  <c r="B81" i="28"/>
  <c r="I80" i="28"/>
  <c r="J80" i="28" s="1"/>
  <c r="G80" i="28"/>
  <c r="D80" i="28"/>
  <c r="C80" i="28"/>
  <c r="B80" i="28"/>
  <c r="I79" i="28"/>
  <c r="J79" i="28" s="1"/>
  <c r="G79" i="28"/>
  <c r="D79" i="28"/>
  <c r="C79" i="28"/>
  <c r="B79" i="28"/>
  <c r="I78" i="28"/>
  <c r="J78" i="28" s="1"/>
  <c r="G78" i="28"/>
  <c r="D78" i="28"/>
  <c r="C78" i="28"/>
  <c r="B78" i="28"/>
  <c r="I77" i="28"/>
  <c r="J77" i="28" s="1"/>
  <c r="G77" i="28"/>
  <c r="D77" i="28"/>
  <c r="C77" i="28"/>
  <c r="B77" i="28"/>
  <c r="I76" i="28"/>
  <c r="J76" i="28" s="1"/>
  <c r="G76" i="28"/>
  <c r="D76" i="28"/>
  <c r="C76" i="28"/>
  <c r="B76" i="28"/>
  <c r="I75" i="28"/>
  <c r="J75" i="28" s="1"/>
  <c r="G75" i="28"/>
  <c r="D75" i="28"/>
  <c r="C75" i="28"/>
  <c r="B75" i="28"/>
  <c r="I74" i="28"/>
  <c r="J74" i="28" s="1"/>
  <c r="G74" i="28"/>
  <c r="D74" i="28"/>
  <c r="C74" i="28"/>
  <c r="B74" i="28"/>
  <c r="J73" i="28"/>
  <c r="I73" i="28"/>
  <c r="G73" i="28"/>
  <c r="D73" i="28"/>
  <c r="C73" i="28"/>
  <c r="B73" i="28"/>
  <c r="I72" i="28"/>
  <c r="J72" i="28" s="1"/>
  <c r="G72" i="28"/>
  <c r="D72" i="28"/>
  <c r="C72" i="28"/>
  <c r="B72" i="28"/>
  <c r="I71" i="28"/>
  <c r="J71" i="28" s="1"/>
  <c r="G71" i="28"/>
  <c r="D71" i="28"/>
  <c r="C71" i="28"/>
  <c r="B71" i="28"/>
  <c r="I70" i="28"/>
  <c r="J70" i="28" s="1"/>
  <c r="G70" i="28"/>
  <c r="D70" i="28"/>
  <c r="C70" i="28"/>
  <c r="B70" i="28"/>
  <c r="I69" i="28"/>
  <c r="J69" i="28" s="1"/>
  <c r="G69" i="28"/>
  <c r="D69" i="28"/>
  <c r="C69" i="28"/>
  <c r="B69" i="28"/>
  <c r="I68" i="28"/>
  <c r="J68" i="28" s="1"/>
  <c r="G68" i="28"/>
  <c r="D68" i="28"/>
  <c r="C68" i="28"/>
  <c r="B68" i="28"/>
  <c r="J67" i="28"/>
  <c r="I67" i="28"/>
  <c r="G67" i="28"/>
  <c r="D67" i="28"/>
  <c r="C67" i="28"/>
  <c r="B67" i="28"/>
  <c r="I66" i="28"/>
  <c r="J66" i="28" s="1"/>
  <c r="G66" i="28"/>
  <c r="D66" i="28"/>
  <c r="C66" i="28"/>
  <c r="B66" i="28"/>
  <c r="J65" i="28"/>
  <c r="I65" i="28"/>
  <c r="G65" i="28"/>
  <c r="D65" i="28"/>
  <c r="C65" i="28"/>
  <c r="B65" i="28"/>
  <c r="I64" i="28"/>
  <c r="J64" i="28" s="1"/>
  <c r="G64" i="28"/>
  <c r="D64" i="28"/>
  <c r="C64" i="28"/>
  <c r="B64" i="28"/>
  <c r="J63" i="28"/>
  <c r="I63" i="28"/>
  <c r="G63" i="28"/>
  <c r="D63" i="28"/>
  <c r="C63" i="28"/>
  <c r="B63" i="28"/>
  <c r="I62" i="28"/>
  <c r="J62" i="28" s="1"/>
  <c r="G62" i="28"/>
  <c r="D62" i="28"/>
  <c r="C62" i="28"/>
  <c r="B62" i="28"/>
  <c r="I61" i="28"/>
  <c r="J61" i="28" s="1"/>
  <c r="G61" i="28"/>
  <c r="D61" i="28"/>
  <c r="C61" i="28"/>
  <c r="B61" i="28"/>
  <c r="I60" i="28"/>
  <c r="J60" i="28" s="1"/>
  <c r="G60" i="28"/>
  <c r="D60" i="28"/>
  <c r="C60" i="28"/>
  <c r="B60" i="28"/>
  <c r="I59" i="28"/>
  <c r="J59" i="28" s="1"/>
  <c r="G59" i="28"/>
  <c r="D59" i="28"/>
  <c r="C59" i="28"/>
  <c r="B59" i="28"/>
  <c r="I58" i="28"/>
  <c r="J58" i="28" s="1"/>
  <c r="G58" i="28"/>
  <c r="D58" i="28"/>
  <c r="C58" i="28"/>
  <c r="B58" i="28"/>
  <c r="I57" i="28"/>
  <c r="J57" i="28" s="1"/>
  <c r="G57" i="28"/>
  <c r="D57" i="28"/>
  <c r="C57" i="28"/>
  <c r="B57" i="28"/>
  <c r="I56" i="28"/>
  <c r="J56" i="28" s="1"/>
  <c r="G56" i="28"/>
  <c r="D56" i="28"/>
  <c r="C56" i="28"/>
  <c r="B56" i="28"/>
  <c r="I55" i="28"/>
  <c r="J55" i="28" s="1"/>
  <c r="G55" i="28"/>
  <c r="D55" i="28"/>
  <c r="C55" i="28"/>
  <c r="B55" i="28"/>
  <c r="I54" i="28"/>
  <c r="J54" i="28" s="1"/>
  <c r="G54" i="28"/>
  <c r="D54" i="28"/>
  <c r="C54" i="28"/>
  <c r="B54" i="28"/>
  <c r="J53" i="28"/>
  <c r="I53" i="28"/>
  <c r="G53" i="28"/>
  <c r="D53" i="28"/>
  <c r="C53" i="28"/>
  <c r="B53" i="28"/>
  <c r="I52" i="28"/>
  <c r="J52" i="28" s="1"/>
  <c r="G52" i="28"/>
  <c r="D52" i="28"/>
  <c r="C52" i="28"/>
  <c r="B52" i="28"/>
  <c r="J51" i="28"/>
  <c r="I51" i="28"/>
  <c r="G51" i="28"/>
  <c r="D51" i="28"/>
  <c r="C51" i="28"/>
  <c r="B51" i="28"/>
  <c r="I50" i="28"/>
  <c r="J50" i="28" s="1"/>
  <c r="G50" i="28"/>
  <c r="D50" i="28"/>
  <c r="C50" i="28"/>
  <c r="B50" i="28"/>
  <c r="J49" i="28"/>
  <c r="I49" i="28"/>
  <c r="G49" i="28"/>
  <c r="D49" i="28"/>
  <c r="C49" i="28"/>
  <c r="B49" i="28"/>
  <c r="I48" i="28"/>
  <c r="J48" i="28" s="1"/>
  <c r="G48" i="28"/>
  <c r="D48" i="28"/>
  <c r="C48" i="28"/>
  <c r="B48" i="28"/>
  <c r="J47" i="28"/>
  <c r="I47" i="28"/>
  <c r="G47" i="28"/>
  <c r="D47" i="28"/>
  <c r="C47" i="28"/>
  <c r="B47" i="28"/>
  <c r="I46" i="28"/>
  <c r="J46" i="28" s="1"/>
  <c r="G46" i="28"/>
  <c r="D46" i="28"/>
  <c r="C46" i="28"/>
  <c r="B46" i="28"/>
  <c r="I45" i="28"/>
  <c r="J45" i="28" s="1"/>
  <c r="G45" i="28"/>
  <c r="D45" i="28"/>
  <c r="C45" i="28"/>
  <c r="B45" i="28"/>
  <c r="I44" i="28"/>
  <c r="J44" i="28" s="1"/>
  <c r="G44" i="28"/>
  <c r="D44" i="28"/>
  <c r="C44" i="28"/>
  <c r="B44" i="28"/>
  <c r="I43" i="28"/>
  <c r="J43" i="28" s="1"/>
  <c r="G43" i="28"/>
  <c r="D43" i="28"/>
  <c r="C43" i="28"/>
  <c r="B43" i="28"/>
  <c r="I42" i="28"/>
  <c r="J42" i="28" s="1"/>
  <c r="G42" i="28"/>
  <c r="D42" i="28"/>
  <c r="C42" i="28"/>
  <c r="B42" i="28"/>
  <c r="J41" i="28"/>
  <c r="I41" i="28"/>
  <c r="G41" i="28"/>
  <c r="D41" i="28"/>
  <c r="C41" i="28"/>
  <c r="B41" i="28"/>
  <c r="I40" i="28"/>
  <c r="J40" i="28" s="1"/>
  <c r="G40" i="28"/>
  <c r="D40" i="28"/>
  <c r="C40" i="28"/>
  <c r="B40" i="28"/>
  <c r="J39" i="28"/>
  <c r="I39" i="28"/>
  <c r="G39" i="28"/>
  <c r="D39" i="28"/>
  <c r="C39" i="28"/>
  <c r="B39" i="28"/>
  <c r="J38" i="28"/>
  <c r="I38" i="28"/>
  <c r="G38" i="28"/>
  <c r="D38" i="28"/>
  <c r="C38" i="28"/>
  <c r="B38" i="28"/>
  <c r="I37" i="28"/>
  <c r="J37" i="28" s="1"/>
  <c r="G37" i="28"/>
  <c r="D37" i="28"/>
  <c r="C37" i="28"/>
  <c r="B37" i="28"/>
  <c r="I36" i="28"/>
  <c r="J36" i="28" s="1"/>
  <c r="G36" i="28"/>
  <c r="D36" i="28"/>
  <c r="C36" i="28"/>
  <c r="B36" i="28"/>
  <c r="I35" i="28"/>
  <c r="J35" i="28" s="1"/>
  <c r="G35" i="28"/>
  <c r="D35" i="28"/>
  <c r="C35" i="28"/>
  <c r="B35" i="28"/>
  <c r="J34" i="28"/>
  <c r="I34" i="28"/>
  <c r="G34" i="28"/>
  <c r="D34" i="28"/>
  <c r="C34" i="28"/>
  <c r="B34" i="28"/>
  <c r="J33" i="28"/>
  <c r="I33" i="28"/>
  <c r="G33" i="28"/>
  <c r="D33" i="28"/>
  <c r="C33" i="28"/>
  <c r="B33" i="28"/>
  <c r="I32" i="28"/>
  <c r="J32" i="28" s="1"/>
  <c r="G32" i="28"/>
  <c r="D32" i="28"/>
  <c r="C32" i="28"/>
  <c r="B32" i="28"/>
  <c r="J31" i="28"/>
  <c r="I31" i="28"/>
  <c r="G31" i="28"/>
  <c r="D31" i="28"/>
  <c r="C31" i="28"/>
  <c r="B31" i="28"/>
  <c r="J30" i="28"/>
  <c r="I30" i="28"/>
  <c r="G30" i="28"/>
  <c r="D30" i="28"/>
  <c r="C30" i="28"/>
  <c r="B30" i="28"/>
  <c r="I29" i="28"/>
  <c r="J29" i="28" s="1"/>
  <c r="G29" i="28"/>
  <c r="D29" i="28"/>
  <c r="C29" i="28"/>
  <c r="B29" i="28"/>
  <c r="I28" i="28"/>
  <c r="J28" i="28" s="1"/>
  <c r="G28" i="28"/>
  <c r="D28" i="28"/>
  <c r="C28" i="28"/>
  <c r="B28" i="28"/>
  <c r="J27" i="28"/>
  <c r="I27" i="28"/>
  <c r="G27" i="28"/>
  <c r="D27" i="28"/>
  <c r="C27" i="28"/>
  <c r="B27" i="28"/>
  <c r="J26" i="28"/>
  <c r="I26" i="28"/>
  <c r="G26" i="28"/>
  <c r="D26" i="28"/>
  <c r="C26" i="28"/>
  <c r="B26" i="28"/>
  <c r="J25" i="28"/>
  <c r="I25" i="28"/>
  <c r="G25" i="28"/>
  <c r="D25" i="28"/>
  <c r="C25" i="28"/>
  <c r="B25" i="28"/>
  <c r="I24" i="28"/>
  <c r="J24" i="28" s="1"/>
  <c r="G24" i="28"/>
  <c r="D24" i="28"/>
  <c r="C24" i="28"/>
  <c r="B24" i="28"/>
  <c r="I23" i="28"/>
  <c r="J23" i="28" s="1"/>
  <c r="G23" i="28"/>
  <c r="D23" i="28"/>
  <c r="C23" i="28"/>
  <c r="B23" i="28"/>
  <c r="J22" i="28"/>
  <c r="I22" i="28"/>
  <c r="G22" i="28"/>
  <c r="D22" i="28"/>
  <c r="C22" i="28"/>
  <c r="B22" i="28"/>
  <c r="J21" i="28"/>
  <c r="I21" i="28"/>
  <c r="G21" i="28"/>
  <c r="D21" i="28"/>
  <c r="C21" i="28"/>
  <c r="B21" i="28"/>
  <c r="I20" i="28"/>
  <c r="J20" i="28" s="1"/>
  <c r="G20" i="28"/>
  <c r="D20" i="28"/>
  <c r="C20" i="28"/>
  <c r="B20" i="28"/>
  <c r="J19" i="28"/>
  <c r="I19" i="28"/>
  <c r="G19" i="28"/>
  <c r="D19" i="28"/>
  <c r="C19" i="28"/>
  <c r="B19" i="28"/>
  <c r="J18" i="28"/>
  <c r="I18" i="28"/>
  <c r="G18" i="28"/>
  <c r="D18" i="28"/>
  <c r="C18" i="28"/>
  <c r="B18" i="28"/>
  <c r="I17" i="28"/>
  <c r="J17" i="28" s="1"/>
  <c r="G17" i="28"/>
  <c r="D17" i="28"/>
  <c r="C17" i="28"/>
  <c r="B17" i="28"/>
  <c r="I16" i="28"/>
  <c r="J16" i="28" s="1"/>
  <c r="G16" i="28"/>
  <c r="D16" i="28"/>
  <c r="C16" i="28"/>
  <c r="B16" i="28"/>
  <c r="I15" i="28"/>
  <c r="J15" i="28" s="1"/>
  <c r="G15" i="28"/>
  <c r="D15" i="28"/>
  <c r="C15" i="28"/>
  <c r="B15" i="28"/>
  <c r="J14" i="28"/>
  <c r="I14" i="28"/>
  <c r="G14" i="28"/>
  <c r="D14" i="28"/>
  <c r="C14" i="28"/>
  <c r="B14" i="28"/>
  <c r="J13" i="28"/>
  <c r="I13" i="28"/>
  <c r="G13" i="28"/>
  <c r="D13" i="28"/>
  <c r="C13" i="28"/>
  <c r="B13" i="28"/>
  <c r="I12" i="28"/>
  <c r="J12" i="28" s="1"/>
  <c r="G12" i="28"/>
  <c r="D12" i="28"/>
  <c r="C12" i="28"/>
  <c r="B12" i="28"/>
  <c r="J11" i="28"/>
  <c r="I11" i="28"/>
  <c r="G11" i="28"/>
  <c r="D11" i="28"/>
  <c r="C11" i="28"/>
  <c r="B11" i="28"/>
  <c r="G10" i="28"/>
  <c r="D10" i="28"/>
  <c r="C10" i="28"/>
  <c r="I10" i="28" s="1"/>
  <c r="J10" i="28" s="1"/>
  <c r="B10" i="28"/>
  <c r="I9" i="28"/>
  <c r="J9" i="28" s="1"/>
  <c r="D9" i="28"/>
  <c r="C9" i="28"/>
  <c r="G9" i="28" s="1"/>
  <c r="B9" i="28"/>
  <c r="J4" i="28"/>
  <c r="G4" i="28"/>
  <c r="D4" i="28"/>
  <c r="A4" i="28"/>
  <c r="I208" i="27"/>
  <c r="H208" i="27"/>
  <c r="F208" i="27"/>
  <c r="D208" i="27"/>
  <c r="C208" i="27"/>
  <c r="B208" i="27"/>
  <c r="H207" i="27"/>
  <c r="I207" i="27" s="1"/>
  <c r="F207" i="27"/>
  <c r="D207" i="27"/>
  <c r="C207" i="27"/>
  <c r="B207" i="27"/>
  <c r="H206" i="27"/>
  <c r="I206" i="27" s="1"/>
  <c r="F206" i="27"/>
  <c r="D206" i="27"/>
  <c r="C206" i="27"/>
  <c r="B206" i="27"/>
  <c r="H205" i="27"/>
  <c r="I205" i="27" s="1"/>
  <c r="F205" i="27"/>
  <c r="D205" i="27"/>
  <c r="C205" i="27"/>
  <c r="B205" i="27"/>
  <c r="I204" i="27"/>
  <c r="H204" i="27"/>
  <c r="F204" i="27"/>
  <c r="D204" i="27"/>
  <c r="C204" i="27"/>
  <c r="B204" i="27"/>
  <c r="H203" i="27"/>
  <c r="I203" i="27" s="1"/>
  <c r="F203" i="27"/>
  <c r="D203" i="27"/>
  <c r="C203" i="27"/>
  <c r="B203" i="27"/>
  <c r="H202" i="27"/>
  <c r="I202" i="27" s="1"/>
  <c r="F202" i="27"/>
  <c r="D202" i="27"/>
  <c r="C202" i="27"/>
  <c r="B202" i="27"/>
  <c r="I201" i="27"/>
  <c r="H201" i="27"/>
  <c r="F201" i="27"/>
  <c r="D201" i="27"/>
  <c r="C201" i="27"/>
  <c r="B201" i="27"/>
  <c r="I200" i="27"/>
  <c r="H200" i="27"/>
  <c r="F200" i="27"/>
  <c r="D200" i="27"/>
  <c r="C200" i="27"/>
  <c r="B200" i="27"/>
  <c r="H199" i="27"/>
  <c r="I199" i="27" s="1"/>
  <c r="F199" i="27"/>
  <c r="D199" i="27"/>
  <c r="C199" i="27"/>
  <c r="B199" i="27"/>
  <c r="H198" i="27"/>
  <c r="I198" i="27" s="1"/>
  <c r="F198" i="27"/>
  <c r="D198" i="27"/>
  <c r="C198" i="27"/>
  <c r="B198" i="27"/>
  <c r="I197" i="27"/>
  <c r="H197" i="27"/>
  <c r="F197" i="27"/>
  <c r="D197" i="27"/>
  <c r="C197" i="27"/>
  <c r="B197" i="27"/>
  <c r="I196" i="27"/>
  <c r="H196" i="27"/>
  <c r="F196" i="27"/>
  <c r="D196" i="27"/>
  <c r="C196" i="27"/>
  <c r="B196" i="27"/>
  <c r="I195" i="27"/>
  <c r="H195" i="27"/>
  <c r="F195" i="27"/>
  <c r="D195" i="27"/>
  <c r="C195" i="27"/>
  <c r="B195" i="27"/>
  <c r="H194" i="27"/>
  <c r="I194" i="27" s="1"/>
  <c r="F194" i="27"/>
  <c r="D194" i="27"/>
  <c r="C194" i="27"/>
  <c r="B194" i="27"/>
  <c r="I193" i="27"/>
  <c r="H193" i="27"/>
  <c r="F193" i="27"/>
  <c r="D193" i="27"/>
  <c r="C193" i="27"/>
  <c r="B193" i="27"/>
  <c r="I192" i="27"/>
  <c r="H192" i="27"/>
  <c r="F192" i="27"/>
  <c r="D192" i="27"/>
  <c r="C192" i="27"/>
  <c r="B192" i="27"/>
  <c r="I191" i="27"/>
  <c r="H191" i="27"/>
  <c r="F191" i="27"/>
  <c r="D191" i="27"/>
  <c r="C191" i="27"/>
  <c r="B191" i="27"/>
  <c r="H190" i="27"/>
  <c r="I190" i="27" s="1"/>
  <c r="F190" i="27"/>
  <c r="D190" i="27"/>
  <c r="C190" i="27"/>
  <c r="B190" i="27"/>
  <c r="I189" i="27"/>
  <c r="H189" i="27"/>
  <c r="F189" i="27"/>
  <c r="D189" i="27"/>
  <c r="C189" i="27"/>
  <c r="B189" i="27"/>
  <c r="I188" i="27"/>
  <c r="H188" i="27"/>
  <c r="F188" i="27"/>
  <c r="D188" i="27"/>
  <c r="C188" i="27"/>
  <c r="B188" i="27"/>
  <c r="I187" i="27"/>
  <c r="H187" i="27"/>
  <c r="F187" i="27"/>
  <c r="D187" i="27"/>
  <c r="C187" i="27"/>
  <c r="B187" i="27"/>
  <c r="H186" i="27"/>
  <c r="I186" i="27" s="1"/>
  <c r="F186" i="27"/>
  <c r="D186" i="27"/>
  <c r="C186" i="27"/>
  <c r="B186" i="27"/>
  <c r="I185" i="27"/>
  <c r="H185" i="27"/>
  <c r="F185" i="27"/>
  <c r="D185" i="27"/>
  <c r="C185" i="27"/>
  <c r="B185" i="27"/>
  <c r="I184" i="27"/>
  <c r="H184" i="27"/>
  <c r="F184" i="27"/>
  <c r="D184" i="27"/>
  <c r="C184" i="27"/>
  <c r="B184" i="27"/>
  <c r="I183" i="27"/>
  <c r="H183" i="27"/>
  <c r="F183" i="27"/>
  <c r="D183" i="27"/>
  <c r="C183" i="27"/>
  <c r="B183" i="27"/>
  <c r="H182" i="27"/>
  <c r="I182" i="27" s="1"/>
  <c r="F182" i="27"/>
  <c r="D182" i="27"/>
  <c r="C182" i="27"/>
  <c r="B182" i="27"/>
  <c r="I181" i="27"/>
  <c r="H181" i="27"/>
  <c r="F181" i="27"/>
  <c r="D181" i="27"/>
  <c r="C181" i="27"/>
  <c r="B181" i="27"/>
  <c r="I180" i="27"/>
  <c r="H180" i="27"/>
  <c r="F180" i="27"/>
  <c r="D180" i="27"/>
  <c r="C180" i="27"/>
  <c r="B180" i="27"/>
  <c r="I179" i="27"/>
  <c r="H179" i="27"/>
  <c r="F179" i="27"/>
  <c r="D179" i="27"/>
  <c r="C179" i="27"/>
  <c r="B179" i="27"/>
  <c r="H178" i="27"/>
  <c r="I178" i="27" s="1"/>
  <c r="F178" i="27"/>
  <c r="D178" i="27"/>
  <c r="C178" i="27"/>
  <c r="B178" i="27"/>
  <c r="I177" i="27"/>
  <c r="H177" i="27"/>
  <c r="F177" i="27"/>
  <c r="D177" i="27"/>
  <c r="C177" i="27"/>
  <c r="B177" i="27"/>
  <c r="I176" i="27"/>
  <c r="H176" i="27"/>
  <c r="F176" i="27"/>
  <c r="D176" i="27"/>
  <c r="C176" i="27"/>
  <c r="B176" i="27"/>
  <c r="I175" i="27"/>
  <c r="H175" i="27"/>
  <c r="F175" i="27"/>
  <c r="D175" i="27"/>
  <c r="C175" i="27"/>
  <c r="B175" i="27"/>
  <c r="H174" i="27"/>
  <c r="I174" i="27" s="1"/>
  <c r="F174" i="27"/>
  <c r="D174" i="27"/>
  <c r="C174" i="27"/>
  <c r="B174" i="27"/>
  <c r="I173" i="27"/>
  <c r="H173" i="27"/>
  <c r="F173" i="27"/>
  <c r="D173" i="27"/>
  <c r="C173" i="27"/>
  <c r="B173" i="27"/>
  <c r="I172" i="27"/>
  <c r="H172" i="27"/>
  <c r="F172" i="27"/>
  <c r="D172" i="27"/>
  <c r="C172" i="27"/>
  <c r="B172" i="27"/>
  <c r="I171" i="27"/>
  <c r="H171" i="27"/>
  <c r="F171" i="27"/>
  <c r="D171" i="27"/>
  <c r="C171" i="27"/>
  <c r="B171" i="27"/>
  <c r="H170" i="27"/>
  <c r="I170" i="27" s="1"/>
  <c r="F170" i="27"/>
  <c r="D170" i="27"/>
  <c r="C170" i="27"/>
  <c r="B170" i="27"/>
  <c r="I169" i="27"/>
  <c r="H169" i="27"/>
  <c r="F169" i="27"/>
  <c r="D169" i="27"/>
  <c r="C169" i="27"/>
  <c r="B169" i="27"/>
  <c r="I168" i="27"/>
  <c r="H168" i="27"/>
  <c r="F168" i="27"/>
  <c r="D168" i="27"/>
  <c r="C168" i="27"/>
  <c r="B168" i="27"/>
  <c r="I167" i="27"/>
  <c r="H167" i="27"/>
  <c r="F167" i="27"/>
  <c r="D167" i="27"/>
  <c r="C167" i="27"/>
  <c r="B167" i="27"/>
  <c r="H166" i="27"/>
  <c r="I166" i="27" s="1"/>
  <c r="F166" i="27"/>
  <c r="D166" i="27"/>
  <c r="C166" i="27"/>
  <c r="B166" i="27"/>
  <c r="I165" i="27"/>
  <c r="H165" i="27"/>
  <c r="F165" i="27"/>
  <c r="D165" i="27"/>
  <c r="C165" i="27"/>
  <c r="B165" i="27"/>
  <c r="I164" i="27"/>
  <c r="H164" i="27"/>
  <c r="F164" i="27"/>
  <c r="D164" i="27"/>
  <c r="C164" i="27"/>
  <c r="B164" i="27"/>
  <c r="I163" i="27"/>
  <c r="H163" i="27"/>
  <c r="F163" i="27"/>
  <c r="D163" i="27"/>
  <c r="C163" i="27"/>
  <c r="B163" i="27"/>
  <c r="H162" i="27"/>
  <c r="I162" i="27" s="1"/>
  <c r="F162" i="27"/>
  <c r="D162" i="27"/>
  <c r="C162" i="27"/>
  <c r="B162" i="27"/>
  <c r="I161" i="27"/>
  <c r="H161" i="27"/>
  <c r="F161" i="27"/>
  <c r="D161" i="27"/>
  <c r="C161" i="27"/>
  <c r="B161" i="27"/>
  <c r="I160" i="27"/>
  <c r="H160" i="27"/>
  <c r="F160" i="27"/>
  <c r="D160" i="27"/>
  <c r="C160" i="27"/>
  <c r="B160" i="27"/>
  <c r="I159" i="27"/>
  <c r="H159" i="27"/>
  <c r="F159" i="27"/>
  <c r="D159" i="27"/>
  <c r="C159" i="27"/>
  <c r="B159" i="27"/>
  <c r="H158" i="27"/>
  <c r="I158" i="27" s="1"/>
  <c r="F158" i="27"/>
  <c r="D158" i="27"/>
  <c r="C158" i="27"/>
  <c r="B158" i="27"/>
  <c r="I157" i="27"/>
  <c r="H157" i="27"/>
  <c r="F157" i="27"/>
  <c r="D157" i="27"/>
  <c r="C157" i="27"/>
  <c r="B157" i="27"/>
  <c r="I156" i="27"/>
  <c r="H156" i="27"/>
  <c r="F156" i="27"/>
  <c r="D156" i="27"/>
  <c r="C156" i="27"/>
  <c r="B156" i="27"/>
  <c r="I155" i="27"/>
  <c r="H155" i="27"/>
  <c r="F155" i="27"/>
  <c r="D155" i="27"/>
  <c r="C155" i="27"/>
  <c r="B155" i="27"/>
  <c r="H154" i="27"/>
  <c r="I154" i="27" s="1"/>
  <c r="F154" i="27"/>
  <c r="D154" i="27"/>
  <c r="C154" i="27"/>
  <c r="B154" i="27"/>
  <c r="I153" i="27"/>
  <c r="H153" i="27"/>
  <c r="F153" i="27"/>
  <c r="D153" i="27"/>
  <c r="C153" i="27"/>
  <c r="B153" i="27"/>
  <c r="I152" i="27"/>
  <c r="H152" i="27"/>
  <c r="F152" i="27"/>
  <c r="D152" i="27"/>
  <c r="C152" i="27"/>
  <c r="B152" i="27"/>
  <c r="I151" i="27"/>
  <c r="H151" i="27"/>
  <c r="F151" i="27"/>
  <c r="D151" i="27"/>
  <c r="C151" i="27"/>
  <c r="B151" i="27"/>
  <c r="H150" i="27"/>
  <c r="I150" i="27" s="1"/>
  <c r="F150" i="27"/>
  <c r="D150" i="27"/>
  <c r="C150" i="27"/>
  <c r="B150" i="27"/>
  <c r="I149" i="27"/>
  <c r="H149" i="27"/>
  <c r="F149" i="27"/>
  <c r="D149" i="27"/>
  <c r="C149" i="27"/>
  <c r="B149" i="27"/>
  <c r="I148" i="27"/>
  <c r="H148" i="27"/>
  <c r="F148" i="27"/>
  <c r="D148" i="27"/>
  <c r="C148" i="27"/>
  <c r="B148" i="27"/>
  <c r="I147" i="27"/>
  <c r="H147" i="27"/>
  <c r="F147" i="27"/>
  <c r="D147" i="27"/>
  <c r="C147" i="27"/>
  <c r="B147" i="27"/>
  <c r="H146" i="27"/>
  <c r="I146" i="27" s="1"/>
  <c r="F146" i="27"/>
  <c r="D146" i="27"/>
  <c r="C146" i="27"/>
  <c r="B146" i="27"/>
  <c r="I145" i="27"/>
  <c r="H145" i="27"/>
  <c r="F145" i="27"/>
  <c r="D145" i="27"/>
  <c r="C145" i="27"/>
  <c r="B145" i="27"/>
  <c r="I144" i="27"/>
  <c r="H144" i="27"/>
  <c r="F144" i="27"/>
  <c r="D144" i="27"/>
  <c r="C144" i="27"/>
  <c r="B144" i="27"/>
  <c r="I143" i="27"/>
  <c r="H143" i="27"/>
  <c r="F143" i="27"/>
  <c r="D143" i="27"/>
  <c r="C143" i="27"/>
  <c r="B143" i="27"/>
  <c r="H142" i="27"/>
  <c r="I142" i="27" s="1"/>
  <c r="F142" i="27"/>
  <c r="D142" i="27"/>
  <c r="C142" i="27"/>
  <c r="B142" i="27"/>
  <c r="I141" i="27"/>
  <c r="H141" i="27"/>
  <c r="F141" i="27"/>
  <c r="D141" i="27"/>
  <c r="C141" i="27"/>
  <c r="B141" i="27"/>
  <c r="I140" i="27"/>
  <c r="H140" i="27"/>
  <c r="F140" i="27"/>
  <c r="D140" i="27"/>
  <c r="C140" i="27"/>
  <c r="B140" i="27"/>
  <c r="I139" i="27"/>
  <c r="H139" i="27"/>
  <c r="F139" i="27"/>
  <c r="D139" i="27"/>
  <c r="C139" i="27"/>
  <c r="B139" i="27"/>
  <c r="H138" i="27"/>
  <c r="I138" i="27" s="1"/>
  <c r="F138" i="27"/>
  <c r="D138" i="27"/>
  <c r="C138" i="27"/>
  <c r="B138" i="27"/>
  <c r="I137" i="27"/>
  <c r="H137" i="27"/>
  <c r="F137" i="27"/>
  <c r="D137" i="27"/>
  <c r="C137" i="27"/>
  <c r="B137" i="27"/>
  <c r="I136" i="27"/>
  <c r="H136" i="27"/>
  <c r="F136" i="27"/>
  <c r="D136" i="27"/>
  <c r="C136" i="27"/>
  <c r="B136" i="27"/>
  <c r="I135" i="27"/>
  <c r="H135" i="27"/>
  <c r="F135" i="27"/>
  <c r="D135" i="27"/>
  <c r="C135" i="27"/>
  <c r="B135" i="27"/>
  <c r="H134" i="27"/>
  <c r="I134" i="27" s="1"/>
  <c r="F134" i="27"/>
  <c r="D134" i="27"/>
  <c r="C134" i="27"/>
  <c r="B134" i="27"/>
  <c r="I133" i="27"/>
  <c r="H133" i="27"/>
  <c r="F133" i="27"/>
  <c r="D133" i="27"/>
  <c r="C133" i="27"/>
  <c r="B133" i="27"/>
  <c r="I132" i="27"/>
  <c r="H132" i="27"/>
  <c r="F132" i="27"/>
  <c r="D132" i="27"/>
  <c r="C132" i="27"/>
  <c r="B132" i="27"/>
  <c r="I131" i="27"/>
  <c r="H131" i="27"/>
  <c r="F131" i="27"/>
  <c r="D131" i="27"/>
  <c r="C131" i="27"/>
  <c r="B131" i="27"/>
  <c r="H130" i="27"/>
  <c r="I130" i="27" s="1"/>
  <c r="F130" i="27"/>
  <c r="D130" i="27"/>
  <c r="C130" i="27"/>
  <c r="B130" i="27"/>
  <c r="I129" i="27"/>
  <c r="H129" i="27"/>
  <c r="F129" i="27"/>
  <c r="D129" i="27"/>
  <c r="C129" i="27"/>
  <c r="B129" i="27"/>
  <c r="I128" i="27"/>
  <c r="H128" i="27"/>
  <c r="F128" i="27"/>
  <c r="D128" i="27"/>
  <c r="C128" i="27"/>
  <c r="B128" i="27"/>
  <c r="I127" i="27"/>
  <c r="H127" i="27"/>
  <c r="F127" i="27"/>
  <c r="D127" i="27"/>
  <c r="C127" i="27"/>
  <c r="B127" i="27"/>
  <c r="H126" i="27"/>
  <c r="I126" i="27" s="1"/>
  <c r="F126" i="27"/>
  <c r="D126" i="27"/>
  <c r="C126" i="27"/>
  <c r="B126" i="27"/>
  <c r="I125" i="27"/>
  <c r="H125" i="27"/>
  <c r="F125" i="27"/>
  <c r="D125" i="27"/>
  <c r="C125" i="27"/>
  <c r="B125" i="27"/>
  <c r="I124" i="27"/>
  <c r="H124" i="27"/>
  <c r="F124" i="27"/>
  <c r="D124" i="27"/>
  <c r="C124" i="27"/>
  <c r="B124" i="27"/>
  <c r="I123" i="27"/>
  <c r="H123" i="27"/>
  <c r="F123" i="27"/>
  <c r="D123" i="27"/>
  <c r="C123" i="27"/>
  <c r="B123" i="27"/>
  <c r="H122" i="27"/>
  <c r="I122" i="27" s="1"/>
  <c r="F122" i="27"/>
  <c r="D122" i="27"/>
  <c r="C122" i="27"/>
  <c r="B122" i="27"/>
  <c r="I121" i="27"/>
  <c r="H121" i="27"/>
  <c r="F121" i="27"/>
  <c r="D121" i="27"/>
  <c r="C121" i="27"/>
  <c r="B121" i="27"/>
  <c r="I120" i="27"/>
  <c r="H120" i="27"/>
  <c r="F120" i="27"/>
  <c r="D120" i="27"/>
  <c r="C120" i="27"/>
  <c r="B120" i="27"/>
  <c r="I119" i="27"/>
  <c r="H119" i="27"/>
  <c r="F119" i="27"/>
  <c r="D119" i="27"/>
  <c r="C119" i="27"/>
  <c r="B119" i="27"/>
  <c r="H118" i="27"/>
  <c r="I118" i="27" s="1"/>
  <c r="F118" i="27"/>
  <c r="D118" i="27"/>
  <c r="C118" i="27"/>
  <c r="B118" i="27"/>
  <c r="I117" i="27"/>
  <c r="H117" i="27"/>
  <c r="F117" i="27"/>
  <c r="D117" i="27"/>
  <c r="C117" i="27"/>
  <c r="B117" i="27"/>
  <c r="I116" i="27"/>
  <c r="H116" i="27"/>
  <c r="F116" i="27"/>
  <c r="D116" i="27"/>
  <c r="C116" i="27"/>
  <c r="B116" i="27"/>
  <c r="I115" i="27"/>
  <c r="H115" i="27"/>
  <c r="F115" i="27"/>
  <c r="D115" i="27"/>
  <c r="C115" i="27"/>
  <c r="B115" i="27"/>
  <c r="H114" i="27"/>
  <c r="I114" i="27" s="1"/>
  <c r="F114" i="27"/>
  <c r="D114" i="27"/>
  <c r="C114" i="27"/>
  <c r="B114" i="27"/>
  <c r="I113" i="27"/>
  <c r="H113" i="27"/>
  <c r="F113" i="27"/>
  <c r="D113" i="27"/>
  <c r="C113" i="27"/>
  <c r="B113" i="27"/>
  <c r="I112" i="27"/>
  <c r="H112" i="27"/>
  <c r="F112" i="27"/>
  <c r="D112" i="27"/>
  <c r="C112" i="27"/>
  <c r="B112" i="27"/>
  <c r="I111" i="27"/>
  <c r="H111" i="27"/>
  <c r="F111" i="27"/>
  <c r="D111" i="27"/>
  <c r="C111" i="27"/>
  <c r="B111" i="27"/>
  <c r="H110" i="27"/>
  <c r="I110" i="27" s="1"/>
  <c r="F110" i="27"/>
  <c r="D110" i="27"/>
  <c r="C110" i="27"/>
  <c r="B110" i="27"/>
  <c r="I109" i="27"/>
  <c r="H109" i="27"/>
  <c r="F109" i="27"/>
  <c r="D109" i="27"/>
  <c r="C109" i="27"/>
  <c r="B109" i="27"/>
  <c r="I108" i="27"/>
  <c r="H108" i="27"/>
  <c r="F108" i="27"/>
  <c r="D108" i="27"/>
  <c r="C108" i="27"/>
  <c r="B108" i="27"/>
  <c r="I107" i="27"/>
  <c r="H107" i="27"/>
  <c r="F107" i="27"/>
  <c r="D107" i="27"/>
  <c r="C107" i="27"/>
  <c r="B107" i="27"/>
  <c r="H106" i="27"/>
  <c r="I106" i="27" s="1"/>
  <c r="F106" i="27"/>
  <c r="D106" i="27"/>
  <c r="C106" i="27"/>
  <c r="B106" i="27"/>
  <c r="I105" i="27"/>
  <c r="H105" i="27"/>
  <c r="F105" i="27"/>
  <c r="D105" i="27"/>
  <c r="C105" i="27"/>
  <c r="B105" i="27"/>
  <c r="I104" i="27"/>
  <c r="H104" i="27"/>
  <c r="F104" i="27"/>
  <c r="D104" i="27"/>
  <c r="C104" i="27"/>
  <c r="B104" i="27"/>
  <c r="I103" i="27"/>
  <c r="H103" i="27"/>
  <c r="F103" i="27"/>
  <c r="D103" i="27"/>
  <c r="C103" i="27"/>
  <c r="B103" i="27"/>
  <c r="H102" i="27"/>
  <c r="I102" i="27" s="1"/>
  <c r="F102" i="27"/>
  <c r="D102" i="27"/>
  <c r="C102" i="27"/>
  <c r="B102" i="27"/>
  <c r="I101" i="27"/>
  <c r="H101" i="27"/>
  <c r="F101" i="27"/>
  <c r="D101" i="27"/>
  <c r="C101" i="27"/>
  <c r="B101" i="27"/>
  <c r="I100" i="27"/>
  <c r="H100" i="27"/>
  <c r="F100" i="27"/>
  <c r="D100" i="27"/>
  <c r="C100" i="27"/>
  <c r="B100" i="27"/>
  <c r="I99" i="27"/>
  <c r="H99" i="27"/>
  <c r="F99" i="27"/>
  <c r="D99" i="27"/>
  <c r="C99" i="27"/>
  <c r="B99" i="27"/>
  <c r="H98" i="27"/>
  <c r="I98" i="27" s="1"/>
  <c r="F98" i="27"/>
  <c r="D98" i="27"/>
  <c r="C98" i="27"/>
  <c r="B98" i="27"/>
  <c r="I97" i="27"/>
  <c r="H97" i="27"/>
  <c r="F97" i="27"/>
  <c r="D97" i="27"/>
  <c r="C97" i="27"/>
  <c r="B97" i="27"/>
  <c r="I96" i="27"/>
  <c r="H96" i="27"/>
  <c r="F96" i="27"/>
  <c r="D96" i="27"/>
  <c r="C96" i="27"/>
  <c r="B96" i="27"/>
  <c r="I95" i="27"/>
  <c r="H95" i="27"/>
  <c r="F95" i="27"/>
  <c r="D95" i="27"/>
  <c r="C95" i="27"/>
  <c r="B95" i="27"/>
  <c r="H94" i="27"/>
  <c r="I94" i="27" s="1"/>
  <c r="F94" i="27"/>
  <c r="D94" i="27"/>
  <c r="C94" i="27"/>
  <c r="B94" i="27"/>
  <c r="I93" i="27"/>
  <c r="H93" i="27"/>
  <c r="F93" i="27"/>
  <c r="D93" i="27"/>
  <c r="C93" i="27"/>
  <c r="B93" i="27"/>
  <c r="I92" i="27"/>
  <c r="H92" i="27"/>
  <c r="F92" i="27"/>
  <c r="D92" i="27"/>
  <c r="C92" i="27"/>
  <c r="B92" i="27"/>
  <c r="I91" i="27"/>
  <c r="H91" i="27"/>
  <c r="F91" i="27"/>
  <c r="D91" i="27"/>
  <c r="C91" i="27"/>
  <c r="B91" i="27"/>
  <c r="H90" i="27"/>
  <c r="I90" i="27" s="1"/>
  <c r="F90" i="27"/>
  <c r="D90" i="27"/>
  <c r="C90" i="27"/>
  <c r="B90" i="27"/>
  <c r="I89" i="27"/>
  <c r="H89" i="27"/>
  <c r="F89" i="27"/>
  <c r="D89" i="27"/>
  <c r="C89" i="27"/>
  <c r="B89" i="27"/>
  <c r="I88" i="27"/>
  <c r="H88" i="27"/>
  <c r="F88" i="27"/>
  <c r="D88" i="27"/>
  <c r="C88" i="27"/>
  <c r="B88" i="27"/>
  <c r="I87" i="27"/>
  <c r="H87" i="27"/>
  <c r="F87" i="27"/>
  <c r="D87" i="27"/>
  <c r="C87" i="27"/>
  <c r="B87" i="27"/>
  <c r="H86" i="27"/>
  <c r="I86" i="27" s="1"/>
  <c r="F86" i="27"/>
  <c r="D86" i="27"/>
  <c r="C86" i="27"/>
  <c r="B86" i="27"/>
  <c r="I85" i="27"/>
  <c r="H85" i="27"/>
  <c r="F85" i="27"/>
  <c r="D85" i="27"/>
  <c r="C85" i="27"/>
  <c r="B85" i="27"/>
  <c r="I84" i="27"/>
  <c r="H84" i="27"/>
  <c r="F84" i="27"/>
  <c r="D84" i="27"/>
  <c r="C84" i="27"/>
  <c r="B84" i="27"/>
  <c r="I83" i="27"/>
  <c r="H83" i="27"/>
  <c r="F83" i="27"/>
  <c r="D83" i="27"/>
  <c r="C83" i="27"/>
  <c r="B83" i="27"/>
  <c r="H82" i="27"/>
  <c r="I82" i="27" s="1"/>
  <c r="F82" i="27"/>
  <c r="D82" i="27"/>
  <c r="C82" i="27"/>
  <c r="B82" i="27"/>
  <c r="I81" i="27"/>
  <c r="H81" i="27"/>
  <c r="F81" i="27"/>
  <c r="D81" i="27"/>
  <c r="C81" i="27"/>
  <c r="B81" i="27"/>
  <c r="I80" i="27"/>
  <c r="H80" i="27"/>
  <c r="F80" i="27"/>
  <c r="D80" i="27"/>
  <c r="C80" i="27"/>
  <c r="B80" i="27"/>
  <c r="I79" i="27"/>
  <c r="H79" i="27"/>
  <c r="F79" i="27"/>
  <c r="D79" i="27"/>
  <c r="C79" i="27"/>
  <c r="B79" i="27"/>
  <c r="H78" i="27"/>
  <c r="I78" i="27" s="1"/>
  <c r="F78" i="27"/>
  <c r="D78" i="27"/>
  <c r="C78" i="27"/>
  <c r="B78" i="27"/>
  <c r="I77" i="27"/>
  <c r="H77" i="27"/>
  <c r="F77" i="27"/>
  <c r="D77" i="27"/>
  <c r="C77" i="27"/>
  <c r="B77" i="27"/>
  <c r="I76" i="27"/>
  <c r="H76" i="27"/>
  <c r="F76" i="27"/>
  <c r="D76" i="27"/>
  <c r="C76" i="27"/>
  <c r="B76" i="27"/>
  <c r="I75" i="27"/>
  <c r="H75" i="27"/>
  <c r="F75" i="27"/>
  <c r="D75" i="27"/>
  <c r="C75" i="27"/>
  <c r="B75" i="27"/>
  <c r="H74" i="27"/>
  <c r="I74" i="27" s="1"/>
  <c r="F74" i="27"/>
  <c r="D74" i="27"/>
  <c r="C74" i="27"/>
  <c r="B74" i="27"/>
  <c r="I73" i="27"/>
  <c r="H73" i="27"/>
  <c r="F73" i="27"/>
  <c r="D73" i="27"/>
  <c r="C73" i="27"/>
  <c r="B73" i="27"/>
  <c r="I72" i="27"/>
  <c r="H72" i="27"/>
  <c r="F72" i="27"/>
  <c r="D72" i="27"/>
  <c r="C72" i="27"/>
  <c r="B72" i="27"/>
  <c r="I71" i="27"/>
  <c r="H71" i="27"/>
  <c r="F71" i="27"/>
  <c r="D71" i="27"/>
  <c r="C71" i="27"/>
  <c r="B71" i="27"/>
  <c r="H70" i="27"/>
  <c r="I70" i="27" s="1"/>
  <c r="F70" i="27"/>
  <c r="D70" i="27"/>
  <c r="C70" i="27"/>
  <c r="B70" i="27"/>
  <c r="I69" i="27"/>
  <c r="H69" i="27"/>
  <c r="F69" i="27"/>
  <c r="D69" i="27"/>
  <c r="C69" i="27"/>
  <c r="B69" i="27"/>
  <c r="I68" i="27"/>
  <c r="H68" i="27"/>
  <c r="F68" i="27"/>
  <c r="D68" i="27"/>
  <c r="C68" i="27"/>
  <c r="B68" i="27"/>
  <c r="I67" i="27"/>
  <c r="H67" i="27"/>
  <c r="F67" i="27"/>
  <c r="D67" i="27"/>
  <c r="C67" i="27"/>
  <c r="B67" i="27"/>
  <c r="H66" i="27"/>
  <c r="I66" i="27" s="1"/>
  <c r="F66" i="27"/>
  <c r="D66" i="27"/>
  <c r="C66" i="27"/>
  <c r="B66" i="27"/>
  <c r="I65" i="27"/>
  <c r="H65" i="27"/>
  <c r="F65" i="27"/>
  <c r="D65" i="27"/>
  <c r="C65" i="27"/>
  <c r="B65" i="27"/>
  <c r="I64" i="27"/>
  <c r="H64" i="27"/>
  <c r="F64" i="27"/>
  <c r="D64" i="27"/>
  <c r="C64" i="27"/>
  <c r="B64" i="27"/>
  <c r="I63" i="27"/>
  <c r="H63" i="27"/>
  <c r="F63" i="27"/>
  <c r="D63" i="27"/>
  <c r="C63" i="27"/>
  <c r="B63" i="27"/>
  <c r="H62" i="27"/>
  <c r="I62" i="27" s="1"/>
  <c r="F62" i="27"/>
  <c r="D62" i="27"/>
  <c r="C62" i="27"/>
  <c r="B62" i="27"/>
  <c r="I61" i="27"/>
  <c r="H61" i="27"/>
  <c r="F61" i="27"/>
  <c r="D61" i="27"/>
  <c r="C61" i="27"/>
  <c r="B61" i="27"/>
  <c r="I60" i="27"/>
  <c r="H60" i="27"/>
  <c r="F60" i="27"/>
  <c r="D60" i="27"/>
  <c r="C60" i="27"/>
  <c r="B60" i="27"/>
  <c r="I59" i="27"/>
  <c r="H59" i="27"/>
  <c r="F59" i="27"/>
  <c r="D59" i="27"/>
  <c r="C59" i="27"/>
  <c r="B59" i="27"/>
  <c r="H58" i="27"/>
  <c r="I58" i="27" s="1"/>
  <c r="F58" i="27"/>
  <c r="D58" i="27"/>
  <c r="C58" i="27"/>
  <c r="B58" i="27"/>
  <c r="I57" i="27"/>
  <c r="H57" i="27"/>
  <c r="F57" i="27"/>
  <c r="D57" i="27"/>
  <c r="C57" i="27"/>
  <c r="B57" i="27"/>
  <c r="I56" i="27"/>
  <c r="H56" i="27"/>
  <c r="F56" i="27"/>
  <c r="D56" i="27"/>
  <c r="C56" i="27"/>
  <c r="B56" i="27"/>
  <c r="I55" i="27"/>
  <c r="H55" i="27"/>
  <c r="F55" i="27"/>
  <c r="D55" i="27"/>
  <c r="C55" i="27"/>
  <c r="B55" i="27"/>
  <c r="H54" i="27"/>
  <c r="I54" i="27" s="1"/>
  <c r="F54" i="27"/>
  <c r="D54" i="27"/>
  <c r="C54" i="27"/>
  <c r="B54" i="27"/>
  <c r="I53" i="27"/>
  <c r="H53" i="27"/>
  <c r="F53" i="27"/>
  <c r="D53" i="27"/>
  <c r="C53" i="27"/>
  <c r="B53" i="27"/>
  <c r="I52" i="27"/>
  <c r="H52" i="27"/>
  <c r="F52" i="27"/>
  <c r="D52" i="27"/>
  <c r="C52" i="27"/>
  <c r="B52" i="27"/>
  <c r="I51" i="27"/>
  <c r="H51" i="27"/>
  <c r="F51" i="27"/>
  <c r="D51" i="27"/>
  <c r="C51" i="27"/>
  <c r="B51" i="27"/>
  <c r="H50" i="27"/>
  <c r="I50" i="27" s="1"/>
  <c r="F50" i="27"/>
  <c r="D50" i="27"/>
  <c r="C50" i="27"/>
  <c r="B50" i="27"/>
  <c r="I49" i="27"/>
  <c r="H49" i="27"/>
  <c r="F49" i="27"/>
  <c r="D49" i="27"/>
  <c r="C49" i="27"/>
  <c r="B49" i="27"/>
  <c r="I48" i="27"/>
  <c r="H48" i="27"/>
  <c r="F48" i="27"/>
  <c r="D48" i="27"/>
  <c r="C48" i="27"/>
  <c r="B48" i="27"/>
  <c r="I47" i="27"/>
  <c r="H47" i="27"/>
  <c r="F47" i="27"/>
  <c r="D47" i="27"/>
  <c r="C47" i="27"/>
  <c r="B47" i="27"/>
  <c r="H46" i="27"/>
  <c r="I46" i="27" s="1"/>
  <c r="F46" i="27"/>
  <c r="D46" i="27"/>
  <c r="C46" i="27"/>
  <c r="B46" i="27"/>
  <c r="I45" i="27"/>
  <c r="H45" i="27"/>
  <c r="F45" i="27"/>
  <c r="D45" i="27"/>
  <c r="C45" i="27"/>
  <c r="B45" i="27"/>
  <c r="I44" i="27"/>
  <c r="H44" i="27"/>
  <c r="F44" i="27"/>
  <c r="D44" i="27"/>
  <c r="C44" i="27"/>
  <c r="B44" i="27"/>
  <c r="I43" i="27"/>
  <c r="H43" i="27"/>
  <c r="F43" i="27"/>
  <c r="D43" i="27"/>
  <c r="C43" i="27"/>
  <c r="B43" i="27"/>
  <c r="H42" i="27"/>
  <c r="I42" i="27" s="1"/>
  <c r="F42" i="27"/>
  <c r="D42" i="27"/>
  <c r="C42" i="27"/>
  <c r="B42" i="27"/>
  <c r="I41" i="27"/>
  <c r="H41" i="27"/>
  <c r="F41" i="27"/>
  <c r="D41" i="27"/>
  <c r="C41" i="27"/>
  <c r="B41" i="27"/>
  <c r="I40" i="27"/>
  <c r="H40" i="27"/>
  <c r="F40" i="27"/>
  <c r="D40" i="27"/>
  <c r="C40" i="27"/>
  <c r="B40" i="27"/>
  <c r="I39" i="27"/>
  <c r="H39" i="27"/>
  <c r="F39" i="27"/>
  <c r="D39" i="27"/>
  <c r="C39" i="27"/>
  <c r="B39" i="27"/>
  <c r="H38" i="27"/>
  <c r="I38" i="27" s="1"/>
  <c r="F38" i="27"/>
  <c r="D38" i="27"/>
  <c r="C38" i="27"/>
  <c r="B38" i="27"/>
  <c r="I37" i="27"/>
  <c r="H37" i="27"/>
  <c r="F37" i="27"/>
  <c r="D37" i="27"/>
  <c r="C37" i="27"/>
  <c r="B37" i="27"/>
  <c r="I36" i="27"/>
  <c r="H36" i="27"/>
  <c r="F36" i="27"/>
  <c r="D36" i="27"/>
  <c r="C36" i="27"/>
  <c r="B36" i="27"/>
  <c r="I35" i="27"/>
  <c r="H35" i="27"/>
  <c r="F35" i="27"/>
  <c r="D35" i="27"/>
  <c r="C35" i="27"/>
  <c r="B35" i="27"/>
  <c r="H34" i="27"/>
  <c r="I34" i="27" s="1"/>
  <c r="F34" i="27"/>
  <c r="D34" i="27"/>
  <c r="C34" i="27"/>
  <c r="B34" i="27"/>
  <c r="I33" i="27"/>
  <c r="H33" i="27"/>
  <c r="F33" i="27"/>
  <c r="D33" i="27"/>
  <c r="C33" i="27"/>
  <c r="B33" i="27"/>
  <c r="I32" i="27"/>
  <c r="H32" i="27"/>
  <c r="F32" i="27"/>
  <c r="D32" i="27"/>
  <c r="C32" i="27"/>
  <c r="B32" i="27"/>
  <c r="I31" i="27"/>
  <c r="H31" i="27"/>
  <c r="F31" i="27"/>
  <c r="D31" i="27"/>
  <c r="C31" i="27"/>
  <c r="B31" i="27"/>
  <c r="H30" i="27"/>
  <c r="I30" i="27" s="1"/>
  <c r="F30" i="27"/>
  <c r="D30" i="27"/>
  <c r="C30" i="27"/>
  <c r="B30" i="27"/>
  <c r="I29" i="27"/>
  <c r="H29" i="27"/>
  <c r="F29" i="27"/>
  <c r="D29" i="27"/>
  <c r="C29" i="27"/>
  <c r="B29" i="27"/>
  <c r="I28" i="27"/>
  <c r="H28" i="27"/>
  <c r="F28" i="27"/>
  <c r="D28" i="27"/>
  <c r="C28" i="27"/>
  <c r="B28" i="27"/>
  <c r="I27" i="27"/>
  <c r="H27" i="27"/>
  <c r="F27" i="27"/>
  <c r="D27" i="27"/>
  <c r="C27" i="27"/>
  <c r="B27" i="27"/>
  <c r="H26" i="27"/>
  <c r="I26" i="27" s="1"/>
  <c r="F26" i="27"/>
  <c r="D26" i="27"/>
  <c r="C26" i="27"/>
  <c r="B26" i="27"/>
  <c r="I25" i="27"/>
  <c r="H25" i="27"/>
  <c r="F25" i="27"/>
  <c r="D25" i="27"/>
  <c r="C25" i="27"/>
  <c r="B25" i="27"/>
  <c r="I24" i="27"/>
  <c r="H24" i="27"/>
  <c r="F24" i="27"/>
  <c r="D24" i="27"/>
  <c r="C24" i="27"/>
  <c r="B24" i="27"/>
  <c r="I23" i="27"/>
  <c r="H23" i="27"/>
  <c r="F23" i="27"/>
  <c r="D23" i="27"/>
  <c r="C23" i="27"/>
  <c r="B23" i="27"/>
  <c r="H22" i="27"/>
  <c r="I22" i="27" s="1"/>
  <c r="F22" i="27"/>
  <c r="D22" i="27"/>
  <c r="C22" i="27"/>
  <c r="B22" i="27"/>
  <c r="I21" i="27"/>
  <c r="H21" i="27"/>
  <c r="F21" i="27"/>
  <c r="D21" i="27"/>
  <c r="C21" i="27"/>
  <c r="B21" i="27"/>
  <c r="I20" i="27"/>
  <c r="H20" i="27"/>
  <c r="F20" i="27"/>
  <c r="D20" i="27"/>
  <c r="C20" i="27"/>
  <c r="B20" i="27"/>
  <c r="I19" i="27"/>
  <c r="H19" i="27"/>
  <c r="F19" i="27"/>
  <c r="D19" i="27"/>
  <c r="C19" i="27"/>
  <c r="B19" i="27"/>
  <c r="H18" i="27"/>
  <c r="I18" i="27" s="1"/>
  <c r="F18" i="27"/>
  <c r="D18" i="27"/>
  <c r="C18" i="27"/>
  <c r="B18" i="27"/>
  <c r="I17" i="27"/>
  <c r="H17" i="27"/>
  <c r="F17" i="27"/>
  <c r="D17" i="27"/>
  <c r="C17" i="27"/>
  <c r="B17" i="27"/>
  <c r="I16" i="27"/>
  <c r="H16" i="27"/>
  <c r="F16" i="27"/>
  <c r="D16" i="27"/>
  <c r="C16" i="27"/>
  <c r="B16" i="27"/>
  <c r="I15" i="27"/>
  <c r="H15" i="27"/>
  <c r="F15" i="27"/>
  <c r="D15" i="27"/>
  <c r="C15" i="27"/>
  <c r="B15" i="27"/>
  <c r="H14" i="27"/>
  <c r="I14" i="27" s="1"/>
  <c r="F14" i="27"/>
  <c r="D14" i="27"/>
  <c r="C14" i="27"/>
  <c r="B14" i="27"/>
  <c r="I13" i="27"/>
  <c r="H13" i="27"/>
  <c r="F13" i="27"/>
  <c r="D13" i="27"/>
  <c r="C13" i="27"/>
  <c r="B13" i="27"/>
  <c r="I12" i="27"/>
  <c r="H12" i="27"/>
  <c r="F12" i="27"/>
  <c r="D12" i="27"/>
  <c r="C12" i="27"/>
  <c r="B12" i="27"/>
  <c r="I11" i="27"/>
  <c r="H11" i="27"/>
  <c r="F11" i="27"/>
  <c r="D11" i="27"/>
  <c r="C11" i="27"/>
  <c r="B11" i="27"/>
  <c r="H10" i="27"/>
  <c r="I10" i="27" s="1"/>
  <c r="D10" i="27"/>
  <c r="C10" i="27"/>
  <c r="F10" i="27" s="1"/>
  <c r="B10" i="27"/>
  <c r="I9" i="27"/>
  <c r="H9" i="27"/>
  <c r="D9" i="27"/>
  <c r="C9" i="27"/>
  <c r="F9" i="27" s="1"/>
  <c r="B9" i="27"/>
  <c r="A5" i="27"/>
  <c r="G4" i="27"/>
  <c r="D4" i="27"/>
  <c r="A4" i="27"/>
  <c r="K113" i="26"/>
  <c r="J113" i="26"/>
  <c r="I113" i="26"/>
  <c r="D113" i="26"/>
  <c r="C113" i="26"/>
  <c r="A113" i="26"/>
  <c r="K112" i="26"/>
  <c r="J112" i="26"/>
  <c r="I112" i="26"/>
  <c r="D112" i="26"/>
  <c r="C112" i="26"/>
  <c r="A112" i="26"/>
  <c r="K111" i="26"/>
  <c r="I111" i="26"/>
  <c r="J111" i="26" s="1"/>
  <c r="D111" i="26"/>
  <c r="C111" i="26"/>
  <c r="A111" i="26"/>
  <c r="K110" i="26"/>
  <c r="J110" i="26"/>
  <c r="I110" i="26"/>
  <c r="D110" i="26"/>
  <c r="C110" i="26"/>
  <c r="A110" i="26"/>
  <c r="K109" i="26"/>
  <c r="I109" i="26"/>
  <c r="J109" i="26" s="1"/>
  <c r="D109" i="26"/>
  <c r="C109" i="26"/>
  <c r="A109" i="26"/>
  <c r="K108" i="26"/>
  <c r="J108" i="26"/>
  <c r="I108" i="26"/>
  <c r="D108" i="26"/>
  <c r="C108" i="26"/>
  <c r="A108" i="26"/>
  <c r="K107" i="26"/>
  <c r="I107" i="26"/>
  <c r="J107" i="26" s="1"/>
  <c r="D107" i="26"/>
  <c r="C107" i="26"/>
  <c r="A107" i="26"/>
  <c r="K106" i="26"/>
  <c r="J106" i="26"/>
  <c r="I106" i="26"/>
  <c r="D106" i="26"/>
  <c r="C106" i="26"/>
  <c r="A106" i="26"/>
  <c r="K105" i="26"/>
  <c r="J105" i="26"/>
  <c r="I105" i="26"/>
  <c r="D105" i="26"/>
  <c r="C105" i="26"/>
  <c r="A105" i="26"/>
  <c r="K104" i="26"/>
  <c r="J104" i="26"/>
  <c r="I104" i="26"/>
  <c r="D104" i="26"/>
  <c r="C104" i="26"/>
  <c r="A104" i="26"/>
  <c r="K103" i="26"/>
  <c r="I103" i="26"/>
  <c r="J103" i="26" s="1"/>
  <c r="D103" i="26"/>
  <c r="C103" i="26"/>
  <c r="A103" i="26"/>
  <c r="K102" i="26"/>
  <c r="I102" i="26"/>
  <c r="J102" i="26" s="1"/>
  <c r="D102" i="26"/>
  <c r="C102" i="26"/>
  <c r="A102" i="26"/>
  <c r="K101" i="26"/>
  <c r="J101" i="26"/>
  <c r="I101" i="26"/>
  <c r="D101" i="26"/>
  <c r="C101" i="26"/>
  <c r="A101" i="26"/>
  <c r="K100" i="26"/>
  <c r="I100" i="26"/>
  <c r="J100" i="26" s="1"/>
  <c r="D100" i="26"/>
  <c r="C100" i="26"/>
  <c r="A100" i="26"/>
  <c r="K99" i="26"/>
  <c r="I99" i="26"/>
  <c r="J99" i="26" s="1"/>
  <c r="D99" i="26"/>
  <c r="C99" i="26"/>
  <c r="A99" i="26"/>
  <c r="K98" i="26"/>
  <c r="J98" i="26"/>
  <c r="I98" i="26"/>
  <c r="D98" i="26"/>
  <c r="C98" i="26"/>
  <c r="A98" i="26"/>
  <c r="K97" i="26"/>
  <c r="J97" i="26"/>
  <c r="I97" i="26"/>
  <c r="D97" i="26"/>
  <c r="C97" i="26"/>
  <c r="A97" i="26"/>
  <c r="K96" i="26"/>
  <c r="I96" i="26"/>
  <c r="J96" i="26" s="1"/>
  <c r="D96" i="26"/>
  <c r="C96" i="26"/>
  <c r="A96" i="26"/>
  <c r="K95" i="26"/>
  <c r="I95" i="26"/>
  <c r="J95" i="26" s="1"/>
  <c r="D95" i="26"/>
  <c r="C95" i="26"/>
  <c r="A95" i="26"/>
  <c r="K94" i="26"/>
  <c r="J94" i="26"/>
  <c r="I94" i="26"/>
  <c r="D94" i="26"/>
  <c r="C94" i="26"/>
  <c r="A94" i="26"/>
  <c r="K93" i="26"/>
  <c r="I93" i="26"/>
  <c r="J93" i="26" s="1"/>
  <c r="D93" i="26"/>
  <c r="C93" i="26"/>
  <c r="A93" i="26"/>
  <c r="K92" i="26"/>
  <c r="J92" i="26"/>
  <c r="I92" i="26"/>
  <c r="D92" i="26"/>
  <c r="C92" i="26"/>
  <c r="A92" i="26"/>
  <c r="K91" i="26"/>
  <c r="I91" i="26"/>
  <c r="J91" i="26" s="1"/>
  <c r="D91" i="26"/>
  <c r="C91" i="26"/>
  <c r="A91" i="26"/>
  <c r="K90" i="26"/>
  <c r="I90" i="26"/>
  <c r="J90" i="26" s="1"/>
  <c r="D90" i="26"/>
  <c r="C90" i="26"/>
  <c r="A90" i="26"/>
  <c r="K89" i="26"/>
  <c r="I89" i="26"/>
  <c r="J89" i="26" s="1"/>
  <c r="D89" i="26"/>
  <c r="C89" i="26"/>
  <c r="A89" i="26"/>
  <c r="K88" i="26"/>
  <c r="J88" i="26"/>
  <c r="I88" i="26"/>
  <c r="D88" i="26"/>
  <c r="C88" i="26"/>
  <c r="A88" i="26"/>
  <c r="K87" i="26"/>
  <c r="I87" i="26"/>
  <c r="J87" i="26" s="1"/>
  <c r="D87" i="26"/>
  <c r="C87" i="26"/>
  <c r="A87" i="26"/>
  <c r="K86" i="26"/>
  <c r="I86" i="26"/>
  <c r="J86" i="26" s="1"/>
  <c r="D86" i="26"/>
  <c r="C86" i="26"/>
  <c r="A86" i="26"/>
  <c r="K85" i="26"/>
  <c r="J85" i="26"/>
  <c r="I85" i="26"/>
  <c r="D85" i="26"/>
  <c r="C85" i="26"/>
  <c r="A85" i="26"/>
  <c r="K84" i="26"/>
  <c r="I84" i="26"/>
  <c r="J84" i="26" s="1"/>
  <c r="D84" i="26"/>
  <c r="C84" i="26"/>
  <c r="A84" i="26"/>
  <c r="K83" i="26"/>
  <c r="I83" i="26"/>
  <c r="J83" i="26" s="1"/>
  <c r="D83" i="26"/>
  <c r="C83" i="26"/>
  <c r="A83" i="26"/>
  <c r="K82" i="26"/>
  <c r="I82" i="26"/>
  <c r="J82" i="26" s="1"/>
  <c r="D82" i="26"/>
  <c r="C82" i="26"/>
  <c r="A82" i="26"/>
  <c r="K81" i="26"/>
  <c r="J81" i="26"/>
  <c r="I81" i="26"/>
  <c r="D81" i="26"/>
  <c r="C81" i="26"/>
  <c r="A81" i="26"/>
  <c r="K80" i="26"/>
  <c r="J80" i="26"/>
  <c r="I80" i="26"/>
  <c r="D80" i="26"/>
  <c r="C80" i="26"/>
  <c r="A80" i="26"/>
  <c r="K79" i="26"/>
  <c r="I79" i="26"/>
  <c r="J79" i="26" s="1"/>
  <c r="D79" i="26"/>
  <c r="C79" i="26"/>
  <c r="A79" i="26"/>
  <c r="K78" i="26"/>
  <c r="J78" i="26"/>
  <c r="I78" i="26"/>
  <c r="D78" i="26"/>
  <c r="C78" i="26"/>
  <c r="A78" i="26"/>
  <c r="K77" i="26"/>
  <c r="I77" i="26"/>
  <c r="J77" i="26" s="1"/>
  <c r="D77" i="26"/>
  <c r="C77" i="26"/>
  <c r="A77" i="26"/>
  <c r="K76" i="26"/>
  <c r="J76" i="26"/>
  <c r="I76" i="26"/>
  <c r="D76" i="26"/>
  <c r="C76" i="26"/>
  <c r="A76" i="26"/>
  <c r="K75" i="26"/>
  <c r="I75" i="26"/>
  <c r="J75" i="26" s="1"/>
  <c r="D75" i="26"/>
  <c r="C75" i="26"/>
  <c r="A75" i="26"/>
  <c r="K74" i="26"/>
  <c r="J74" i="26"/>
  <c r="I74" i="26"/>
  <c r="D74" i="26"/>
  <c r="C74" i="26"/>
  <c r="A74" i="26"/>
  <c r="K73" i="26"/>
  <c r="J73" i="26"/>
  <c r="I73" i="26"/>
  <c r="D73" i="26"/>
  <c r="C73" i="26"/>
  <c r="A73" i="26"/>
  <c r="K72" i="26"/>
  <c r="J72" i="26"/>
  <c r="I72" i="26"/>
  <c r="D72" i="26"/>
  <c r="C72" i="26"/>
  <c r="A72" i="26"/>
  <c r="K71" i="26"/>
  <c r="I71" i="26"/>
  <c r="J71" i="26" s="1"/>
  <c r="D71" i="26"/>
  <c r="C71" i="26"/>
  <c r="A71" i="26"/>
  <c r="K70" i="26"/>
  <c r="I70" i="26"/>
  <c r="J70" i="26" s="1"/>
  <c r="D70" i="26"/>
  <c r="C70" i="26"/>
  <c r="A70" i="26"/>
  <c r="K69" i="26"/>
  <c r="J69" i="26"/>
  <c r="I69" i="26"/>
  <c r="D69" i="26"/>
  <c r="C69" i="26"/>
  <c r="A69" i="26"/>
  <c r="K68" i="26"/>
  <c r="J68" i="26"/>
  <c r="I68" i="26"/>
  <c r="D68" i="26"/>
  <c r="C68" i="26"/>
  <c r="A68" i="26"/>
  <c r="K67" i="26"/>
  <c r="I67" i="26"/>
  <c r="J67" i="26" s="1"/>
  <c r="D67" i="26"/>
  <c r="C67" i="26"/>
  <c r="A67" i="26"/>
  <c r="K66" i="26"/>
  <c r="J66" i="26"/>
  <c r="I66" i="26"/>
  <c r="D66" i="26"/>
  <c r="C66" i="26"/>
  <c r="A66" i="26"/>
  <c r="K65" i="26"/>
  <c r="I65" i="26"/>
  <c r="J65" i="26" s="1"/>
  <c r="D65" i="26"/>
  <c r="C65" i="26"/>
  <c r="A65" i="26"/>
  <c r="K64" i="26"/>
  <c r="I64" i="26"/>
  <c r="J64" i="26" s="1"/>
  <c r="D64" i="26"/>
  <c r="C64" i="26"/>
  <c r="A64" i="26"/>
  <c r="K63" i="26"/>
  <c r="I63" i="26"/>
  <c r="J63" i="26" s="1"/>
  <c r="D63" i="26"/>
  <c r="C63" i="26"/>
  <c r="A63" i="26"/>
  <c r="K62" i="26"/>
  <c r="J62" i="26"/>
  <c r="I62" i="26"/>
  <c r="D62" i="26"/>
  <c r="C62" i="26"/>
  <c r="A62" i="26"/>
  <c r="K61" i="26"/>
  <c r="J61" i="26"/>
  <c r="I61" i="26"/>
  <c r="D61" i="26"/>
  <c r="C61" i="26"/>
  <c r="A61" i="26"/>
  <c r="K60" i="26"/>
  <c r="J60" i="26"/>
  <c r="I60" i="26"/>
  <c r="D60" i="26"/>
  <c r="C60" i="26"/>
  <c r="A60" i="26"/>
  <c r="K59" i="26"/>
  <c r="I59" i="26"/>
  <c r="J59" i="26" s="1"/>
  <c r="D59" i="26"/>
  <c r="C59" i="26"/>
  <c r="A59" i="26"/>
  <c r="K58" i="26"/>
  <c r="J58" i="26"/>
  <c r="I58" i="26"/>
  <c r="D58" i="26"/>
  <c r="C58" i="26"/>
  <c r="A58" i="26"/>
  <c r="K57" i="26"/>
  <c r="I57" i="26"/>
  <c r="J57" i="26" s="1"/>
  <c r="D57" i="26"/>
  <c r="C57" i="26"/>
  <c r="A57" i="26"/>
  <c r="K56" i="26"/>
  <c r="J56" i="26"/>
  <c r="I56" i="26"/>
  <c r="D56" i="26"/>
  <c r="C56" i="26"/>
  <c r="A56" i="26"/>
  <c r="K55" i="26"/>
  <c r="J55" i="26"/>
  <c r="I55" i="26"/>
  <c r="D55" i="26"/>
  <c r="C55" i="26"/>
  <c r="A55" i="26"/>
  <c r="K54" i="26"/>
  <c r="J54" i="26"/>
  <c r="I54" i="26"/>
  <c r="D54" i="26"/>
  <c r="C54" i="26"/>
  <c r="A54" i="26"/>
  <c r="K53" i="26"/>
  <c r="I53" i="26"/>
  <c r="J53" i="26" s="1"/>
  <c r="D53" i="26"/>
  <c r="C53" i="26"/>
  <c r="A53" i="26"/>
  <c r="K52" i="26"/>
  <c r="J52" i="26"/>
  <c r="I52" i="26"/>
  <c r="D52" i="26"/>
  <c r="C52" i="26"/>
  <c r="A52" i="26"/>
  <c r="K51" i="26"/>
  <c r="J51" i="26"/>
  <c r="I51" i="26"/>
  <c r="D51" i="26"/>
  <c r="C51" i="26"/>
  <c r="A51" i="26"/>
  <c r="K50" i="26"/>
  <c r="I50" i="26"/>
  <c r="J50" i="26" s="1"/>
  <c r="D50" i="26"/>
  <c r="C50" i="26"/>
  <c r="A50" i="26"/>
  <c r="K49" i="26"/>
  <c r="I49" i="26"/>
  <c r="J49" i="26" s="1"/>
  <c r="D49" i="26"/>
  <c r="C49" i="26"/>
  <c r="A49" i="26"/>
  <c r="K48" i="26"/>
  <c r="J48" i="26"/>
  <c r="I48" i="26"/>
  <c r="D48" i="26"/>
  <c r="C48" i="26"/>
  <c r="A48" i="26"/>
  <c r="K47" i="26"/>
  <c r="J47" i="26"/>
  <c r="I47" i="26"/>
  <c r="D47" i="26"/>
  <c r="C47" i="26"/>
  <c r="A47" i="26"/>
  <c r="K46" i="26"/>
  <c r="I46" i="26"/>
  <c r="J46" i="26" s="1"/>
  <c r="D46" i="26"/>
  <c r="C46" i="26"/>
  <c r="A46" i="26"/>
  <c r="K45" i="26"/>
  <c r="I45" i="26"/>
  <c r="J45" i="26" s="1"/>
  <c r="D45" i="26"/>
  <c r="C45" i="26"/>
  <c r="A45" i="26"/>
  <c r="K44" i="26"/>
  <c r="J44" i="26"/>
  <c r="I44" i="26"/>
  <c r="D44" i="26"/>
  <c r="C44" i="26"/>
  <c r="A44" i="26"/>
  <c r="K43" i="26"/>
  <c r="J43" i="26"/>
  <c r="I43" i="26"/>
  <c r="D43" i="26"/>
  <c r="C43" i="26"/>
  <c r="A43" i="26"/>
  <c r="K42" i="26"/>
  <c r="I42" i="26"/>
  <c r="J42" i="26" s="1"/>
  <c r="D42" i="26"/>
  <c r="C42" i="26"/>
  <c r="A42" i="26"/>
  <c r="K41" i="26"/>
  <c r="I41" i="26"/>
  <c r="J41" i="26" s="1"/>
  <c r="D41" i="26"/>
  <c r="C41" i="26"/>
  <c r="A41" i="26"/>
  <c r="K40" i="26"/>
  <c r="J40" i="26"/>
  <c r="I40" i="26"/>
  <c r="D40" i="26"/>
  <c r="C40" i="26"/>
  <c r="A40" i="26"/>
  <c r="K39" i="26"/>
  <c r="J39" i="26"/>
  <c r="I39" i="26"/>
  <c r="D39" i="26"/>
  <c r="C39" i="26"/>
  <c r="A39" i="26"/>
  <c r="K38" i="26"/>
  <c r="J38" i="26"/>
  <c r="I38" i="26"/>
  <c r="D38" i="26"/>
  <c r="C38" i="26"/>
  <c r="A38" i="26"/>
  <c r="K37" i="26"/>
  <c r="I37" i="26"/>
  <c r="J37" i="26" s="1"/>
  <c r="D37" i="26"/>
  <c r="C37" i="26"/>
  <c r="A37" i="26"/>
  <c r="K36" i="26"/>
  <c r="J36" i="26"/>
  <c r="I36" i="26"/>
  <c r="D36" i="26"/>
  <c r="C36" i="26"/>
  <c r="A36" i="26"/>
  <c r="K35" i="26"/>
  <c r="J35" i="26"/>
  <c r="I35" i="26"/>
  <c r="D35" i="26"/>
  <c r="C35" i="26"/>
  <c r="A35" i="26"/>
  <c r="K34" i="26"/>
  <c r="J34" i="26"/>
  <c r="I34" i="26"/>
  <c r="D34" i="26"/>
  <c r="C34" i="26"/>
  <c r="A34" i="26"/>
  <c r="K33" i="26"/>
  <c r="I33" i="26"/>
  <c r="J33" i="26" s="1"/>
  <c r="D33" i="26"/>
  <c r="C33" i="26"/>
  <c r="A33" i="26"/>
  <c r="K32" i="26"/>
  <c r="J32" i="26"/>
  <c r="I32" i="26"/>
  <c r="D32" i="26"/>
  <c r="C32" i="26"/>
  <c r="A32" i="26"/>
  <c r="K31" i="26"/>
  <c r="J31" i="26"/>
  <c r="I31" i="26"/>
  <c r="D31" i="26"/>
  <c r="C31" i="26"/>
  <c r="A31" i="26"/>
  <c r="K30" i="26"/>
  <c r="I30" i="26"/>
  <c r="J30" i="26" s="1"/>
  <c r="D30" i="26"/>
  <c r="C30" i="26"/>
  <c r="A30" i="26"/>
  <c r="K29" i="26"/>
  <c r="I29" i="26"/>
  <c r="J29" i="26" s="1"/>
  <c r="D29" i="26"/>
  <c r="C29" i="26"/>
  <c r="A29" i="26"/>
  <c r="K28" i="26"/>
  <c r="J28" i="26"/>
  <c r="I28" i="26"/>
  <c r="D28" i="26"/>
  <c r="C28" i="26"/>
  <c r="A28" i="26"/>
  <c r="K27" i="26"/>
  <c r="J27" i="26"/>
  <c r="I27" i="26"/>
  <c r="D27" i="26"/>
  <c r="C27" i="26"/>
  <c r="A27" i="26"/>
  <c r="K26" i="26"/>
  <c r="J26" i="26"/>
  <c r="I26" i="26"/>
  <c r="D26" i="26"/>
  <c r="C26" i="26"/>
  <c r="A26" i="26"/>
  <c r="K25" i="26"/>
  <c r="I25" i="26"/>
  <c r="J25" i="26" s="1"/>
  <c r="D25" i="26"/>
  <c r="C25" i="26"/>
  <c r="A25" i="26"/>
  <c r="K24" i="26"/>
  <c r="J24" i="26"/>
  <c r="I24" i="26"/>
  <c r="D24" i="26"/>
  <c r="C24" i="26"/>
  <c r="A24" i="26"/>
  <c r="K23" i="26"/>
  <c r="J23" i="26"/>
  <c r="I23" i="26"/>
  <c r="D23" i="26"/>
  <c r="C23" i="26"/>
  <c r="A23" i="26"/>
  <c r="K22" i="26"/>
  <c r="J22" i="26"/>
  <c r="I22" i="26"/>
  <c r="D22" i="26"/>
  <c r="C22" i="26"/>
  <c r="A22" i="26"/>
  <c r="K21" i="26"/>
  <c r="I21" i="26"/>
  <c r="J21" i="26" s="1"/>
  <c r="D21" i="26"/>
  <c r="C21" i="26"/>
  <c r="A21" i="26"/>
  <c r="K20" i="26"/>
  <c r="J20" i="26"/>
  <c r="I20" i="26"/>
  <c r="D20" i="26"/>
  <c r="C20" i="26"/>
  <c r="A20" i="26"/>
  <c r="K19" i="26"/>
  <c r="J19" i="26"/>
  <c r="I19" i="26"/>
  <c r="D19" i="26"/>
  <c r="C19" i="26"/>
  <c r="A19" i="26"/>
  <c r="K18" i="26"/>
  <c r="I18" i="26"/>
  <c r="J18" i="26" s="1"/>
  <c r="D18" i="26"/>
  <c r="C18" i="26"/>
  <c r="A18" i="26"/>
  <c r="K17" i="26"/>
  <c r="I17" i="26"/>
  <c r="J17" i="26" s="1"/>
  <c r="D17" i="26"/>
  <c r="C17" i="26"/>
  <c r="A17" i="26"/>
  <c r="K16" i="26"/>
  <c r="J16" i="26"/>
  <c r="I16" i="26"/>
  <c r="D16" i="26"/>
  <c r="C16" i="26"/>
  <c r="A16" i="26"/>
  <c r="K15" i="26"/>
  <c r="J15" i="26"/>
  <c r="I15" i="26"/>
  <c r="D15" i="26"/>
  <c r="C15" i="26"/>
  <c r="K14" i="26"/>
  <c r="I14" i="26"/>
  <c r="J14" i="26" s="1"/>
  <c r="D14" i="26"/>
  <c r="A14" i="26" s="1"/>
  <c r="C14" i="26"/>
  <c r="B10" i="26"/>
  <c r="B9" i="26"/>
  <c r="B8" i="26"/>
  <c r="J208" i="25"/>
  <c r="I208" i="25"/>
  <c r="G208" i="25"/>
  <c r="D208" i="25"/>
  <c r="C208" i="25"/>
  <c r="B208" i="25"/>
  <c r="I207" i="25"/>
  <c r="J207" i="25" s="1"/>
  <c r="G207" i="25"/>
  <c r="D207" i="25"/>
  <c r="C207" i="25"/>
  <c r="B207" i="25"/>
  <c r="J206" i="25"/>
  <c r="I206" i="25"/>
  <c r="G206" i="25"/>
  <c r="D206" i="25"/>
  <c r="C206" i="25"/>
  <c r="B206" i="25"/>
  <c r="J205" i="25"/>
  <c r="I205" i="25"/>
  <c r="G205" i="25"/>
  <c r="D205" i="25"/>
  <c r="C205" i="25"/>
  <c r="B205" i="25"/>
  <c r="J204" i="25"/>
  <c r="I204" i="25"/>
  <c r="G204" i="25"/>
  <c r="D204" i="25"/>
  <c r="C204" i="25"/>
  <c r="B204" i="25"/>
  <c r="I203" i="25"/>
  <c r="J203" i="25" s="1"/>
  <c r="G203" i="25"/>
  <c r="D203" i="25"/>
  <c r="C203" i="25"/>
  <c r="B203" i="25"/>
  <c r="J202" i="25"/>
  <c r="I202" i="25"/>
  <c r="G202" i="25"/>
  <c r="D202" i="25"/>
  <c r="C202" i="25"/>
  <c r="B202" i="25"/>
  <c r="J201" i="25"/>
  <c r="I201" i="25"/>
  <c r="G201" i="25"/>
  <c r="D201" i="25"/>
  <c r="C201" i="25"/>
  <c r="B201" i="25"/>
  <c r="I200" i="25"/>
  <c r="J200" i="25" s="1"/>
  <c r="G200" i="25"/>
  <c r="D200" i="25"/>
  <c r="C200" i="25"/>
  <c r="B200" i="25"/>
  <c r="I199" i="25"/>
  <c r="J199" i="25" s="1"/>
  <c r="G199" i="25"/>
  <c r="D199" i="25"/>
  <c r="C199" i="25"/>
  <c r="B199" i="25"/>
  <c r="J198" i="25"/>
  <c r="I198" i="25"/>
  <c r="G198" i="25"/>
  <c r="D198" i="25"/>
  <c r="C198" i="25"/>
  <c r="B198" i="25"/>
  <c r="J197" i="25"/>
  <c r="I197" i="25"/>
  <c r="G197" i="25"/>
  <c r="D197" i="25"/>
  <c r="C197" i="25"/>
  <c r="B197" i="25"/>
  <c r="J196" i="25"/>
  <c r="I196" i="25"/>
  <c r="G196" i="25"/>
  <c r="D196" i="25"/>
  <c r="C196" i="25"/>
  <c r="B196" i="25"/>
  <c r="I195" i="25"/>
  <c r="J195" i="25" s="1"/>
  <c r="G195" i="25"/>
  <c r="D195" i="25"/>
  <c r="C195" i="25"/>
  <c r="B195" i="25"/>
  <c r="J194" i="25"/>
  <c r="I194" i="25"/>
  <c r="G194" i="25"/>
  <c r="D194" i="25"/>
  <c r="C194" i="25"/>
  <c r="B194" i="25"/>
  <c r="J193" i="25"/>
  <c r="I193" i="25"/>
  <c r="G193" i="25"/>
  <c r="D193" i="25"/>
  <c r="C193" i="25"/>
  <c r="B193" i="25"/>
  <c r="J192" i="25"/>
  <c r="I192" i="25"/>
  <c r="G192" i="25"/>
  <c r="D192" i="25"/>
  <c r="C192" i="25"/>
  <c r="B192" i="25"/>
  <c r="I191" i="25"/>
  <c r="J191" i="25" s="1"/>
  <c r="G191" i="25"/>
  <c r="D191" i="25"/>
  <c r="C191" i="25"/>
  <c r="B191" i="25"/>
  <c r="J190" i="25"/>
  <c r="I190" i="25"/>
  <c r="G190" i="25"/>
  <c r="D190" i="25"/>
  <c r="C190" i="25"/>
  <c r="B190" i="25"/>
  <c r="J189" i="25"/>
  <c r="I189" i="25"/>
  <c r="G189" i="25"/>
  <c r="D189" i="25"/>
  <c r="C189" i="25"/>
  <c r="B189" i="25"/>
  <c r="I188" i="25"/>
  <c r="J188" i="25" s="1"/>
  <c r="G188" i="25"/>
  <c r="D188" i="25"/>
  <c r="C188" i="25"/>
  <c r="B188" i="25"/>
  <c r="I187" i="25"/>
  <c r="J187" i="25" s="1"/>
  <c r="G187" i="25"/>
  <c r="D187" i="25"/>
  <c r="C187" i="25"/>
  <c r="B187" i="25"/>
  <c r="J186" i="25"/>
  <c r="I186" i="25"/>
  <c r="G186" i="25"/>
  <c r="D186" i="25"/>
  <c r="C186" i="25"/>
  <c r="B186" i="25"/>
  <c r="J185" i="25"/>
  <c r="I185" i="25"/>
  <c r="G185" i="25"/>
  <c r="D185" i="25"/>
  <c r="C185" i="25"/>
  <c r="B185" i="25"/>
  <c r="I184" i="25"/>
  <c r="J184" i="25" s="1"/>
  <c r="G184" i="25"/>
  <c r="D184" i="25"/>
  <c r="C184" i="25"/>
  <c r="B184" i="25"/>
  <c r="I183" i="25"/>
  <c r="J183" i="25" s="1"/>
  <c r="G183" i="25"/>
  <c r="D183" i="25"/>
  <c r="C183" i="25"/>
  <c r="B183" i="25"/>
  <c r="J182" i="25"/>
  <c r="I182" i="25"/>
  <c r="G182" i="25"/>
  <c r="D182" i="25"/>
  <c r="C182" i="25"/>
  <c r="B182" i="25"/>
  <c r="J181" i="25"/>
  <c r="I181" i="25"/>
  <c r="G181" i="25"/>
  <c r="D181" i="25"/>
  <c r="C181" i="25"/>
  <c r="B181" i="25"/>
  <c r="I180" i="25"/>
  <c r="J180" i="25" s="1"/>
  <c r="G180" i="25"/>
  <c r="D180" i="25"/>
  <c r="C180" i="25"/>
  <c r="B180" i="25"/>
  <c r="I179" i="25"/>
  <c r="J179" i="25" s="1"/>
  <c r="G179" i="25"/>
  <c r="D179" i="25"/>
  <c r="C179" i="25"/>
  <c r="B179" i="25"/>
  <c r="J178" i="25"/>
  <c r="I178" i="25"/>
  <c r="G178" i="25"/>
  <c r="D178" i="25"/>
  <c r="C178" i="25"/>
  <c r="B178" i="25"/>
  <c r="J177" i="25"/>
  <c r="I177" i="25"/>
  <c r="G177" i="25"/>
  <c r="D177" i="25"/>
  <c r="C177" i="25"/>
  <c r="B177" i="25"/>
  <c r="J176" i="25"/>
  <c r="I176" i="25"/>
  <c r="G176" i="25"/>
  <c r="D176" i="25"/>
  <c r="C176" i="25"/>
  <c r="B176" i="25"/>
  <c r="I175" i="25"/>
  <c r="J175" i="25" s="1"/>
  <c r="G175" i="25"/>
  <c r="D175" i="25"/>
  <c r="C175" i="25"/>
  <c r="B175" i="25"/>
  <c r="J174" i="25"/>
  <c r="I174" i="25"/>
  <c r="G174" i="25"/>
  <c r="D174" i="25"/>
  <c r="C174" i="25"/>
  <c r="B174" i="25"/>
  <c r="J173" i="25"/>
  <c r="I173" i="25"/>
  <c r="G173" i="25"/>
  <c r="D173" i="25"/>
  <c r="C173" i="25"/>
  <c r="B173" i="25"/>
  <c r="J172" i="25"/>
  <c r="I172" i="25"/>
  <c r="G172" i="25"/>
  <c r="D172" i="25"/>
  <c r="C172" i="25"/>
  <c r="B172" i="25"/>
  <c r="I171" i="25"/>
  <c r="J171" i="25" s="1"/>
  <c r="G171" i="25"/>
  <c r="D171" i="25"/>
  <c r="C171" i="25"/>
  <c r="B171" i="25"/>
  <c r="J170" i="25"/>
  <c r="I170" i="25"/>
  <c r="G170" i="25"/>
  <c r="D170" i="25"/>
  <c r="C170" i="25"/>
  <c r="B170" i="25"/>
  <c r="J169" i="25"/>
  <c r="I169" i="25"/>
  <c r="G169" i="25"/>
  <c r="D169" i="25"/>
  <c r="C169" i="25"/>
  <c r="B169" i="25"/>
  <c r="I168" i="25"/>
  <c r="J168" i="25" s="1"/>
  <c r="G168" i="25"/>
  <c r="D168" i="25"/>
  <c r="C168" i="25"/>
  <c r="B168" i="25"/>
  <c r="I167" i="25"/>
  <c r="J167" i="25" s="1"/>
  <c r="G167" i="25"/>
  <c r="D167" i="25"/>
  <c r="C167" i="25"/>
  <c r="B167" i="25"/>
  <c r="J166" i="25"/>
  <c r="I166" i="25"/>
  <c r="G166" i="25"/>
  <c r="D166" i="25"/>
  <c r="C166" i="25"/>
  <c r="B166" i="25"/>
  <c r="J165" i="25"/>
  <c r="I165" i="25"/>
  <c r="G165" i="25"/>
  <c r="D165" i="25"/>
  <c r="C165" i="25"/>
  <c r="B165" i="25"/>
  <c r="J164" i="25"/>
  <c r="I164" i="25"/>
  <c r="G164" i="25"/>
  <c r="D164" i="25"/>
  <c r="C164" i="25"/>
  <c r="B164" i="25"/>
  <c r="I163" i="25"/>
  <c r="J163" i="25" s="1"/>
  <c r="G163" i="25"/>
  <c r="D163" i="25"/>
  <c r="C163" i="25"/>
  <c r="B163" i="25"/>
  <c r="J162" i="25"/>
  <c r="I162" i="25"/>
  <c r="G162" i="25"/>
  <c r="D162" i="25"/>
  <c r="C162" i="25"/>
  <c r="B162" i="25"/>
  <c r="J161" i="25"/>
  <c r="I161" i="25"/>
  <c r="G161" i="25"/>
  <c r="D161" i="25"/>
  <c r="C161" i="25"/>
  <c r="B161" i="25"/>
  <c r="J160" i="25"/>
  <c r="I160" i="25"/>
  <c r="G160" i="25"/>
  <c r="D160" i="25"/>
  <c r="C160" i="25"/>
  <c r="B160" i="25"/>
  <c r="I159" i="25"/>
  <c r="J159" i="25" s="1"/>
  <c r="G159" i="25"/>
  <c r="D159" i="25"/>
  <c r="C159" i="25"/>
  <c r="B159" i="25"/>
  <c r="J158" i="25"/>
  <c r="I158" i="25"/>
  <c r="G158" i="25"/>
  <c r="D158" i="25"/>
  <c r="C158" i="25"/>
  <c r="B158" i="25"/>
  <c r="J157" i="25"/>
  <c r="I157" i="25"/>
  <c r="G157" i="25"/>
  <c r="D157" i="25"/>
  <c r="C157" i="25"/>
  <c r="B157" i="25"/>
  <c r="I156" i="25"/>
  <c r="J156" i="25" s="1"/>
  <c r="G156" i="25"/>
  <c r="D156" i="25"/>
  <c r="C156" i="25"/>
  <c r="B156" i="25"/>
  <c r="I155" i="25"/>
  <c r="J155" i="25" s="1"/>
  <c r="G155" i="25"/>
  <c r="D155" i="25"/>
  <c r="C155" i="25"/>
  <c r="B155" i="25"/>
  <c r="J154" i="25"/>
  <c r="I154" i="25"/>
  <c r="G154" i="25"/>
  <c r="D154" i="25"/>
  <c r="C154" i="25"/>
  <c r="B154" i="25"/>
  <c r="J153" i="25"/>
  <c r="I153" i="25"/>
  <c r="G153" i="25"/>
  <c r="D153" i="25"/>
  <c r="C153" i="25"/>
  <c r="B153" i="25"/>
  <c r="I152" i="25"/>
  <c r="J152" i="25" s="1"/>
  <c r="G152" i="25"/>
  <c r="D152" i="25"/>
  <c r="C152" i="25"/>
  <c r="B152" i="25"/>
  <c r="I151" i="25"/>
  <c r="J151" i="25" s="1"/>
  <c r="G151" i="25"/>
  <c r="D151" i="25"/>
  <c r="C151" i="25"/>
  <c r="B151" i="25"/>
  <c r="J150" i="25"/>
  <c r="I150" i="25"/>
  <c r="G150" i="25"/>
  <c r="D150" i="25"/>
  <c r="C150" i="25"/>
  <c r="B150" i="25"/>
  <c r="J149" i="25"/>
  <c r="I149" i="25"/>
  <c r="G149" i="25"/>
  <c r="D149" i="25"/>
  <c r="C149" i="25"/>
  <c r="B149" i="25"/>
  <c r="I148" i="25"/>
  <c r="J148" i="25" s="1"/>
  <c r="G148" i="25"/>
  <c r="D148" i="25"/>
  <c r="C148" i="25"/>
  <c r="B148" i="25"/>
  <c r="I147" i="25"/>
  <c r="J147" i="25" s="1"/>
  <c r="G147" i="25"/>
  <c r="D147" i="25"/>
  <c r="C147" i="25"/>
  <c r="B147" i="25"/>
  <c r="J146" i="25"/>
  <c r="I146" i="25"/>
  <c r="G146" i="25"/>
  <c r="D146" i="25"/>
  <c r="C146" i="25"/>
  <c r="B146" i="25"/>
  <c r="J145" i="25"/>
  <c r="I145" i="25"/>
  <c r="G145" i="25"/>
  <c r="D145" i="25"/>
  <c r="C145" i="25"/>
  <c r="B145" i="25"/>
  <c r="J144" i="25"/>
  <c r="I144" i="25"/>
  <c r="G144" i="25"/>
  <c r="D144" i="25"/>
  <c r="C144" i="25"/>
  <c r="B144" i="25"/>
  <c r="I143" i="25"/>
  <c r="J143" i="25" s="1"/>
  <c r="G143" i="25"/>
  <c r="D143" i="25"/>
  <c r="C143" i="25"/>
  <c r="B143" i="25"/>
  <c r="J142" i="25"/>
  <c r="I142" i="25"/>
  <c r="G142" i="25"/>
  <c r="D142" i="25"/>
  <c r="C142" i="25"/>
  <c r="B142" i="25"/>
  <c r="J141" i="25"/>
  <c r="I141" i="25"/>
  <c r="G141" i="25"/>
  <c r="D141" i="25"/>
  <c r="C141" i="25"/>
  <c r="B141" i="25"/>
  <c r="J140" i="25"/>
  <c r="I140" i="25"/>
  <c r="G140" i="25"/>
  <c r="D140" i="25"/>
  <c r="C140" i="25"/>
  <c r="B140" i="25"/>
  <c r="I139" i="25"/>
  <c r="J139" i="25" s="1"/>
  <c r="G139" i="25"/>
  <c r="D139" i="25"/>
  <c r="C139" i="25"/>
  <c r="B139" i="25"/>
  <c r="J138" i="25"/>
  <c r="I138" i="25"/>
  <c r="G138" i="25"/>
  <c r="D138" i="25"/>
  <c r="C138" i="25"/>
  <c r="B138" i="25"/>
  <c r="J137" i="25"/>
  <c r="I137" i="25"/>
  <c r="G137" i="25"/>
  <c r="D137" i="25"/>
  <c r="C137" i="25"/>
  <c r="B137" i="25"/>
  <c r="I136" i="25"/>
  <c r="J136" i="25" s="1"/>
  <c r="G136" i="25"/>
  <c r="D136" i="25"/>
  <c r="C136" i="25"/>
  <c r="B136" i="25"/>
  <c r="I135" i="25"/>
  <c r="J135" i="25" s="1"/>
  <c r="G135" i="25"/>
  <c r="D135" i="25"/>
  <c r="C135" i="25"/>
  <c r="B135" i="25"/>
  <c r="J134" i="25"/>
  <c r="I134" i="25"/>
  <c r="G134" i="25"/>
  <c r="D134" i="25"/>
  <c r="C134" i="25"/>
  <c r="B134" i="25"/>
  <c r="J133" i="25"/>
  <c r="I133" i="25"/>
  <c r="G133" i="25"/>
  <c r="D133" i="25"/>
  <c r="C133" i="25"/>
  <c r="B133" i="25"/>
  <c r="J132" i="25"/>
  <c r="I132" i="25"/>
  <c r="G132" i="25"/>
  <c r="D132" i="25"/>
  <c r="C132" i="25"/>
  <c r="B132" i="25"/>
  <c r="I131" i="25"/>
  <c r="J131" i="25" s="1"/>
  <c r="G131" i="25"/>
  <c r="D131" i="25"/>
  <c r="C131" i="25"/>
  <c r="B131" i="25"/>
  <c r="J130" i="25"/>
  <c r="I130" i="25"/>
  <c r="G130" i="25"/>
  <c r="D130" i="25"/>
  <c r="C130" i="25"/>
  <c r="B130" i="25"/>
  <c r="J129" i="25"/>
  <c r="I129" i="25"/>
  <c r="G129" i="25"/>
  <c r="D129" i="25"/>
  <c r="C129" i="25"/>
  <c r="B129" i="25"/>
  <c r="J128" i="25"/>
  <c r="I128" i="25"/>
  <c r="G128" i="25"/>
  <c r="D128" i="25"/>
  <c r="C128" i="25"/>
  <c r="B128" i="25"/>
  <c r="I127" i="25"/>
  <c r="J127" i="25" s="1"/>
  <c r="G127" i="25"/>
  <c r="D127" i="25"/>
  <c r="C127" i="25"/>
  <c r="B127" i="25"/>
  <c r="J126" i="25"/>
  <c r="I126" i="25"/>
  <c r="G126" i="25"/>
  <c r="D126" i="25"/>
  <c r="C126" i="25"/>
  <c r="B126" i="25"/>
  <c r="J125" i="25"/>
  <c r="I125" i="25"/>
  <c r="G125" i="25"/>
  <c r="D125" i="25"/>
  <c r="C125" i="25"/>
  <c r="B125" i="25"/>
  <c r="I124" i="25"/>
  <c r="J124" i="25" s="1"/>
  <c r="G124" i="25"/>
  <c r="D124" i="25"/>
  <c r="C124" i="25"/>
  <c r="B124" i="25"/>
  <c r="I123" i="25"/>
  <c r="J123" i="25" s="1"/>
  <c r="G123" i="25"/>
  <c r="D123" i="25"/>
  <c r="C123" i="25"/>
  <c r="B123" i="25"/>
  <c r="J122" i="25"/>
  <c r="I122" i="25"/>
  <c r="G122" i="25"/>
  <c r="D122" i="25"/>
  <c r="C122" i="25"/>
  <c r="B122" i="25"/>
  <c r="J121" i="25"/>
  <c r="I121" i="25"/>
  <c r="G121" i="25"/>
  <c r="D121" i="25"/>
  <c r="C121" i="25"/>
  <c r="B121" i="25"/>
  <c r="I120" i="25"/>
  <c r="J120" i="25" s="1"/>
  <c r="G120" i="25"/>
  <c r="D120" i="25"/>
  <c r="C120" i="25"/>
  <c r="B120" i="25"/>
  <c r="I119" i="25"/>
  <c r="J119" i="25" s="1"/>
  <c r="G119" i="25"/>
  <c r="D119" i="25"/>
  <c r="C119" i="25"/>
  <c r="B119" i="25"/>
  <c r="J118" i="25"/>
  <c r="I118" i="25"/>
  <c r="G118" i="25"/>
  <c r="D118" i="25"/>
  <c r="C118" i="25"/>
  <c r="B118" i="25"/>
  <c r="J117" i="25"/>
  <c r="I117" i="25"/>
  <c r="G117" i="25"/>
  <c r="D117" i="25"/>
  <c r="C117" i="25"/>
  <c r="B117" i="25"/>
  <c r="I116" i="25"/>
  <c r="J116" i="25" s="1"/>
  <c r="G116" i="25"/>
  <c r="D116" i="25"/>
  <c r="C116" i="25"/>
  <c r="B116" i="25"/>
  <c r="I115" i="25"/>
  <c r="J115" i="25" s="1"/>
  <c r="G115" i="25"/>
  <c r="D115" i="25"/>
  <c r="C115" i="25"/>
  <c r="B115" i="25"/>
  <c r="J114" i="25"/>
  <c r="I114" i="25"/>
  <c r="G114" i="25"/>
  <c r="D114" i="25"/>
  <c r="C114" i="25"/>
  <c r="B114" i="25"/>
  <c r="J113" i="25"/>
  <c r="I113" i="25"/>
  <c r="G113" i="25"/>
  <c r="D113" i="25"/>
  <c r="C113" i="25"/>
  <c r="B113" i="25"/>
  <c r="J112" i="25"/>
  <c r="I112" i="25"/>
  <c r="G112" i="25"/>
  <c r="D112" i="25"/>
  <c r="C112" i="25"/>
  <c r="B112" i="25"/>
  <c r="I111" i="25"/>
  <c r="J111" i="25" s="1"/>
  <c r="G111" i="25"/>
  <c r="D111" i="25"/>
  <c r="C111" i="25"/>
  <c r="B111" i="25"/>
  <c r="J110" i="25"/>
  <c r="I110" i="25"/>
  <c r="G110" i="25"/>
  <c r="D110" i="25"/>
  <c r="C110" i="25"/>
  <c r="B110" i="25"/>
  <c r="J109" i="25"/>
  <c r="I109" i="25"/>
  <c r="G109" i="25"/>
  <c r="D109" i="25"/>
  <c r="C109" i="25"/>
  <c r="B109" i="25"/>
  <c r="J108" i="25"/>
  <c r="I108" i="25"/>
  <c r="G108" i="25"/>
  <c r="D108" i="25"/>
  <c r="C108" i="25"/>
  <c r="B108" i="25"/>
  <c r="I107" i="25"/>
  <c r="J107" i="25" s="1"/>
  <c r="G107" i="25"/>
  <c r="D107" i="25"/>
  <c r="C107" i="25"/>
  <c r="B107" i="25"/>
  <c r="J106" i="25"/>
  <c r="I106" i="25"/>
  <c r="G106" i="25"/>
  <c r="D106" i="25"/>
  <c r="C106" i="25"/>
  <c r="B106" i="25"/>
  <c r="J105" i="25"/>
  <c r="I105" i="25"/>
  <c r="G105" i="25"/>
  <c r="D105" i="25"/>
  <c r="C105" i="25"/>
  <c r="B105" i="25"/>
  <c r="I104" i="25"/>
  <c r="J104" i="25" s="1"/>
  <c r="G104" i="25"/>
  <c r="D104" i="25"/>
  <c r="C104" i="25"/>
  <c r="B104" i="25"/>
  <c r="I103" i="25"/>
  <c r="J103" i="25" s="1"/>
  <c r="G103" i="25"/>
  <c r="D103" i="25"/>
  <c r="C103" i="25"/>
  <c r="B103" i="25"/>
  <c r="I102" i="25"/>
  <c r="J102" i="25" s="1"/>
  <c r="G102" i="25"/>
  <c r="D102" i="25"/>
  <c r="C102" i="25"/>
  <c r="B102" i="25"/>
  <c r="J101" i="25"/>
  <c r="I101" i="25"/>
  <c r="G101" i="25"/>
  <c r="D101" i="25"/>
  <c r="C101" i="25"/>
  <c r="B101" i="25"/>
  <c r="J100" i="25"/>
  <c r="I100" i="25"/>
  <c r="G100" i="25"/>
  <c r="D100" i="25"/>
  <c r="C100" i="25"/>
  <c r="B100" i="25"/>
  <c r="I99" i="25"/>
  <c r="J99" i="25" s="1"/>
  <c r="G99" i="25"/>
  <c r="D99" i="25"/>
  <c r="C99" i="25"/>
  <c r="B99" i="25"/>
  <c r="J98" i="25"/>
  <c r="I98" i="25"/>
  <c r="G98" i="25"/>
  <c r="D98" i="25"/>
  <c r="C98" i="25"/>
  <c r="B98" i="25"/>
  <c r="J97" i="25"/>
  <c r="I97" i="25"/>
  <c r="G97" i="25"/>
  <c r="D97" i="25"/>
  <c r="C97" i="25"/>
  <c r="B97" i="25"/>
  <c r="J96" i="25"/>
  <c r="I96" i="25"/>
  <c r="G96" i="25"/>
  <c r="D96" i="25"/>
  <c r="C96" i="25"/>
  <c r="B96" i="25"/>
  <c r="I95" i="25"/>
  <c r="J95" i="25" s="1"/>
  <c r="G95" i="25"/>
  <c r="D95" i="25"/>
  <c r="C95" i="25"/>
  <c r="B95" i="25"/>
  <c r="J94" i="25"/>
  <c r="I94" i="25"/>
  <c r="G94" i="25"/>
  <c r="D94" i="25"/>
  <c r="C94" i="25"/>
  <c r="B94" i="25"/>
  <c r="J93" i="25"/>
  <c r="I93" i="25"/>
  <c r="G93" i="25"/>
  <c r="D93" i="25"/>
  <c r="C93" i="25"/>
  <c r="B93" i="25"/>
  <c r="I92" i="25"/>
  <c r="J92" i="25" s="1"/>
  <c r="G92" i="25"/>
  <c r="D92" i="25"/>
  <c r="C92" i="25"/>
  <c r="B92" i="25"/>
  <c r="I91" i="25"/>
  <c r="J91" i="25" s="1"/>
  <c r="G91" i="25"/>
  <c r="D91" i="25"/>
  <c r="C91" i="25"/>
  <c r="B91" i="25"/>
  <c r="I90" i="25"/>
  <c r="J90" i="25" s="1"/>
  <c r="G90" i="25"/>
  <c r="D90" i="25"/>
  <c r="C90" i="25"/>
  <c r="B90" i="25"/>
  <c r="J89" i="25"/>
  <c r="I89" i="25"/>
  <c r="G89" i="25"/>
  <c r="D89" i="25"/>
  <c r="C89" i="25"/>
  <c r="B89" i="25"/>
  <c r="I88" i="25"/>
  <c r="J88" i="25" s="1"/>
  <c r="G88" i="25"/>
  <c r="D88" i="25"/>
  <c r="C88" i="25"/>
  <c r="B88" i="25"/>
  <c r="I87" i="25"/>
  <c r="J87" i="25" s="1"/>
  <c r="G87" i="25"/>
  <c r="D87" i="25"/>
  <c r="C87" i="25"/>
  <c r="B87" i="25"/>
  <c r="J86" i="25"/>
  <c r="I86" i="25"/>
  <c r="G86" i="25"/>
  <c r="D86" i="25"/>
  <c r="C86" i="25"/>
  <c r="B86" i="25"/>
  <c r="J85" i="25"/>
  <c r="I85" i="25"/>
  <c r="G85" i="25"/>
  <c r="D85" i="25"/>
  <c r="C85" i="25"/>
  <c r="B85" i="25"/>
  <c r="I84" i="25"/>
  <c r="J84" i="25" s="1"/>
  <c r="G84" i="25"/>
  <c r="D84" i="25"/>
  <c r="C84" i="25"/>
  <c r="B84" i="25"/>
  <c r="I83" i="25"/>
  <c r="J83" i="25" s="1"/>
  <c r="G83" i="25"/>
  <c r="D83" i="25"/>
  <c r="C83" i="25"/>
  <c r="B83" i="25"/>
  <c r="J82" i="25"/>
  <c r="I82" i="25"/>
  <c r="G82" i="25"/>
  <c r="D82" i="25"/>
  <c r="C82" i="25"/>
  <c r="B82" i="25"/>
  <c r="J81" i="25"/>
  <c r="I81" i="25"/>
  <c r="G81" i="25"/>
  <c r="D81" i="25"/>
  <c r="C81" i="25"/>
  <c r="B81" i="25"/>
  <c r="J80" i="25"/>
  <c r="I80" i="25"/>
  <c r="G80" i="25"/>
  <c r="D80" i="25"/>
  <c r="C80" i="25"/>
  <c r="B80" i="25"/>
  <c r="I79" i="25"/>
  <c r="J79" i="25" s="1"/>
  <c r="G79" i="25"/>
  <c r="D79" i="25"/>
  <c r="C79" i="25"/>
  <c r="B79" i="25"/>
  <c r="I78" i="25"/>
  <c r="J78" i="25" s="1"/>
  <c r="G78" i="25"/>
  <c r="D78" i="25"/>
  <c r="C78" i="25"/>
  <c r="B78" i="25"/>
  <c r="J77" i="25"/>
  <c r="I77" i="25"/>
  <c r="G77" i="25"/>
  <c r="D77" i="25"/>
  <c r="C77" i="25"/>
  <c r="B77" i="25"/>
  <c r="J76" i="25"/>
  <c r="I76" i="25"/>
  <c r="G76" i="25"/>
  <c r="D76" i="25"/>
  <c r="C76" i="25"/>
  <c r="B76" i="25"/>
  <c r="I75" i="25"/>
  <c r="J75" i="25" s="1"/>
  <c r="G75" i="25"/>
  <c r="D75" i="25"/>
  <c r="C75" i="25"/>
  <c r="B75" i="25"/>
  <c r="I74" i="25"/>
  <c r="J74" i="25" s="1"/>
  <c r="G74" i="25"/>
  <c r="D74" i="25"/>
  <c r="C74" i="25"/>
  <c r="B74" i="25"/>
  <c r="J73" i="25"/>
  <c r="I73" i="25"/>
  <c r="G73" i="25"/>
  <c r="D73" i="25"/>
  <c r="C73" i="25"/>
  <c r="B73" i="25"/>
  <c r="I72" i="25"/>
  <c r="J72" i="25" s="1"/>
  <c r="G72" i="25"/>
  <c r="D72" i="25"/>
  <c r="C72" i="25"/>
  <c r="B72" i="25"/>
  <c r="I71" i="25"/>
  <c r="J71" i="25" s="1"/>
  <c r="G71" i="25"/>
  <c r="D71" i="25"/>
  <c r="C71" i="25"/>
  <c r="B71" i="25"/>
  <c r="I70" i="25"/>
  <c r="J70" i="25" s="1"/>
  <c r="G70" i="25"/>
  <c r="D70" i="25"/>
  <c r="C70" i="25"/>
  <c r="B70" i="25"/>
  <c r="J69" i="25"/>
  <c r="I69" i="25"/>
  <c r="G69" i="25"/>
  <c r="D69" i="25"/>
  <c r="C69" i="25"/>
  <c r="B69" i="25"/>
  <c r="J68" i="25"/>
  <c r="I68" i="25"/>
  <c r="G68" i="25"/>
  <c r="D68" i="25"/>
  <c r="C68" i="25"/>
  <c r="B68" i="25"/>
  <c r="I67" i="25"/>
  <c r="J67" i="25" s="1"/>
  <c r="G67" i="25"/>
  <c r="D67" i="25"/>
  <c r="C67" i="25"/>
  <c r="B67" i="25"/>
  <c r="J66" i="25"/>
  <c r="I66" i="25"/>
  <c r="G66" i="25"/>
  <c r="D66" i="25"/>
  <c r="C66" i="25"/>
  <c r="B66" i="25"/>
  <c r="J65" i="25"/>
  <c r="I65" i="25"/>
  <c r="G65" i="25"/>
  <c r="D65" i="25"/>
  <c r="C65" i="25"/>
  <c r="B65" i="25"/>
  <c r="J64" i="25"/>
  <c r="I64" i="25"/>
  <c r="G64" i="25"/>
  <c r="D64" i="25"/>
  <c r="C64" i="25"/>
  <c r="B64" i="25"/>
  <c r="I63" i="25"/>
  <c r="J63" i="25" s="1"/>
  <c r="G63" i="25"/>
  <c r="D63" i="25"/>
  <c r="C63" i="25"/>
  <c r="B63" i="25"/>
  <c r="J62" i="25"/>
  <c r="I62" i="25"/>
  <c r="G62" i="25"/>
  <c r="D62" i="25"/>
  <c r="C62" i="25"/>
  <c r="B62" i="25"/>
  <c r="J61" i="25"/>
  <c r="I61" i="25"/>
  <c r="G61" i="25"/>
  <c r="D61" i="25"/>
  <c r="C61" i="25"/>
  <c r="B61" i="25"/>
  <c r="I60" i="25"/>
  <c r="J60" i="25" s="1"/>
  <c r="G60" i="25"/>
  <c r="D60" i="25"/>
  <c r="C60" i="25"/>
  <c r="B60" i="25"/>
  <c r="I59" i="25"/>
  <c r="J59" i="25" s="1"/>
  <c r="G59" i="25"/>
  <c r="D59" i="25"/>
  <c r="C59" i="25"/>
  <c r="B59" i="25"/>
  <c r="I58" i="25"/>
  <c r="J58" i="25" s="1"/>
  <c r="G58" i="25"/>
  <c r="D58" i="25"/>
  <c r="C58" i="25"/>
  <c r="B58" i="25"/>
  <c r="J57" i="25"/>
  <c r="I57" i="25"/>
  <c r="G57" i="25"/>
  <c r="D57" i="25"/>
  <c r="C57" i="25"/>
  <c r="B57" i="25"/>
  <c r="I56" i="25"/>
  <c r="J56" i="25" s="1"/>
  <c r="G56" i="25"/>
  <c r="D56" i="25"/>
  <c r="C56" i="25"/>
  <c r="B56" i="25"/>
  <c r="I55" i="25"/>
  <c r="J55" i="25" s="1"/>
  <c r="G55" i="25"/>
  <c r="D55" i="25"/>
  <c r="C55" i="25"/>
  <c r="B55" i="25"/>
  <c r="J54" i="25"/>
  <c r="I54" i="25"/>
  <c r="G54" i="25"/>
  <c r="D54" i="25"/>
  <c r="C54" i="25"/>
  <c r="B54" i="25"/>
  <c r="J53" i="25"/>
  <c r="I53" i="25"/>
  <c r="G53" i="25"/>
  <c r="D53" i="25"/>
  <c r="C53" i="25"/>
  <c r="B53" i="25"/>
  <c r="I52" i="25"/>
  <c r="J52" i="25" s="1"/>
  <c r="G52" i="25"/>
  <c r="D52" i="25"/>
  <c r="C52" i="25"/>
  <c r="B52" i="25"/>
  <c r="I51" i="25"/>
  <c r="J51" i="25" s="1"/>
  <c r="G51" i="25"/>
  <c r="D51" i="25"/>
  <c r="C51" i="25"/>
  <c r="B51" i="25"/>
  <c r="J50" i="25"/>
  <c r="I50" i="25"/>
  <c r="G50" i="25"/>
  <c r="D50" i="25"/>
  <c r="C50" i="25"/>
  <c r="B50" i="25"/>
  <c r="J49" i="25"/>
  <c r="I49" i="25"/>
  <c r="G49" i="25"/>
  <c r="D49" i="25"/>
  <c r="C49" i="25"/>
  <c r="B49" i="25"/>
  <c r="J48" i="25"/>
  <c r="I48" i="25"/>
  <c r="G48" i="25"/>
  <c r="D48" i="25"/>
  <c r="C48" i="25"/>
  <c r="B48" i="25"/>
  <c r="I47" i="25"/>
  <c r="J47" i="25" s="1"/>
  <c r="G47" i="25"/>
  <c r="D47" i="25"/>
  <c r="C47" i="25"/>
  <c r="B47" i="25"/>
  <c r="I46" i="25"/>
  <c r="J46" i="25" s="1"/>
  <c r="G46" i="25"/>
  <c r="D46" i="25"/>
  <c r="C46" i="25"/>
  <c r="B46" i="25"/>
  <c r="J45" i="25"/>
  <c r="I45" i="25"/>
  <c r="G45" i="25"/>
  <c r="D45" i="25"/>
  <c r="C45" i="25"/>
  <c r="B45" i="25"/>
  <c r="J44" i="25"/>
  <c r="I44" i="25"/>
  <c r="G44" i="25"/>
  <c r="D44" i="25"/>
  <c r="C44" i="25"/>
  <c r="B44" i="25"/>
  <c r="I43" i="25"/>
  <c r="J43" i="25" s="1"/>
  <c r="G43" i="25"/>
  <c r="D43" i="25"/>
  <c r="C43" i="25"/>
  <c r="B43" i="25"/>
  <c r="I42" i="25"/>
  <c r="J42" i="25" s="1"/>
  <c r="G42" i="25"/>
  <c r="D42" i="25"/>
  <c r="C42" i="25"/>
  <c r="B42" i="25"/>
  <c r="J41" i="25"/>
  <c r="I41" i="25"/>
  <c r="G41" i="25"/>
  <c r="D41" i="25"/>
  <c r="C41" i="25"/>
  <c r="B41" i="25"/>
  <c r="I40" i="25"/>
  <c r="J40" i="25" s="1"/>
  <c r="G40" i="25"/>
  <c r="D40" i="25"/>
  <c r="C40" i="25"/>
  <c r="B40" i="25"/>
  <c r="I39" i="25"/>
  <c r="J39" i="25" s="1"/>
  <c r="G39" i="25"/>
  <c r="D39" i="25"/>
  <c r="C39" i="25"/>
  <c r="B39" i="25"/>
  <c r="I38" i="25"/>
  <c r="J38" i="25" s="1"/>
  <c r="G38" i="25"/>
  <c r="D38" i="25"/>
  <c r="C38" i="25"/>
  <c r="B38" i="25"/>
  <c r="J37" i="25"/>
  <c r="I37" i="25"/>
  <c r="G37" i="25"/>
  <c r="D37" i="25"/>
  <c r="C37" i="25"/>
  <c r="B37" i="25"/>
  <c r="J36" i="25"/>
  <c r="I36" i="25"/>
  <c r="G36" i="25"/>
  <c r="D36" i="25"/>
  <c r="C36" i="25"/>
  <c r="B36" i="25"/>
  <c r="I35" i="25"/>
  <c r="J35" i="25" s="1"/>
  <c r="G35" i="25"/>
  <c r="D35" i="25"/>
  <c r="C35" i="25"/>
  <c r="B35" i="25"/>
  <c r="J34" i="25"/>
  <c r="I34" i="25"/>
  <c r="G34" i="25"/>
  <c r="D34" i="25"/>
  <c r="C34" i="25"/>
  <c r="B34" i="25"/>
  <c r="J33" i="25"/>
  <c r="I33" i="25"/>
  <c r="G33" i="25"/>
  <c r="D33" i="25"/>
  <c r="C33" i="25"/>
  <c r="B33" i="25"/>
  <c r="J32" i="25"/>
  <c r="I32" i="25"/>
  <c r="G32" i="25"/>
  <c r="D32" i="25"/>
  <c r="C32" i="25"/>
  <c r="B32" i="25"/>
  <c r="I31" i="25"/>
  <c r="J31" i="25" s="1"/>
  <c r="G31" i="25"/>
  <c r="D31" i="25"/>
  <c r="C31" i="25"/>
  <c r="B31" i="25"/>
  <c r="J30" i="25"/>
  <c r="I30" i="25"/>
  <c r="G30" i="25"/>
  <c r="D30" i="25"/>
  <c r="C30" i="25"/>
  <c r="B30" i="25"/>
  <c r="J29" i="25"/>
  <c r="I29" i="25"/>
  <c r="G29" i="25"/>
  <c r="D29" i="25"/>
  <c r="C29" i="25"/>
  <c r="B29" i="25"/>
  <c r="I28" i="25"/>
  <c r="J28" i="25" s="1"/>
  <c r="G28" i="25"/>
  <c r="D28" i="25"/>
  <c r="C28" i="25"/>
  <c r="B28" i="25"/>
  <c r="I27" i="25"/>
  <c r="J27" i="25" s="1"/>
  <c r="G27" i="25"/>
  <c r="D27" i="25"/>
  <c r="C27" i="25"/>
  <c r="B27" i="25"/>
  <c r="I26" i="25"/>
  <c r="J26" i="25" s="1"/>
  <c r="G26" i="25"/>
  <c r="D26" i="25"/>
  <c r="C26" i="25"/>
  <c r="B26" i="25"/>
  <c r="J25" i="25"/>
  <c r="I25" i="25"/>
  <c r="G25" i="25"/>
  <c r="D25" i="25"/>
  <c r="C25" i="25"/>
  <c r="B25" i="25"/>
  <c r="I24" i="25"/>
  <c r="J24" i="25" s="1"/>
  <c r="G24" i="25"/>
  <c r="D24" i="25"/>
  <c r="C24" i="25"/>
  <c r="B24" i="25"/>
  <c r="I23" i="25"/>
  <c r="J23" i="25" s="1"/>
  <c r="G23" i="25"/>
  <c r="D23" i="25"/>
  <c r="C23" i="25"/>
  <c r="B23" i="25"/>
  <c r="J22" i="25"/>
  <c r="I22" i="25"/>
  <c r="G22" i="25"/>
  <c r="D22" i="25"/>
  <c r="C22" i="25"/>
  <c r="B22" i="25"/>
  <c r="J21" i="25"/>
  <c r="I21" i="25"/>
  <c r="G21" i="25"/>
  <c r="D21" i="25"/>
  <c r="C21" i="25"/>
  <c r="B21" i="25"/>
  <c r="I20" i="25"/>
  <c r="J20" i="25" s="1"/>
  <c r="G20" i="25"/>
  <c r="D20" i="25"/>
  <c r="C20" i="25"/>
  <c r="B20" i="25"/>
  <c r="I19" i="25"/>
  <c r="J19" i="25" s="1"/>
  <c r="G19" i="25"/>
  <c r="D19" i="25"/>
  <c r="C19" i="25"/>
  <c r="B19" i="25"/>
  <c r="J18" i="25"/>
  <c r="I18" i="25"/>
  <c r="G18" i="25"/>
  <c r="D18" i="25"/>
  <c r="C18" i="25"/>
  <c r="B18" i="25"/>
  <c r="J17" i="25"/>
  <c r="I17" i="25"/>
  <c r="G17" i="25"/>
  <c r="D17" i="25"/>
  <c r="C17" i="25"/>
  <c r="B17" i="25"/>
  <c r="J16" i="25"/>
  <c r="I16" i="25"/>
  <c r="G16" i="25"/>
  <c r="D16" i="25"/>
  <c r="C16" i="25"/>
  <c r="B16" i="25"/>
  <c r="I15" i="25"/>
  <c r="J15" i="25" s="1"/>
  <c r="G15" i="25"/>
  <c r="D15" i="25"/>
  <c r="C15" i="25"/>
  <c r="B15" i="25"/>
  <c r="I14" i="25"/>
  <c r="J14" i="25" s="1"/>
  <c r="G14" i="25"/>
  <c r="D14" i="25"/>
  <c r="C14" i="25"/>
  <c r="B14" i="25"/>
  <c r="J13" i="25"/>
  <c r="I13" i="25"/>
  <c r="G13" i="25"/>
  <c r="D13" i="25"/>
  <c r="C13" i="25"/>
  <c r="B13" i="25"/>
  <c r="J12" i="25"/>
  <c r="I12" i="25"/>
  <c r="G12" i="25"/>
  <c r="D12" i="25"/>
  <c r="C12" i="25"/>
  <c r="B12" i="25"/>
  <c r="I11" i="25"/>
  <c r="J11" i="25" s="1"/>
  <c r="G11" i="25"/>
  <c r="D11" i="25"/>
  <c r="C11" i="25"/>
  <c r="B11" i="25"/>
  <c r="D10" i="25"/>
  <c r="C10" i="25"/>
  <c r="G10" i="25" s="1"/>
  <c r="B10" i="25"/>
  <c r="J9" i="25"/>
  <c r="I9" i="25"/>
  <c r="G9" i="25"/>
  <c r="D9" i="25"/>
  <c r="C9" i="25"/>
  <c r="B9" i="25"/>
  <c r="J4" i="25"/>
  <c r="G4" i="25"/>
  <c r="D4" i="25"/>
  <c r="A4" i="25"/>
  <c r="H208" i="24"/>
  <c r="I208" i="24" s="1"/>
  <c r="F208" i="24"/>
  <c r="D208" i="24"/>
  <c r="C208" i="24"/>
  <c r="B208" i="24"/>
  <c r="I207" i="24"/>
  <c r="H207" i="24"/>
  <c r="F207" i="24"/>
  <c r="D207" i="24"/>
  <c r="C207" i="24"/>
  <c r="B207" i="24"/>
  <c r="H206" i="24"/>
  <c r="I206" i="24" s="1"/>
  <c r="F206" i="24"/>
  <c r="D206" i="24"/>
  <c r="C206" i="24"/>
  <c r="B206" i="24"/>
  <c r="H205" i="24"/>
  <c r="I205" i="24" s="1"/>
  <c r="F205" i="24"/>
  <c r="D205" i="24"/>
  <c r="C205" i="24"/>
  <c r="B205" i="24"/>
  <c r="I204" i="24"/>
  <c r="H204" i="24"/>
  <c r="F204" i="24"/>
  <c r="D204" i="24"/>
  <c r="C204" i="24"/>
  <c r="B204" i="24"/>
  <c r="H203" i="24"/>
  <c r="I203" i="24" s="1"/>
  <c r="F203" i="24"/>
  <c r="D203" i="24"/>
  <c r="C203" i="24"/>
  <c r="B203" i="24"/>
  <c r="H202" i="24"/>
  <c r="I202" i="24" s="1"/>
  <c r="F202" i="24"/>
  <c r="D202" i="24"/>
  <c r="C202" i="24"/>
  <c r="B202" i="24"/>
  <c r="H201" i="24"/>
  <c r="I201" i="24" s="1"/>
  <c r="F201" i="24"/>
  <c r="D201" i="24"/>
  <c r="C201" i="24"/>
  <c r="B201" i="24"/>
  <c r="I200" i="24"/>
  <c r="H200" i="24"/>
  <c r="F200" i="24"/>
  <c r="D200" i="24"/>
  <c r="C200" i="24"/>
  <c r="B200" i="24"/>
  <c r="H199" i="24"/>
  <c r="I199" i="24" s="1"/>
  <c r="F199" i="24"/>
  <c r="D199" i="24"/>
  <c r="C199" i="24"/>
  <c r="B199" i="24"/>
  <c r="H198" i="24"/>
  <c r="I198" i="24" s="1"/>
  <c r="F198" i="24"/>
  <c r="D198" i="24"/>
  <c r="C198" i="24"/>
  <c r="B198" i="24"/>
  <c r="H197" i="24"/>
  <c r="I197" i="24" s="1"/>
  <c r="F197" i="24"/>
  <c r="D197" i="24"/>
  <c r="C197" i="24"/>
  <c r="B197" i="24"/>
  <c r="H196" i="24"/>
  <c r="I196" i="24" s="1"/>
  <c r="F196" i="24"/>
  <c r="D196" i="24"/>
  <c r="C196" i="24"/>
  <c r="B196" i="24"/>
  <c r="H195" i="24"/>
  <c r="I195" i="24" s="1"/>
  <c r="F195" i="24"/>
  <c r="D195" i="24"/>
  <c r="C195" i="24"/>
  <c r="B195" i="24"/>
  <c r="H194" i="24"/>
  <c r="I194" i="24" s="1"/>
  <c r="F194" i="24"/>
  <c r="D194" i="24"/>
  <c r="C194" i="24"/>
  <c r="B194" i="24"/>
  <c r="H193" i="24"/>
  <c r="I193" i="24" s="1"/>
  <c r="F193" i="24"/>
  <c r="D193" i="24"/>
  <c r="C193" i="24"/>
  <c r="B193" i="24"/>
  <c r="H192" i="24"/>
  <c r="I192" i="24" s="1"/>
  <c r="F192" i="24"/>
  <c r="D192" i="24"/>
  <c r="C192" i="24"/>
  <c r="B192" i="24"/>
  <c r="H191" i="24"/>
  <c r="I191" i="24" s="1"/>
  <c r="F191" i="24"/>
  <c r="D191" i="24"/>
  <c r="C191" i="24"/>
  <c r="B191" i="24"/>
  <c r="I190" i="24"/>
  <c r="H190" i="24"/>
  <c r="F190" i="24"/>
  <c r="D190" i="24"/>
  <c r="C190" i="24"/>
  <c r="B190" i="24"/>
  <c r="H189" i="24"/>
  <c r="I189" i="24" s="1"/>
  <c r="F189" i="24"/>
  <c r="D189" i="24"/>
  <c r="C189" i="24"/>
  <c r="B189" i="24"/>
  <c r="H188" i="24"/>
  <c r="I188" i="24" s="1"/>
  <c r="F188" i="24"/>
  <c r="D188" i="24"/>
  <c r="C188" i="24"/>
  <c r="B188" i="24"/>
  <c r="H187" i="24"/>
  <c r="I187" i="24" s="1"/>
  <c r="F187" i="24"/>
  <c r="D187" i="24"/>
  <c r="C187" i="24"/>
  <c r="B187" i="24"/>
  <c r="I186" i="24"/>
  <c r="H186" i="24"/>
  <c r="F186" i="24"/>
  <c r="D186" i="24"/>
  <c r="C186" i="24"/>
  <c r="B186" i="24"/>
  <c r="H185" i="24"/>
  <c r="I185" i="24" s="1"/>
  <c r="F185" i="24"/>
  <c r="D185" i="24"/>
  <c r="C185" i="24"/>
  <c r="B185" i="24"/>
  <c r="H184" i="24"/>
  <c r="I184" i="24" s="1"/>
  <c r="F184" i="24"/>
  <c r="D184" i="24"/>
  <c r="C184" i="24"/>
  <c r="B184" i="24"/>
  <c r="H183" i="24"/>
  <c r="I183" i="24" s="1"/>
  <c r="F183" i="24"/>
  <c r="D183" i="24"/>
  <c r="C183" i="24"/>
  <c r="B183" i="24"/>
  <c r="I182" i="24"/>
  <c r="H182" i="24"/>
  <c r="F182" i="24"/>
  <c r="D182" i="24"/>
  <c r="C182" i="24"/>
  <c r="B182" i="24"/>
  <c r="H181" i="24"/>
  <c r="I181" i="24" s="1"/>
  <c r="F181" i="24"/>
  <c r="D181" i="24"/>
  <c r="C181" i="24"/>
  <c r="B181" i="24"/>
  <c r="H180" i="24"/>
  <c r="I180" i="24" s="1"/>
  <c r="F180" i="24"/>
  <c r="D180" i="24"/>
  <c r="C180" i="24"/>
  <c r="B180" i="24"/>
  <c r="H179" i="24"/>
  <c r="I179" i="24" s="1"/>
  <c r="F179" i="24"/>
  <c r="D179" i="24"/>
  <c r="C179" i="24"/>
  <c r="B179" i="24"/>
  <c r="I178" i="24"/>
  <c r="H178" i="24"/>
  <c r="F178" i="24"/>
  <c r="D178" i="24"/>
  <c r="C178" i="24"/>
  <c r="B178" i="24"/>
  <c r="I177" i="24"/>
  <c r="H177" i="24"/>
  <c r="F177" i="24"/>
  <c r="D177" i="24"/>
  <c r="C177" i="24"/>
  <c r="B177" i="24"/>
  <c r="H176" i="24"/>
  <c r="I176" i="24" s="1"/>
  <c r="F176" i="24"/>
  <c r="D176" i="24"/>
  <c r="C176" i="24"/>
  <c r="B176" i="24"/>
  <c r="H175" i="24"/>
  <c r="I175" i="24" s="1"/>
  <c r="F175" i="24"/>
  <c r="D175" i="24"/>
  <c r="C175" i="24"/>
  <c r="B175" i="24"/>
  <c r="I174" i="24"/>
  <c r="H174" i="24"/>
  <c r="F174" i="24"/>
  <c r="D174" i="24"/>
  <c r="C174" i="24"/>
  <c r="B174" i="24"/>
  <c r="I173" i="24"/>
  <c r="H173" i="24"/>
  <c r="F173" i="24"/>
  <c r="D173" i="24"/>
  <c r="C173" i="24"/>
  <c r="B173" i="24"/>
  <c r="H172" i="24"/>
  <c r="I172" i="24" s="1"/>
  <c r="F172" i="24"/>
  <c r="D172" i="24"/>
  <c r="C172" i="24"/>
  <c r="B172" i="24"/>
  <c r="H171" i="24"/>
  <c r="I171" i="24" s="1"/>
  <c r="F171" i="24"/>
  <c r="D171" i="24"/>
  <c r="C171" i="24"/>
  <c r="B171" i="24"/>
  <c r="I170" i="24"/>
  <c r="H170" i="24"/>
  <c r="F170" i="24"/>
  <c r="D170" i="24"/>
  <c r="C170" i="24"/>
  <c r="B170" i="24"/>
  <c r="H169" i="24"/>
  <c r="I169" i="24" s="1"/>
  <c r="F169" i="24"/>
  <c r="D169" i="24"/>
  <c r="C169" i="24"/>
  <c r="B169" i="24"/>
  <c r="H168" i="24"/>
  <c r="I168" i="24" s="1"/>
  <c r="F168" i="24"/>
  <c r="D168" i="24"/>
  <c r="C168" i="24"/>
  <c r="B168" i="24"/>
  <c r="H167" i="24"/>
  <c r="I167" i="24" s="1"/>
  <c r="F167" i="24"/>
  <c r="D167" i="24"/>
  <c r="C167" i="24"/>
  <c r="B167" i="24"/>
  <c r="I166" i="24"/>
  <c r="H166" i="24"/>
  <c r="F166" i="24"/>
  <c r="D166" i="24"/>
  <c r="C166" i="24"/>
  <c r="B166" i="24"/>
  <c r="H165" i="24"/>
  <c r="I165" i="24" s="1"/>
  <c r="F165" i="24"/>
  <c r="D165" i="24"/>
  <c r="C165" i="24"/>
  <c r="B165" i="24"/>
  <c r="H164" i="24"/>
  <c r="I164" i="24" s="1"/>
  <c r="F164" i="24"/>
  <c r="D164" i="24"/>
  <c r="C164" i="24"/>
  <c r="B164" i="24"/>
  <c r="H163" i="24"/>
  <c r="I163" i="24" s="1"/>
  <c r="F163" i="24"/>
  <c r="D163" i="24"/>
  <c r="C163" i="24"/>
  <c r="B163" i="24"/>
  <c r="I162" i="24"/>
  <c r="H162" i="24"/>
  <c r="F162" i="24"/>
  <c r="D162" i="24"/>
  <c r="C162" i="24"/>
  <c r="B162" i="24"/>
  <c r="I161" i="24"/>
  <c r="H161" i="24"/>
  <c r="F161" i="24"/>
  <c r="D161" i="24"/>
  <c r="C161" i="24"/>
  <c r="B161" i="24"/>
  <c r="H160" i="24"/>
  <c r="I160" i="24" s="1"/>
  <c r="F160" i="24"/>
  <c r="D160" i="24"/>
  <c r="C160" i="24"/>
  <c r="B160" i="24"/>
  <c r="H159" i="24"/>
  <c r="I159" i="24" s="1"/>
  <c r="F159" i="24"/>
  <c r="D159" i="24"/>
  <c r="C159" i="24"/>
  <c r="B159" i="24"/>
  <c r="I158" i="24"/>
  <c r="H158" i="24"/>
  <c r="F158" i="24"/>
  <c r="D158" i="24"/>
  <c r="C158" i="24"/>
  <c r="B158" i="24"/>
  <c r="I157" i="24"/>
  <c r="H157" i="24"/>
  <c r="F157" i="24"/>
  <c r="D157" i="24"/>
  <c r="C157" i="24"/>
  <c r="B157" i="24"/>
  <c r="H156" i="24"/>
  <c r="I156" i="24" s="1"/>
  <c r="F156" i="24"/>
  <c r="D156" i="24"/>
  <c r="C156" i="24"/>
  <c r="B156" i="24"/>
  <c r="H155" i="24"/>
  <c r="I155" i="24" s="1"/>
  <c r="F155" i="24"/>
  <c r="D155" i="24"/>
  <c r="C155" i="24"/>
  <c r="B155" i="24"/>
  <c r="I154" i="24"/>
  <c r="H154" i="24"/>
  <c r="F154" i="24"/>
  <c r="D154" i="24"/>
  <c r="C154" i="24"/>
  <c r="B154" i="24"/>
  <c r="H153" i="24"/>
  <c r="I153" i="24" s="1"/>
  <c r="F153" i="24"/>
  <c r="D153" i="24"/>
  <c r="C153" i="24"/>
  <c r="B153" i="24"/>
  <c r="H152" i="24"/>
  <c r="I152" i="24" s="1"/>
  <c r="F152" i="24"/>
  <c r="D152" i="24"/>
  <c r="C152" i="24"/>
  <c r="B152" i="24"/>
  <c r="H151" i="24"/>
  <c r="I151" i="24" s="1"/>
  <c r="F151" i="24"/>
  <c r="D151" i="24"/>
  <c r="C151" i="24"/>
  <c r="B151" i="24"/>
  <c r="I150" i="24"/>
  <c r="H150" i="24"/>
  <c r="F150" i="24"/>
  <c r="D150" i="24"/>
  <c r="C150" i="24"/>
  <c r="B150" i="24"/>
  <c r="H149" i="24"/>
  <c r="I149" i="24" s="1"/>
  <c r="F149" i="24"/>
  <c r="D149" i="24"/>
  <c r="C149" i="24"/>
  <c r="B149" i="24"/>
  <c r="H148" i="24"/>
  <c r="I148" i="24" s="1"/>
  <c r="F148" i="24"/>
  <c r="D148" i="24"/>
  <c r="C148" i="24"/>
  <c r="B148" i="24"/>
  <c r="H147" i="24"/>
  <c r="I147" i="24" s="1"/>
  <c r="F147" i="24"/>
  <c r="D147" i="24"/>
  <c r="C147" i="24"/>
  <c r="B147" i="24"/>
  <c r="I146" i="24"/>
  <c r="H146" i="24"/>
  <c r="F146" i="24"/>
  <c r="D146" i="24"/>
  <c r="C146" i="24"/>
  <c r="B146" i="24"/>
  <c r="I145" i="24"/>
  <c r="H145" i="24"/>
  <c r="F145" i="24"/>
  <c r="D145" i="24"/>
  <c r="C145" i="24"/>
  <c r="B145" i="24"/>
  <c r="H144" i="24"/>
  <c r="I144" i="24" s="1"/>
  <c r="F144" i="24"/>
  <c r="D144" i="24"/>
  <c r="C144" i="24"/>
  <c r="B144" i="24"/>
  <c r="H143" i="24"/>
  <c r="I143" i="24" s="1"/>
  <c r="F143" i="24"/>
  <c r="D143" i="24"/>
  <c r="C143" i="24"/>
  <c r="B143" i="24"/>
  <c r="I142" i="24"/>
  <c r="H142" i="24"/>
  <c r="F142" i="24"/>
  <c r="D142" i="24"/>
  <c r="C142" i="24"/>
  <c r="B142" i="24"/>
  <c r="I141" i="24"/>
  <c r="H141" i="24"/>
  <c r="F141" i="24"/>
  <c r="D141" i="24"/>
  <c r="C141" i="24"/>
  <c r="B141" i="24"/>
  <c r="H140" i="24"/>
  <c r="I140" i="24" s="1"/>
  <c r="F140" i="24"/>
  <c r="D140" i="24"/>
  <c r="C140" i="24"/>
  <c r="B140" i="24"/>
  <c r="H139" i="24"/>
  <c r="I139" i="24" s="1"/>
  <c r="F139" i="24"/>
  <c r="D139" i="24"/>
  <c r="C139" i="24"/>
  <c r="B139" i="24"/>
  <c r="I138" i="24"/>
  <c r="H138" i="24"/>
  <c r="F138" i="24"/>
  <c r="D138" i="24"/>
  <c r="C138" i="24"/>
  <c r="B138" i="24"/>
  <c r="H137" i="24"/>
  <c r="I137" i="24" s="1"/>
  <c r="F137" i="24"/>
  <c r="D137" i="24"/>
  <c r="C137" i="24"/>
  <c r="B137" i="24"/>
  <c r="H136" i="24"/>
  <c r="I136" i="24" s="1"/>
  <c r="F136" i="24"/>
  <c r="D136" i="24"/>
  <c r="C136" i="24"/>
  <c r="B136" i="24"/>
  <c r="H135" i="24"/>
  <c r="I135" i="24" s="1"/>
  <c r="F135" i="24"/>
  <c r="D135" i="24"/>
  <c r="C135" i="24"/>
  <c r="B135" i="24"/>
  <c r="I134" i="24"/>
  <c r="H134" i="24"/>
  <c r="F134" i="24"/>
  <c r="D134" i="24"/>
  <c r="C134" i="24"/>
  <c r="B134" i="24"/>
  <c r="H133" i="24"/>
  <c r="I133" i="24" s="1"/>
  <c r="F133" i="24"/>
  <c r="D133" i="24"/>
  <c r="C133" i="24"/>
  <c r="B133" i="24"/>
  <c r="H132" i="24"/>
  <c r="I132" i="24" s="1"/>
  <c r="F132" i="24"/>
  <c r="D132" i="24"/>
  <c r="C132" i="24"/>
  <c r="B132" i="24"/>
  <c r="H131" i="24"/>
  <c r="I131" i="24" s="1"/>
  <c r="F131" i="24"/>
  <c r="D131" i="24"/>
  <c r="C131" i="24"/>
  <c r="B131" i="24"/>
  <c r="I130" i="24"/>
  <c r="H130" i="24"/>
  <c r="F130" i="24"/>
  <c r="D130" i="24"/>
  <c r="C130" i="24"/>
  <c r="B130" i="24"/>
  <c r="I129" i="24"/>
  <c r="H129" i="24"/>
  <c r="F129" i="24"/>
  <c r="D129" i="24"/>
  <c r="C129" i="24"/>
  <c r="B129" i="24"/>
  <c r="H128" i="24"/>
  <c r="I128" i="24" s="1"/>
  <c r="F128" i="24"/>
  <c r="D128" i="24"/>
  <c r="C128" i="24"/>
  <c r="B128" i="24"/>
  <c r="H127" i="24"/>
  <c r="I127" i="24" s="1"/>
  <c r="F127" i="24"/>
  <c r="D127" i="24"/>
  <c r="C127" i="24"/>
  <c r="B127" i="24"/>
  <c r="I126" i="24"/>
  <c r="H126" i="24"/>
  <c r="F126" i="24"/>
  <c r="D126" i="24"/>
  <c r="C126" i="24"/>
  <c r="B126" i="24"/>
  <c r="I125" i="24"/>
  <c r="H125" i="24"/>
  <c r="F125" i="24"/>
  <c r="D125" i="24"/>
  <c r="C125" i="24"/>
  <c r="B125" i="24"/>
  <c r="H124" i="24"/>
  <c r="I124" i="24" s="1"/>
  <c r="F124" i="24"/>
  <c r="D124" i="24"/>
  <c r="C124" i="24"/>
  <c r="B124" i="24"/>
  <c r="H123" i="24"/>
  <c r="I123" i="24" s="1"/>
  <c r="F123" i="24"/>
  <c r="D123" i="24"/>
  <c r="C123" i="24"/>
  <c r="B123" i="24"/>
  <c r="I122" i="24"/>
  <c r="H122" i="24"/>
  <c r="F122" i="24"/>
  <c r="D122" i="24"/>
  <c r="C122" i="24"/>
  <c r="B122" i="24"/>
  <c r="H121" i="24"/>
  <c r="I121" i="24" s="1"/>
  <c r="F121" i="24"/>
  <c r="D121" i="24"/>
  <c r="C121" i="24"/>
  <c r="B121" i="24"/>
  <c r="H120" i="24"/>
  <c r="I120" i="24" s="1"/>
  <c r="F120" i="24"/>
  <c r="D120" i="24"/>
  <c r="C120" i="24"/>
  <c r="B120" i="24"/>
  <c r="H119" i="24"/>
  <c r="I119" i="24" s="1"/>
  <c r="F119" i="24"/>
  <c r="D119" i="24"/>
  <c r="C119" i="24"/>
  <c r="B119" i="24"/>
  <c r="I118" i="24"/>
  <c r="H118" i="24"/>
  <c r="F118" i="24"/>
  <c r="D118" i="24"/>
  <c r="C118" i="24"/>
  <c r="B118" i="24"/>
  <c r="H117" i="24"/>
  <c r="I117" i="24" s="1"/>
  <c r="F117" i="24"/>
  <c r="D117" i="24"/>
  <c r="C117" i="24"/>
  <c r="B117" i="24"/>
  <c r="H116" i="24"/>
  <c r="I116" i="24" s="1"/>
  <c r="F116" i="24"/>
  <c r="D116" i="24"/>
  <c r="C116" i="24"/>
  <c r="B116" i="24"/>
  <c r="H115" i="24"/>
  <c r="I115" i="24" s="1"/>
  <c r="F115" i="24"/>
  <c r="D115" i="24"/>
  <c r="C115" i="24"/>
  <c r="B115" i="24"/>
  <c r="I114" i="24"/>
  <c r="H114" i="24"/>
  <c r="F114" i="24"/>
  <c r="D114" i="24"/>
  <c r="C114" i="24"/>
  <c r="B114" i="24"/>
  <c r="I113" i="24"/>
  <c r="H113" i="24"/>
  <c r="F113" i="24"/>
  <c r="D113" i="24"/>
  <c r="C113" i="24"/>
  <c r="B113" i="24"/>
  <c r="H112" i="24"/>
  <c r="I112" i="24" s="1"/>
  <c r="F112" i="24"/>
  <c r="D112" i="24"/>
  <c r="C112" i="24"/>
  <c r="B112" i="24"/>
  <c r="H111" i="24"/>
  <c r="I111" i="24" s="1"/>
  <c r="F111" i="24"/>
  <c r="D111" i="24"/>
  <c r="C111" i="24"/>
  <c r="B111" i="24"/>
  <c r="I110" i="24"/>
  <c r="H110" i="24"/>
  <c r="F110" i="24"/>
  <c r="D110" i="24"/>
  <c r="C110" i="24"/>
  <c r="B110" i="24"/>
  <c r="I109" i="24"/>
  <c r="H109" i="24"/>
  <c r="F109" i="24"/>
  <c r="D109" i="24"/>
  <c r="C109" i="24"/>
  <c r="B109" i="24"/>
  <c r="H108" i="24"/>
  <c r="I108" i="24" s="1"/>
  <c r="F108" i="24"/>
  <c r="D108" i="24"/>
  <c r="C108" i="24"/>
  <c r="B108" i="24"/>
  <c r="H107" i="24"/>
  <c r="I107" i="24" s="1"/>
  <c r="F107" i="24"/>
  <c r="D107" i="24"/>
  <c r="C107" i="24"/>
  <c r="B107" i="24"/>
  <c r="I106" i="24"/>
  <c r="H106" i="24"/>
  <c r="F106" i="24"/>
  <c r="D106" i="24"/>
  <c r="C106" i="24"/>
  <c r="B106" i="24"/>
  <c r="H105" i="24"/>
  <c r="I105" i="24" s="1"/>
  <c r="F105" i="24"/>
  <c r="D105" i="24"/>
  <c r="C105" i="24"/>
  <c r="B105" i="24"/>
  <c r="H104" i="24"/>
  <c r="I104" i="24" s="1"/>
  <c r="F104" i="24"/>
  <c r="D104" i="24"/>
  <c r="C104" i="24"/>
  <c r="B104" i="24"/>
  <c r="H103" i="24"/>
  <c r="I103" i="24" s="1"/>
  <c r="F103" i="24"/>
  <c r="D103" i="24"/>
  <c r="C103" i="24"/>
  <c r="B103" i="24"/>
  <c r="I102" i="24"/>
  <c r="H102" i="24"/>
  <c r="F102" i="24"/>
  <c r="D102" i="24"/>
  <c r="C102" i="24"/>
  <c r="B102" i="24"/>
  <c r="H101" i="24"/>
  <c r="I101" i="24" s="1"/>
  <c r="F101" i="24"/>
  <c r="D101" i="24"/>
  <c r="C101" i="24"/>
  <c r="B101" i="24"/>
  <c r="H100" i="24"/>
  <c r="I100" i="24" s="1"/>
  <c r="F100" i="24"/>
  <c r="D100" i="24"/>
  <c r="C100" i="24"/>
  <c r="B100" i="24"/>
  <c r="H99" i="24"/>
  <c r="I99" i="24" s="1"/>
  <c r="F99" i="24"/>
  <c r="D99" i="24"/>
  <c r="C99" i="24"/>
  <c r="B99" i="24"/>
  <c r="I98" i="24"/>
  <c r="H98" i="24"/>
  <c r="F98" i="24"/>
  <c r="D98" i="24"/>
  <c r="C98" i="24"/>
  <c r="B98" i="24"/>
  <c r="I97" i="24"/>
  <c r="H97" i="24"/>
  <c r="F97" i="24"/>
  <c r="D97" i="24"/>
  <c r="C97" i="24"/>
  <c r="B97" i="24"/>
  <c r="H96" i="24"/>
  <c r="I96" i="24" s="1"/>
  <c r="F96" i="24"/>
  <c r="D96" i="24"/>
  <c r="C96" i="24"/>
  <c r="B96" i="24"/>
  <c r="H95" i="24"/>
  <c r="I95" i="24" s="1"/>
  <c r="F95" i="24"/>
  <c r="D95" i="24"/>
  <c r="C95" i="24"/>
  <c r="B95" i="24"/>
  <c r="I94" i="24"/>
  <c r="H94" i="24"/>
  <c r="F94" i="24"/>
  <c r="D94" i="24"/>
  <c r="C94" i="24"/>
  <c r="B94" i="24"/>
  <c r="I93" i="24"/>
  <c r="H93" i="24"/>
  <c r="F93" i="24"/>
  <c r="D93" i="24"/>
  <c r="C93" i="24"/>
  <c r="B93" i="24"/>
  <c r="H92" i="24"/>
  <c r="I92" i="24" s="1"/>
  <c r="F92" i="24"/>
  <c r="D92" i="24"/>
  <c r="C92" i="24"/>
  <c r="B92" i="24"/>
  <c r="H91" i="24"/>
  <c r="I91" i="24" s="1"/>
  <c r="F91" i="24"/>
  <c r="D91" i="24"/>
  <c r="C91" i="24"/>
  <c r="B91" i="24"/>
  <c r="I90" i="24"/>
  <c r="H90" i="24"/>
  <c r="F90" i="24"/>
  <c r="D90" i="24"/>
  <c r="C90" i="24"/>
  <c r="B90" i="24"/>
  <c r="H89" i="24"/>
  <c r="I89" i="24" s="1"/>
  <c r="F89" i="24"/>
  <c r="D89" i="24"/>
  <c r="C89" i="24"/>
  <c r="B89" i="24"/>
  <c r="H88" i="24"/>
  <c r="I88" i="24" s="1"/>
  <c r="F88" i="24"/>
  <c r="D88" i="24"/>
  <c r="C88" i="24"/>
  <c r="B88" i="24"/>
  <c r="H87" i="24"/>
  <c r="I87" i="24" s="1"/>
  <c r="F87" i="24"/>
  <c r="D87" i="24"/>
  <c r="C87" i="24"/>
  <c r="B87" i="24"/>
  <c r="I86" i="24"/>
  <c r="H86" i="24"/>
  <c r="F86" i="24"/>
  <c r="D86" i="24"/>
  <c r="C86" i="24"/>
  <c r="B86" i="24"/>
  <c r="H85" i="24"/>
  <c r="I85" i="24" s="1"/>
  <c r="F85" i="24"/>
  <c r="D85" i="24"/>
  <c r="C85" i="24"/>
  <c r="B85" i="24"/>
  <c r="H84" i="24"/>
  <c r="I84" i="24" s="1"/>
  <c r="F84" i="24"/>
  <c r="D84" i="24"/>
  <c r="C84" i="24"/>
  <c r="B84" i="24"/>
  <c r="H83" i="24"/>
  <c r="I83" i="24" s="1"/>
  <c r="F83" i="24"/>
  <c r="D83" i="24"/>
  <c r="C83" i="24"/>
  <c r="B83" i="24"/>
  <c r="I82" i="24"/>
  <c r="H82" i="24"/>
  <c r="F82" i="24"/>
  <c r="D82" i="24"/>
  <c r="C82" i="24"/>
  <c r="B82" i="24"/>
  <c r="I81" i="24"/>
  <c r="H81" i="24"/>
  <c r="F81" i="24"/>
  <c r="D81" i="24"/>
  <c r="C81" i="24"/>
  <c r="B81" i="24"/>
  <c r="H80" i="24"/>
  <c r="I80" i="24" s="1"/>
  <c r="F80" i="24"/>
  <c r="D80" i="24"/>
  <c r="C80" i="24"/>
  <c r="B80" i="24"/>
  <c r="H79" i="24"/>
  <c r="I79" i="24" s="1"/>
  <c r="F79" i="24"/>
  <c r="D79" i="24"/>
  <c r="C79" i="24"/>
  <c r="B79" i="24"/>
  <c r="I78" i="24"/>
  <c r="H78" i="24"/>
  <c r="F78" i="24"/>
  <c r="D78" i="24"/>
  <c r="C78" i="24"/>
  <c r="B78" i="24"/>
  <c r="I77" i="24"/>
  <c r="H77" i="24"/>
  <c r="F77" i="24"/>
  <c r="D77" i="24"/>
  <c r="C77" i="24"/>
  <c r="B77" i="24"/>
  <c r="H76" i="24"/>
  <c r="I76" i="24" s="1"/>
  <c r="F76" i="24"/>
  <c r="D76" i="24"/>
  <c r="C76" i="24"/>
  <c r="B76" i="24"/>
  <c r="H75" i="24"/>
  <c r="I75" i="24" s="1"/>
  <c r="F75" i="24"/>
  <c r="D75" i="24"/>
  <c r="C75" i="24"/>
  <c r="B75" i="24"/>
  <c r="I74" i="24"/>
  <c r="H74" i="24"/>
  <c r="F74" i="24"/>
  <c r="D74" i="24"/>
  <c r="C74" i="24"/>
  <c r="B74" i="24"/>
  <c r="H73" i="24"/>
  <c r="I73" i="24" s="1"/>
  <c r="F73" i="24"/>
  <c r="D73" i="24"/>
  <c r="C73" i="24"/>
  <c r="B73" i="24"/>
  <c r="H72" i="24"/>
  <c r="I72" i="24" s="1"/>
  <c r="F72" i="24"/>
  <c r="D72" i="24"/>
  <c r="C72" i="24"/>
  <c r="B72" i="24"/>
  <c r="H71" i="24"/>
  <c r="I71" i="24" s="1"/>
  <c r="F71" i="24"/>
  <c r="D71" i="24"/>
  <c r="C71" i="24"/>
  <c r="B71" i="24"/>
  <c r="I70" i="24"/>
  <c r="H70" i="24"/>
  <c r="F70" i="24"/>
  <c r="D70" i="24"/>
  <c r="C70" i="24"/>
  <c r="B70" i="24"/>
  <c r="H69" i="24"/>
  <c r="I69" i="24" s="1"/>
  <c r="F69" i="24"/>
  <c r="D69" i="24"/>
  <c r="C69" i="24"/>
  <c r="B69" i="24"/>
  <c r="H68" i="24"/>
  <c r="I68" i="24" s="1"/>
  <c r="F68" i="24"/>
  <c r="D68" i="24"/>
  <c r="C68" i="24"/>
  <c r="B68" i="24"/>
  <c r="H67" i="24"/>
  <c r="I67" i="24" s="1"/>
  <c r="F67" i="24"/>
  <c r="D67" i="24"/>
  <c r="C67" i="24"/>
  <c r="B67" i="24"/>
  <c r="I66" i="24"/>
  <c r="H66" i="24"/>
  <c r="F66" i="24"/>
  <c r="D66" i="24"/>
  <c r="C66" i="24"/>
  <c r="B66" i="24"/>
  <c r="I65" i="24"/>
  <c r="H65" i="24"/>
  <c r="F65" i="24"/>
  <c r="D65" i="24"/>
  <c r="C65" i="24"/>
  <c r="B65" i="24"/>
  <c r="H64" i="24"/>
  <c r="I64" i="24" s="1"/>
  <c r="F64" i="24"/>
  <c r="D64" i="24"/>
  <c r="C64" i="24"/>
  <c r="B64" i="24"/>
  <c r="H63" i="24"/>
  <c r="I63" i="24" s="1"/>
  <c r="F63" i="24"/>
  <c r="D63" i="24"/>
  <c r="C63" i="24"/>
  <c r="B63" i="24"/>
  <c r="I62" i="24"/>
  <c r="H62" i="24"/>
  <c r="F62" i="24"/>
  <c r="D62" i="24"/>
  <c r="C62" i="24"/>
  <c r="B62" i="24"/>
  <c r="I61" i="24"/>
  <c r="H61" i="24"/>
  <c r="F61" i="24"/>
  <c r="D61" i="24"/>
  <c r="C61" i="24"/>
  <c r="B61" i="24"/>
  <c r="H60" i="24"/>
  <c r="I60" i="24" s="1"/>
  <c r="F60" i="24"/>
  <c r="D60" i="24"/>
  <c r="C60" i="24"/>
  <c r="B60" i="24"/>
  <c r="H59" i="24"/>
  <c r="I59" i="24" s="1"/>
  <c r="F59" i="24"/>
  <c r="D59" i="24"/>
  <c r="C59" i="24"/>
  <c r="B59" i="24"/>
  <c r="I58" i="24"/>
  <c r="H58" i="24"/>
  <c r="F58" i="24"/>
  <c r="D58" i="24"/>
  <c r="C58" i="24"/>
  <c r="B58" i="24"/>
  <c r="H57" i="24"/>
  <c r="I57" i="24" s="1"/>
  <c r="F57" i="24"/>
  <c r="D57" i="24"/>
  <c r="C57" i="24"/>
  <c r="B57" i="24"/>
  <c r="H56" i="24"/>
  <c r="I56" i="24" s="1"/>
  <c r="F56" i="24"/>
  <c r="D56" i="24"/>
  <c r="C56" i="24"/>
  <c r="B56" i="24"/>
  <c r="H55" i="24"/>
  <c r="I55" i="24" s="1"/>
  <c r="F55" i="24"/>
  <c r="D55" i="24"/>
  <c r="C55" i="24"/>
  <c r="B55" i="24"/>
  <c r="I54" i="24"/>
  <c r="H54" i="24"/>
  <c r="F54" i="24"/>
  <c r="D54" i="24"/>
  <c r="C54" i="24"/>
  <c r="B54" i="24"/>
  <c r="H53" i="24"/>
  <c r="I53" i="24" s="1"/>
  <c r="F53" i="24"/>
  <c r="D53" i="24"/>
  <c r="C53" i="24"/>
  <c r="B53" i="24"/>
  <c r="H52" i="24"/>
  <c r="I52" i="24" s="1"/>
  <c r="F52" i="24"/>
  <c r="D52" i="24"/>
  <c r="C52" i="24"/>
  <c r="B52" i="24"/>
  <c r="H51" i="24"/>
  <c r="I51" i="24" s="1"/>
  <c r="F51" i="24"/>
  <c r="D51" i="24"/>
  <c r="C51" i="24"/>
  <c r="B51" i="24"/>
  <c r="I50" i="24"/>
  <c r="H50" i="24"/>
  <c r="F50" i="24"/>
  <c r="D50" i="24"/>
  <c r="C50" i="24"/>
  <c r="B50" i="24"/>
  <c r="I49" i="24"/>
  <c r="H49" i="24"/>
  <c r="F49" i="24"/>
  <c r="D49" i="24"/>
  <c r="C49" i="24"/>
  <c r="B49" i="24"/>
  <c r="H48" i="24"/>
  <c r="I48" i="24" s="1"/>
  <c r="F48" i="24"/>
  <c r="D48" i="24"/>
  <c r="C48" i="24"/>
  <c r="B48" i="24"/>
  <c r="H47" i="24"/>
  <c r="I47" i="24" s="1"/>
  <c r="F47" i="24"/>
  <c r="D47" i="24"/>
  <c r="C47" i="24"/>
  <c r="B47" i="24"/>
  <c r="I46" i="24"/>
  <c r="H46" i="24"/>
  <c r="F46" i="24"/>
  <c r="D46" i="24"/>
  <c r="C46" i="24"/>
  <c r="B46" i="24"/>
  <c r="I45" i="24"/>
  <c r="H45" i="24"/>
  <c r="F45" i="24"/>
  <c r="D45" i="24"/>
  <c r="C45" i="24"/>
  <c r="B45" i="24"/>
  <c r="H44" i="24"/>
  <c r="I44" i="24" s="1"/>
  <c r="F44" i="24"/>
  <c r="D44" i="24"/>
  <c r="C44" i="24"/>
  <c r="B44" i="24"/>
  <c r="H43" i="24"/>
  <c r="I43" i="24" s="1"/>
  <c r="F43" i="24"/>
  <c r="D43" i="24"/>
  <c r="C43" i="24"/>
  <c r="B43" i="24"/>
  <c r="I42" i="24"/>
  <c r="H42" i="24"/>
  <c r="F42" i="24"/>
  <c r="D42" i="24"/>
  <c r="C42" i="24"/>
  <c r="B42" i="24"/>
  <c r="H41" i="24"/>
  <c r="I41" i="24" s="1"/>
  <c r="F41" i="24"/>
  <c r="D41" i="24"/>
  <c r="C41" i="24"/>
  <c r="B41" i="24"/>
  <c r="H40" i="24"/>
  <c r="I40" i="24" s="1"/>
  <c r="F40" i="24"/>
  <c r="D40" i="24"/>
  <c r="C40" i="24"/>
  <c r="B40" i="24"/>
  <c r="H39" i="24"/>
  <c r="I39" i="24" s="1"/>
  <c r="F39" i="24"/>
  <c r="D39" i="24"/>
  <c r="C39" i="24"/>
  <c r="B39" i="24"/>
  <c r="I38" i="24"/>
  <c r="H38" i="24"/>
  <c r="F38" i="24"/>
  <c r="D38" i="24"/>
  <c r="C38" i="24"/>
  <c r="B38" i="24"/>
  <c r="H37" i="24"/>
  <c r="I37" i="24" s="1"/>
  <c r="F37" i="24"/>
  <c r="D37" i="24"/>
  <c r="C37" i="24"/>
  <c r="B37" i="24"/>
  <c r="H36" i="24"/>
  <c r="I36" i="24" s="1"/>
  <c r="F36" i="24"/>
  <c r="D36" i="24"/>
  <c r="C36" i="24"/>
  <c r="B36" i="24"/>
  <c r="H35" i="24"/>
  <c r="I35" i="24" s="1"/>
  <c r="F35" i="24"/>
  <c r="D35" i="24"/>
  <c r="C35" i="24"/>
  <c r="B35" i="24"/>
  <c r="I34" i="24"/>
  <c r="H34" i="24"/>
  <c r="F34" i="24"/>
  <c r="D34" i="24"/>
  <c r="C34" i="24"/>
  <c r="B34" i="24"/>
  <c r="I33" i="24"/>
  <c r="H33" i="24"/>
  <c r="F33" i="24"/>
  <c r="D33" i="24"/>
  <c r="C33" i="24"/>
  <c r="B33" i="24"/>
  <c r="I32" i="24"/>
  <c r="H32" i="24"/>
  <c r="F32" i="24"/>
  <c r="D32" i="24"/>
  <c r="C32" i="24"/>
  <c r="B32" i="24"/>
  <c r="H31" i="24"/>
  <c r="I31" i="24" s="1"/>
  <c r="F31" i="24"/>
  <c r="D31" i="24"/>
  <c r="C31" i="24"/>
  <c r="B31" i="24"/>
  <c r="I30" i="24"/>
  <c r="H30" i="24"/>
  <c r="F30" i="24"/>
  <c r="D30" i="24"/>
  <c r="C30" i="24"/>
  <c r="B30" i="24"/>
  <c r="H29" i="24"/>
  <c r="I29" i="24" s="1"/>
  <c r="F29" i="24"/>
  <c r="D29" i="24"/>
  <c r="C29" i="24"/>
  <c r="B29" i="24"/>
  <c r="H28" i="24"/>
  <c r="I28" i="24" s="1"/>
  <c r="F28" i="24"/>
  <c r="D28" i="24"/>
  <c r="C28" i="24"/>
  <c r="B28" i="24"/>
  <c r="H27" i="24"/>
  <c r="I27" i="24" s="1"/>
  <c r="F27" i="24"/>
  <c r="D27" i="24"/>
  <c r="C27" i="24"/>
  <c r="B27" i="24"/>
  <c r="I26" i="24"/>
  <c r="H26" i="24"/>
  <c r="F26" i="24"/>
  <c r="D26" i="24"/>
  <c r="C26" i="24"/>
  <c r="B26" i="24"/>
  <c r="I25" i="24"/>
  <c r="H25" i="24"/>
  <c r="F25" i="24"/>
  <c r="D25" i="24"/>
  <c r="C25" i="24"/>
  <c r="B25" i="24"/>
  <c r="H24" i="24"/>
  <c r="I24" i="24" s="1"/>
  <c r="F24" i="24"/>
  <c r="D24" i="24"/>
  <c r="C24" i="24"/>
  <c r="B24" i="24"/>
  <c r="H23" i="24"/>
  <c r="I23" i="24" s="1"/>
  <c r="F23" i="24"/>
  <c r="D23" i="24"/>
  <c r="C23" i="24"/>
  <c r="B23" i="24"/>
  <c r="I22" i="24"/>
  <c r="H22" i="24"/>
  <c r="F22" i="24"/>
  <c r="D22" i="24"/>
  <c r="C22" i="24"/>
  <c r="B22" i="24"/>
  <c r="H21" i="24"/>
  <c r="I21" i="24" s="1"/>
  <c r="F21" i="24"/>
  <c r="D21" i="24"/>
  <c r="C21" i="24"/>
  <c r="B21" i="24"/>
  <c r="H20" i="24"/>
  <c r="I20" i="24" s="1"/>
  <c r="F20" i="24"/>
  <c r="D20" i="24"/>
  <c r="C20" i="24"/>
  <c r="B20" i="24"/>
  <c r="H19" i="24"/>
  <c r="I19" i="24" s="1"/>
  <c r="F19" i="24"/>
  <c r="D19" i="24"/>
  <c r="C19" i="24"/>
  <c r="B19" i="24"/>
  <c r="I18" i="24"/>
  <c r="H18" i="24"/>
  <c r="F18" i="24"/>
  <c r="D18" i="24"/>
  <c r="C18" i="24"/>
  <c r="B18" i="24"/>
  <c r="H17" i="24"/>
  <c r="I17" i="24" s="1"/>
  <c r="F17" i="24"/>
  <c r="D17" i="24"/>
  <c r="C17" i="24"/>
  <c r="B17" i="24"/>
  <c r="H16" i="24"/>
  <c r="I16" i="24" s="1"/>
  <c r="F16" i="24"/>
  <c r="D16" i="24"/>
  <c r="C16" i="24"/>
  <c r="B16" i="24"/>
  <c r="H15" i="24"/>
  <c r="I15" i="24" s="1"/>
  <c r="F15" i="24"/>
  <c r="D15" i="24"/>
  <c r="C15" i="24"/>
  <c r="B15" i="24"/>
  <c r="I14" i="24"/>
  <c r="H14" i="24"/>
  <c r="F14" i="24"/>
  <c r="D14" i="24"/>
  <c r="C14" i="24"/>
  <c r="B14" i="24"/>
  <c r="H13" i="24"/>
  <c r="I13" i="24" s="1"/>
  <c r="F13" i="24"/>
  <c r="D13" i="24"/>
  <c r="C13" i="24"/>
  <c r="B13" i="24"/>
  <c r="I12" i="24"/>
  <c r="H12" i="24"/>
  <c r="F12" i="24"/>
  <c r="D12" i="24"/>
  <c r="C12" i="24"/>
  <c r="B12" i="24"/>
  <c r="H11" i="24"/>
  <c r="I11" i="24" s="1"/>
  <c r="F11" i="24"/>
  <c r="D11" i="24"/>
  <c r="C11" i="24"/>
  <c r="B11" i="24"/>
  <c r="I10" i="24"/>
  <c r="H10" i="24"/>
  <c r="D10" i="24"/>
  <c r="C10" i="24"/>
  <c r="F10" i="24" s="1"/>
  <c r="B10" i="24"/>
  <c r="I9" i="24"/>
  <c r="H9" i="24"/>
  <c r="F9" i="24"/>
  <c r="D9" i="24"/>
  <c r="C9" i="24"/>
  <c r="B9" i="24"/>
  <c r="A5" i="24"/>
  <c r="G4" i="24"/>
  <c r="D4" i="24"/>
  <c r="A4" i="24"/>
  <c r="K113" i="23"/>
  <c r="I113" i="23"/>
  <c r="J113" i="23" s="1"/>
  <c r="D113" i="23"/>
  <c r="C113" i="23"/>
  <c r="A113" i="23"/>
  <c r="K112" i="23"/>
  <c r="J112" i="23"/>
  <c r="I112" i="23"/>
  <c r="D112" i="23"/>
  <c r="C112" i="23"/>
  <c r="A112" i="23"/>
  <c r="K111" i="23"/>
  <c r="I111" i="23"/>
  <c r="J111" i="23" s="1"/>
  <c r="D111" i="23"/>
  <c r="C111" i="23"/>
  <c r="A111" i="23"/>
  <c r="K110" i="23"/>
  <c r="I110" i="23"/>
  <c r="J110" i="23" s="1"/>
  <c r="D110" i="23"/>
  <c r="C110" i="23"/>
  <c r="A110" i="23"/>
  <c r="K109" i="23"/>
  <c r="I109" i="23"/>
  <c r="J109" i="23" s="1"/>
  <c r="D109" i="23"/>
  <c r="C109" i="23"/>
  <c r="A109" i="23"/>
  <c r="K108" i="23"/>
  <c r="J108" i="23"/>
  <c r="I108" i="23"/>
  <c r="D108" i="23"/>
  <c r="C108" i="23"/>
  <c r="A108" i="23"/>
  <c r="K107" i="23"/>
  <c r="J107" i="23"/>
  <c r="I107" i="23"/>
  <c r="D107" i="23"/>
  <c r="C107" i="23"/>
  <c r="A107" i="23"/>
  <c r="K106" i="23"/>
  <c r="I106" i="23"/>
  <c r="J106" i="23" s="1"/>
  <c r="D106" i="23"/>
  <c r="C106" i="23"/>
  <c r="A106" i="23"/>
  <c r="K105" i="23"/>
  <c r="I105" i="23"/>
  <c r="J105" i="23" s="1"/>
  <c r="D105" i="23"/>
  <c r="C105" i="23"/>
  <c r="A105" i="23"/>
  <c r="K104" i="23"/>
  <c r="J104" i="23"/>
  <c r="I104" i="23"/>
  <c r="D104" i="23"/>
  <c r="C104" i="23"/>
  <c r="A104" i="23"/>
  <c r="K103" i="23"/>
  <c r="I103" i="23"/>
  <c r="J103" i="23" s="1"/>
  <c r="D103" i="23"/>
  <c r="C103" i="23"/>
  <c r="A103" i="23"/>
  <c r="K102" i="23"/>
  <c r="I102" i="23"/>
  <c r="J102" i="23" s="1"/>
  <c r="D102" i="23"/>
  <c r="C102" i="23"/>
  <c r="A102" i="23"/>
  <c r="K101" i="23"/>
  <c r="I101" i="23"/>
  <c r="J101" i="23" s="1"/>
  <c r="D101" i="23"/>
  <c r="C101" i="23"/>
  <c r="A101" i="23"/>
  <c r="K100" i="23"/>
  <c r="J100" i="23"/>
  <c r="I100" i="23"/>
  <c r="D100" i="23"/>
  <c r="C100" i="23"/>
  <c r="A100" i="23"/>
  <c r="K99" i="23"/>
  <c r="J99" i="23"/>
  <c r="I99" i="23"/>
  <c r="D99" i="23"/>
  <c r="C99" i="23"/>
  <c r="A99" i="23"/>
  <c r="K98" i="23"/>
  <c r="I98" i="23"/>
  <c r="J98" i="23" s="1"/>
  <c r="D98" i="23"/>
  <c r="C98" i="23"/>
  <c r="A98" i="23"/>
  <c r="K97" i="23"/>
  <c r="I97" i="23"/>
  <c r="J97" i="23" s="1"/>
  <c r="D97" i="23"/>
  <c r="C97" i="23"/>
  <c r="A97" i="23"/>
  <c r="K96" i="23"/>
  <c r="J96" i="23"/>
  <c r="I96" i="23"/>
  <c r="D96" i="23"/>
  <c r="C96" i="23"/>
  <c r="A96" i="23"/>
  <c r="K95" i="23"/>
  <c r="I95" i="23"/>
  <c r="J95" i="23" s="1"/>
  <c r="D95" i="23"/>
  <c r="C95" i="23"/>
  <c r="A95" i="23"/>
  <c r="K94" i="23"/>
  <c r="I94" i="23"/>
  <c r="J94" i="23" s="1"/>
  <c r="D94" i="23"/>
  <c r="C94" i="23"/>
  <c r="A94" i="23"/>
  <c r="K93" i="23"/>
  <c r="I93" i="23"/>
  <c r="J93" i="23" s="1"/>
  <c r="D93" i="23"/>
  <c r="C93" i="23"/>
  <c r="A93" i="23"/>
  <c r="K92" i="23"/>
  <c r="J92" i="23"/>
  <c r="I92" i="23"/>
  <c r="D92" i="23"/>
  <c r="C92" i="23"/>
  <c r="A92" i="23"/>
  <c r="K91" i="23"/>
  <c r="J91" i="23"/>
  <c r="I91" i="23"/>
  <c r="D91" i="23"/>
  <c r="C91" i="23"/>
  <c r="A91" i="23"/>
  <c r="K90" i="23"/>
  <c r="I90" i="23"/>
  <c r="J90" i="23" s="1"/>
  <c r="D90" i="23"/>
  <c r="C90" i="23"/>
  <c r="A90" i="23"/>
  <c r="K89" i="23"/>
  <c r="I89" i="23"/>
  <c r="J89" i="23" s="1"/>
  <c r="D89" i="23"/>
  <c r="C89" i="23"/>
  <c r="A89" i="23"/>
  <c r="K88" i="23"/>
  <c r="J88" i="23"/>
  <c r="I88" i="23"/>
  <c r="D88" i="23"/>
  <c r="C88" i="23"/>
  <c r="A88" i="23"/>
  <c r="K87" i="23"/>
  <c r="I87" i="23"/>
  <c r="J87" i="23" s="1"/>
  <c r="D87" i="23"/>
  <c r="C87" i="23"/>
  <c r="A87" i="23"/>
  <c r="K86" i="23"/>
  <c r="I86" i="23"/>
  <c r="J86" i="23" s="1"/>
  <c r="D86" i="23"/>
  <c r="C86" i="23"/>
  <c r="A86" i="23"/>
  <c r="K85" i="23"/>
  <c r="I85" i="23"/>
  <c r="J85" i="23" s="1"/>
  <c r="D85" i="23"/>
  <c r="C85" i="23"/>
  <c r="A85" i="23"/>
  <c r="K84" i="23"/>
  <c r="J84" i="23"/>
  <c r="I84" i="23"/>
  <c r="D84" i="23"/>
  <c r="C84" i="23"/>
  <c r="A84" i="23"/>
  <c r="K83" i="23"/>
  <c r="J83" i="23"/>
  <c r="I83" i="23"/>
  <c r="D83" i="23"/>
  <c r="C83" i="23"/>
  <c r="A83" i="23"/>
  <c r="K82" i="23"/>
  <c r="I82" i="23"/>
  <c r="J82" i="23" s="1"/>
  <c r="D82" i="23"/>
  <c r="C82" i="23"/>
  <c r="A82" i="23"/>
  <c r="K81" i="23"/>
  <c r="I81" i="23"/>
  <c r="J81" i="23" s="1"/>
  <c r="D81" i="23"/>
  <c r="C81" i="23"/>
  <c r="A81" i="23"/>
  <c r="K80" i="23"/>
  <c r="J80" i="23"/>
  <c r="I80" i="23"/>
  <c r="D80" i="23"/>
  <c r="C80" i="23"/>
  <c r="A80" i="23"/>
  <c r="K79" i="23"/>
  <c r="I79" i="23"/>
  <c r="J79" i="23" s="1"/>
  <c r="D79" i="23"/>
  <c r="C79" i="23"/>
  <c r="A79" i="23"/>
  <c r="K78" i="23"/>
  <c r="I78" i="23"/>
  <c r="J78" i="23" s="1"/>
  <c r="D78" i="23"/>
  <c r="C78" i="23"/>
  <c r="A78" i="23"/>
  <c r="K77" i="23"/>
  <c r="I77" i="23"/>
  <c r="J77" i="23" s="1"/>
  <c r="D77" i="23"/>
  <c r="C77" i="23"/>
  <c r="A77" i="23"/>
  <c r="K76" i="23"/>
  <c r="J76" i="23"/>
  <c r="I76" i="23"/>
  <c r="D76" i="23"/>
  <c r="C76" i="23"/>
  <c r="A76" i="23"/>
  <c r="K75" i="23"/>
  <c r="J75" i="23"/>
  <c r="I75" i="23"/>
  <c r="D75" i="23"/>
  <c r="C75" i="23"/>
  <c r="A75" i="23"/>
  <c r="K74" i="23"/>
  <c r="I74" i="23"/>
  <c r="J74" i="23" s="1"/>
  <c r="D74" i="23"/>
  <c r="C74" i="23"/>
  <c r="A74" i="23"/>
  <c r="K73" i="23"/>
  <c r="I73" i="23"/>
  <c r="J73" i="23" s="1"/>
  <c r="D73" i="23"/>
  <c r="C73" i="23"/>
  <c r="A73" i="23"/>
  <c r="K72" i="23"/>
  <c r="J72" i="23"/>
  <c r="I72" i="23"/>
  <c r="D72" i="23"/>
  <c r="C72" i="23"/>
  <c r="A72" i="23"/>
  <c r="K71" i="23"/>
  <c r="I71" i="23"/>
  <c r="J71" i="23" s="1"/>
  <c r="D71" i="23"/>
  <c r="C71" i="23"/>
  <c r="A71" i="23"/>
  <c r="K70" i="23"/>
  <c r="I70" i="23"/>
  <c r="J70" i="23" s="1"/>
  <c r="D70" i="23"/>
  <c r="C70" i="23"/>
  <c r="A70" i="23"/>
  <c r="K69" i="23"/>
  <c r="I69" i="23"/>
  <c r="J69" i="23" s="1"/>
  <c r="D69" i="23"/>
  <c r="C69" i="23"/>
  <c r="A69" i="23"/>
  <c r="K68" i="23"/>
  <c r="J68" i="23"/>
  <c r="I68" i="23"/>
  <c r="D68" i="23"/>
  <c r="C68" i="23"/>
  <c r="A68" i="23"/>
  <c r="K67" i="23"/>
  <c r="J67" i="23"/>
  <c r="I67" i="23"/>
  <c r="D67" i="23"/>
  <c r="C67" i="23"/>
  <c r="A67" i="23"/>
  <c r="K66" i="23"/>
  <c r="I66" i="23"/>
  <c r="J66" i="23" s="1"/>
  <c r="D66" i="23"/>
  <c r="C66" i="23"/>
  <c r="A66" i="23"/>
  <c r="K65" i="23"/>
  <c r="I65" i="23"/>
  <c r="J65" i="23" s="1"/>
  <c r="D65" i="23"/>
  <c r="C65" i="23"/>
  <c r="A65" i="23"/>
  <c r="K64" i="23"/>
  <c r="J64" i="23"/>
  <c r="I64" i="23"/>
  <c r="D64" i="23"/>
  <c r="C64" i="23"/>
  <c r="A64" i="23"/>
  <c r="K63" i="23"/>
  <c r="I63" i="23"/>
  <c r="J63" i="23" s="1"/>
  <c r="D63" i="23"/>
  <c r="C63" i="23"/>
  <c r="A63" i="23"/>
  <c r="K62" i="23"/>
  <c r="I62" i="23"/>
  <c r="J62" i="23" s="1"/>
  <c r="D62" i="23"/>
  <c r="C62" i="23"/>
  <c r="A62" i="23"/>
  <c r="K61" i="23"/>
  <c r="I61" i="23"/>
  <c r="J61" i="23" s="1"/>
  <c r="D61" i="23"/>
  <c r="C61" i="23"/>
  <c r="A61" i="23"/>
  <c r="K60" i="23"/>
  <c r="J60" i="23"/>
  <c r="I60" i="23"/>
  <c r="D60" i="23"/>
  <c r="C60" i="23"/>
  <c r="A60" i="23"/>
  <c r="K59" i="23"/>
  <c r="J59" i="23"/>
  <c r="I59" i="23"/>
  <c r="D59" i="23"/>
  <c r="C59" i="23"/>
  <c r="A59" i="23"/>
  <c r="K58" i="23"/>
  <c r="I58" i="23"/>
  <c r="J58" i="23" s="1"/>
  <c r="D58" i="23"/>
  <c r="C58" i="23"/>
  <c r="A58" i="23"/>
  <c r="K57" i="23"/>
  <c r="I57" i="23"/>
  <c r="J57" i="23" s="1"/>
  <c r="D57" i="23"/>
  <c r="C57" i="23"/>
  <c r="A57" i="23"/>
  <c r="K56" i="23"/>
  <c r="J56" i="23"/>
  <c r="I56" i="23"/>
  <c r="D56" i="23"/>
  <c r="C56" i="23"/>
  <c r="A56" i="23"/>
  <c r="K55" i="23"/>
  <c r="I55" i="23"/>
  <c r="J55" i="23" s="1"/>
  <c r="D55" i="23"/>
  <c r="C55" i="23"/>
  <c r="A55" i="23"/>
  <c r="K54" i="23"/>
  <c r="I54" i="23"/>
  <c r="J54" i="23" s="1"/>
  <c r="D54" i="23"/>
  <c r="C54" i="23"/>
  <c r="A54" i="23"/>
  <c r="K53" i="23"/>
  <c r="I53" i="23"/>
  <c r="J53" i="23" s="1"/>
  <c r="D53" i="23"/>
  <c r="C53" i="23"/>
  <c r="A53" i="23"/>
  <c r="K52" i="23"/>
  <c r="J52" i="23"/>
  <c r="I52" i="23"/>
  <c r="D52" i="23"/>
  <c r="C52" i="23"/>
  <c r="A52" i="23"/>
  <c r="K51" i="23"/>
  <c r="J51" i="23"/>
  <c r="I51" i="23"/>
  <c r="D51" i="23"/>
  <c r="C51" i="23"/>
  <c r="A51" i="23"/>
  <c r="K50" i="23"/>
  <c r="I50" i="23"/>
  <c r="J50" i="23" s="1"/>
  <c r="D50" i="23"/>
  <c r="C50" i="23"/>
  <c r="A50" i="23"/>
  <c r="K49" i="23"/>
  <c r="I49" i="23"/>
  <c r="J49" i="23" s="1"/>
  <c r="D49" i="23"/>
  <c r="C49" i="23"/>
  <c r="A49" i="23"/>
  <c r="K48" i="23"/>
  <c r="J48" i="23"/>
  <c r="I48" i="23"/>
  <c r="D48" i="23"/>
  <c r="C48" i="23"/>
  <c r="A48" i="23"/>
  <c r="K47" i="23"/>
  <c r="I47" i="23"/>
  <c r="J47" i="23" s="1"/>
  <c r="D47" i="23"/>
  <c r="C47" i="23"/>
  <c r="A47" i="23"/>
  <c r="K46" i="23"/>
  <c r="I46" i="23"/>
  <c r="J46" i="23" s="1"/>
  <c r="D46" i="23"/>
  <c r="C46" i="23"/>
  <c r="A46" i="23"/>
  <c r="K45" i="23"/>
  <c r="I45" i="23"/>
  <c r="J45" i="23" s="1"/>
  <c r="D45" i="23"/>
  <c r="C45" i="23"/>
  <c r="A45" i="23"/>
  <c r="K44" i="23"/>
  <c r="J44" i="23"/>
  <c r="I44" i="23"/>
  <c r="D44" i="23"/>
  <c r="C44" i="23"/>
  <c r="A44" i="23"/>
  <c r="K43" i="23"/>
  <c r="J43" i="23"/>
  <c r="I43" i="23"/>
  <c r="D43" i="23"/>
  <c r="C43" i="23"/>
  <c r="A43" i="23"/>
  <c r="K42" i="23"/>
  <c r="I42" i="23"/>
  <c r="J42" i="23" s="1"/>
  <c r="D42" i="23"/>
  <c r="C42" i="23"/>
  <c r="A42" i="23"/>
  <c r="K41" i="23"/>
  <c r="I41" i="23"/>
  <c r="J41" i="23" s="1"/>
  <c r="D41" i="23"/>
  <c r="C41" i="23"/>
  <c r="A41" i="23"/>
  <c r="K40" i="23"/>
  <c r="J40" i="23"/>
  <c r="I40" i="23"/>
  <c r="D40" i="23"/>
  <c r="C40" i="23"/>
  <c r="A40" i="23"/>
  <c r="K39" i="23"/>
  <c r="I39" i="23"/>
  <c r="J39" i="23" s="1"/>
  <c r="D39" i="23"/>
  <c r="C39" i="23"/>
  <c r="A39" i="23"/>
  <c r="K38" i="23"/>
  <c r="I38" i="23"/>
  <c r="J38" i="23" s="1"/>
  <c r="D38" i="23"/>
  <c r="C38" i="23"/>
  <c r="A38" i="23"/>
  <c r="K37" i="23"/>
  <c r="I37" i="23"/>
  <c r="J37" i="23" s="1"/>
  <c r="D37" i="23"/>
  <c r="C37" i="23"/>
  <c r="A37" i="23"/>
  <c r="K36" i="23"/>
  <c r="I36" i="23"/>
  <c r="J36" i="23" s="1"/>
  <c r="D36" i="23"/>
  <c r="C36" i="23"/>
  <c r="A36" i="23"/>
  <c r="K35" i="23"/>
  <c r="J35" i="23"/>
  <c r="I35" i="23"/>
  <c r="D35" i="23"/>
  <c r="C35" i="23"/>
  <c r="A35" i="23"/>
  <c r="K34" i="23"/>
  <c r="I34" i="23"/>
  <c r="J34" i="23" s="1"/>
  <c r="D34" i="23"/>
  <c r="C34" i="23"/>
  <c r="A34" i="23"/>
  <c r="K33" i="23"/>
  <c r="I33" i="23"/>
  <c r="J33" i="23" s="1"/>
  <c r="D33" i="23"/>
  <c r="C33" i="23"/>
  <c r="A33" i="23"/>
  <c r="K32" i="23"/>
  <c r="J32" i="23"/>
  <c r="I32" i="23"/>
  <c r="D32" i="23"/>
  <c r="C32" i="23"/>
  <c r="A32" i="23"/>
  <c r="K31" i="23"/>
  <c r="I31" i="23"/>
  <c r="J31" i="23" s="1"/>
  <c r="D31" i="23"/>
  <c r="C31" i="23"/>
  <c r="A31" i="23"/>
  <c r="K30" i="23"/>
  <c r="I30" i="23"/>
  <c r="J30" i="23" s="1"/>
  <c r="D30" i="23"/>
  <c r="C30" i="23"/>
  <c r="A30" i="23"/>
  <c r="K29" i="23"/>
  <c r="I29" i="23"/>
  <c r="J29" i="23" s="1"/>
  <c r="D29" i="23"/>
  <c r="C29" i="23"/>
  <c r="A29" i="23"/>
  <c r="K28" i="23"/>
  <c r="I28" i="23"/>
  <c r="J28" i="23" s="1"/>
  <c r="D28" i="23"/>
  <c r="C28" i="23"/>
  <c r="A28" i="23"/>
  <c r="K27" i="23"/>
  <c r="J27" i="23"/>
  <c r="I27" i="23"/>
  <c r="D27" i="23"/>
  <c r="C27" i="23"/>
  <c r="A27" i="23"/>
  <c r="K26" i="23"/>
  <c r="I26" i="23"/>
  <c r="J26" i="23" s="1"/>
  <c r="D26" i="23"/>
  <c r="C26" i="23"/>
  <c r="A26" i="23"/>
  <c r="K25" i="23"/>
  <c r="I25" i="23"/>
  <c r="J25" i="23" s="1"/>
  <c r="D25" i="23"/>
  <c r="C25" i="23"/>
  <c r="A25" i="23"/>
  <c r="K24" i="23"/>
  <c r="J24" i="23"/>
  <c r="I24" i="23"/>
  <c r="D24" i="23"/>
  <c r="C24" i="23"/>
  <c r="A24" i="23"/>
  <c r="K23" i="23"/>
  <c r="I23" i="23"/>
  <c r="J23" i="23" s="1"/>
  <c r="D23" i="23"/>
  <c r="C23" i="23"/>
  <c r="A23" i="23"/>
  <c r="K22" i="23"/>
  <c r="I22" i="23"/>
  <c r="J22" i="23" s="1"/>
  <c r="D22" i="23"/>
  <c r="C22" i="23"/>
  <c r="A22" i="23"/>
  <c r="K21" i="23"/>
  <c r="I21" i="23"/>
  <c r="J21" i="23" s="1"/>
  <c r="D21" i="23"/>
  <c r="C21" i="23"/>
  <c r="A21" i="23"/>
  <c r="K20" i="23"/>
  <c r="I20" i="23"/>
  <c r="J20" i="23" s="1"/>
  <c r="D20" i="23"/>
  <c r="C20" i="23"/>
  <c r="A20" i="23"/>
  <c r="K19" i="23"/>
  <c r="J19" i="23"/>
  <c r="I19" i="23"/>
  <c r="D19" i="23"/>
  <c r="C19" i="23"/>
  <c r="A19" i="23"/>
  <c r="K18" i="23"/>
  <c r="I18" i="23"/>
  <c r="J18" i="23" s="1"/>
  <c r="D18" i="23"/>
  <c r="C18" i="23"/>
  <c r="A18" i="23"/>
  <c r="K17" i="23"/>
  <c r="I17" i="23"/>
  <c r="J17" i="23" s="1"/>
  <c r="D17" i="23"/>
  <c r="C17" i="23"/>
  <c r="A17" i="23"/>
  <c r="K16" i="23"/>
  <c r="J16" i="23"/>
  <c r="I16" i="23"/>
  <c r="D16" i="23"/>
  <c r="C16" i="23"/>
  <c r="A16" i="23"/>
  <c r="K15" i="23"/>
  <c r="I15" i="23"/>
  <c r="J15" i="23" s="1"/>
  <c r="D15" i="23"/>
  <c r="C15" i="23"/>
  <c r="K14" i="23"/>
  <c r="I14" i="23"/>
  <c r="J14" i="23" s="1"/>
  <c r="D14" i="23"/>
  <c r="A14" i="23" s="1"/>
  <c r="C14" i="23"/>
  <c r="B10" i="23"/>
  <c r="B9" i="23"/>
  <c r="B8" i="23"/>
  <c r="I208" i="22"/>
  <c r="J208" i="22" s="1"/>
  <c r="G208" i="22"/>
  <c r="D208" i="22"/>
  <c r="C208" i="22"/>
  <c r="B208" i="22"/>
  <c r="I207" i="22"/>
  <c r="J207" i="22" s="1"/>
  <c r="G207" i="22"/>
  <c r="D207" i="22"/>
  <c r="C207" i="22"/>
  <c r="B207" i="22"/>
  <c r="I206" i="22"/>
  <c r="J206" i="22" s="1"/>
  <c r="G206" i="22"/>
  <c r="D206" i="22"/>
  <c r="C206" i="22"/>
  <c r="B206" i="22"/>
  <c r="I205" i="22"/>
  <c r="J205" i="22" s="1"/>
  <c r="G205" i="22"/>
  <c r="D205" i="22"/>
  <c r="C205" i="22"/>
  <c r="B205" i="22"/>
  <c r="I204" i="22"/>
  <c r="J204" i="22" s="1"/>
  <c r="G204" i="22"/>
  <c r="D204" i="22"/>
  <c r="C204" i="22"/>
  <c r="B204" i="22"/>
  <c r="I203" i="22"/>
  <c r="J203" i="22" s="1"/>
  <c r="G203" i="22"/>
  <c r="D203" i="22"/>
  <c r="C203" i="22"/>
  <c r="B203" i="22"/>
  <c r="I202" i="22"/>
  <c r="J202" i="22" s="1"/>
  <c r="G202" i="22"/>
  <c r="D202" i="22"/>
  <c r="C202" i="22"/>
  <c r="B202" i="22"/>
  <c r="J201" i="22"/>
  <c r="I201" i="22"/>
  <c r="G201" i="22"/>
  <c r="D201" i="22"/>
  <c r="C201" i="22"/>
  <c r="B201" i="22"/>
  <c r="I200" i="22"/>
  <c r="J200" i="22" s="1"/>
  <c r="G200" i="22"/>
  <c r="D200" i="22"/>
  <c r="C200" i="22"/>
  <c r="B200" i="22"/>
  <c r="I199" i="22"/>
  <c r="J199" i="22" s="1"/>
  <c r="G199" i="22"/>
  <c r="D199" i="22"/>
  <c r="C199" i="22"/>
  <c r="B199" i="22"/>
  <c r="J198" i="22"/>
  <c r="I198" i="22"/>
  <c r="G198" i="22"/>
  <c r="D198" i="22"/>
  <c r="C198" i="22"/>
  <c r="B198" i="22"/>
  <c r="I197" i="22"/>
  <c r="J197" i="22" s="1"/>
  <c r="G197" i="22"/>
  <c r="D197" i="22"/>
  <c r="C197" i="22"/>
  <c r="B197" i="22"/>
  <c r="I196" i="22"/>
  <c r="J196" i="22" s="1"/>
  <c r="G196" i="22"/>
  <c r="D196" i="22"/>
  <c r="C196" i="22"/>
  <c r="B196" i="22"/>
  <c r="I195" i="22"/>
  <c r="J195" i="22" s="1"/>
  <c r="G195" i="22"/>
  <c r="D195" i="22"/>
  <c r="C195" i="22"/>
  <c r="B195" i="22"/>
  <c r="I194" i="22"/>
  <c r="J194" i="22" s="1"/>
  <c r="G194" i="22"/>
  <c r="D194" i="22"/>
  <c r="C194" i="22"/>
  <c r="B194" i="22"/>
  <c r="I193" i="22"/>
  <c r="J193" i="22" s="1"/>
  <c r="G193" i="22"/>
  <c r="D193" i="22"/>
  <c r="C193" i="22"/>
  <c r="B193" i="22"/>
  <c r="I192" i="22"/>
  <c r="J192" i="22" s="1"/>
  <c r="G192" i="22"/>
  <c r="D192" i="22"/>
  <c r="C192" i="22"/>
  <c r="B192" i="22"/>
  <c r="I191" i="22"/>
  <c r="J191" i="22" s="1"/>
  <c r="G191" i="22"/>
  <c r="D191" i="22"/>
  <c r="C191" i="22"/>
  <c r="B191" i="22"/>
  <c r="I190" i="22"/>
  <c r="J190" i="22" s="1"/>
  <c r="G190" i="22"/>
  <c r="D190" i="22"/>
  <c r="C190" i="22"/>
  <c r="B190" i="22"/>
  <c r="I189" i="22"/>
  <c r="J189" i="22" s="1"/>
  <c r="G189" i="22"/>
  <c r="D189" i="22"/>
  <c r="C189" i="22"/>
  <c r="B189" i="22"/>
  <c r="I188" i="22"/>
  <c r="J188" i="22" s="1"/>
  <c r="G188" i="22"/>
  <c r="D188" i="22"/>
  <c r="C188" i="22"/>
  <c r="B188" i="22"/>
  <c r="I187" i="22"/>
  <c r="J187" i="22" s="1"/>
  <c r="G187" i="22"/>
  <c r="D187" i="22"/>
  <c r="C187" i="22"/>
  <c r="B187" i="22"/>
  <c r="I186" i="22"/>
  <c r="J186" i="22" s="1"/>
  <c r="G186" i="22"/>
  <c r="D186" i="22"/>
  <c r="C186" i="22"/>
  <c r="B186" i="22"/>
  <c r="J185" i="22"/>
  <c r="I185" i="22"/>
  <c r="G185" i="22"/>
  <c r="D185" i="22"/>
  <c r="C185" i="22"/>
  <c r="B185" i="22"/>
  <c r="I184" i="22"/>
  <c r="J184" i="22" s="1"/>
  <c r="G184" i="22"/>
  <c r="D184" i="22"/>
  <c r="C184" i="22"/>
  <c r="B184" i="22"/>
  <c r="I183" i="22"/>
  <c r="J183" i="22" s="1"/>
  <c r="G183" i="22"/>
  <c r="D183" i="22"/>
  <c r="C183" i="22"/>
  <c r="B183" i="22"/>
  <c r="J182" i="22"/>
  <c r="I182" i="22"/>
  <c r="G182" i="22"/>
  <c r="D182" i="22"/>
  <c r="C182" i="22"/>
  <c r="B182" i="22"/>
  <c r="I181" i="22"/>
  <c r="J181" i="22" s="1"/>
  <c r="G181" i="22"/>
  <c r="D181" i="22"/>
  <c r="C181" i="22"/>
  <c r="B181" i="22"/>
  <c r="I180" i="22"/>
  <c r="J180" i="22" s="1"/>
  <c r="G180" i="22"/>
  <c r="D180" i="22"/>
  <c r="C180" i="22"/>
  <c r="B180" i="22"/>
  <c r="I179" i="22"/>
  <c r="J179" i="22" s="1"/>
  <c r="G179" i="22"/>
  <c r="D179" i="22"/>
  <c r="C179" i="22"/>
  <c r="B179" i="22"/>
  <c r="I178" i="22"/>
  <c r="J178" i="22" s="1"/>
  <c r="G178" i="22"/>
  <c r="D178" i="22"/>
  <c r="C178" i="22"/>
  <c r="B178" i="22"/>
  <c r="I177" i="22"/>
  <c r="J177" i="22" s="1"/>
  <c r="G177" i="22"/>
  <c r="D177" i="22"/>
  <c r="C177" i="22"/>
  <c r="B177" i="22"/>
  <c r="I176" i="22"/>
  <c r="J176" i="22" s="1"/>
  <c r="G176" i="22"/>
  <c r="D176" i="22"/>
  <c r="C176" i="22"/>
  <c r="B176" i="22"/>
  <c r="I175" i="22"/>
  <c r="J175" i="22" s="1"/>
  <c r="G175" i="22"/>
  <c r="D175" i="22"/>
  <c r="C175" i="22"/>
  <c r="B175" i="22"/>
  <c r="I174" i="22"/>
  <c r="J174" i="22" s="1"/>
  <c r="G174" i="22"/>
  <c r="D174" i="22"/>
  <c r="C174" i="22"/>
  <c r="B174" i="22"/>
  <c r="I173" i="22"/>
  <c r="J173" i="22" s="1"/>
  <c r="G173" i="22"/>
  <c r="D173" i="22"/>
  <c r="C173" i="22"/>
  <c r="B173" i="22"/>
  <c r="I172" i="22"/>
  <c r="J172" i="22" s="1"/>
  <c r="G172" i="22"/>
  <c r="D172" i="22"/>
  <c r="C172" i="22"/>
  <c r="B172" i="22"/>
  <c r="I171" i="22"/>
  <c r="J171" i="22" s="1"/>
  <c r="G171" i="22"/>
  <c r="D171" i="22"/>
  <c r="C171" i="22"/>
  <c r="B171" i="22"/>
  <c r="I170" i="22"/>
  <c r="J170" i="22" s="1"/>
  <c r="G170" i="22"/>
  <c r="D170" i="22"/>
  <c r="C170" i="22"/>
  <c r="B170" i="22"/>
  <c r="J169" i="22"/>
  <c r="I169" i="22"/>
  <c r="G169" i="22"/>
  <c r="D169" i="22"/>
  <c r="C169" i="22"/>
  <c r="B169" i="22"/>
  <c r="I168" i="22"/>
  <c r="J168" i="22" s="1"/>
  <c r="G168" i="22"/>
  <c r="D168" i="22"/>
  <c r="C168" i="22"/>
  <c r="B168" i="22"/>
  <c r="I167" i="22"/>
  <c r="J167" i="22" s="1"/>
  <c r="G167" i="22"/>
  <c r="D167" i="22"/>
  <c r="C167" i="22"/>
  <c r="B167" i="22"/>
  <c r="J166" i="22"/>
  <c r="I166" i="22"/>
  <c r="G166" i="22"/>
  <c r="D166" i="22"/>
  <c r="C166" i="22"/>
  <c r="B166" i="22"/>
  <c r="I165" i="22"/>
  <c r="J165" i="22" s="1"/>
  <c r="G165" i="22"/>
  <c r="D165" i="22"/>
  <c r="C165" i="22"/>
  <c r="B165" i="22"/>
  <c r="I164" i="22"/>
  <c r="J164" i="22" s="1"/>
  <c r="G164" i="22"/>
  <c r="D164" i="22"/>
  <c r="C164" i="22"/>
  <c r="B164" i="22"/>
  <c r="I163" i="22"/>
  <c r="J163" i="22" s="1"/>
  <c r="G163" i="22"/>
  <c r="D163" i="22"/>
  <c r="C163" i="22"/>
  <c r="B163" i="22"/>
  <c r="I162" i="22"/>
  <c r="J162" i="22" s="1"/>
  <c r="G162" i="22"/>
  <c r="D162" i="22"/>
  <c r="C162" i="22"/>
  <c r="B162" i="22"/>
  <c r="I161" i="22"/>
  <c r="J161" i="22" s="1"/>
  <c r="G161" i="22"/>
  <c r="D161" i="22"/>
  <c r="C161" i="22"/>
  <c r="B161" i="22"/>
  <c r="I160" i="22"/>
  <c r="J160" i="22" s="1"/>
  <c r="G160" i="22"/>
  <c r="D160" i="22"/>
  <c r="C160" i="22"/>
  <c r="B160" i="22"/>
  <c r="I159" i="22"/>
  <c r="J159" i="22" s="1"/>
  <c r="G159" i="22"/>
  <c r="D159" i="22"/>
  <c r="C159" i="22"/>
  <c r="B159" i="22"/>
  <c r="I158" i="22"/>
  <c r="J158" i="22" s="1"/>
  <c r="G158" i="22"/>
  <c r="D158" i="22"/>
  <c r="C158" i="22"/>
  <c r="B158" i="22"/>
  <c r="I157" i="22"/>
  <c r="J157" i="22" s="1"/>
  <c r="G157" i="22"/>
  <c r="D157" i="22"/>
  <c r="C157" i="22"/>
  <c r="B157" i="22"/>
  <c r="I156" i="22"/>
  <c r="J156" i="22" s="1"/>
  <c r="G156" i="22"/>
  <c r="D156" i="22"/>
  <c r="C156" i="22"/>
  <c r="B156" i="22"/>
  <c r="I155" i="22"/>
  <c r="J155" i="22" s="1"/>
  <c r="G155" i="22"/>
  <c r="D155" i="22"/>
  <c r="C155" i="22"/>
  <c r="B155" i="22"/>
  <c r="I154" i="22"/>
  <c r="J154" i="22" s="1"/>
  <c r="G154" i="22"/>
  <c r="D154" i="22"/>
  <c r="C154" i="22"/>
  <c r="B154" i="22"/>
  <c r="J153" i="22"/>
  <c r="I153" i="22"/>
  <c r="G153" i="22"/>
  <c r="D153" i="22"/>
  <c r="C153" i="22"/>
  <c r="B153" i="22"/>
  <c r="I152" i="22"/>
  <c r="J152" i="22" s="1"/>
  <c r="G152" i="22"/>
  <c r="D152" i="22"/>
  <c r="C152" i="22"/>
  <c r="B152" i="22"/>
  <c r="I151" i="22"/>
  <c r="J151" i="22" s="1"/>
  <c r="G151" i="22"/>
  <c r="D151" i="22"/>
  <c r="C151" i="22"/>
  <c r="B151" i="22"/>
  <c r="J150" i="22"/>
  <c r="I150" i="22"/>
  <c r="G150" i="22"/>
  <c r="D150" i="22"/>
  <c r="C150" i="22"/>
  <c r="B150" i="22"/>
  <c r="I149" i="22"/>
  <c r="J149" i="22" s="1"/>
  <c r="G149" i="22"/>
  <c r="D149" i="22"/>
  <c r="C149" i="22"/>
  <c r="B149" i="22"/>
  <c r="I148" i="22"/>
  <c r="J148" i="22" s="1"/>
  <c r="G148" i="22"/>
  <c r="D148" i="22"/>
  <c r="C148" i="22"/>
  <c r="B148" i="22"/>
  <c r="I147" i="22"/>
  <c r="J147" i="22" s="1"/>
  <c r="G147" i="22"/>
  <c r="D147" i="22"/>
  <c r="C147" i="22"/>
  <c r="B147" i="22"/>
  <c r="I146" i="22"/>
  <c r="J146" i="22" s="1"/>
  <c r="G146" i="22"/>
  <c r="D146" i="22"/>
  <c r="C146" i="22"/>
  <c r="B146" i="22"/>
  <c r="I145" i="22"/>
  <c r="J145" i="22" s="1"/>
  <c r="G145" i="22"/>
  <c r="D145" i="22"/>
  <c r="C145" i="22"/>
  <c r="B145" i="22"/>
  <c r="I144" i="22"/>
  <c r="J144" i="22" s="1"/>
  <c r="G144" i="22"/>
  <c r="D144" i="22"/>
  <c r="C144" i="22"/>
  <c r="B144" i="22"/>
  <c r="I143" i="22"/>
  <c r="J143" i="22" s="1"/>
  <c r="G143" i="22"/>
  <c r="D143" i="22"/>
  <c r="C143" i="22"/>
  <c r="B143" i="22"/>
  <c r="I142" i="22"/>
  <c r="J142" i="22" s="1"/>
  <c r="G142" i="22"/>
  <c r="D142" i="22"/>
  <c r="C142" i="22"/>
  <c r="B142" i="22"/>
  <c r="I141" i="22"/>
  <c r="J141" i="22" s="1"/>
  <c r="G141" i="22"/>
  <c r="D141" i="22"/>
  <c r="C141" i="22"/>
  <c r="B141" i="22"/>
  <c r="I140" i="22"/>
  <c r="J140" i="22" s="1"/>
  <c r="G140" i="22"/>
  <c r="D140" i="22"/>
  <c r="C140" i="22"/>
  <c r="B140" i="22"/>
  <c r="I139" i="22"/>
  <c r="J139" i="22" s="1"/>
  <c r="G139" i="22"/>
  <c r="D139" i="22"/>
  <c r="C139" i="22"/>
  <c r="B139" i="22"/>
  <c r="I138" i="22"/>
  <c r="J138" i="22" s="1"/>
  <c r="G138" i="22"/>
  <c r="D138" i="22"/>
  <c r="C138" i="22"/>
  <c r="B138" i="22"/>
  <c r="J137" i="22"/>
  <c r="I137" i="22"/>
  <c r="G137" i="22"/>
  <c r="D137" i="22"/>
  <c r="C137" i="22"/>
  <c r="B137" i="22"/>
  <c r="I136" i="22"/>
  <c r="J136" i="22" s="1"/>
  <c r="G136" i="22"/>
  <c r="D136" i="22"/>
  <c r="C136" i="22"/>
  <c r="B136" i="22"/>
  <c r="I135" i="22"/>
  <c r="J135" i="22" s="1"/>
  <c r="G135" i="22"/>
  <c r="D135" i="22"/>
  <c r="C135" i="22"/>
  <c r="B135" i="22"/>
  <c r="J134" i="22"/>
  <c r="I134" i="22"/>
  <c r="G134" i="22"/>
  <c r="D134" i="22"/>
  <c r="C134" i="22"/>
  <c r="B134" i="22"/>
  <c r="I133" i="22"/>
  <c r="J133" i="22" s="1"/>
  <c r="G133" i="22"/>
  <c r="D133" i="22"/>
  <c r="C133" i="22"/>
  <c r="B133" i="22"/>
  <c r="I132" i="22"/>
  <c r="J132" i="22" s="1"/>
  <c r="G132" i="22"/>
  <c r="D132" i="22"/>
  <c r="C132" i="22"/>
  <c r="B132" i="22"/>
  <c r="I131" i="22"/>
  <c r="J131" i="22" s="1"/>
  <c r="G131" i="22"/>
  <c r="D131" i="22"/>
  <c r="C131" i="22"/>
  <c r="B131" i="22"/>
  <c r="I130" i="22"/>
  <c r="J130" i="22" s="1"/>
  <c r="G130" i="22"/>
  <c r="D130" i="22"/>
  <c r="C130" i="22"/>
  <c r="B130" i="22"/>
  <c r="I129" i="22"/>
  <c r="J129" i="22" s="1"/>
  <c r="G129" i="22"/>
  <c r="D129" i="22"/>
  <c r="C129" i="22"/>
  <c r="B129" i="22"/>
  <c r="I128" i="22"/>
  <c r="J128" i="22" s="1"/>
  <c r="G128" i="22"/>
  <c r="D128" i="22"/>
  <c r="C128" i="22"/>
  <c r="B128" i="22"/>
  <c r="I127" i="22"/>
  <c r="J127" i="22" s="1"/>
  <c r="G127" i="22"/>
  <c r="D127" i="22"/>
  <c r="C127" i="22"/>
  <c r="B127" i="22"/>
  <c r="I126" i="22"/>
  <c r="J126" i="22" s="1"/>
  <c r="G126" i="22"/>
  <c r="D126" i="22"/>
  <c r="C126" i="22"/>
  <c r="B126" i="22"/>
  <c r="I125" i="22"/>
  <c r="J125" i="22" s="1"/>
  <c r="G125" i="22"/>
  <c r="D125" i="22"/>
  <c r="C125" i="22"/>
  <c r="B125" i="22"/>
  <c r="I124" i="22"/>
  <c r="J124" i="22" s="1"/>
  <c r="G124" i="22"/>
  <c r="D124" i="22"/>
  <c r="C124" i="22"/>
  <c r="B124" i="22"/>
  <c r="I123" i="22"/>
  <c r="J123" i="22" s="1"/>
  <c r="G123" i="22"/>
  <c r="D123" i="22"/>
  <c r="C123" i="22"/>
  <c r="B123" i="22"/>
  <c r="I122" i="22"/>
  <c r="J122" i="22" s="1"/>
  <c r="G122" i="22"/>
  <c r="D122" i="22"/>
  <c r="C122" i="22"/>
  <c r="B122" i="22"/>
  <c r="J121" i="22"/>
  <c r="I121" i="22"/>
  <c r="G121" i="22"/>
  <c r="D121" i="22"/>
  <c r="C121" i="22"/>
  <c r="B121" i="22"/>
  <c r="I120" i="22"/>
  <c r="J120" i="22" s="1"/>
  <c r="G120" i="22"/>
  <c r="D120" i="22"/>
  <c r="C120" i="22"/>
  <c r="B120" i="22"/>
  <c r="I119" i="22"/>
  <c r="J119" i="22" s="1"/>
  <c r="G119" i="22"/>
  <c r="D119" i="22"/>
  <c r="C119" i="22"/>
  <c r="B119" i="22"/>
  <c r="J118" i="22"/>
  <c r="I118" i="22"/>
  <c r="G118" i="22"/>
  <c r="D118" i="22"/>
  <c r="C118" i="22"/>
  <c r="B118" i="22"/>
  <c r="I117" i="22"/>
  <c r="J117" i="22" s="1"/>
  <c r="G117" i="22"/>
  <c r="D117" i="22"/>
  <c r="C117" i="22"/>
  <c r="B117" i="22"/>
  <c r="I116" i="22"/>
  <c r="J116" i="22" s="1"/>
  <c r="G116" i="22"/>
  <c r="D116" i="22"/>
  <c r="C116" i="22"/>
  <c r="B116" i="22"/>
  <c r="I115" i="22"/>
  <c r="J115" i="22" s="1"/>
  <c r="G115" i="22"/>
  <c r="D115" i="22"/>
  <c r="C115" i="22"/>
  <c r="B115" i="22"/>
  <c r="I114" i="22"/>
  <c r="J114" i="22" s="1"/>
  <c r="G114" i="22"/>
  <c r="D114" i="22"/>
  <c r="C114" i="22"/>
  <c r="B114" i="22"/>
  <c r="I113" i="22"/>
  <c r="J113" i="22" s="1"/>
  <c r="G113" i="22"/>
  <c r="D113" i="22"/>
  <c r="C113" i="22"/>
  <c r="B113" i="22"/>
  <c r="I112" i="22"/>
  <c r="J112" i="22" s="1"/>
  <c r="G112" i="22"/>
  <c r="D112" i="22"/>
  <c r="C112" i="22"/>
  <c r="B112" i="22"/>
  <c r="I111" i="22"/>
  <c r="J111" i="22" s="1"/>
  <c r="G111" i="22"/>
  <c r="D111" i="22"/>
  <c r="C111" i="22"/>
  <c r="B111" i="22"/>
  <c r="I110" i="22"/>
  <c r="J110" i="22" s="1"/>
  <c r="G110" i="22"/>
  <c r="D110" i="22"/>
  <c r="C110" i="22"/>
  <c r="B110" i="22"/>
  <c r="I109" i="22"/>
  <c r="J109" i="22" s="1"/>
  <c r="G109" i="22"/>
  <c r="D109" i="22"/>
  <c r="C109" i="22"/>
  <c r="B109" i="22"/>
  <c r="I108" i="22"/>
  <c r="J108" i="22" s="1"/>
  <c r="G108" i="22"/>
  <c r="D108" i="22"/>
  <c r="C108" i="22"/>
  <c r="B108" i="22"/>
  <c r="I107" i="22"/>
  <c r="J107" i="22" s="1"/>
  <c r="G107" i="22"/>
  <c r="D107" i="22"/>
  <c r="C107" i="22"/>
  <c r="B107" i="22"/>
  <c r="I106" i="22"/>
  <c r="J106" i="22" s="1"/>
  <c r="G106" i="22"/>
  <c r="D106" i="22"/>
  <c r="C106" i="22"/>
  <c r="B106" i="22"/>
  <c r="J105" i="22"/>
  <c r="I105" i="22"/>
  <c r="G105" i="22"/>
  <c r="D105" i="22"/>
  <c r="C105" i="22"/>
  <c r="B105" i="22"/>
  <c r="I104" i="22"/>
  <c r="J104" i="22" s="1"/>
  <c r="G104" i="22"/>
  <c r="D104" i="22"/>
  <c r="C104" i="22"/>
  <c r="B104" i="22"/>
  <c r="I103" i="22"/>
  <c r="J103" i="22" s="1"/>
  <c r="G103" i="22"/>
  <c r="D103" i="22"/>
  <c r="C103" i="22"/>
  <c r="B103" i="22"/>
  <c r="J102" i="22"/>
  <c r="I102" i="22"/>
  <c r="G102" i="22"/>
  <c r="D102" i="22"/>
  <c r="C102" i="22"/>
  <c r="B102" i="22"/>
  <c r="I101" i="22"/>
  <c r="J101" i="22" s="1"/>
  <c r="G101" i="22"/>
  <c r="D101" i="22"/>
  <c r="C101" i="22"/>
  <c r="B101" i="22"/>
  <c r="I100" i="22"/>
  <c r="J100" i="22" s="1"/>
  <c r="G100" i="22"/>
  <c r="D100" i="22"/>
  <c r="C100" i="22"/>
  <c r="B100" i="22"/>
  <c r="I99" i="22"/>
  <c r="J99" i="22" s="1"/>
  <c r="G99" i="22"/>
  <c r="D99" i="22"/>
  <c r="C99" i="22"/>
  <c r="B99" i="22"/>
  <c r="I98" i="22"/>
  <c r="J98" i="22" s="1"/>
  <c r="G98" i="22"/>
  <c r="D98" i="22"/>
  <c r="C98" i="22"/>
  <c r="B98" i="22"/>
  <c r="I97" i="22"/>
  <c r="J97" i="22" s="1"/>
  <c r="G97" i="22"/>
  <c r="D97" i="22"/>
  <c r="C97" i="22"/>
  <c r="B97" i="22"/>
  <c r="I96" i="22"/>
  <c r="J96" i="22" s="1"/>
  <c r="G96" i="22"/>
  <c r="D96" i="22"/>
  <c r="C96" i="22"/>
  <c r="B96" i="22"/>
  <c r="I95" i="22"/>
  <c r="J95" i="22" s="1"/>
  <c r="G95" i="22"/>
  <c r="D95" i="22"/>
  <c r="C95" i="22"/>
  <c r="B95" i="22"/>
  <c r="I94" i="22"/>
  <c r="J94" i="22" s="1"/>
  <c r="G94" i="22"/>
  <c r="D94" i="22"/>
  <c r="C94" i="22"/>
  <c r="B94" i="22"/>
  <c r="I93" i="22"/>
  <c r="J93" i="22" s="1"/>
  <c r="G93" i="22"/>
  <c r="D93" i="22"/>
  <c r="C93" i="22"/>
  <c r="B93" i="22"/>
  <c r="I92" i="22"/>
  <c r="J92" i="22" s="1"/>
  <c r="G92" i="22"/>
  <c r="D92" i="22"/>
  <c r="C92" i="22"/>
  <c r="B92" i="22"/>
  <c r="I91" i="22"/>
  <c r="J91" i="22" s="1"/>
  <c r="G91" i="22"/>
  <c r="D91" i="22"/>
  <c r="C91" i="22"/>
  <c r="B91" i="22"/>
  <c r="I90" i="22"/>
  <c r="J90" i="22" s="1"/>
  <c r="G90" i="22"/>
  <c r="D90" i="22"/>
  <c r="C90" i="22"/>
  <c r="B90" i="22"/>
  <c r="J89" i="22"/>
  <c r="I89" i="22"/>
  <c r="G89" i="22"/>
  <c r="D89" i="22"/>
  <c r="C89" i="22"/>
  <c r="B89" i="22"/>
  <c r="I88" i="22"/>
  <c r="J88" i="22" s="1"/>
  <c r="G88" i="22"/>
  <c r="D88" i="22"/>
  <c r="C88" i="22"/>
  <c r="B88" i="22"/>
  <c r="I87" i="22"/>
  <c r="J87" i="22" s="1"/>
  <c r="G87" i="22"/>
  <c r="D87" i="22"/>
  <c r="C87" i="22"/>
  <c r="B87" i="22"/>
  <c r="J86" i="22"/>
  <c r="I86" i="22"/>
  <c r="G86" i="22"/>
  <c r="D86" i="22"/>
  <c r="C86" i="22"/>
  <c r="B86" i="22"/>
  <c r="I85" i="22"/>
  <c r="J85" i="22" s="1"/>
  <c r="G85" i="22"/>
  <c r="D85" i="22"/>
  <c r="C85" i="22"/>
  <c r="B85" i="22"/>
  <c r="I84" i="22"/>
  <c r="J84" i="22" s="1"/>
  <c r="G84" i="22"/>
  <c r="D84" i="22"/>
  <c r="C84" i="22"/>
  <c r="B84" i="22"/>
  <c r="I83" i="22"/>
  <c r="J83" i="22" s="1"/>
  <c r="G83" i="22"/>
  <c r="D83" i="22"/>
  <c r="C83" i="22"/>
  <c r="B83" i="22"/>
  <c r="I82" i="22"/>
  <c r="J82" i="22" s="1"/>
  <c r="G82" i="22"/>
  <c r="D82" i="22"/>
  <c r="C82" i="22"/>
  <c r="B82" i="22"/>
  <c r="I81" i="22"/>
  <c r="J81" i="22" s="1"/>
  <c r="G81" i="22"/>
  <c r="D81" i="22"/>
  <c r="C81" i="22"/>
  <c r="B81" i="22"/>
  <c r="I80" i="22"/>
  <c r="J80" i="22" s="1"/>
  <c r="G80" i="22"/>
  <c r="D80" i="22"/>
  <c r="C80" i="22"/>
  <c r="B80" i="22"/>
  <c r="I79" i="22"/>
  <c r="J79" i="22" s="1"/>
  <c r="G79" i="22"/>
  <c r="D79" i="22"/>
  <c r="C79" i="22"/>
  <c r="B79" i="22"/>
  <c r="I78" i="22"/>
  <c r="J78" i="22" s="1"/>
  <c r="G78" i="22"/>
  <c r="D78" i="22"/>
  <c r="C78" i="22"/>
  <c r="B78" i="22"/>
  <c r="I77" i="22"/>
  <c r="J77" i="22" s="1"/>
  <c r="G77" i="22"/>
  <c r="D77" i="22"/>
  <c r="C77" i="22"/>
  <c r="B77" i="22"/>
  <c r="I76" i="22"/>
  <c r="J76" i="22" s="1"/>
  <c r="G76" i="22"/>
  <c r="D76" i="22"/>
  <c r="C76" i="22"/>
  <c r="B76" i="22"/>
  <c r="I75" i="22"/>
  <c r="J75" i="22" s="1"/>
  <c r="G75" i="22"/>
  <c r="D75" i="22"/>
  <c r="C75" i="22"/>
  <c r="B75" i="22"/>
  <c r="I74" i="22"/>
  <c r="J74" i="22" s="1"/>
  <c r="G74" i="22"/>
  <c r="D74" i="22"/>
  <c r="C74" i="22"/>
  <c r="B74" i="22"/>
  <c r="J73" i="22"/>
  <c r="I73" i="22"/>
  <c r="G73" i="22"/>
  <c r="D73" i="22"/>
  <c r="C73" i="22"/>
  <c r="B73" i="22"/>
  <c r="I72" i="22"/>
  <c r="J72" i="22" s="1"/>
  <c r="G72" i="22"/>
  <c r="D72" i="22"/>
  <c r="C72" i="22"/>
  <c r="B72" i="22"/>
  <c r="I71" i="22"/>
  <c r="J71" i="22" s="1"/>
  <c r="G71" i="22"/>
  <c r="D71" i="22"/>
  <c r="C71" i="22"/>
  <c r="B71" i="22"/>
  <c r="J70" i="22"/>
  <c r="I70" i="22"/>
  <c r="G70" i="22"/>
  <c r="D70" i="22"/>
  <c r="C70" i="22"/>
  <c r="B70" i="22"/>
  <c r="I69" i="22"/>
  <c r="J69" i="22" s="1"/>
  <c r="G69" i="22"/>
  <c r="D69" i="22"/>
  <c r="C69" i="22"/>
  <c r="B69" i="22"/>
  <c r="I68" i="22"/>
  <c r="J68" i="22" s="1"/>
  <c r="G68" i="22"/>
  <c r="D68" i="22"/>
  <c r="C68" i="22"/>
  <c r="B68" i="22"/>
  <c r="I67" i="22"/>
  <c r="J67" i="22" s="1"/>
  <c r="G67" i="22"/>
  <c r="D67" i="22"/>
  <c r="C67" i="22"/>
  <c r="B67" i="22"/>
  <c r="I66" i="22"/>
  <c r="J66" i="22" s="1"/>
  <c r="G66" i="22"/>
  <c r="D66" i="22"/>
  <c r="C66" i="22"/>
  <c r="B66" i="22"/>
  <c r="I65" i="22"/>
  <c r="J65" i="22" s="1"/>
  <c r="G65" i="22"/>
  <c r="D65" i="22"/>
  <c r="C65" i="22"/>
  <c r="B65" i="22"/>
  <c r="I64" i="22"/>
  <c r="J64" i="22" s="1"/>
  <c r="G64" i="22"/>
  <c r="D64" i="22"/>
  <c r="C64" i="22"/>
  <c r="B64" i="22"/>
  <c r="I63" i="22"/>
  <c r="J63" i="22" s="1"/>
  <c r="G63" i="22"/>
  <c r="D63" i="22"/>
  <c r="C63" i="22"/>
  <c r="B63" i="22"/>
  <c r="I62" i="22"/>
  <c r="J62" i="22" s="1"/>
  <c r="G62" i="22"/>
  <c r="D62" i="22"/>
  <c r="C62" i="22"/>
  <c r="B62" i="22"/>
  <c r="I61" i="22"/>
  <c r="J61" i="22" s="1"/>
  <c r="G61" i="22"/>
  <c r="D61" i="22"/>
  <c r="C61" i="22"/>
  <c r="B61" i="22"/>
  <c r="I60" i="22"/>
  <c r="J60" i="22" s="1"/>
  <c r="G60" i="22"/>
  <c r="D60" i="22"/>
  <c r="C60" i="22"/>
  <c r="B60" i="22"/>
  <c r="I59" i="22"/>
  <c r="J59" i="22" s="1"/>
  <c r="G59" i="22"/>
  <c r="D59" i="22"/>
  <c r="C59" i="22"/>
  <c r="B59" i="22"/>
  <c r="I58" i="22"/>
  <c r="J58" i="22" s="1"/>
  <c r="G58" i="22"/>
  <c r="D58" i="22"/>
  <c r="C58" i="22"/>
  <c r="B58" i="22"/>
  <c r="J57" i="22"/>
  <c r="I57" i="22"/>
  <c r="G57" i="22"/>
  <c r="D57" i="22"/>
  <c r="C57" i="22"/>
  <c r="B57" i="22"/>
  <c r="I56" i="22"/>
  <c r="J56" i="22" s="1"/>
  <c r="G56" i="22"/>
  <c r="D56" i="22"/>
  <c r="C56" i="22"/>
  <c r="B56" i="22"/>
  <c r="I55" i="22"/>
  <c r="J55" i="22" s="1"/>
  <c r="G55" i="22"/>
  <c r="D55" i="22"/>
  <c r="C55" i="22"/>
  <c r="B55" i="22"/>
  <c r="J54" i="22"/>
  <c r="I54" i="22"/>
  <c r="G54" i="22"/>
  <c r="D54" i="22"/>
  <c r="C54" i="22"/>
  <c r="B54" i="22"/>
  <c r="I53" i="22"/>
  <c r="J53" i="22" s="1"/>
  <c r="G53" i="22"/>
  <c r="D53" i="22"/>
  <c r="C53" i="22"/>
  <c r="B53" i="22"/>
  <c r="I52" i="22"/>
  <c r="J52" i="22" s="1"/>
  <c r="G52" i="22"/>
  <c r="D52" i="22"/>
  <c r="C52" i="22"/>
  <c r="B52" i="22"/>
  <c r="I51" i="22"/>
  <c r="J51" i="22" s="1"/>
  <c r="G51" i="22"/>
  <c r="D51" i="22"/>
  <c r="C51" i="22"/>
  <c r="B51" i="22"/>
  <c r="I50" i="22"/>
  <c r="J50" i="22" s="1"/>
  <c r="G50" i="22"/>
  <c r="D50" i="22"/>
  <c r="C50" i="22"/>
  <c r="B50" i="22"/>
  <c r="I49" i="22"/>
  <c r="J49" i="22" s="1"/>
  <c r="G49" i="22"/>
  <c r="D49" i="22"/>
  <c r="C49" i="22"/>
  <c r="B49" i="22"/>
  <c r="I48" i="22"/>
  <c r="J48" i="22" s="1"/>
  <c r="G48" i="22"/>
  <c r="D48" i="22"/>
  <c r="C48" i="22"/>
  <c r="B48" i="22"/>
  <c r="I47" i="22"/>
  <c r="J47" i="22" s="1"/>
  <c r="G47" i="22"/>
  <c r="D47" i="22"/>
  <c r="C47" i="22"/>
  <c r="B47" i="22"/>
  <c r="I46" i="22"/>
  <c r="J46" i="22" s="1"/>
  <c r="G46" i="22"/>
  <c r="D46" i="22"/>
  <c r="C46" i="22"/>
  <c r="B46" i="22"/>
  <c r="I45" i="22"/>
  <c r="J45" i="22" s="1"/>
  <c r="G45" i="22"/>
  <c r="D45" i="22"/>
  <c r="C45" i="22"/>
  <c r="B45" i="22"/>
  <c r="J44" i="22"/>
  <c r="I44" i="22"/>
  <c r="G44" i="22"/>
  <c r="D44" i="22"/>
  <c r="C44" i="22"/>
  <c r="B44" i="22"/>
  <c r="I43" i="22"/>
  <c r="J43" i="22" s="1"/>
  <c r="G43" i="22"/>
  <c r="D43" i="22"/>
  <c r="C43" i="22"/>
  <c r="B43" i="22"/>
  <c r="J42" i="22"/>
  <c r="I42" i="22"/>
  <c r="G42" i="22"/>
  <c r="D42" i="22"/>
  <c r="C42" i="22"/>
  <c r="B42" i="22"/>
  <c r="J41" i="22"/>
  <c r="I41" i="22"/>
  <c r="G41" i="22"/>
  <c r="D41" i="22"/>
  <c r="C41" i="22"/>
  <c r="B41" i="22"/>
  <c r="J40" i="22"/>
  <c r="I40" i="22"/>
  <c r="G40" i="22"/>
  <c r="D40" i="22"/>
  <c r="C40" i="22"/>
  <c r="B40" i="22"/>
  <c r="I39" i="22"/>
  <c r="J39" i="22" s="1"/>
  <c r="G39" i="22"/>
  <c r="D39" i="22"/>
  <c r="C39" i="22"/>
  <c r="B39" i="22"/>
  <c r="I38" i="22"/>
  <c r="J38" i="22" s="1"/>
  <c r="G38" i="22"/>
  <c r="D38" i="22"/>
  <c r="C38" i="22"/>
  <c r="B38" i="22"/>
  <c r="J37" i="22"/>
  <c r="I37" i="22"/>
  <c r="G37" i="22"/>
  <c r="D37" i="22"/>
  <c r="C37" i="22"/>
  <c r="B37" i="22"/>
  <c r="I36" i="22"/>
  <c r="J36" i="22" s="1"/>
  <c r="G36" i="22"/>
  <c r="D36" i="22"/>
  <c r="C36" i="22"/>
  <c r="B36" i="22"/>
  <c r="I35" i="22"/>
  <c r="J35" i="22" s="1"/>
  <c r="G35" i="22"/>
  <c r="D35" i="22"/>
  <c r="C35" i="22"/>
  <c r="B35" i="22"/>
  <c r="J34" i="22"/>
  <c r="I34" i="22"/>
  <c r="G34" i="22"/>
  <c r="D34" i="22"/>
  <c r="C34" i="22"/>
  <c r="B34" i="22"/>
  <c r="I33" i="22"/>
  <c r="J33" i="22" s="1"/>
  <c r="G33" i="22"/>
  <c r="D33" i="22"/>
  <c r="C33" i="22"/>
  <c r="B33" i="22"/>
  <c r="I32" i="22"/>
  <c r="J32" i="22" s="1"/>
  <c r="G32" i="22"/>
  <c r="D32" i="22"/>
  <c r="C32" i="22"/>
  <c r="B32" i="22"/>
  <c r="I31" i="22"/>
  <c r="J31" i="22" s="1"/>
  <c r="G31" i="22"/>
  <c r="D31" i="22"/>
  <c r="C31" i="22"/>
  <c r="B31" i="22"/>
  <c r="J30" i="22"/>
  <c r="I30" i="22"/>
  <c r="G30" i="22"/>
  <c r="D30" i="22"/>
  <c r="C30" i="22"/>
  <c r="B30" i="22"/>
  <c r="I29" i="22"/>
  <c r="J29" i="22" s="1"/>
  <c r="G29" i="22"/>
  <c r="D29" i="22"/>
  <c r="C29" i="22"/>
  <c r="B29" i="22"/>
  <c r="I28" i="22"/>
  <c r="J28" i="22" s="1"/>
  <c r="G28" i="22"/>
  <c r="D28" i="22"/>
  <c r="C28" i="22"/>
  <c r="B28" i="22"/>
  <c r="I27" i="22"/>
  <c r="J27" i="22" s="1"/>
  <c r="G27" i="22"/>
  <c r="D27" i="22"/>
  <c r="C27" i="22"/>
  <c r="B27" i="22"/>
  <c r="J26" i="22"/>
  <c r="I26" i="22"/>
  <c r="G26" i="22"/>
  <c r="D26" i="22"/>
  <c r="C26" i="22"/>
  <c r="B26" i="22"/>
  <c r="I25" i="22"/>
  <c r="J25" i="22" s="1"/>
  <c r="G25" i="22"/>
  <c r="D25" i="22"/>
  <c r="C25" i="22"/>
  <c r="B25" i="22"/>
  <c r="I24" i="22"/>
  <c r="J24" i="22" s="1"/>
  <c r="G24" i="22"/>
  <c r="D24" i="22"/>
  <c r="C24" i="22"/>
  <c r="B24" i="22"/>
  <c r="I23" i="22"/>
  <c r="J23" i="22" s="1"/>
  <c r="G23" i="22"/>
  <c r="D23" i="22"/>
  <c r="C23" i="22"/>
  <c r="B23" i="22"/>
  <c r="J22" i="22"/>
  <c r="I22" i="22"/>
  <c r="G22" i="22"/>
  <c r="D22" i="22"/>
  <c r="C22" i="22"/>
  <c r="B22" i="22"/>
  <c r="I21" i="22"/>
  <c r="J21" i="22" s="1"/>
  <c r="G21" i="22"/>
  <c r="D21" i="22"/>
  <c r="C21" i="22"/>
  <c r="B21" i="22"/>
  <c r="I20" i="22"/>
  <c r="J20" i="22" s="1"/>
  <c r="G20" i="22"/>
  <c r="D20" i="22"/>
  <c r="C20" i="22"/>
  <c r="B20" i="22"/>
  <c r="I19" i="22"/>
  <c r="J19" i="22" s="1"/>
  <c r="G19" i="22"/>
  <c r="D19" i="22"/>
  <c r="C19" i="22"/>
  <c r="B19" i="22"/>
  <c r="J18" i="22"/>
  <c r="I18" i="22"/>
  <c r="G18" i="22"/>
  <c r="D18" i="22"/>
  <c r="C18" i="22"/>
  <c r="B18" i="22"/>
  <c r="I17" i="22"/>
  <c r="J17" i="22" s="1"/>
  <c r="G17" i="22"/>
  <c r="D17" i="22"/>
  <c r="C17" i="22"/>
  <c r="B17" i="22"/>
  <c r="I16" i="22"/>
  <c r="J16" i="22" s="1"/>
  <c r="G16" i="22"/>
  <c r="D16" i="22"/>
  <c r="C16" i="22"/>
  <c r="B16" i="22"/>
  <c r="I15" i="22"/>
  <c r="J15" i="22" s="1"/>
  <c r="G15" i="22"/>
  <c r="D15" i="22"/>
  <c r="C15" i="22"/>
  <c r="B15" i="22"/>
  <c r="J14" i="22"/>
  <c r="I14" i="22"/>
  <c r="G14" i="22"/>
  <c r="D14" i="22"/>
  <c r="C14" i="22"/>
  <c r="B14" i="22"/>
  <c r="I13" i="22"/>
  <c r="J13" i="22" s="1"/>
  <c r="G13" i="22"/>
  <c r="D13" i="22"/>
  <c r="C13" i="22"/>
  <c r="B13" i="22"/>
  <c r="I12" i="22"/>
  <c r="J12" i="22" s="1"/>
  <c r="G12" i="22"/>
  <c r="D12" i="22"/>
  <c r="C12" i="22"/>
  <c r="B12" i="22"/>
  <c r="I11" i="22"/>
  <c r="J11" i="22" s="1"/>
  <c r="G11" i="22"/>
  <c r="D11" i="22"/>
  <c r="C11" i="22"/>
  <c r="B11" i="22"/>
  <c r="J10" i="22"/>
  <c r="I10" i="22"/>
  <c r="D10" i="22"/>
  <c r="C10" i="22"/>
  <c r="G10" i="22" s="1"/>
  <c r="B10" i="22"/>
  <c r="I9" i="22"/>
  <c r="J9" i="22" s="1"/>
  <c r="G9" i="22"/>
  <c r="D9" i="22"/>
  <c r="C9" i="22"/>
  <c r="B9" i="22"/>
  <c r="J4" i="22"/>
  <c r="G4" i="22"/>
  <c r="D4" i="22"/>
  <c r="A4" i="22"/>
  <c r="I208" i="21"/>
  <c r="H208" i="21"/>
  <c r="F208" i="21"/>
  <c r="D208" i="21"/>
  <c r="C208" i="21"/>
  <c r="B208" i="21"/>
  <c r="H207" i="21"/>
  <c r="I207" i="21" s="1"/>
  <c r="F207" i="21"/>
  <c r="D207" i="21"/>
  <c r="C207" i="21"/>
  <c r="B207" i="21"/>
  <c r="H206" i="21"/>
  <c r="I206" i="21" s="1"/>
  <c r="F206" i="21"/>
  <c r="D206" i="21"/>
  <c r="C206" i="21"/>
  <c r="B206" i="21"/>
  <c r="H205" i="21"/>
  <c r="I205" i="21" s="1"/>
  <c r="F205" i="21"/>
  <c r="D205" i="21"/>
  <c r="C205" i="21"/>
  <c r="B205" i="21"/>
  <c r="I204" i="21"/>
  <c r="H204" i="21"/>
  <c r="F204" i="21"/>
  <c r="D204" i="21"/>
  <c r="C204" i="21"/>
  <c r="B204" i="21"/>
  <c r="H203" i="21"/>
  <c r="I203" i="21" s="1"/>
  <c r="F203" i="21"/>
  <c r="D203" i="21"/>
  <c r="C203" i="21"/>
  <c r="B203" i="21"/>
  <c r="H202" i="21"/>
  <c r="I202" i="21" s="1"/>
  <c r="F202" i="21"/>
  <c r="D202" i="21"/>
  <c r="C202" i="21"/>
  <c r="B202" i="21"/>
  <c r="H201" i="21"/>
  <c r="I201" i="21" s="1"/>
  <c r="F201" i="21"/>
  <c r="D201" i="21"/>
  <c r="C201" i="21"/>
  <c r="B201" i="21"/>
  <c r="I200" i="21"/>
  <c r="H200" i="21"/>
  <c r="F200" i="21"/>
  <c r="D200" i="21"/>
  <c r="C200" i="21"/>
  <c r="B200" i="21"/>
  <c r="H199" i="21"/>
  <c r="I199" i="21" s="1"/>
  <c r="F199" i="21"/>
  <c r="D199" i="21"/>
  <c r="C199" i="21"/>
  <c r="B199" i="21"/>
  <c r="H198" i="21"/>
  <c r="I198" i="21" s="1"/>
  <c r="F198" i="21"/>
  <c r="D198" i="21"/>
  <c r="C198" i="21"/>
  <c r="B198" i="21"/>
  <c r="H197" i="21"/>
  <c r="I197" i="21" s="1"/>
  <c r="F197" i="21"/>
  <c r="D197" i="21"/>
  <c r="C197" i="21"/>
  <c r="B197" i="21"/>
  <c r="I196" i="21"/>
  <c r="H196" i="21"/>
  <c r="F196" i="21"/>
  <c r="D196" i="21"/>
  <c r="C196" i="21"/>
  <c r="B196" i="21"/>
  <c r="I195" i="21"/>
  <c r="H195" i="21"/>
  <c r="F195" i="21"/>
  <c r="D195" i="21"/>
  <c r="C195" i="21"/>
  <c r="B195" i="21"/>
  <c r="H194" i="21"/>
  <c r="I194" i="21" s="1"/>
  <c r="F194" i="21"/>
  <c r="D194" i="21"/>
  <c r="C194" i="21"/>
  <c r="B194" i="21"/>
  <c r="H193" i="21"/>
  <c r="I193" i="21" s="1"/>
  <c r="F193" i="21"/>
  <c r="D193" i="21"/>
  <c r="C193" i="21"/>
  <c r="B193" i="21"/>
  <c r="I192" i="21"/>
  <c r="H192" i="21"/>
  <c r="F192" i="21"/>
  <c r="D192" i="21"/>
  <c r="C192" i="21"/>
  <c r="B192" i="21"/>
  <c r="H191" i="21"/>
  <c r="I191" i="21" s="1"/>
  <c r="F191" i="21"/>
  <c r="D191" i="21"/>
  <c r="C191" i="21"/>
  <c r="B191" i="21"/>
  <c r="H190" i="21"/>
  <c r="I190" i="21" s="1"/>
  <c r="F190" i="21"/>
  <c r="D190" i="21"/>
  <c r="C190" i="21"/>
  <c r="B190" i="21"/>
  <c r="H189" i="21"/>
  <c r="I189" i="21" s="1"/>
  <c r="F189" i="21"/>
  <c r="D189" i="21"/>
  <c r="C189" i="21"/>
  <c r="B189" i="21"/>
  <c r="I188" i="21"/>
  <c r="H188" i="21"/>
  <c r="F188" i="21"/>
  <c r="D188" i="21"/>
  <c r="C188" i="21"/>
  <c r="B188" i="21"/>
  <c r="H187" i="21"/>
  <c r="I187" i="21" s="1"/>
  <c r="F187" i="21"/>
  <c r="D187" i="21"/>
  <c r="C187" i="21"/>
  <c r="B187" i="21"/>
  <c r="H186" i="21"/>
  <c r="I186" i="21" s="1"/>
  <c r="F186" i="21"/>
  <c r="D186" i="21"/>
  <c r="C186" i="21"/>
  <c r="B186" i="21"/>
  <c r="H185" i="21"/>
  <c r="I185" i="21" s="1"/>
  <c r="F185" i="21"/>
  <c r="D185" i="21"/>
  <c r="C185" i="21"/>
  <c r="B185" i="21"/>
  <c r="I184" i="21"/>
  <c r="H184" i="21"/>
  <c r="F184" i="21"/>
  <c r="D184" i="21"/>
  <c r="C184" i="21"/>
  <c r="B184" i="21"/>
  <c r="H183" i="21"/>
  <c r="I183" i="21" s="1"/>
  <c r="F183" i="21"/>
  <c r="D183" i="21"/>
  <c r="C183" i="21"/>
  <c r="B183" i="21"/>
  <c r="H182" i="21"/>
  <c r="I182" i="21" s="1"/>
  <c r="F182" i="21"/>
  <c r="D182" i="21"/>
  <c r="C182" i="21"/>
  <c r="B182" i="21"/>
  <c r="H181" i="21"/>
  <c r="I181" i="21" s="1"/>
  <c r="F181" i="21"/>
  <c r="D181" i="21"/>
  <c r="C181" i="21"/>
  <c r="B181" i="21"/>
  <c r="I180" i="21"/>
  <c r="H180" i="21"/>
  <c r="F180" i="21"/>
  <c r="D180" i="21"/>
  <c r="C180" i="21"/>
  <c r="B180" i="21"/>
  <c r="I179" i="21"/>
  <c r="H179" i="21"/>
  <c r="F179" i="21"/>
  <c r="D179" i="21"/>
  <c r="C179" i="21"/>
  <c r="B179" i="21"/>
  <c r="H178" i="21"/>
  <c r="I178" i="21" s="1"/>
  <c r="F178" i="21"/>
  <c r="D178" i="21"/>
  <c r="C178" i="21"/>
  <c r="B178" i="21"/>
  <c r="H177" i="21"/>
  <c r="I177" i="21" s="1"/>
  <c r="F177" i="21"/>
  <c r="D177" i="21"/>
  <c r="C177" i="21"/>
  <c r="B177" i="21"/>
  <c r="I176" i="21"/>
  <c r="H176" i="21"/>
  <c r="F176" i="21"/>
  <c r="D176" i="21"/>
  <c r="C176" i="21"/>
  <c r="B176" i="21"/>
  <c r="H175" i="21"/>
  <c r="I175" i="21" s="1"/>
  <c r="F175" i="21"/>
  <c r="D175" i="21"/>
  <c r="C175" i="21"/>
  <c r="B175" i="21"/>
  <c r="H174" i="21"/>
  <c r="I174" i="21" s="1"/>
  <c r="F174" i="21"/>
  <c r="D174" i="21"/>
  <c r="C174" i="21"/>
  <c r="B174" i="21"/>
  <c r="H173" i="21"/>
  <c r="I173" i="21" s="1"/>
  <c r="F173" i="21"/>
  <c r="D173" i="21"/>
  <c r="C173" i="21"/>
  <c r="B173" i="21"/>
  <c r="I172" i="21"/>
  <c r="H172" i="21"/>
  <c r="F172" i="21"/>
  <c r="D172" i="21"/>
  <c r="C172" i="21"/>
  <c r="B172" i="21"/>
  <c r="H171" i="21"/>
  <c r="I171" i="21" s="1"/>
  <c r="F171" i="21"/>
  <c r="D171" i="21"/>
  <c r="C171" i="21"/>
  <c r="B171" i="21"/>
  <c r="H170" i="21"/>
  <c r="I170" i="21" s="1"/>
  <c r="F170" i="21"/>
  <c r="D170" i="21"/>
  <c r="C170" i="21"/>
  <c r="B170" i="21"/>
  <c r="H169" i="21"/>
  <c r="I169" i="21" s="1"/>
  <c r="F169" i="21"/>
  <c r="D169" i="21"/>
  <c r="C169" i="21"/>
  <c r="B169" i="21"/>
  <c r="I168" i="21"/>
  <c r="H168" i="21"/>
  <c r="F168" i="21"/>
  <c r="D168" i="21"/>
  <c r="C168" i="21"/>
  <c r="B168" i="21"/>
  <c r="H167" i="21"/>
  <c r="I167" i="21" s="1"/>
  <c r="F167" i="21"/>
  <c r="D167" i="21"/>
  <c r="C167" i="21"/>
  <c r="B167" i="21"/>
  <c r="H166" i="21"/>
  <c r="I166" i="21" s="1"/>
  <c r="F166" i="21"/>
  <c r="D166" i="21"/>
  <c r="C166" i="21"/>
  <c r="B166" i="21"/>
  <c r="H165" i="21"/>
  <c r="I165" i="21" s="1"/>
  <c r="F165" i="21"/>
  <c r="D165" i="21"/>
  <c r="C165" i="21"/>
  <c r="B165" i="21"/>
  <c r="I164" i="21"/>
  <c r="H164" i="21"/>
  <c r="F164" i="21"/>
  <c r="D164" i="21"/>
  <c r="C164" i="21"/>
  <c r="B164" i="21"/>
  <c r="I163" i="21"/>
  <c r="H163" i="21"/>
  <c r="F163" i="21"/>
  <c r="D163" i="21"/>
  <c r="C163" i="21"/>
  <c r="B163" i="21"/>
  <c r="H162" i="21"/>
  <c r="I162" i="21" s="1"/>
  <c r="F162" i="21"/>
  <c r="D162" i="21"/>
  <c r="C162" i="21"/>
  <c r="B162" i="21"/>
  <c r="H161" i="21"/>
  <c r="I161" i="21" s="1"/>
  <c r="F161" i="21"/>
  <c r="D161" i="21"/>
  <c r="C161" i="21"/>
  <c r="B161" i="21"/>
  <c r="I160" i="21"/>
  <c r="H160" i="21"/>
  <c r="F160" i="21"/>
  <c r="D160" i="21"/>
  <c r="C160" i="21"/>
  <c r="B160" i="21"/>
  <c r="H159" i="21"/>
  <c r="I159" i="21" s="1"/>
  <c r="F159" i="21"/>
  <c r="D159" i="21"/>
  <c r="C159" i="21"/>
  <c r="B159" i="21"/>
  <c r="H158" i="21"/>
  <c r="I158" i="21" s="1"/>
  <c r="F158" i="21"/>
  <c r="D158" i="21"/>
  <c r="C158" i="21"/>
  <c r="B158" i="21"/>
  <c r="H157" i="21"/>
  <c r="I157" i="21" s="1"/>
  <c r="F157" i="21"/>
  <c r="D157" i="21"/>
  <c r="C157" i="21"/>
  <c r="B157" i="21"/>
  <c r="I156" i="21"/>
  <c r="H156" i="21"/>
  <c r="F156" i="21"/>
  <c r="D156" i="21"/>
  <c r="C156" i="21"/>
  <c r="B156" i="21"/>
  <c r="H155" i="21"/>
  <c r="I155" i="21" s="1"/>
  <c r="F155" i="21"/>
  <c r="D155" i="21"/>
  <c r="C155" i="21"/>
  <c r="B155" i="21"/>
  <c r="H154" i="21"/>
  <c r="I154" i="21" s="1"/>
  <c r="F154" i="21"/>
  <c r="D154" i="21"/>
  <c r="C154" i="21"/>
  <c r="B154" i="21"/>
  <c r="H153" i="21"/>
  <c r="I153" i="21" s="1"/>
  <c r="F153" i="21"/>
  <c r="D153" i="21"/>
  <c r="C153" i="21"/>
  <c r="B153" i="21"/>
  <c r="I152" i="21"/>
  <c r="H152" i="21"/>
  <c r="F152" i="21"/>
  <c r="D152" i="21"/>
  <c r="C152" i="21"/>
  <c r="B152" i="21"/>
  <c r="H151" i="21"/>
  <c r="I151" i="21" s="1"/>
  <c r="F151" i="21"/>
  <c r="D151" i="21"/>
  <c r="C151" i="21"/>
  <c r="B151" i="21"/>
  <c r="H150" i="21"/>
  <c r="I150" i="21" s="1"/>
  <c r="F150" i="21"/>
  <c r="D150" i="21"/>
  <c r="C150" i="21"/>
  <c r="B150" i="21"/>
  <c r="H149" i="21"/>
  <c r="I149" i="21" s="1"/>
  <c r="F149" i="21"/>
  <c r="D149" i="21"/>
  <c r="C149" i="21"/>
  <c r="B149" i="21"/>
  <c r="I148" i="21"/>
  <c r="H148" i="21"/>
  <c r="F148" i="21"/>
  <c r="D148" i="21"/>
  <c r="C148" i="21"/>
  <c r="B148" i="21"/>
  <c r="I147" i="21"/>
  <c r="H147" i="21"/>
  <c r="F147" i="21"/>
  <c r="D147" i="21"/>
  <c r="C147" i="21"/>
  <c r="B147" i="21"/>
  <c r="H146" i="21"/>
  <c r="I146" i="21" s="1"/>
  <c r="F146" i="21"/>
  <c r="D146" i="21"/>
  <c r="C146" i="21"/>
  <c r="B146" i="21"/>
  <c r="H145" i="21"/>
  <c r="I145" i="21" s="1"/>
  <c r="F145" i="21"/>
  <c r="D145" i="21"/>
  <c r="C145" i="21"/>
  <c r="B145" i="21"/>
  <c r="I144" i="21"/>
  <c r="H144" i="21"/>
  <c r="F144" i="21"/>
  <c r="D144" i="21"/>
  <c r="C144" i="21"/>
  <c r="B144" i="21"/>
  <c r="I143" i="21"/>
  <c r="H143" i="21"/>
  <c r="F143" i="21"/>
  <c r="D143" i="21"/>
  <c r="C143" i="21"/>
  <c r="B143" i="21"/>
  <c r="H142" i="21"/>
  <c r="I142" i="21" s="1"/>
  <c r="F142" i="21"/>
  <c r="D142" i="21"/>
  <c r="C142" i="21"/>
  <c r="B142" i="21"/>
  <c r="H141" i="21"/>
  <c r="I141" i="21" s="1"/>
  <c r="F141" i="21"/>
  <c r="D141" i="21"/>
  <c r="C141" i="21"/>
  <c r="B141" i="21"/>
  <c r="I140" i="21"/>
  <c r="H140" i="21"/>
  <c r="F140" i="21"/>
  <c r="D140" i="21"/>
  <c r="C140" i="21"/>
  <c r="B140" i="21"/>
  <c r="H139" i="21"/>
  <c r="I139" i="21" s="1"/>
  <c r="F139" i="21"/>
  <c r="D139" i="21"/>
  <c r="C139" i="21"/>
  <c r="B139" i="21"/>
  <c r="H138" i="21"/>
  <c r="I138" i="21" s="1"/>
  <c r="F138" i="21"/>
  <c r="D138" i="21"/>
  <c r="C138" i="21"/>
  <c r="B138" i="21"/>
  <c r="H137" i="21"/>
  <c r="I137" i="21" s="1"/>
  <c r="F137" i="21"/>
  <c r="D137" i="21"/>
  <c r="C137" i="21"/>
  <c r="B137" i="21"/>
  <c r="I136" i="21"/>
  <c r="H136" i="21"/>
  <c r="F136" i="21"/>
  <c r="D136" i="21"/>
  <c r="C136" i="21"/>
  <c r="B136" i="21"/>
  <c r="H135" i="21"/>
  <c r="I135" i="21" s="1"/>
  <c r="F135" i="21"/>
  <c r="D135" i="21"/>
  <c r="C135" i="21"/>
  <c r="B135" i="21"/>
  <c r="H134" i="21"/>
  <c r="I134" i="21" s="1"/>
  <c r="F134" i="21"/>
  <c r="D134" i="21"/>
  <c r="C134" i="21"/>
  <c r="B134" i="21"/>
  <c r="H133" i="21"/>
  <c r="I133" i="21" s="1"/>
  <c r="F133" i="21"/>
  <c r="D133" i="21"/>
  <c r="C133" i="21"/>
  <c r="B133" i="21"/>
  <c r="I132" i="21"/>
  <c r="H132" i="21"/>
  <c r="F132" i="21"/>
  <c r="D132" i="21"/>
  <c r="C132" i="21"/>
  <c r="B132" i="21"/>
  <c r="I131" i="21"/>
  <c r="H131" i="21"/>
  <c r="F131" i="21"/>
  <c r="D131" i="21"/>
  <c r="C131" i="21"/>
  <c r="B131" i="21"/>
  <c r="H130" i="21"/>
  <c r="I130" i="21" s="1"/>
  <c r="F130" i="21"/>
  <c r="D130" i="21"/>
  <c r="C130" i="21"/>
  <c r="B130" i="21"/>
  <c r="H129" i="21"/>
  <c r="I129" i="21" s="1"/>
  <c r="F129" i="21"/>
  <c r="D129" i="21"/>
  <c r="C129" i="21"/>
  <c r="B129" i="21"/>
  <c r="I128" i="21"/>
  <c r="H128" i="21"/>
  <c r="F128" i="21"/>
  <c r="D128" i="21"/>
  <c r="C128" i="21"/>
  <c r="B128" i="21"/>
  <c r="I127" i="21"/>
  <c r="H127" i="21"/>
  <c r="F127" i="21"/>
  <c r="D127" i="21"/>
  <c r="C127" i="21"/>
  <c r="B127" i="21"/>
  <c r="H126" i="21"/>
  <c r="I126" i="21" s="1"/>
  <c r="F126" i="21"/>
  <c r="D126" i="21"/>
  <c r="C126" i="21"/>
  <c r="B126" i="21"/>
  <c r="H125" i="21"/>
  <c r="I125" i="21" s="1"/>
  <c r="F125" i="21"/>
  <c r="D125" i="21"/>
  <c r="C125" i="21"/>
  <c r="B125" i="21"/>
  <c r="I124" i="21"/>
  <c r="H124" i="21"/>
  <c r="F124" i="21"/>
  <c r="D124" i="21"/>
  <c r="C124" i="21"/>
  <c r="B124" i="21"/>
  <c r="H123" i="21"/>
  <c r="I123" i="21" s="1"/>
  <c r="F123" i="21"/>
  <c r="D123" i="21"/>
  <c r="C123" i="21"/>
  <c r="B123" i="21"/>
  <c r="H122" i="21"/>
  <c r="I122" i="21" s="1"/>
  <c r="F122" i="21"/>
  <c r="D122" i="21"/>
  <c r="C122" i="21"/>
  <c r="B122" i="21"/>
  <c r="H121" i="21"/>
  <c r="I121" i="21" s="1"/>
  <c r="F121" i="21"/>
  <c r="D121" i="21"/>
  <c r="C121" i="21"/>
  <c r="B121" i="21"/>
  <c r="H120" i="21"/>
  <c r="I120" i="21" s="1"/>
  <c r="F120" i="21"/>
  <c r="D120" i="21"/>
  <c r="C120" i="21"/>
  <c r="B120" i="21"/>
  <c r="H119" i="21"/>
  <c r="I119" i="21" s="1"/>
  <c r="F119" i="21"/>
  <c r="D119" i="21"/>
  <c r="C119" i="21"/>
  <c r="B119" i="21"/>
  <c r="H118" i="21"/>
  <c r="I118" i="21" s="1"/>
  <c r="F118" i="21"/>
  <c r="D118" i="21"/>
  <c r="C118" i="21"/>
  <c r="B118" i="21"/>
  <c r="H117" i="21"/>
  <c r="I117" i="21" s="1"/>
  <c r="F117" i="21"/>
  <c r="D117" i="21"/>
  <c r="C117" i="21"/>
  <c r="B117" i="21"/>
  <c r="H116" i="21"/>
  <c r="I116" i="21" s="1"/>
  <c r="F116" i="21"/>
  <c r="D116" i="21"/>
  <c r="C116" i="21"/>
  <c r="B116" i="21"/>
  <c r="I115" i="21"/>
  <c r="H115" i="21"/>
  <c r="F115" i="21"/>
  <c r="D115" i="21"/>
  <c r="C115" i="21"/>
  <c r="B115" i="21"/>
  <c r="H114" i="21"/>
  <c r="I114" i="21" s="1"/>
  <c r="F114" i="21"/>
  <c r="D114" i="21"/>
  <c r="C114" i="21"/>
  <c r="B114" i="21"/>
  <c r="H113" i="21"/>
  <c r="I113" i="21" s="1"/>
  <c r="F113" i="21"/>
  <c r="D113" i="21"/>
  <c r="C113" i="21"/>
  <c r="B113" i="21"/>
  <c r="I112" i="21"/>
  <c r="H112" i="21"/>
  <c r="F112" i="21"/>
  <c r="D112" i="21"/>
  <c r="C112" i="21"/>
  <c r="B112" i="21"/>
  <c r="I111" i="21"/>
  <c r="H111" i="21"/>
  <c r="F111" i="21"/>
  <c r="D111" i="21"/>
  <c r="C111" i="21"/>
  <c r="B111" i="21"/>
  <c r="H110" i="21"/>
  <c r="I110" i="21" s="1"/>
  <c r="F110" i="21"/>
  <c r="D110" i="21"/>
  <c r="C110" i="21"/>
  <c r="B110" i="21"/>
  <c r="H109" i="21"/>
  <c r="I109" i="21" s="1"/>
  <c r="F109" i="21"/>
  <c r="D109" i="21"/>
  <c r="C109" i="21"/>
  <c r="B109" i="21"/>
  <c r="H108" i="21"/>
  <c r="I108" i="21" s="1"/>
  <c r="F108" i="21"/>
  <c r="D108" i="21"/>
  <c r="C108" i="21"/>
  <c r="B108" i="21"/>
  <c r="H107" i="21"/>
  <c r="I107" i="21" s="1"/>
  <c r="F107" i="21"/>
  <c r="D107" i="21"/>
  <c r="C107" i="21"/>
  <c r="B107" i="21"/>
  <c r="I106" i="21"/>
  <c r="H106" i="21"/>
  <c r="F106" i="21"/>
  <c r="D106" i="21"/>
  <c r="C106" i="21"/>
  <c r="B106" i="21"/>
  <c r="H105" i="21"/>
  <c r="I105" i="21" s="1"/>
  <c r="F105" i="21"/>
  <c r="D105" i="21"/>
  <c r="C105" i="21"/>
  <c r="B105" i="21"/>
  <c r="I104" i="21"/>
  <c r="H104" i="21"/>
  <c r="F104" i="21"/>
  <c r="D104" i="21"/>
  <c r="C104" i="21"/>
  <c r="B104" i="21"/>
  <c r="H103" i="21"/>
  <c r="I103" i="21" s="1"/>
  <c r="F103" i="21"/>
  <c r="D103" i="21"/>
  <c r="C103" i="21"/>
  <c r="B103" i="21"/>
  <c r="H102" i="21"/>
  <c r="I102" i="21" s="1"/>
  <c r="F102" i="21"/>
  <c r="D102" i="21"/>
  <c r="C102" i="21"/>
  <c r="B102" i="21"/>
  <c r="H101" i="21"/>
  <c r="I101" i="21" s="1"/>
  <c r="F101" i="21"/>
  <c r="D101" i="21"/>
  <c r="C101" i="21"/>
  <c r="B101" i="21"/>
  <c r="H100" i="21"/>
  <c r="I100" i="21" s="1"/>
  <c r="F100" i="21"/>
  <c r="D100" i="21"/>
  <c r="C100" i="21"/>
  <c r="B100" i="21"/>
  <c r="I99" i="21"/>
  <c r="H99" i="21"/>
  <c r="F99" i="21"/>
  <c r="D99" i="21"/>
  <c r="C99" i="21"/>
  <c r="B99" i="21"/>
  <c r="H98" i="21"/>
  <c r="I98" i="21" s="1"/>
  <c r="F98" i="21"/>
  <c r="D98" i="21"/>
  <c r="C98" i="21"/>
  <c r="B98" i="21"/>
  <c r="H97" i="21"/>
  <c r="I97" i="21" s="1"/>
  <c r="F97" i="21"/>
  <c r="D97" i="21"/>
  <c r="C97" i="21"/>
  <c r="B97" i="21"/>
  <c r="H96" i="21"/>
  <c r="I96" i="21" s="1"/>
  <c r="F96" i="21"/>
  <c r="D96" i="21"/>
  <c r="C96" i="21"/>
  <c r="B96" i="21"/>
  <c r="H95" i="21"/>
  <c r="I95" i="21" s="1"/>
  <c r="F95" i="21"/>
  <c r="D95" i="21"/>
  <c r="C95" i="21"/>
  <c r="B95" i="21"/>
  <c r="I94" i="21"/>
  <c r="H94" i="21"/>
  <c r="F94" i="21"/>
  <c r="D94" i="21"/>
  <c r="C94" i="21"/>
  <c r="B94" i="21"/>
  <c r="H93" i="21"/>
  <c r="I93" i="21" s="1"/>
  <c r="F93" i="21"/>
  <c r="D93" i="21"/>
  <c r="C93" i="21"/>
  <c r="B93" i="21"/>
  <c r="I92" i="21"/>
  <c r="H92" i="21"/>
  <c r="F92" i="21"/>
  <c r="D92" i="21"/>
  <c r="C92" i="21"/>
  <c r="B92" i="21"/>
  <c r="H91" i="21"/>
  <c r="I91" i="21" s="1"/>
  <c r="F91" i="21"/>
  <c r="D91" i="21"/>
  <c r="C91" i="21"/>
  <c r="B91" i="21"/>
  <c r="H90" i="21"/>
  <c r="I90" i="21" s="1"/>
  <c r="F90" i="21"/>
  <c r="D90" i="21"/>
  <c r="C90" i="21"/>
  <c r="B90" i="21"/>
  <c r="H89" i="21"/>
  <c r="I89" i="21" s="1"/>
  <c r="F89" i="21"/>
  <c r="D89" i="21"/>
  <c r="C89" i="21"/>
  <c r="B89" i="21"/>
  <c r="H88" i="21"/>
  <c r="I88" i="21" s="1"/>
  <c r="F88" i="21"/>
  <c r="D88" i="21"/>
  <c r="C88" i="21"/>
  <c r="B88" i="21"/>
  <c r="I87" i="21"/>
  <c r="H87" i="21"/>
  <c r="F87" i="21"/>
  <c r="D87" i="21"/>
  <c r="C87" i="21"/>
  <c r="B87" i="21"/>
  <c r="I86" i="21"/>
  <c r="H86" i="21"/>
  <c r="F86" i="21"/>
  <c r="D86" i="21"/>
  <c r="C86" i="21"/>
  <c r="B86" i="21"/>
  <c r="H85" i="21"/>
  <c r="I85" i="21" s="1"/>
  <c r="F85" i="21"/>
  <c r="D85" i="21"/>
  <c r="C85" i="21"/>
  <c r="B85" i="21"/>
  <c r="H84" i="21"/>
  <c r="I84" i="21" s="1"/>
  <c r="F84" i="21"/>
  <c r="D84" i="21"/>
  <c r="C84" i="21"/>
  <c r="B84" i="21"/>
  <c r="H83" i="21"/>
  <c r="I83" i="21" s="1"/>
  <c r="F83" i="21"/>
  <c r="D83" i="21"/>
  <c r="C83" i="21"/>
  <c r="B83" i="21"/>
  <c r="H82" i="21"/>
  <c r="I82" i="21" s="1"/>
  <c r="F82" i="21"/>
  <c r="D82" i="21"/>
  <c r="C82" i="21"/>
  <c r="B82" i="21"/>
  <c r="H81" i="21"/>
  <c r="I81" i="21" s="1"/>
  <c r="F81" i="21"/>
  <c r="D81" i="21"/>
  <c r="C81" i="21"/>
  <c r="B81" i="21"/>
  <c r="I80" i="21"/>
  <c r="H80" i="21"/>
  <c r="F80" i="21"/>
  <c r="D80" i="21"/>
  <c r="C80" i="21"/>
  <c r="B80" i="21"/>
  <c r="I79" i="21"/>
  <c r="H79" i="21"/>
  <c r="F79" i="21"/>
  <c r="D79" i="21"/>
  <c r="C79" i="21"/>
  <c r="B79" i="21"/>
  <c r="H78" i="21"/>
  <c r="I78" i="21" s="1"/>
  <c r="F78" i="21"/>
  <c r="D78" i="21"/>
  <c r="C78" i="21"/>
  <c r="B78" i="21"/>
  <c r="H77" i="21"/>
  <c r="I77" i="21" s="1"/>
  <c r="F77" i="21"/>
  <c r="D77" i="21"/>
  <c r="C77" i="21"/>
  <c r="B77" i="21"/>
  <c r="H76" i="21"/>
  <c r="I76" i="21" s="1"/>
  <c r="F76" i="21"/>
  <c r="D76" i="21"/>
  <c r="C76" i="21"/>
  <c r="B76" i="21"/>
  <c r="H75" i="21"/>
  <c r="I75" i="21" s="1"/>
  <c r="F75" i="21"/>
  <c r="D75" i="21"/>
  <c r="C75" i="21"/>
  <c r="B75" i="21"/>
  <c r="I74" i="21"/>
  <c r="H74" i="21"/>
  <c r="F74" i="21"/>
  <c r="D74" i="21"/>
  <c r="C74" i="21"/>
  <c r="B74" i="21"/>
  <c r="H73" i="21"/>
  <c r="I73" i="21" s="1"/>
  <c r="F73" i="21"/>
  <c r="D73" i="21"/>
  <c r="C73" i="21"/>
  <c r="B73" i="21"/>
  <c r="I72" i="21"/>
  <c r="H72" i="21"/>
  <c r="F72" i="21"/>
  <c r="D72" i="21"/>
  <c r="C72" i="21"/>
  <c r="B72" i="21"/>
  <c r="H71" i="21"/>
  <c r="I71" i="21" s="1"/>
  <c r="F71" i="21"/>
  <c r="D71" i="21"/>
  <c r="C71" i="21"/>
  <c r="B71" i="21"/>
  <c r="H70" i="21"/>
  <c r="I70" i="21" s="1"/>
  <c r="F70" i="21"/>
  <c r="D70" i="21"/>
  <c r="C70" i="21"/>
  <c r="B70" i="21"/>
  <c r="H69" i="21"/>
  <c r="I69" i="21" s="1"/>
  <c r="F69" i="21"/>
  <c r="D69" i="21"/>
  <c r="C69" i="21"/>
  <c r="B69" i="21"/>
  <c r="H68" i="21"/>
  <c r="I68" i="21" s="1"/>
  <c r="F68" i="21"/>
  <c r="D68" i="21"/>
  <c r="C68" i="21"/>
  <c r="B68" i="21"/>
  <c r="I67" i="21"/>
  <c r="H67" i="21"/>
  <c r="F67" i="21"/>
  <c r="D67" i="21"/>
  <c r="C67" i="21"/>
  <c r="B67" i="21"/>
  <c r="H66" i="21"/>
  <c r="I66" i="21" s="1"/>
  <c r="F66" i="21"/>
  <c r="D66" i="21"/>
  <c r="C66" i="21"/>
  <c r="B66" i="21"/>
  <c r="H65" i="21"/>
  <c r="I65" i="21" s="1"/>
  <c r="F65" i="21"/>
  <c r="D65" i="21"/>
  <c r="C65" i="21"/>
  <c r="B65" i="21"/>
  <c r="H64" i="21"/>
  <c r="I64" i="21" s="1"/>
  <c r="F64" i="21"/>
  <c r="D64" i="21"/>
  <c r="C64" i="21"/>
  <c r="B64" i="21"/>
  <c r="H63" i="21"/>
  <c r="I63" i="21" s="1"/>
  <c r="F63" i="21"/>
  <c r="D63" i="21"/>
  <c r="C63" i="21"/>
  <c r="B63" i="21"/>
  <c r="I62" i="21"/>
  <c r="H62" i="21"/>
  <c r="F62" i="21"/>
  <c r="D62" i="21"/>
  <c r="C62" i="21"/>
  <c r="B62" i="21"/>
  <c r="H61" i="21"/>
  <c r="I61" i="21" s="1"/>
  <c r="F61" i="21"/>
  <c r="D61" i="21"/>
  <c r="C61" i="21"/>
  <c r="B61" i="21"/>
  <c r="I60" i="21"/>
  <c r="H60" i="21"/>
  <c r="F60" i="21"/>
  <c r="D60" i="21"/>
  <c r="C60" i="21"/>
  <c r="B60" i="21"/>
  <c r="H59" i="21"/>
  <c r="I59" i="21" s="1"/>
  <c r="F59" i="21"/>
  <c r="D59" i="21"/>
  <c r="C59" i="21"/>
  <c r="B59" i="21"/>
  <c r="H58" i="21"/>
  <c r="I58" i="21" s="1"/>
  <c r="F58" i="21"/>
  <c r="D58" i="21"/>
  <c r="C58" i="21"/>
  <c r="B58" i="21"/>
  <c r="H57" i="21"/>
  <c r="I57" i="21" s="1"/>
  <c r="F57" i="21"/>
  <c r="D57" i="21"/>
  <c r="C57" i="21"/>
  <c r="B57" i="21"/>
  <c r="H56" i="21"/>
  <c r="I56" i="21" s="1"/>
  <c r="F56" i="21"/>
  <c r="D56" i="21"/>
  <c r="C56" i="21"/>
  <c r="B56" i="21"/>
  <c r="I55" i="21"/>
  <c r="H55" i="21"/>
  <c r="F55" i="21"/>
  <c r="D55" i="21"/>
  <c r="C55" i="21"/>
  <c r="B55" i="21"/>
  <c r="I54" i="21"/>
  <c r="H54" i="21"/>
  <c r="F54" i="21"/>
  <c r="D54" i="21"/>
  <c r="C54" i="21"/>
  <c r="B54" i="21"/>
  <c r="H53" i="21"/>
  <c r="I53" i="21" s="1"/>
  <c r="F53" i="21"/>
  <c r="D53" i="21"/>
  <c r="C53" i="21"/>
  <c r="B53" i="21"/>
  <c r="H52" i="21"/>
  <c r="I52" i="21" s="1"/>
  <c r="F52" i="21"/>
  <c r="D52" i="21"/>
  <c r="C52" i="21"/>
  <c r="B52" i="21"/>
  <c r="H51" i="21"/>
  <c r="I51" i="21" s="1"/>
  <c r="F51" i="21"/>
  <c r="D51" i="21"/>
  <c r="C51" i="21"/>
  <c r="B51" i="21"/>
  <c r="H50" i="21"/>
  <c r="I50" i="21" s="1"/>
  <c r="F50" i="21"/>
  <c r="D50" i="21"/>
  <c r="C50" i="21"/>
  <c r="B50" i="21"/>
  <c r="H49" i="21"/>
  <c r="I49" i="21" s="1"/>
  <c r="F49" i="21"/>
  <c r="D49" i="21"/>
  <c r="C49" i="21"/>
  <c r="B49" i="21"/>
  <c r="I48" i="21"/>
  <c r="H48" i="21"/>
  <c r="F48" i="21"/>
  <c r="D48" i="21"/>
  <c r="C48" i="21"/>
  <c r="B48" i="21"/>
  <c r="I47" i="21"/>
  <c r="H47" i="21"/>
  <c r="F47" i="21"/>
  <c r="D47" i="21"/>
  <c r="C47" i="21"/>
  <c r="B47" i="21"/>
  <c r="H46" i="21"/>
  <c r="I46" i="21" s="1"/>
  <c r="F46" i="21"/>
  <c r="D46" i="21"/>
  <c r="C46" i="21"/>
  <c r="B46" i="21"/>
  <c r="H45" i="21"/>
  <c r="I45" i="21" s="1"/>
  <c r="F45" i="21"/>
  <c r="D45" i="21"/>
  <c r="C45" i="21"/>
  <c r="B45" i="21"/>
  <c r="H44" i="21"/>
  <c r="I44" i="21" s="1"/>
  <c r="F44" i="21"/>
  <c r="D44" i="21"/>
  <c r="C44" i="21"/>
  <c r="B44" i="21"/>
  <c r="H43" i="21"/>
  <c r="I43" i="21" s="1"/>
  <c r="F43" i="21"/>
  <c r="D43" i="21"/>
  <c r="C43" i="21"/>
  <c r="B43" i="21"/>
  <c r="I42" i="21"/>
  <c r="H42" i="21"/>
  <c r="F42" i="21"/>
  <c r="D42" i="21"/>
  <c r="C42" i="21"/>
  <c r="B42" i="21"/>
  <c r="H41" i="21"/>
  <c r="I41" i="21" s="1"/>
  <c r="F41" i="21"/>
  <c r="D41" i="21"/>
  <c r="C41" i="21"/>
  <c r="B41" i="21"/>
  <c r="I40" i="21"/>
  <c r="H40" i="21"/>
  <c r="F40" i="21"/>
  <c r="D40" i="21"/>
  <c r="C40" i="21"/>
  <c r="B40" i="21"/>
  <c r="H39" i="21"/>
  <c r="I39" i="21" s="1"/>
  <c r="F39" i="21"/>
  <c r="D39" i="21"/>
  <c r="C39" i="21"/>
  <c r="B39" i="21"/>
  <c r="H38" i="21"/>
  <c r="I38" i="21" s="1"/>
  <c r="F38" i="21"/>
  <c r="D38" i="21"/>
  <c r="C38" i="21"/>
  <c r="B38" i="21"/>
  <c r="H37" i="21"/>
  <c r="I37" i="21" s="1"/>
  <c r="F37" i="21"/>
  <c r="D37" i="21"/>
  <c r="C37" i="21"/>
  <c r="B37" i="21"/>
  <c r="H36" i="21"/>
  <c r="I36" i="21" s="1"/>
  <c r="F36" i="21"/>
  <c r="D36" i="21"/>
  <c r="C36" i="21"/>
  <c r="B36" i="21"/>
  <c r="I35" i="21"/>
  <c r="H35" i="21"/>
  <c r="F35" i="21"/>
  <c r="D35" i="21"/>
  <c r="C35" i="21"/>
  <c r="B35" i="21"/>
  <c r="H34" i="21"/>
  <c r="I34" i="21" s="1"/>
  <c r="F34" i="21"/>
  <c r="D34" i="21"/>
  <c r="C34" i="21"/>
  <c r="B34" i="21"/>
  <c r="H33" i="21"/>
  <c r="I33" i="21" s="1"/>
  <c r="F33" i="21"/>
  <c r="D33" i="21"/>
  <c r="C33" i="21"/>
  <c r="B33" i="21"/>
  <c r="H32" i="21"/>
  <c r="I32" i="21" s="1"/>
  <c r="F32" i="21"/>
  <c r="D32" i="21"/>
  <c r="C32" i="21"/>
  <c r="B32" i="21"/>
  <c r="H31" i="21"/>
  <c r="I31" i="21" s="1"/>
  <c r="F31" i="21"/>
  <c r="D31" i="21"/>
  <c r="C31" i="21"/>
  <c r="B31" i="21"/>
  <c r="I30" i="21"/>
  <c r="H30" i="21"/>
  <c r="F30" i="21"/>
  <c r="D30" i="21"/>
  <c r="C30" i="21"/>
  <c r="B30" i="21"/>
  <c r="H29" i="21"/>
  <c r="I29" i="21" s="1"/>
  <c r="F29" i="21"/>
  <c r="D29" i="21"/>
  <c r="C29" i="21"/>
  <c r="B29" i="21"/>
  <c r="I28" i="21"/>
  <c r="H28" i="21"/>
  <c r="F28" i="21"/>
  <c r="D28" i="21"/>
  <c r="C28" i="21"/>
  <c r="B28" i="21"/>
  <c r="H27" i="21"/>
  <c r="I27" i="21" s="1"/>
  <c r="F27" i="21"/>
  <c r="D27" i="21"/>
  <c r="C27" i="21"/>
  <c r="B27" i="21"/>
  <c r="H26" i="21"/>
  <c r="I26" i="21" s="1"/>
  <c r="F26" i="21"/>
  <c r="D26" i="21"/>
  <c r="C26" i="21"/>
  <c r="B26" i="21"/>
  <c r="H25" i="21"/>
  <c r="I25" i="21" s="1"/>
  <c r="F25" i="21"/>
  <c r="D25" i="21"/>
  <c r="C25" i="21"/>
  <c r="B25" i="21"/>
  <c r="H24" i="21"/>
  <c r="I24" i="21" s="1"/>
  <c r="F24" i="21"/>
  <c r="D24" i="21"/>
  <c r="C24" i="21"/>
  <c r="B24" i="21"/>
  <c r="I23" i="21"/>
  <c r="H23" i="21"/>
  <c r="F23" i="21"/>
  <c r="D23" i="21"/>
  <c r="C23" i="21"/>
  <c r="B23" i="21"/>
  <c r="I22" i="21"/>
  <c r="H22" i="21"/>
  <c r="F22" i="21"/>
  <c r="D22" i="21"/>
  <c r="C22" i="21"/>
  <c r="B22" i="21"/>
  <c r="H21" i="21"/>
  <c r="I21" i="21" s="1"/>
  <c r="F21" i="21"/>
  <c r="D21" i="21"/>
  <c r="C21" i="21"/>
  <c r="B21" i="21"/>
  <c r="H20" i="21"/>
  <c r="I20" i="21" s="1"/>
  <c r="F20" i="21"/>
  <c r="D20" i="21"/>
  <c r="C20" i="21"/>
  <c r="B20" i="21"/>
  <c r="H19" i="21"/>
  <c r="I19" i="21" s="1"/>
  <c r="F19" i="21"/>
  <c r="D19" i="21"/>
  <c r="C19" i="21"/>
  <c r="B19" i="21"/>
  <c r="H18" i="21"/>
  <c r="I18" i="21" s="1"/>
  <c r="F18" i="21"/>
  <c r="D18" i="21"/>
  <c r="C18" i="21"/>
  <c r="B18" i="21"/>
  <c r="I17" i="21"/>
  <c r="H17" i="21"/>
  <c r="F17" i="21"/>
  <c r="D17" i="21"/>
  <c r="C17" i="21"/>
  <c r="B17" i="21"/>
  <c r="H16" i="21"/>
  <c r="I16" i="21" s="1"/>
  <c r="F16" i="21"/>
  <c r="D16" i="21"/>
  <c r="C16" i="21"/>
  <c r="B16" i="21"/>
  <c r="H15" i="21"/>
  <c r="I15" i="21" s="1"/>
  <c r="F15" i="21"/>
  <c r="D15" i="21"/>
  <c r="C15" i="21"/>
  <c r="B15" i="21"/>
  <c r="H14" i="21"/>
  <c r="I14" i="21" s="1"/>
  <c r="F14" i="21"/>
  <c r="D14" i="21"/>
  <c r="C14" i="21"/>
  <c r="B14" i="21"/>
  <c r="I13" i="21"/>
  <c r="H13" i="21"/>
  <c r="F13" i="21"/>
  <c r="D13" i="21"/>
  <c r="C13" i="21"/>
  <c r="B13" i="21"/>
  <c r="H12" i="21"/>
  <c r="I12" i="21" s="1"/>
  <c r="F12" i="21"/>
  <c r="D12" i="21"/>
  <c r="C12" i="21"/>
  <c r="B12" i="21"/>
  <c r="H11" i="21"/>
  <c r="I11" i="21" s="1"/>
  <c r="F11" i="21"/>
  <c r="D11" i="21"/>
  <c r="C11" i="21"/>
  <c r="B11" i="21"/>
  <c r="H10" i="21"/>
  <c r="I10" i="21" s="1"/>
  <c r="D10" i="21"/>
  <c r="C10" i="21"/>
  <c r="F10" i="21" s="1"/>
  <c r="B10" i="21"/>
  <c r="I9" i="21"/>
  <c r="H9" i="21"/>
  <c r="D9" i="21"/>
  <c r="C9" i="21"/>
  <c r="F9" i="21" s="1"/>
  <c r="B9" i="21"/>
  <c r="A5" i="21"/>
  <c r="G4" i="21"/>
  <c r="D4" i="21"/>
  <c r="A4" i="21"/>
  <c r="K113" i="20"/>
  <c r="J113" i="20"/>
  <c r="I113" i="20"/>
  <c r="D113" i="20"/>
  <c r="C113" i="20"/>
  <c r="A113" i="20"/>
  <c r="K112" i="20"/>
  <c r="J112" i="20"/>
  <c r="I112" i="20"/>
  <c r="D112" i="20"/>
  <c r="C112" i="20"/>
  <c r="A112" i="20"/>
  <c r="K111" i="20"/>
  <c r="I111" i="20"/>
  <c r="J111" i="20" s="1"/>
  <c r="D111" i="20"/>
  <c r="C111" i="20"/>
  <c r="A111" i="20"/>
  <c r="K110" i="20"/>
  <c r="J110" i="20"/>
  <c r="I110" i="20"/>
  <c r="D110" i="20"/>
  <c r="C110" i="20"/>
  <c r="A110" i="20"/>
  <c r="K109" i="20"/>
  <c r="J109" i="20"/>
  <c r="I109" i="20"/>
  <c r="D109" i="20"/>
  <c r="C109" i="20"/>
  <c r="A109" i="20"/>
  <c r="K108" i="20"/>
  <c r="J108" i="20"/>
  <c r="I108" i="20"/>
  <c r="D108" i="20"/>
  <c r="C108" i="20"/>
  <c r="A108" i="20"/>
  <c r="K107" i="20"/>
  <c r="I107" i="20"/>
  <c r="J107" i="20" s="1"/>
  <c r="D107" i="20"/>
  <c r="C107" i="20"/>
  <c r="A107" i="20"/>
  <c r="K106" i="20"/>
  <c r="J106" i="20"/>
  <c r="I106" i="20"/>
  <c r="D106" i="20"/>
  <c r="C106" i="20"/>
  <c r="A106" i="20"/>
  <c r="K105" i="20"/>
  <c r="J105" i="20"/>
  <c r="I105" i="20"/>
  <c r="D105" i="20"/>
  <c r="C105" i="20"/>
  <c r="A105" i="20"/>
  <c r="K104" i="20"/>
  <c r="J104" i="20"/>
  <c r="I104" i="20"/>
  <c r="D104" i="20"/>
  <c r="C104" i="20"/>
  <c r="A104" i="20"/>
  <c r="K103" i="20"/>
  <c r="I103" i="20"/>
  <c r="J103" i="20" s="1"/>
  <c r="D103" i="20"/>
  <c r="C103" i="20"/>
  <c r="A103" i="20"/>
  <c r="K102" i="20"/>
  <c r="J102" i="20"/>
  <c r="I102" i="20"/>
  <c r="D102" i="20"/>
  <c r="C102" i="20"/>
  <c r="A102" i="20"/>
  <c r="K101" i="20"/>
  <c r="J101" i="20"/>
  <c r="I101" i="20"/>
  <c r="D101" i="20"/>
  <c r="C101" i="20"/>
  <c r="A101" i="20"/>
  <c r="K100" i="20"/>
  <c r="J100" i="20"/>
  <c r="I100" i="20"/>
  <c r="D100" i="20"/>
  <c r="C100" i="20"/>
  <c r="A100" i="20"/>
  <c r="K99" i="20"/>
  <c r="I99" i="20"/>
  <c r="J99" i="20" s="1"/>
  <c r="D99" i="20"/>
  <c r="C99" i="20"/>
  <c r="A99" i="20"/>
  <c r="K98" i="20"/>
  <c r="J98" i="20"/>
  <c r="I98" i="20"/>
  <c r="D98" i="20"/>
  <c r="C98" i="20"/>
  <c r="A98" i="20"/>
  <c r="K97" i="20"/>
  <c r="J97" i="20"/>
  <c r="I97" i="20"/>
  <c r="D97" i="20"/>
  <c r="C97" i="20"/>
  <c r="A97" i="20"/>
  <c r="K96" i="20"/>
  <c r="J96" i="20"/>
  <c r="I96" i="20"/>
  <c r="D96" i="20"/>
  <c r="C96" i="20"/>
  <c r="A96" i="20"/>
  <c r="K95" i="20"/>
  <c r="I95" i="20"/>
  <c r="J95" i="20" s="1"/>
  <c r="D95" i="20"/>
  <c r="C95" i="20"/>
  <c r="A95" i="20"/>
  <c r="K94" i="20"/>
  <c r="J94" i="20"/>
  <c r="I94" i="20"/>
  <c r="D94" i="20"/>
  <c r="C94" i="20"/>
  <c r="A94" i="20"/>
  <c r="K93" i="20"/>
  <c r="J93" i="20"/>
  <c r="I93" i="20"/>
  <c r="D93" i="20"/>
  <c r="C93" i="20"/>
  <c r="A93" i="20"/>
  <c r="K92" i="20"/>
  <c r="J92" i="20"/>
  <c r="I92" i="20"/>
  <c r="D92" i="20"/>
  <c r="C92" i="20"/>
  <c r="A92" i="20"/>
  <c r="K91" i="20"/>
  <c r="I91" i="20"/>
  <c r="J91" i="20" s="1"/>
  <c r="D91" i="20"/>
  <c r="C91" i="20"/>
  <c r="A91" i="20"/>
  <c r="K90" i="20"/>
  <c r="J90" i="20"/>
  <c r="I90" i="20"/>
  <c r="D90" i="20"/>
  <c r="C90" i="20"/>
  <c r="A90" i="20"/>
  <c r="K89" i="20"/>
  <c r="J89" i="20"/>
  <c r="I89" i="20"/>
  <c r="D89" i="20"/>
  <c r="C89" i="20"/>
  <c r="A89" i="20"/>
  <c r="K88" i="20"/>
  <c r="J88" i="20"/>
  <c r="I88" i="20"/>
  <c r="D88" i="20"/>
  <c r="C88" i="20"/>
  <c r="A88" i="20"/>
  <c r="K87" i="20"/>
  <c r="I87" i="20"/>
  <c r="J87" i="20" s="1"/>
  <c r="D87" i="20"/>
  <c r="C87" i="20"/>
  <c r="A87" i="20"/>
  <c r="K86" i="20"/>
  <c r="J86" i="20"/>
  <c r="I86" i="20"/>
  <c r="D86" i="20"/>
  <c r="C86" i="20"/>
  <c r="A86" i="20"/>
  <c r="K85" i="20"/>
  <c r="J85" i="20"/>
  <c r="I85" i="20"/>
  <c r="D85" i="20"/>
  <c r="C85" i="20"/>
  <c r="A85" i="20"/>
  <c r="K84" i="20"/>
  <c r="J84" i="20"/>
  <c r="I84" i="20"/>
  <c r="D84" i="20"/>
  <c r="C84" i="20"/>
  <c r="A84" i="20"/>
  <c r="K83" i="20"/>
  <c r="I83" i="20"/>
  <c r="J83" i="20" s="1"/>
  <c r="D83" i="20"/>
  <c r="C83" i="20"/>
  <c r="A83" i="20"/>
  <c r="K82" i="20"/>
  <c r="J82" i="20"/>
  <c r="I82" i="20"/>
  <c r="D82" i="20"/>
  <c r="C82" i="20"/>
  <c r="A82" i="20"/>
  <c r="K81" i="20"/>
  <c r="J81" i="20"/>
  <c r="I81" i="20"/>
  <c r="D81" i="20"/>
  <c r="C81" i="20"/>
  <c r="A81" i="20"/>
  <c r="K80" i="20"/>
  <c r="J80" i="20"/>
  <c r="I80" i="20"/>
  <c r="D80" i="20"/>
  <c r="C80" i="20"/>
  <c r="A80" i="20"/>
  <c r="K79" i="20"/>
  <c r="I79" i="20"/>
  <c r="J79" i="20" s="1"/>
  <c r="D79" i="20"/>
  <c r="C79" i="20"/>
  <c r="A79" i="20"/>
  <c r="K78" i="20"/>
  <c r="J78" i="20"/>
  <c r="I78" i="20"/>
  <c r="D78" i="20"/>
  <c r="C78" i="20"/>
  <c r="A78" i="20"/>
  <c r="K77" i="20"/>
  <c r="J77" i="20"/>
  <c r="I77" i="20"/>
  <c r="D77" i="20"/>
  <c r="C77" i="20"/>
  <c r="A77" i="20"/>
  <c r="K76" i="20"/>
  <c r="J76" i="20"/>
  <c r="I76" i="20"/>
  <c r="D76" i="20"/>
  <c r="C76" i="20"/>
  <c r="A76" i="20"/>
  <c r="K75" i="20"/>
  <c r="I75" i="20"/>
  <c r="J75" i="20" s="1"/>
  <c r="D75" i="20"/>
  <c r="C75" i="20"/>
  <c r="A75" i="20"/>
  <c r="K74" i="20"/>
  <c r="J74" i="20"/>
  <c r="I74" i="20"/>
  <c r="D74" i="20"/>
  <c r="C74" i="20"/>
  <c r="A74" i="20"/>
  <c r="K73" i="20"/>
  <c r="J73" i="20"/>
  <c r="I73" i="20"/>
  <c r="D73" i="20"/>
  <c r="C73" i="20"/>
  <c r="A73" i="20"/>
  <c r="K72" i="20"/>
  <c r="J72" i="20"/>
  <c r="I72" i="20"/>
  <c r="D72" i="20"/>
  <c r="C72" i="20"/>
  <c r="A72" i="20"/>
  <c r="K71" i="20"/>
  <c r="I71" i="20"/>
  <c r="J71" i="20" s="1"/>
  <c r="D71" i="20"/>
  <c r="C71" i="20"/>
  <c r="A71" i="20"/>
  <c r="K70" i="20"/>
  <c r="J70" i="20"/>
  <c r="I70" i="20"/>
  <c r="D70" i="20"/>
  <c r="C70" i="20"/>
  <c r="A70" i="20"/>
  <c r="K69" i="20"/>
  <c r="J69" i="20"/>
  <c r="I69" i="20"/>
  <c r="D69" i="20"/>
  <c r="C69" i="20"/>
  <c r="A69" i="20"/>
  <c r="K68" i="20"/>
  <c r="J68" i="20"/>
  <c r="I68" i="20"/>
  <c r="D68" i="20"/>
  <c r="C68" i="20"/>
  <c r="A68" i="20"/>
  <c r="K67" i="20"/>
  <c r="I67" i="20"/>
  <c r="J67" i="20" s="1"/>
  <c r="D67" i="20"/>
  <c r="C67" i="20"/>
  <c r="A67" i="20"/>
  <c r="K66" i="20"/>
  <c r="J66" i="20"/>
  <c r="I66" i="20"/>
  <c r="D66" i="20"/>
  <c r="C66" i="20"/>
  <c r="A66" i="20"/>
  <c r="K65" i="20"/>
  <c r="J65" i="20"/>
  <c r="I65" i="20"/>
  <c r="D65" i="20"/>
  <c r="C65" i="20"/>
  <c r="A65" i="20"/>
  <c r="K64" i="20"/>
  <c r="J64" i="20"/>
  <c r="I64" i="20"/>
  <c r="D64" i="20"/>
  <c r="C64" i="20"/>
  <c r="A64" i="20"/>
  <c r="K63" i="20"/>
  <c r="I63" i="20"/>
  <c r="J63" i="20" s="1"/>
  <c r="D63" i="20"/>
  <c r="C63" i="20"/>
  <c r="A63" i="20"/>
  <c r="K62" i="20"/>
  <c r="J62" i="20"/>
  <c r="I62" i="20"/>
  <c r="D62" i="20"/>
  <c r="C62" i="20"/>
  <c r="A62" i="20"/>
  <c r="K61" i="20"/>
  <c r="J61" i="20"/>
  <c r="I61" i="20"/>
  <c r="D61" i="20"/>
  <c r="C61" i="20"/>
  <c r="A61" i="20"/>
  <c r="K60" i="20"/>
  <c r="J60" i="20"/>
  <c r="I60" i="20"/>
  <c r="D60" i="20"/>
  <c r="C60" i="20"/>
  <c r="A60" i="20"/>
  <c r="K59" i="20"/>
  <c r="I59" i="20"/>
  <c r="J59" i="20" s="1"/>
  <c r="D59" i="20"/>
  <c r="C59" i="20"/>
  <c r="A59" i="20"/>
  <c r="K58" i="20"/>
  <c r="J58" i="20"/>
  <c r="I58" i="20"/>
  <c r="D58" i="20"/>
  <c r="C58" i="20"/>
  <c r="A58" i="20"/>
  <c r="K57" i="20"/>
  <c r="J57" i="20"/>
  <c r="I57" i="20"/>
  <c r="D57" i="20"/>
  <c r="C57" i="20"/>
  <c r="A57" i="20"/>
  <c r="K56" i="20"/>
  <c r="J56" i="20"/>
  <c r="I56" i="20"/>
  <c r="D56" i="20"/>
  <c r="C56" i="20"/>
  <c r="A56" i="20"/>
  <c r="K55" i="20"/>
  <c r="I55" i="20"/>
  <c r="J55" i="20" s="1"/>
  <c r="D55" i="20"/>
  <c r="C55" i="20"/>
  <c r="A55" i="20"/>
  <c r="K54" i="20"/>
  <c r="J54" i="20"/>
  <c r="I54" i="20"/>
  <c r="D54" i="20"/>
  <c r="C54" i="20"/>
  <c r="A54" i="20"/>
  <c r="K53" i="20"/>
  <c r="J53" i="20"/>
  <c r="I53" i="20"/>
  <c r="D53" i="20"/>
  <c r="C53" i="20"/>
  <c r="A53" i="20"/>
  <c r="K52" i="20"/>
  <c r="J52" i="20"/>
  <c r="I52" i="20"/>
  <c r="D52" i="20"/>
  <c r="C52" i="20"/>
  <c r="A52" i="20"/>
  <c r="K51" i="20"/>
  <c r="I51" i="20"/>
  <c r="J51" i="20" s="1"/>
  <c r="D51" i="20"/>
  <c r="C51" i="20"/>
  <c r="A51" i="20"/>
  <c r="K50" i="20"/>
  <c r="J50" i="20"/>
  <c r="I50" i="20"/>
  <c r="D50" i="20"/>
  <c r="C50" i="20"/>
  <c r="A50" i="20"/>
  <c r="K49" i="20"/>
  <c r="J49" i="20"/>
  <c r="I49" i="20"/>
  <c r="D49" i="20"/>
  <c r="C49" i="20"/>
  <c r="A49" i="20"/>
  <c r="K48" i="20"/>
  <c r="J48" i="20"/>
  <c r="I48" i="20"/>
  <c r="D48" i="20"/>
  <c r="C48" i="20"/>
  <c r="A48" i="20"/>
  <c r="K47" i="20"/>
  <c r="I47" i="20"/>
  <c r="J47" i="20" s="1"/>
  <c r="D47" i="20"/>
  <c r="C47" i="20"/>
  <c r="A47" i="20"/>
  <c r="K46" i="20"/>
  <c r="J46" i="20"/>
  <c r="I46" i="20"/>
  <c r="D46" i="20"/>
  <c r="C46" i="20"/>
  <c r="A46" i="20"/>
  <c r="K45" i="20"/>
  <c r="J45" i="20"/>
  <c r="I45" i="20"/>
  <c r="D45" i="20"/>
  <c r="C45" i="20"/>
  <c r="A45" i="20"/>
  <c r="K44" i="20"/>
  <c r="J44" i="20"/>
  <c r="I44" i="20"/>
  <c r="D44" i="20"/>
  <c r="C44" i="20"/>
  <c r="A44" i="20"/>
  <c r="K43" i="20"/>
  <c r="I43" i="20"/>
  <c r="J43" i="20" s="1"/>
  <c r="D43" i="20"/>
  <c r="C43" i="20"/>
  <c r="A43" i="20"/>
  <c r="K42" i="20"/>
  <c r="J42" i="20"/>
  <c r="I42" i="20"/>
  <c r="D42" i="20"/>
  <c r="C42" i="20"/>
  <c r="A42" i="20"/>
  <c r="K41" i="20"/>
  <c r="J41" i="20"/>
  <c r="I41" i="20"/>
  <c r="D41" i="20"/>
  <c r="C41" i="20"/>
  <c r="A41" i="20"/>
  <c r="K40" i="20"/>
  <c r="J40" i="20"/>
  <c r="I40" i="20"/>
  <c r="D40" i="20"/>
  <c r="C40" i="20"/>
  <c r="A40" i="20"/>
  <c r="K39" i="20"/>
  <c r="I39" i="20"/>
  <c r="J39" i="20" s="1"/>
  <c r="D39" i="20"/>
  <c r="C39" i="20"/>
  <c r="A39" i="20"/>
  <c r="K38" i="20"/>
  <c r="J38" i="20"/>
  <c r="I38" i="20"/>
  <c r="D38" i="20"/>
  <c r="C38" i="20"/>
  <c r="A38" i="20"/>
  <c r="K37" i="20"/>
  <c r="J37" i="20"/>
  <c r="I37" i="20"/>
  <c r="D37" i="20"/>
  <c r="C37" i="20"/>
  <c r="A37" i="20"/>
  <c r="K36" i="20"/>
  <c r="J36" i="20"/>
  <c r="I36" i="20"/>
  <c r="D36" i="20"/>
  <c r="C36" i="20"/>
  <c r="A36" i="20"/>
  <c r="K35" i="20"/>
  <c r="I35" i="20"/>
  <c r="J35" i="20" s="1"/>
  <c r="D35" i="20"/>
  <c r="C35" i="20"/>
  <c r="A35" i="20"/>
  <c r="K34" i="20"/>
  <c r="J34" i="20"/>
  <c r="I34" i="20"/>
  <c r="D34" i="20"/>
  <c r="C34" i="20"/>
  <c r="A34" i="20"/>
  <c r="K33" i="20"/>
  <c r="J33" i="20"/>
  <c r="I33" i="20"/>
  <c r="D33" i="20"/>
  <c r="C33" i="20"/>
  <c r="A33" i="20"/>
  <c r="K32" i="20"/>
  <c r="J32" i="20"/>
  <c r="I32" i="20"/>
  <c r="D32" i="20"/>
  <c r="C32" i="20"/>
  <c r="A32" i="20"/>
  <c r="K31" i="20"/>
  <c r="I31" i="20"/>
  <c r="J31" i="20" s="1"/>
  <c r="D31" i="20"/>
  <c r="C31" i="20"/>
  <c r="A31" i="20"/>
  <c r="K30" i="20"/>
  <c r="J30" i="20"/>
  <c r="I30" i="20"/>
  <c r="D30" i="20"/>
  <c r="C30" i="20"/>
  <c r="A30" i="20"/>
  <c r="K29" i="20"/>
  <c r="J29" i="20"/>
  <c r="I29" i="20"/>
  <c r="D29" i="20"/>
  <c r="C29" i="20"/>
  <c r="A29" i="20"/>
  <c r="K28" i="20"/>
  <c r="J28" i="20"/>
  <c r="I28" i="20"/>
  <c r="D28" i="20"/>
  <c r="C28" i="20"/>
  <c r="A28" i="20"/>
  <c r="K27" i="20"/>
  <c r="I27" i="20"/>
  <c r="J27" i="20" s="1"/>
  <c r="D27" i="20"/>
  <c r="C27" i="20"/>
  <c r="A27" i="20"/>
  <c r="K26" i="20"/>
  <c r="J26" i="20"/>
  <c r="I26" i="20"/>
  <c r="D26" i="20"/>
  <c r="C26" i="20"/>
  <c r="A26" i="20"/>
  <c r="K25" i="20"/>
  <c r="J25" i="20"/>
  <c r="I25" i="20"/>
  <c r="D25" i="20"/>
  <c r="C25" i="20"/>
  <c r="A25" i="20"/>
  <c r="K24" i="20"/>
  <c r="J24" i="20"/>
  <c r="I24" i="20"/>
  <c r="D24" i="20"/>
  <c r="C24" i="20"/>
  <c r="A24" i="20"/>
  <c r="K23" i="20"/>
  <c r="I23" i="20"/>
  <c r="J23" i="20" s="1"/>
  <c r="D23" i="20"/>
  <c r="C23" i="20"/>
  <c r="A23" i="20"/>
  <c r="K22" i="20"/>
  <c r="J22" i="20"/>
  <c r="I22" i="20"/>
  <c r="D22" i="20"/>
  <c r="C22" i="20"/>
  <c r="A22" i="20"/>
  <c r="K21" i="20"/>
  <c r="J21" i="20"/>
  <c r="I21" i="20"/>
  <c r="D21" i="20"/>
  <c r="C21" i="20"/>
  <c r="A21" i="20"/>
  <c r="K20" i="20"/>
  <c r="J20" i="20"/>
  <c r="I20" i="20"/>
  <c r="D20" i="20"/>
  <c r="C20" i="20"/>
  <c r="A20" i="20"/>
  <c r="K19" i="20"/>
  <c r="I19" i="20"/>
  <c r="J19" i="20" s="1"/>
  <c r="D19" i="20"/>
  <c r="C19" i="20"/>
  <c r="A19" i="20"/>
  <c r="K18" i="20"/>
  <c r="J18" i="20"/>
  <c r="I18" i="20"/>
  <c r="D18" i="20"/>
  <c r="C18" i="20"/>
  <c r="A18" i="20"/>
  <c r="K17" i="20"/>
  <c r="J17" i="20"/>
  <c r="I17" i="20"/>
  <c r="D17" i="20"/>
  <c r="C17" i="20"/>
  <c r="A17" i="20"/>
  <c r="K16" i="20"/>
  <c r="J16" i="20"/>
  <c r="I16" i="20"/>
  <c r="D16" i="20"/>
  <c r="C16" i="20"/>
  <c r="A16" i="20"/>
  <c r="K15" i="20"/>
  <c r="I15" i="20"/>
  <c r="J15" i="20" s="1"/>
  <c r="D15" i="20"/>
  <c r="A15" i="20" s="1"/>
  <c r="C15" i="20"/>
  <c r="K14" i="20"/>
  <c r="J14" i="20"/>
  <c r="I14" i="20"/>
  <c r="D14" i="20"/>
  <c r="C14" i="20"/>
  <c r="B9" i="20"/>
  <c r="B10" i="20" s="1"/>
  <c r="B8" i="20"/>
  <c r="J208" i="19"/>
  <c r="I208" i="19"/>
  <c r="G208" i="19"/>
  <c r="D208" i="19"/>
  <c r="C208" i="19"/>
  <c r="B208" i="19"/>
  <c r="J207" i="19"/>
  <c r="I207" i="19"/>
  <c r="G207" i="19"/>
  <c r="D207" i="19"/>
  <c r="C207" i="19"/>
  <c r="B207" i="19"/>
  <c r="J206" i="19"/>
  <c r="I206" i="19"/>
  <c r="G206" i="19"/>
  <c r="D206" i="19"/>
  <c r="C206" i="19"/>
  <c r="B206" i="19"/>
  <c r="I205" i="19"/>
  <c r="J205" i="19" s="1"/>
  <c r="G205" i="19"/>
  <c r="D205" i="19"/>
  <c r="C205" i="19"/>
  <c r="B205" i="19"/>
  <c r="J204" i="19"/>
  <c r="I204" i="19"/>
  <c r="G204" i="19"/>
  <c r="D204" i="19"/>
  <c r="C204" i="19"/>
  <c r="B204" i="19"/>
  <c r="J203" i="19"/>
  <c r="I203" i="19"/>
  <c r="G203" i="19"/>
  <c r="D203" i="19"/>
  <c r="C203" i="19"/>
  <c r="B203" i="19"/>
  <c r="J202" i="19"/>
  <c r="I202" i="19"/>
  <c r="G202" i="19"/>
  <c r="D202" i="19"/>
  <c r="C202" i="19"/>
  <c r="B202" i="19"/>
  <c r="I201" i="19"/>
  <c r="J201" i="19" s="1"/>
  <c r="G201" i="19"/>
  <c r="D201" i="19"/>
  <c r="C201" i="19"/>
  <c r="B201" i="19"/>
  <c r="J200" i="19"/>
  <c r="I200" i="19"/>
  <c r="G200" i="19"/>
  <c r="D200" i="19"/>
  <c r="C200" i="19"/>
  <c r="B200" i="19"/>
  <c r="J199" i="19"/>
  <c r="I199" i="19"/>
  <c r="G199" i="19"/>
  <c r="D199" i="19"/>
  <c r="C199" i="19"/>
  <c r="B199" i="19"/>
  <c r="J198" i="19"/>
  <c r="I198" i="19"/>
  <c r="G198" i="19"/>
  <c r="D198" i="19"/>
  <c r="C198" i="19"/>
  <c r="B198" i="19"/>
  <c r="I197" i="19"/>
  <c r="J197" i="19" s="1"/>
  <c r="G197" i="19"/>
  <c r="D197" i="19"/>
  <c r="C197" i="19"/>
  <c r="B197" i="19"/>
  <c r="J196" i="19"/>
  <c r="I196" i="19"/>
  <c r="G196" i="19"/>
  <c r="D196" i="19"/>
  <c r="C196" i="19"/>
  <c r="B196" i="19"/>
  <c r="J195" i="19"/>
  <c r="I195" i="19"/>
  <c r="G195" i="19"/>
  <c r="D195" i="19"/>
  <c r="C195" i="19"/>
  <c r="B195" i="19"/>
  <c r="J194" i="19"/>
  <c r="I194" i="19"/>
  <c r="G194" i="19"/>
  <c r="D194" i="19"/>
  <c r="C194" i="19"/>
  <c r="B194" i="19"/>
  <c r="I193" i="19"/>
  <c r="J193" i="19" s="1"/>
  <c r="G193" i="19"/>
  <c r="D193" i="19"/>
  <c r="C193" i="19"/>
  <c r="B193" i="19"/>
  <c r="J192" i="19"/>
  <c r="I192" i="19"/>
  <c r="G192" i="19"/>
  <c r="D192" i="19"/>
  <c r="C192" i="19"/>
  <c r="B192" i="19"/>
  <c r="J191" i="19"/>
  <c r="I191" i="19"/>
  <c r="G191" i="19"/>
  <c r="D191" i="19"/>
  <c r="C191" i="19"/>
  <c r="B191" i="19"/>
  <c r="J190" i="19"/>
  <c r="I190" i="19"/>
  <c r="G190" i="19"/>
  <c r="D190" i="19"/>
  <c r="C190" i="19"/>
  <c r="B190" i="19"/>
  <c r="I189" i="19"/>
  <c r="J189" i="19" s="1"/>
  <c r="G189" i="19"/>
  <c r="D189" i="19"/>
  <c r="C189" i="19"/>
  <c r="B189" i="19"/>
  <c r="J188" i="19"/>
  <c r="I188" i="19"/>
  <c r="G188" i="19"/>
  <c r="D188" i="19"/>
  <c r="C188" i="19"/>
  <c r="B188" i="19"/>
  <c r="J187" i="19"/>
  <c r="I187" i="19"/>
  <c r="G187" i="19"/>
  <c r="D187" i="19"/>
  <c r="C187" i="19"/>
  <c r="B187" i="19"/>
  <c r="J186" i="19"/>
  <c r="I186" i="19"/>
  <c r="G186" i="19"/>
  <c r="D186" i="19"/>
  <c r="C186" i="19"/>
  <c r="B186" i="19"/>
  <c r="I185" i="19"/>
  <c r="J185" i="19" s="1"/>
  <c r="G185" i="19"/>
  <c r="D185" i="19"/>
  <c r="C185" i="19"/>
  <c r="B185" i="19"/>
  <c r="J184" i="19"/>
  <c r="I184" i="19"/>
  <c r="G184" i="19"/>
  <c r="D184" i="19"/>
  <c r="C184" i="19"/>
  <c r="B184" i="19"/>
  <c r="J183" i="19"/>
  <c r="I183" i="19"/>
  <c r="G183" i="19"/>
  <c r="D183" i="19"/>
  <c r="C183" i="19"/>
  <c r="B183" i="19"/>
  <c r="J182" i="19"/>
  <c r="I182" i="19"/>
  <c r="G182" i="19"/>
  <c r="D182" i="19"/>
  <c r="C182" i="19"/>
  <c r="B182" i="19"/>
  <c r="I181" i="19"/>
  <c r="J181" i="19" s="1"/>
  <c r="G181" i="19"/>
  <c r="D181" i="19"/>
  <c r="C181" i="19"/>
  <c r="B181" i="19"/>
  <c r="J180" i="19"/>
  <c r="I180" i="19"/>
  <c r="G180" i="19"/>
  <c r="D180" i="19"/>
  <c r="C180" i="19"/>
  <c r="B180" i="19"/>
  <c r="J179" i="19"/>
  <c r="I179" i="19"/>
  <c r="G179" i="19"/>
  <c r="D179" i="19"/>
  <c r="C179" i="19"/>
  <c r="B179" i="19"/>
  <c r="J178" i="19"/>
  <c r="I178" i="19"/>
  <c r="G178" i="19"/>
  <c r="D178" i="19"/>
  <c r="C178" i="19"/>
  <c r="B178" i="19"/>
  <c r="I177" i="19"/>
  <c r="J177" i="19" s="1"/>
  <c r="G177" i="19"/>
  <c r="D177" i="19"/>
  <c r="C177" i="19"/>
  <c r="B177" i="19"/>
  <c r="J176" i="19"/>
  <c r="I176" i="19"/>
  <c r="G176" i="19"/>
  <c r="D176" i="19"/>
  <c r="C176" i="19"/>
  <c r="B176" i="19"/>
  <c r="J175" i="19"/>
  <c r="I175" i="19"/>
  <c r="G175" i="19"/>
  <c r="D175" i="19"/>
  <c r="C175" i="19"/>
  <c r="B175" i="19"/>
  <c r="J174" i="19"/>
  <c r="I174" i="19"/>
  <c r="G174" i="19"/>
  <c r="D174" i="19"/>
  <c r="C174" i="19"/>
  <c r="B174" i="19"/>
  <c r="I173" i="19"/>
  <c r="J173" i="19" s="1"/>
  <c r="G173" i="19"/>
  <c r="D173" i="19"/>
  <c r="C173" i="19"/>
  <c r="B173" i="19"/>
  <c r="J172" i="19"/>
  <c r="I172" i="19"/>
  <c r="G172" i="19"/>
  <c r="D172" i="19"/>
  <c r="C172" i="19"/>
  <c r="B172" i="19"/>
  <c r="J171" i="19"/>
  <c r="I171" i="19"/>
  <c r="G171" i="19"/>
  <c r="D171" i="19"/>
  <c r="C171" i="19"/>
  <c r="B171" i="19"/>
  <c r="J170" i="19"/>
  <c r="I170" i="19"/>
  <c r="G170" i="19"/>
  <c r="D170" i="19"/>
  <c r="C170" i="19"/>
  <c r="B170" i="19"/>
  <c r="I169" i="19"/>
  <c r="J169" i="19" s="1"/>
  <c r="G169" i="19"/>
  <c r="D169" i="19"/>
  <c r="C169" i="19"/>
  <c r="B169" i="19"/>
  <c r="J168" i="19"/>
  <c r="I168" i="19"/>
  <c r="G168" i="19"/>
  <c r="D168" i="19"/>
  <c r="C168" i="19"/>
  <c r="B168" i="19"/>
  <c r="J167" i="19"/>
  <c r="I167" i="19"/>
  <c r="G167" i="19"/>
  <c r="D167" i="19"/>
  <c r="C167" i="19"/>
  <c r="B167" i="19"/>
  <c r="J166" i="19"/>
  <c r="I166" i="19"/>
  <c r="G166" i="19"/>
  <c r="D166" i="19"/>
  <c r="C166" i="19"/>
  <c r="B166" i="19"/>
  <c r="I165" i="19"/>
  <c r="J165" i="19" s="1"/>
  <c r="G165" i="19"/>
  <c r="D165" i="19"/>
  <c r="C165" i="19"/>
  <c r="B165" i="19"/>
  <c r="J164" i="19"/>
  <c r="I164" i="19"/>
  <c r="G164" i="19"/>
  <c r="D164" i="19"/>
  <c r="C164" i="19"/>
  <c r="B164" i="19"/>
  <c r="J163" i="19"/>
  <c r="I163" i="19"/>
  <c r="G163" i="19"/>
  <c r="D163" i="19"/>
  <c r="C163" i="19"/>
  <c r="B163" i="19"/>
  <c r="J162" i="19"/>
  <c r="I162" i="19"/>
  <c r="G162" i="19"/>
  <c r="D162" i="19"/>
  <c r="C162" i="19"/>
  <c r="B162" i="19"/>
  <c r="I161" i="19"/>
  <c r="J161" i="19" s="1"/>
  <c r="G161" i="19"/>
  <c r="D161" i="19"/>
  <c r="C161" i="19"/>
  <c r="B161" i="19"/>
  <c r="J160" i="19"/>
  <c r="I160" i="19"/>
  <c r="G160" i="19"/>
  <c r="D160" i="19"/>
  <c r="C160" i="19"/>
  <c r="B160" i="19"/>
  <c r="J159" i="19"/>
  <c r="I159" i="19"/>
  <c r="G159" i="19"/>
  <c r="D159" i="19"/>
  <c r="C159" i="19"/>
  <c r="B159" i="19"/>
  <c r="J158" i="19"/>
  <c r="I158" i="19"/>
  <c r="G158" i="19"/>
  <c r="D158" i="19"/>
  <c r="C158" i="19"/>
  <c r="B158" i="19"/>
  <c r="I157" i="19"/>
  <c r="J157" i="19" s="1"/>
  <c r="G157" i="19"/>
  <c r="D157" i="19"/>
  <c r="C157" i="19"/>
  <c r="B157" i="19"/>
  <c r="J156" i="19"/>
  <c r="I156" i="19"/>
  <c r="G156" i="19"/>
  <c r="D156" i="19"/>
  <c r="C156" i="19"/>
  <c r="B156" i="19"/>
  <c r="J155" i="19"/>
  <c r="I155" i="19"/>
  <c r="G155" i="19"/>
  <c r="D155" i="19"/>
  <c r="C155" i="19"/>
  <c r="B155" i="19"/>
  <c r="J154" i="19"/>
  <c r="I154" i="19"/>
  <c r="G154" i="19"/>
  <c r="D154" i="19"/>
  <c r="C154" i="19"/>
  <c r="B154" i="19"/>
  <c r="I153" i="19"/>
  <c r="J153" i="19" s="1"/>
  <c r="G153" i="19"/>
  <c r="D153" i="19"/>
  <c r="C153" i="19"/>
  <c r="B153" i="19"/>
  <c r="J152" i="19"/>
  <c r="I152" i="19"/>
  <c r="G152" i="19"/>
  <c r="D152" i="19"/>
  <c r="C152" i="19"/>
  <c r="B152" i="19"/>
  <c r="J151" i="19"/>
  <c r="I151" i="19"/>
  <c r="G151" i="19"/>
  <c r="D151" i="19"/>
  <c r="C151" i="19"/>
  <c r="B151" i="19"/>
  <c r="J150" i="19"/>
  <c r="I150" i="19"/>
  <c r="G150" i="19"/>
  <c r="D150" i="19"/>
  <c r="C150" i="19"/>
  <c r="B150" i="19"/>
  <c r="I149" i="19"/>
  <c r="J149" i="19" s="1"/>
  <c r="G149" i="19"/>
  <c r="D149" i="19"/>
  <c r="C149" i="19"/>
  <c r="B149" i="19"/>
  <c r="J148" i="19"/>
  <c r="I148" i="19"/>
  <c r="G148" i="19"/>
  <c r="D148" i="19"/>
  <c r="C148" i="19"/>
  <c r="B148" i="19"/>
  <c r="J147" i="19"/>
  <c r="I147" i="19"/>
  <c r="G147" i="19"/>
  <c r="D147" i="19"/>
  <c r="C147" i="19"/>
  <c r="B147" i="19"/>
  <c r="J146" i="19"/>
  <c r="I146" i="19"/>
  <c r="G146" i="19"/>
  <c r="D146" i="19"/>
  <c r="C146" i="19"/>
  <c r="B146" i="19"/>
  <c r="I145" i="19"/>
  <c r="J145" i="19" s="1"/>
  <c r="G145" i="19"/>
  <c r="D145" i="19"/>
  <c r="C145" i="19"/>
  <c r="B145" i="19"/>
  <c r="J144" i="19"/>
  <c r="I144" i="19"/>
  <c r="G144" i="19"/>
  <c r="D144" i="19"/>
  <c r="C144" i="19"/>
  <c r="B144" i="19"/>
  <c r="J143" i="19"/>
  <c r="I143" i="19"/>
  <c r="G143" i="19"/>
  <c r="D143" i="19"/>
  <c r="C143" i="19"/>
  <c r="B143" i="19"/>
  <c r="J142" i="19"/>
  <c r="I142" i="19"/>
  <c r="G142" i="19"/>
  <c r="D142" i="19"/>
  <c r="C142" i="19"/>
  <c r="B142" i="19"/>
  <c r="I141" i="19"/>
  <c r="J141" i="19" s="1"/>
  <c r="G141" i="19"/>
  <c r="D141" i="19"/>
  <c r="C141" i="19"/>
  <c r="B141" i="19"/>
  <c r="J140" i="19"/>
  <c r="I140" i="19"/>
  <c r="G140" i="19"/>
  <c r="D140" i="19"/>
  <c r="C140" i="19"/>
  <c r="B140" i="19"/>
  <c r="J139" i="19"/>
  <c r="I139" i="19"/>
  <c r="G139" i="19"/>
  <c r="D139" i="19"/>
  <c r="C139" i="19"/>
  <c r="B139" i="19"/>
  <c r="J138" i="19"/>
  <c r="I138" i="19"/>
  <c r="G138" i="19"/>
  <c r="D138" i="19"/>
  <c r="C138" i="19"/>
  <c r="B138" i="19"/>
  <c r="I137" i="19"/>
  <c r="J137" i="19" s="1"/>
  <c r="G137" i="19"/>
  <c r="D137" i="19"/>
  <c r="C137" i="19"/>
  <c r="B137" i="19"/>
  <c r="J136" i="19"/>
  <c r="I136" i="19"/>
  <c r="G136" i="19"/>
  <c r="D136" i="19"/>
  <c r="C136" i="19"/>
  <c r="B136" i="19"/>
  <c r="J135" i="19"/>
  <c r="I135" i="19"/>
  <c r="G135" i="19"/>
  <c r="D135" i="19"/>
  <c r="C135" i="19"/>
  <c r="B135" i="19"/>
  <c r="J134" i="19"/>
  <c r="I134" i="19"/>
  <c r="G134" i="19"/>
  <c r="D134" i="19"/>
  <c r="C134" i="19"/>
  <c r="B134" i="19"/>
  <c r="I133" i="19"/>
  <c r="J133" i="19" s="1"/>
  <c r="G133" i="19"/>
  <c r="D133" i="19"/>
  <c r="C133" i="19"/>
  <c r="B133" i="19"/>
  <c r="J132" i="19"/>
  <c r="I132" i="19"/>
  <c r="G132" i="19"/>
  <c r="D132" i="19"/>
  <c r="C132" i="19"/>
  <c r="B132" i="19"/>
  <c r="J131" i="19"/>
  <c r="I131" i="19"/>
  <c r="G131" i="19"/>
  <c r="D131" i="19"/>
  <c r="C131" i="19"/>
  <c r="B131" i="19"/>
  <c r="J130" i="19"/>
  <c r="I130" i="19"/>
  <c r="G130" i="19"/>
  <c r="D130" i="19"/>
  <c r="C130" i="19"/>
  <c r="B130" i="19"/>
  <c r="I129" i="19"/>
  <c r="J129" i="19" s="1"/>
  <c r="G129" i="19"/>
  <c r="D129" i="19"/>
  <c r="C129" i="19"/>
  <c r="B129" i="19"/>
  <c r="J128" i="19"/>
  <c r="I128" i="19"/>
  <c r="G128" i="19"/>
  <c r="D128" i="19"/>
  <c r="C128" i="19"/>
  <c r="B128" i="19"/>
  <c r="J127" i="19"/>
  <c r="I127" i="19"/>
  <c r="G127" i="19"/>
  <c r="D127" i="19"/>
  <c r="C127" i="19"/>
  <c r="B127" i="19"/>
  <c r="J126" i="19"/>
  <c r="I126" i="19"/>
  <c r="G126" i="19"/>
  <c r="D126" i="19"/>
  <c r="C126" i="19"/>
  <c r="B126" i="19"/>
  <c r="I125" i="19"/>
  <c r="J125" i="19" s="1"/>
  <c r="G125" i="19"/>
  <c r="D125" i="19"/>
  <c r="C125" i="19"/>
  <c r="B125" i="19"/>
  <c r="J124" i="19"/>
  <c r="I124" i="19"/>
  <c r="G124" i="19"/>
  <c r="D124" i="19"/>
  <c r="C124" i="19"/>
  <c r="B124" i="19"/>
  <c r="J123" i="19"/>
  <c r="I123" i="19"/>
  <c r="G123" i="19"/>
  <c r="D123" i="19"/>
  <c r="C123" i="19"/>
  <c r="B123" i="19"/>
  <c r="J122" i="19"/>
  <c r="I122" i="19"/>
  <c r="G122" i="19"/>
  <c r="D122" i="19"/>
  <c r="C122" i="19"/>
  <c r="B122" i="19"/>
  <c r="I121" i="19"/>
  <c r="J121" i="19" s="1"/>
  <c r="G121" i="19"/>
  <c r="D121" i="19"/>
  <c r="C121" i="19"/>
  <c r="B121" i="19"/>
  <c r="J120" i="19"/>
  <c r="I120" i="19"/>
  <c r="G120" i="19"/>
  <c r="D120" i="19"/>
  <c r="C120" i="19"/>
  <c r="B120" i="19"/>
  <c r="J119" i="19"/>
  <c r="I119" i="19"/>
  <c r="G119" i="19"/>
  <c r="D119" i="19"/>
  <c r="C119" i="19"/>
  <c r="B119" i="19"/>
  <c r="J118" i="19"/>
  <c r="I118" i="19"/>
  <c r="G118" i="19"/>
  <c r="D118" i="19"/>
  <c r="C118" i="19"/>
  <c r="B118" i="19"/>
  <c r="I117" i="19"/>
  <c r="J117" i="19" s="1"/>
  <c r="G117" i="19"/>
  <c r="D117" i="19"/>
  <c r="C117" i="19"/>
  <c r="B117" i="19"/>
  <c r="J116" i="19"/>
  <c r="I116" i="19"/>
  <c r="G116" i="19"/>
  <c r="D116" i="19"/>
  <c r="C116" i="19"/>
  <c r="B116" i="19"/>
  <c r="J115" i="19"/>
  <c r="I115" i="19"/>
  <c r="G115" i="19"/>
  <c r="D115" i="19"/>
  <c r="C115" i="19"/>
  <c r="B115" i="19"/>
  <c r="J114" i="19"/>
  <c r="I114" i="19"/>
  <c r="G114" i="19"/>
  <c r="D114" i="19"/>
  <c r="C114" i="19"/>
  <c r="B114" i="19"/>
  <c r="I113" i="19"/>
  <c r="J113" i="19" s="1"/>
  <c r="G113" i="19"/>
  <c r="D113" i="19"/>
  <c r="C113" i="19"/>
  <c r="B113" i="19"/>
  <c r="J112" i="19"/>
  <c r="I112" i="19"/>
  <c r="G112" i="19"/>
  <c r="D112" i="19"/>
  <c r="C112" i="19"/>
  <c r="B112" i="19"/>
  <c r="J111" i="19"/>
  <c r="I111" i="19"/>
  <c r="G111" i="19"/>
  <c r="D111" i="19"/>
  <c r="C111" i="19"/>
  <c r="B111" i="19"/>
  <c r="J110" i="19"/>
  <c r="I110" i="19"/>
  <c r="G110" i="19"/>
  <c r="D110" i="19"/>
  <c r="C110" i="19"/>
  <c r="B110" i="19"/>
  <c r="I109" i="19"/>
  <c r="J109" i="19" s="1"/>
  <c r="G109" i="19"/>
  <c r="D109" i="19"/>
  <c r="C109" i="19"/>
  <c r="B109" i="19"/>
  <c r="J108" i="19"/>
  <c r="I108" i="19"/>
  <c r="G108" i="19"/>
  <c r="D108" i="19"/>
  <c r="C108" i="19"/>
  <c r="B108" i="19"/>
  <c r="J107" i="19"/>
  <c r="I107" i="19"/>
  <c r="G107" i="19"/>
  <c r="D107" i="19"/>
  <c r="C107" i="19"/>
  <c r="B107" i="19"/>
  <c r="J106" i="19"/>
  <c r="I106" i="19"/>
  <c r="G106" i="19"/>
  <c r="D106" i="19"/>
  <c r="C106" i="19"/>
  <c r="B106" i="19"/>
  <c r="I105" i="19"/>
  <c r="J105" i="19" s="1"/>
  <c r="G105" i="19"/>
  <c r="D105" i="19"/>
  <c r="C105" i="19"/>
  <c r="B105" i="19"/>
  <c r="J104" i="19"/>
  <c r="I104" i="19"/>
  <c r="G104" i="19"/>
  <c r="D104" i="19"/>
  <c r="C104" i="19"/>
  <c r="B104" i="19"/>
  <c r="J103" i="19"/>
  <c r="I103" i="19"/>
  <c r="G103" i="19"/>
  <c r="D103" i="19"/>
  <c r="C103" i="19"/>
  <c r="B103" i="19"/>
  <c r="J102" i="19"/>
  <c r="I102" i="19"/>
  <c r="G102" i="19"/>
  <c r="D102" i="19"/>
  <c r="C102" i="19"/>
  <c r="B102" i="19"/>
  <c r="I101" i="19"/>
  <c r="J101" i="19" s="1"/>
  <c r="G101" i="19"/>
  <c r="D101" i="19"/>
  <c r="C101" i="19"/>
  <c r="B101" i="19"/>
  <c r="J100" i="19"/>
  <c r="I100" i="19"/>
  <c r="G100" i="19"/>
  <c r="D100" i="19"/>
  <c r="C100" i="19"/>
  <c r="B100" i="19"/>
  <c r="J99" i="19"/>
  <c r="I99" i="19"/>
  <c r="G99" i="19"/>
  <c r="D99" i="19"/>
  <c r="C99" i="19"/>
  <c r="B99" i="19"/>
  <c r="J98" i="19"/>
  <c r="I98" i="19"/>
  <c r="G98" i="19"/>
  <c r="D98" i="19"/>
  <c r="C98" i="19"/>
  <c r="B98" i="19"/>
  <c r="I97" i="19"/>
  <c r="J97" i="19" s="1"/>
  <c r="G97" i="19"/>
  <c r="D97" i="19"/>
  <c r="C97" i="19"/>
  <c r="B97" i="19"/>
  <c r="J96" i="19"/>
  <c r="I96" i="19"/>
  <c r="G96" i="19"/>
  <c r="D96" i="19"/>
  <c r="C96" i="19"/>
  <c r="B96" i="19"/>
  <c r="J95" i="19"/>
  <c r="I95" i="19"/>
  <c r="G95" i="19"/>
  <c r="D95" i="19"/>
  <c r="C95" i="19"/>
  <c r="B95" i="19"/>
  <c r="J94" i="19"/>
  <c r="I94" i="19"/>
  <c r="G94" i="19"/>
  <c r="D94" i="19"/>
  <c r="C94" i="19"/>
  <c r="B94" i="19"/>
  <c r="I93" i="19"/>
  <c r="J93" i="19" s="1"/>
  <c r="G93" i="19"/>
  <c r="D93" i="19"/>
  <c r="C93" i="19"/>
  <c r="B93" i="19"/>
  <c r="J92" i="19"/>
  <c r="I92" i="19"/>
  <c r="G92" i="19"/>
  <c r="D92" i="19"/>
  <c r="C92" i="19"/>
  <c r="B92" i="19"/>
  <c r="J91" i="19"/>
  <c r="I91" i="19"/>
  <c r="G91" i="19"/>
  <c r="D91" i="19"/>
  <c r="C91" i="19"/>
  <c r="B91" i="19"/>
  <c r="J90" i="19"/>
  <c r="I90" i="19"/>
  <c r="G90" i="19"/>
  <c r="D90" i="19"/>
  <c r="C90" i="19"/>
  <c r="B90" i="19"/>
  <c r="I89" i="19"/>
  <c r="J89" i="19" s="1"/>
  <c r="G89" i="19"/>
  <c r="D89" i="19"/>
  <c r="C89" i="19"/>
  <c r="B89" i="19"/>
  <c r="J88" i="19"/>
  <c r="I88" i="19"/>
  <c r="G88" i="19"/>
  <c r="D88" i="19"/>
  <c r="C88" i="19"/>
  <c r="B88" i="19"/>
  <c r="J87" i="19"/>
  <c r="I87" i="19"/>
  <c r="G87" i="19"/>
  <c r="D87" i="19"/>
  <c r="C87" i="19"/>
  <c r="B87" i="19"/>
  <c r="J86" i="19"/>
  <c r="I86" i="19"/>
  <c r="G86" i="19"/>
  <c r="D86" i="19"/>
  <c r="C86" i="19"/>
  <c r="B86" i="19"/>
  <c r="I85" i="19"/>
  <c r="J85" i="19" s="1"/>
  <c r="G85" i="19"/>
  <c r="D85" i="19"/>
  <c r="C85" i="19"/>
  <c r="B85" i="19"/>
  <c r="J84" i="19"/>
  <c r="I84" i="19"/>
  <c r="G84" i="19"/>
  <c r="D84" i="19"/>
  <c r="C84" i="19"/>
  <c r="B84" i="19"/>
  <c r="J83" i="19"/>
  <c r="I83" i="19"/>
  <c r="G83" i="19"/>
  <c r="D83" i="19"/>
  <c r="C83" i="19"/>
  <c r="B83" i="19"/>
  <c r="J82" i="19"/>
  <c r="I82" i="19"/>
  <c r="G82" i="19"/>
  <c r="D82" i="19"/>
  <c r="C82" i="19"/>
  <c r="B82" i="19"/>
  <c r="I81" i="19"/>
  <c r="J81" i="19" s="1"/>
  <c r="G81" i="19"/>
  <c r="D81" i="19"/>
  <c r="C81" i="19"/>
  <c r="B81" i="19"/>
  <c r="J80" i="19"/>
  <c r="I80" i="19"/>
  <c r="G80" i="19"/>
  <c r="D80" i="19"/>
  <c r="C80" i="19"/>
  <c r="B80" i="19"/>
  <c r="J79" i="19"/>
  <c r="I79" i="19"/>
  <c r="G79" i="19"/>
  <c r="D79" i="19"/>
  <c r="C79" i="19"/>
  <c r="B79" i="19"/>
  <c r="J78" i="19"/>
  <c r="I78" i="19"/>
  <c r="G78" i="19"/>
  <c r="D78" i="19"/>
  <c r="C78" i="19"/>
  <c r="B78" i="19"/>
  <c r="I77" i="19"/>
  <c r="J77" i="19" s="1"/>
  <c r="G77" i="19"/>
  <c r="D77" i="19"/>
  <c r="C77" i="19"/>
  <c r="B77" i="19"/>
  <c r="J76" i="19"/>
  <c r="I76" i="19"/>
  <c r="G76" i="19"/>
  <c r="D76" i="19"/>
  <c r="C76" i="19"/>
  <c r="B76" i="19"/>
  <c r="J75" i="19"/>
  <c r="I75" i="19"/>
  <c r="G75" i="19"/>
  <c r="D75" i="19"/>
  <c r="C75" i="19"/>
  <c r="B75" i="19"/>
  <c r="J74" i="19"/>
  <c r="I74" i="19"/>
  <c r="G74" i="19"/>
  <c r="D74" i="19"/>
  <c r="C74" i="19"/>
  <c r="B74" i="19"/>
  <c r="I73" i="19"/>
  <c r="J73" i="19" s="1"/>
  <c r="G73" i="19"/>
  <c r="D73" i="19"/>
  <c r="C73" i="19"/>
  <c r="B73" i="19"/>
  <c r="J72" i="19"/>
  <c r="I72" i="19"/>
  <c r="G72" i="19"/>
  <c r="D72" i="19"/>
  <c r="C72" i="19"/>
  <c r="B72" i="19"/>
  <c r="J71" i="19"/>
  <c r="I71" i="19"/>
  <c r="G71" i="19"/>
  <c r="D71" i="19"/>
  <c r="C71" i="19"/>
  <c r="B71" i="19"/>
  <c r="J70" i="19"/>
  <c r="I70" i="19"/>
  <c r="G70" i="19"/>
  <c r="D70" i="19"/>
  <c r="C70" i="19"/>
  <c r="B70" i="19"/>
  <c r="I69" i="19"/>
  <c r="J69" i="19" s="1"/>
  <c r="G69" i="19"/>
  <c r="D69" i="19"/>
  <c r="C69" i="19"/>
  <c r="B69" i="19"/>
  <c r="J68" i="19"/>
  <c r="I68" i="19"/>
  <c r="G68" i="19"/>
  <c r="D68" i="19"/>
  <c r="C68" i="19"/>
  <c r="B68" i="19"/>
  <c r="J67" i="19"/>
  <c r="I67" i="19"/>
  <c r="G67" i="19"/>
  <c r="D67" i="19"/>
  <c r="C67" i="19"/>
  <c r="B67" i="19"/>
  <c r="J66" i="19"/>
  <c r="I66" i="19"/>
  <c r="G66" i="19"/>
  <c r="D66" i="19"/>
  <c r="C66" i="19"/>
  <c r="B66" i="19"/>
  <c r="I65" i="19"/>
  <c r="J65" i="19" s="1"/>
  <c r="G65" i="19"/>
  <c r="D65" i="19"/>
  <c r="C65" i="19"/>
  <c r="B65" i="19"/>
  <c r="J64" i="19"/>
  <c r="I64" i="19"/>
  <c r="G64" i="19"/>
  <c r="D64" i="19"/>
  <c r="C64" i="19"/>
  <c r="B64" i="19"/>
  <c r="J63" i="19"/>
  <c r="I63" i="19"/>
  <c r="G63" i="19"/>
  <c r="D63" i="19"/>
  <c r="C63" i="19"/>
  <c r="B63" i="19"/>
  <c r="J62" i="19"/>
  <c r="I62" i="19"/>
  <c r="G62" i="19"/>
  <c r="D62" i="19"/>
  <c r="C62" i="19"/>
  <c r="B62" i="19"/>
  <c r="I61" i="19"/>
  <c r="J61" i="19" s="1"/>
  <c r="G61" i="19"/>
  <c r="D61" i="19"/>
  <c r="C61" i="19"/>
  <c r="B61" i="19"/>
  <c r="J60" i="19"/>
  <c r="I60" i="19"/>
  <c r="G60" i="19"/>
  <c r="D60" i="19"/>
  <c r="C60" i="19"/>
  <c r="B60" i="19"/>
  <c r="J59" i="19"/>
  <c r="I59" i="19"/>
  <c r="G59" i="19"/>
  <c r="D59" i="19"/>
  <c r="C59" i="19"/>
  <c r="B59" i="19"/>
  <c r="J58" i="19"/>
  <c r="I58" i="19"/>
  <c r="G58" i="19"/>
  <c r="D58" i="19"/>
  <c r="C58" i="19"/>
  <c r="B58" i="19"/>
  <c r="I57" i="19"/>
  <c r="J57" i="19" s="1"/>
  <c r="G57" i="19"/>
  <c r="D57" i="19"/>
  <c r="C57" i="19"/>
  <c r="B57" i="19"/>
  <c r="J56" i="19"/>
  <c r="I56" i="19"/>
  <c r="G56" i="19"/>
  <c r="D56" i="19"/>
  <c r="C56" i="19"/>
  <c r="B56" i="19"/>
  <c r="J55" i="19"/>
  <c r="I55" i="19"/>
  <c r="G55" i="19"/>
  <c r="D55" i="19"/>
  <c r="C55" i="19"/>
  <c r="B55" i="19"/>
  <c r="J54" i="19"/>
  <c r="I54" i="19"/>
  <c r="G54" i="19"/>
  <c r="D54" i="19"/>
  <c r="C54" i="19"/>
  <c r="B54" i="19"/>
  <c r="I53" i="19"/>
  <c r="J53" i="19" s="1"/>
  <c r="G53" i="19"/>
  <c r="D53" i="19"/>
  <c r="C53" i="19"/>
  <c r="B53" i="19"/>
  <c r="J52" i="19"/>
  <c r="I52" i="19"/>
  <c r="G52" i="19"/>
  <c r="D52" i="19"/>
  <c r="C52" i="19"/>
  <c r="B52" i="19"/>
  <c r="J51" i="19"/>
  <c r="I51" i="19"/>
  <c r="G51" i="19"/>
  <c r="D51" i="19"/>
  <c r="C51" i="19"/>
  <c r="B51" i="19"/>
  <c r="J50" i="19"/>
  <c r="I50" i="19"/>
  <c r="G50" i="19"/>
  <c r="D50" i="19"/>
  <c r="C50" i="19"/>
  <c r="B50" i="19"/>
  <c r="I49" i="19"/>
  <c r="J49" i="19" s="1"/>
  <c r="G49" i="19"/>
  <c r="D49" i="19"/>
  <c r="C49" i="19"/>
  <c r="B49" i="19"/>
  <c r="J48" i="19"/>
  <c r="I48" i="19"/>
  <c r="G48" i="19"/>
  <c r="D48" i="19"/>
  <c r="C48" i="19"/>
  <c r="B48" i="19"/>
  <c r="J47" i="19"/>
  <c r="I47" i="19"/>
  <c r="G47" i="19"/>
  <c r="D47" i="19"/>
  <c r="C47" i="19"/>
  <c r="B47" i="19"/>
  <c r="J46" i="19"/>
  <c r="I46" i="19"/>
  <c r="G46" i="19"/>
  <c r="D46" i="19"/>
  <c r="C46" i="19"/>
  <c r="B46" i="19"/>
  <c r="I45" i="19"/>
  <c r="J45" i="19" s="1"/>
  <c r="G45" i="19"/>
  <c r="D45" i="19"/>
  <c r="C45" i="19"/>
  <c r="B45" i="19"/>
  <c r="J44" i="19"/>
  <c r="I44" i="19"/>
  <c r="G44" i="19"/>
  <c r="D44" i="19"/>
  <c r="C44" i="19"/>
  <c r="B44" i="19"/>
  <c r="J43" i="19"/>
  <c r="I43" i="19"/>
  <c r="G43" i="19"/>
  <c r="D43" i="19"/>
  <c r="C43" i="19"/>
  <c r="B43" i="19"/>
  <c r="J42" i="19"/>
  <c r="I42" i="19"/>
  <c r="G42" i="19"/>
  <c r="D42" i="19"/>
  <c r="C42" i="19"/>
  <c r="B42" i="19"/>
  <c r="I41" i="19"/>
  <c r="J41" i="19" s="1"/>
  <c r="G41" i="19"/>
  <c r="D41" i="19"/>
  <c r="C41" i="19"/>
  <c r="B41" i="19"/>
  <c r="J40" i="19"/>
  <c r="I40" i="19"/>
  <c r="G40" i="19"/>
  <c r="D40" i="19"/>
  <c r="C40" i="19"/>
  <c r="B40" i="19"/>
  <c r="J39" i="19"/>
  <c r="I39" i="19"/>
  <c r="G39" i="19"/>
  <c r="D39" i="19"/>
  <c r="C39" i="19"/>
  <c r="B39" i="19"/>
  <c r="J38" i="19"/>
  <c r="I38" i="19"/>
  <c r="G38" i="19"/>
  <c r="D38" i="19"/>
  <c r="C38" i="19"/>
  <c r="B38" i="19"/>
  <c r="I37" i="19"/>
  <c r="J37" i="19" s="1"/>
  <c r="G37" i="19"/>
  <c r="D37" i="19"/>
  <c r="C37" i="19"/>
  <c r="B37" i="19"/>
  <c r="J36" i="19"/>
  <c r="I36" i="19"/>
  <c r="G36" i="19"/>
  <c r="D36" i="19"/>
  <c r="C36" i="19"/>
  <c r="B36" i="19"/>
  <c r="J35" i="19"/>
  <c r="I35" i="19"/>
  <c r="G35" i="19"/>
  <c r="D35" i="19"/>
  <c r="C35" i="19"/>
  <c r="B35" i="19"/>
  <c r="J34" i="19"/>
  <c r="I34" i="19"/>
  <c r="G34" i="19"/>
  <c r="D34" i="19"/>
  <c r="C34" i="19"/>
  <c r="B34" i="19"/>
  <c r="I33" i="19"/>
  <c r="J33" i="19" s="1"/>
  <c r="G33" i="19"/>
  <c r="D33" i="19"/>
  <c r="C33" i="19"/>
  <c r="B33" i="19"/>
  <c r="J32" i="19"/>
  <c r="I32" i="19"/>
  <c r="G32" i="19"/>
  <c r="D32" i="19"/>
  <c r="C32" i="19"/>
  <c r="B32" i="19"/>
  <c r="J31" i="19"/>
  <c r="I31" i="19"/>
  <c r="G31" i="19"/>
  <c r="D31" i="19"/>
  <c r="C31" i="19"/>
  <c r="B31" i="19"/>
  <c r="J30" i="19"/>
  <c r="I30" i="19"/>
  <c r="G30" i="19"/>
  <c r="D30" i="19"/>
  <c r="C30" i="19"/>
  <c r="B30" i="19"/>
  <c r="I29" i="19"/>
  <c r="J29" i="19" s="1"/>
  <c r="G29" i="19"/>
  <c r="D29" i="19"/>
  <c r="C29" i="19"/>
  <c r="B29" i="19"/>
  <c r="J28" i="19"/>
  <c r="I28" i="19"/>
  <c r="G28" i="19"/>
  <c r="D28" i="19"/>
  <c r="C28" i="19"/>
  <c r="B28" i="19"/>
  <c r="J27" i="19"/>
  <c r="I27" i="19"/>
  <c r="G27" i="19"/>
  <c r="D27" i="19"/>
  <c r="C27" i="19"/>
  <c r="B27" i="19"/>
  <c r="J26" i="19"/>
  <c r="I26" i="19"/>
  <c r="G26" i="19"/>
  <c r="D26" i="19"/>
  <c r="C26" i="19"/>
  <c r="B26" i="19"/>
  <c r="I25" i="19"/>
  <c r="J25" i="19" s="1"/>
  <c r="G25" i="19"/>
  <c r="D25" i="19"/>
  <c r="C25" i="19"/>
  <c r="B25" i="19"/>
  <c r="J24" i="19"/>
  <c r="I24" i="19"/>
  <c r="G24" i="19"/>
  <c r="D24" i="19"/>
  <c r="C24" i="19"/>
  <c r="B24" i="19"/>
  <c r="J23" i="19"/>
  <c r="I23" i="19"/>
  <c r="G23" i="19"/>
  <c r="D23" i="19"/>
  <c r="C23" i="19"/>
  <c r="B23" i="19"/>
  <c r="J22" i="19"/>
  <c r="I22" i="19"/>
  <c r="G22" i="19"/>
  <c r="D22" i="19"/>
  <c r="C22" i="19"/>
  <c r="B22" i="19"/>
  <c r="I21" i="19"/>
  <c r="J21" i="19" s="1"/>
  <c r="G21" i="19"/>
  <c r="D21" i="19"/>
  <c r="C21" i="19"/>
  <c r="B21" i="19"/>
  <c r="J20" i="19"/>
  <c r="I20" i="19"/>
  <c r="G20" i="19"/>
  <c r="D20" i="19"/>
  <c r="C20" i="19"/>
  <c r="B20" i="19"/>
  <c r="J19" i="19"/>
  <c r="I19" i="19"/>
  <c r="G19" i="19"/>
  <c r="D19" i="19"/>
  <c r="C19" i="19"/>
  <c r="B19" i="19"/>
  <c r="J18" i="19"/>
  <c r="I18" i="19"/>
  <c r="G18" i="19"/>
  <c r="D18" i="19"/>
  <c r="C18" i="19"/>
  <c r="B18" i="19"/>
  <c r="I17" i="19"/>
  <c r="J17" i="19" s="1"/>
  <c r="G17" i="19"/>
  <c r="D17" i="19"/>
  <c r="C17" i="19"/>
  <c r="B17" i="19"/>
  <c r="J16" i="19"/>
  <c r="I16" i="19"/>
  <c r="G16" i="19"/>
  <c r="D16" i="19"/>
  <c r="C16" i="19"/>
  <c r="B16" i="19"/>
  <c r="J15" i="19"/>
  <c r="I15" i="19"/>
  <c r="G15" i="19"/>
  <c r="D15" i="19"/>
  <c r="C15" i="19"/>
  <c r="B15" i="19"/>
  <c r="J14" i="19"/>
  <c r="I14" i="19"/>
  <c r="G14" i="19"/>
  <c r="D14" i="19"/>
  <c r="C14" i="19"/>
  <c r="B14" i="19"/>
  <c r="I13" i="19"/>
  <c r="J13" i="19" s="1"/>
  <c r="G13" i="19"/>
  <c r="D13" i="19"/>
  <c r="C13" i="19"/>
  <c r="B13" i="19"/>
  <c r="J12" i="19"/>
  <c r="I12" i="19"/>
  <c r="G12" i="19"/>
  <c r="D12" i="19"/>
  <c r="C12" i="19"/>
  <c r="B12" i="19"/>
  <c r="J11" i="19"/>
  <c r="I11" i="19"/>
  <c r="G11" i="19"/>
  <c r="D11" i="19"/>
  <c r="C11" i="19"/>
  <c r="B11" i="19"/>
  <c r="G10" i="19"/>
  <c r="D10" i="19"/>
  <c r="C10" i="19"/>
  <c r="I10" i="19" s="1"/>
  <c r="J10" i="19" s="1"/>
  <c r="B10" i="19"/>
  <c r="I9" i="19"/>
  <c r="J9" i="19" s="1"/>
  <c r="D9" i="19"/>
  <c r="C9" i="19"/>
  <c r="G9" i="19" s="1"/>
  <c r="B9" i="19"/>
  <c r="J4" i="19"/>
  <c r="G4" i="19"/>
  <c r="D4" i="19"/>
  <c r="A4" i="19"/>
  <c r="I208" i="18"/>
  <c r="H208" i="18"/>
  <c r="F208" i="18"/>
  <c r="D208" i="18"/>
  <c r="C208" i="18"/>
  <c r="B208" i="18"/>
  <c r="H207" i="18"/>
  <c r="I207" i="18" s="1"/>
  <c r="F207" i="18"/>
  <c r="D207" i="18"/>
  <c r="C207" i="18"/>
  <c r="B207" i="18"/>
  <c r="I206" i="18"/>
  <c r="H206" i="18"/>
  <c r="F206" i="18"/>
  <c r="D206" i="18"/>
  <c r="C206" i="18"/>
  <c r="B206" i="18"/>
  <c r="I205" i="18"/>
  <c r="H205" i="18"/>
  <c r="F205" i="18"/>
  <c r="D205" i="18"/>
  <c r="C205" i="18"/>
  <c r="B205" i="18"/>
  <c r="I204" i="18"/>
  <c r="H204" i="18"/>
  <c r="F204" i="18"/>
  <c r="D204" i="18"/>
  <c r="C204" i="18"/>
  <c r="B204" i="18"/>
  <c r="H203" i="18"/>
  <c r="I203" i="18" s="1"/>
  <c r="F203" i="18"/>
  <c r="D203" i="18"/>
  <c r="C203" i="18"/>
  <c r="B203" i="18"/>
  <c r="I202" i="18"/>
  <c r="H202" i="18"/>
  <c r="F202" i="18"/>
  <c r="D202" i="18"/>
  <c r="C202" i="18"/>
  <c r="B202" i="18"/>
  <c r="I201" i="18"/>
  <c r="H201" i="18"/>
  <c r="F201" i="18"/>
  <c r="D201" i="18"/>
  <c r="C201" i="18"/>
  <c r="B201" i="18"/>
  <c r="I200" i="18"/>
  <c r="H200" i="18"/>
  <c r="F200" i="18"/>
  <c r="D200" i="18"/>
  <c r="C200" i="18"/>
  <c r="B200" i="18"/>
  <c r="H199" i="18"/>
  <c r="I199" i="18" s="1"/>
  <c r="F199" i="18"/>
  <c r="D199" i="18"/>
  <c r="C199" i="18"/>
  <c r="B199" i="18"/>
  <c r="I198" i="18"/>
  <c r="H198" i="18"/>
  <c r="F198" i="18"/>
  <c r="D198" i="18"/>
  <c r="C198" i="18"/>
  <c r="B198" i="18"/>
  <c r="I197" i="18"/>
  <c r="H197" i="18"/>
  <c r="F197" i="18"/>
  <c r="D197" i="18"/>
  <c r="C197" i="18"/>
  <c r="B197" i="18"/>
  <c r="I196" i="18"/>
  <c r="H196" i="18"/>
  <c r="F196" i="18"/>
  <c r="D196" i="18"/>
  <c r="C196" i="18"/>
  <c r="B196" i="18"/>
  <c r="H195" i="18"/>
  <c r="I195" i="18" s="1"/>
  <c r="F195" i="18"/>
  <c r="D195" i="18"/>
  <c r="C195" i="18"/>
  <c r="B195" i="18"/>
  <c r="I194" i="18"/>
  <c r="H194" i="18"/>
  <c r="F194" i="18"/>
  <c r="D194" i="18"/>
  <c r="C194" i="18"/>
  <c r="B194" i="18"/>
  <c r="I193" i="18"/>
  <c r="H193" i="18"/>
  <c r="F193" i="18"/>
  <c r="D193" i="18"/>
  <c r="C193" i="18"/>
  <c r="B193" i="18"/>
  <c r="I192" i="18"/>
  <c r="H192" i="18"/>
  <c r="F192" i="18"/>
  <c r="D192" i="18"/>
  <c r="C192" i="18"/>
  <c r="B192" i="18"/>
  <c r="H191" i="18"/>
  <c r="I191" i="18" s="1"/>
  <c r="F191" i="18"/>
  <c r="D191" i="18"/>
  <c r="C191" i="18"/>
  <c r="B191" i="18"/>
  <c r="I190" i="18"/>
  <c r="H190" i="18"/>
  <c r="F190" i="18"/>
  <c r="D190" i="18"/>
  <c r="C190" i="18"/>
  <c r="B190" i="18"/>
  <c r="I189" i="18"/>
  <c r="H189" i="18"/>
  <c r="F189" i="18"/>
  <c r="D189" i="18"/>
  <c r="C189" i="18"/>
  <c r="B189" i="18"/>
  <c r="I188" i="18"/>
  <c r="H188" i="18"/>
  <c r="F188" i="18"/>
  <c r="D188" i="18"/>
  <c r="C188" i="18"/>
  <c r="B188" i="18"/>
  <c r="H187" i="18"/>
  <c r="I187" i="18" s="1"/>
  <c r="F187" i="18"/>
  <c r="D187" i="18"/>
  <c r="C187" i="18"/>
  <c r="B187" i="18"/>
  <c r="I186" i="18"/>
  <c r="H186" i="18"/>
  <c r="F186" i="18"/>
  <c r="D186" i="18"/>
  <c r="C186" i="18"/>
  <c r="B186" i="18"/>
  <c r="I185" i="18"/>
  <c r="H185" i="18"/>
  <c r="F185" i="18"/>
  <c r="D185" i="18"/>
  <c r="C185" i="18"/>
  <c r="B185" i="18"/>
  <c r="I184" i="18"/>
  <c r="H184" i="18"/>
  <c r="F184" i="18"/>
  <c r="D184" i="18"/>
  <c r="C184" i="18"/>
  <c r="B184" i="18"/>
  <c r="H183" i="18"/>
  <c r="I183" i="18" s="1"/>
  <c r="F183" i="18"/>
  <c r="D183" i="18"/>
  <c r="C183" i="18"/>
  <c r="B183" i="18"/>
  <c r="I182" i="18"/>
  <c r="H182" i="18"/>
  <c r="F182" i="18"/>
  <c r="D182" i="18"/>
  <c r="C182" i="18"/>
  <c r="B182" i="18"/>
  <c r="I181" i="18"/>
  <c r="H181" i="18"/>
  <c r="F181" i="18"/>
  <c r="D181" i="18"/>
  <c r="C181" i="18"/>
  <c r="B181" i="18"/>
  <c r="I180" i="18"/>
  <c r="H180" i="18"/>
  <c r="F180" i="18"/>
  <c r="D180" i="18"/>
  <c r="C180" i="18"/>
  <c r="B180" i="18"/>
  <c r="H179" i="18"/>
  <c r="I179" i="18" s="1"/>
  <c r="F179" i="18"/>
  <c r="D179" i="18"/>
  <c r="C179" i="18"/>
  <c r="B179" i="18"/>
  <c r="I178" i="18"/>
  <c r="H178" i="18"/>
  <c r="F178" i="18"/>
  <c r="D178" i="18"/>
  <c r="C178" i="18"/>
  <c r="B178" i="18"/>
  <c r="I177" i="18"/>
  <c r="H177" i="18"/>
  <c r="F177" i="18"/>
  <c r="D177" i="18"/>
  <c r="C177" i="18"/>
  <c r="B177" i="18"/>
  <c r="I176" i="18"/>
  <c r="H176" i="18"/>
  <c r="F176" i="18"/>
  <c r="D176" i="18"/>
  <c r="C176" i="18"/>
  <c r="B176" i="18"/>
  <c r="H175" i="18"/>
  <c r="I175" i="18" s="1"/>
  <c r="F175" i="18"/>
  <c r="D175" i="18"/>
  <c r="C175" i="18"/>
  <c r="B175" i="18"/>
  <c r="I174" i="18"/>
  <c r="H174" i="18"/>
  <c r="F174" i="18"/>
  <c r="D174" i="18"/>
  <c r="C174" i="18"/>
  <c r="B174" i="18"/>
  <c r="I173" i="18"/>
  <c r="H173" i="18"/>
  <c r="F173" i="18"/>
  <c r="D173" i="18"/>
  <c r="C173" i="18"/>
  <c r="B173" i="18"/>
  <c r="I172" i="18"/>
  <c r="H172" i="18"/>
  <c r="F172" i="18"/>
  <c r="D172" i="18"/>
  <c r="C172" i="18"/>
  <c r="B172" i="18"/>
  <c r="H171" i="18"/>
  <c r="I171" i="18" s="1"/>
  <c r="F171" i="18"/>
  <c r="D171" i="18"/>
  <c r="C171" i="18"/>
  <c r="B171" i="18"/>
  <c r="I170" i="18"/>
  <c r="H170" i="18"/>
  <c r="F170" i="18"/>
  <c r="D170" i="18"/>
  <c r="C170" i="18"/>
  <c r="B170" i="18"/>
  <c r="I169" i="18"/>
  <c r="H169" i="18"/>
  <c r="F169" i="18"/>
  <c r="D169" i="18"/>
  <c r="C169" i="18"/>
  <c r="B169" i="18"/>
  <c r="I168" i="18"/>
  <c r="H168" i="18"/>
  <c r="F168" i="18"/>
  <c r="D168" i="18"/>
  <c r="C168" i="18"/>
  <c r="B168" i="18"/>
  <c r="H167" i="18"/>
  <c r="I167" i="18" s="1"/>
  <c r="F167" i="18"/>
  <c r="D167" i="18"/>
  <c r="C167" i="18"/>
  <c r="B167" i="18"/>
  <c r="I166" i="18"/>
  <c r="H166" i="18"/>
  <c r="F166" i="18"/>
  <c r="D166" i="18"/>
  <c r="C166" i="18"/>
  <c r="B166" i="18"/>
  <c r="I165" i="18"/>
  <c r="H165" i="18"/>
  <c r="F165" i="18"/>
  <c r="D165" i="18"/>
  <c r="C165" i="18"/>
  <c r="B165" i="18"/>
  <c r="I164" i="18"/>
  <c r="H164" i="18"/>
  <c r="F164" i="18"/>
  <c r="D164" i="18"/>
  <c r="C164" i="18"/>
  <c r="B164" i="18"/>
  <c r="H163" i="18"/>
  <c r="I163" i="18" s="1"/>
  <c r="F163" i="18"/>
  <c r="D163" i="18"/>
  <c r="C163" i="18"/>
  <c r="B163" i="18"/>
  <c r="I162" i="18"/>
  <c r="H162" i="18"/>
  <c r="F162" i="18"/>
  <c r="D162" i="18"/>
  <c r="C162" i="18"/>
  <c r="B162" i="18"/>
  <c r="I161" i="18"/>
  <c r="H161" i="18"/>
  <c r="F161" i="18"/>
  <c r="D161" i="18"/>
  <c r="C161" i="18"/>
  <c r="B161" i="18"/>
  <c r="I160" i="18"/>
  <c r="H160" i="18"/>
  <c r="F160" i="18"/>
  <c r="D160" i="18"/>
  <c r="C160" i="18"/>
  <c r="B160" i="18"/>
  <c r="H159" i="18"/>
  <c r="I159" i="18" s="1"/>
  <c r="F159" i="18"/>
  <c r="D159" i="18"/>
  <c r="C159" i="18"/>
  <c r="B159" i="18"/>
  <c r="I158" i="18"/>
  <c r="H158" i="18"/>
  <c r="F158" i="18"/>
  <c r="D158" i="18"/>
  <c r="C158" i="18"/>
  <c r="B158" i="18"/>
  <c r="I157" i="18"/>
  <c r="H157" i="18"/>
  <c r="F157" i="18"/>
  <c r="D157" i="18"/>
  <c r="C157" i="18"/>
  <c r="B157" i="18"/>
  <c r="I156" i="18"/>
  <c r="H156" i="18"/>
  <c r="F156" i="18"/>
  <c r="D156" i="18"/>
  <c r="C156" i="18"/>
  <c r="B156" i="18"/>
  <c r="H155" i="18"/>
  <c r="I155" i="18" s="1"/>
  <c r="F155" i="18"/>
  <c r="D155" i="18"/>
  <c r="C155" i="18"/>
  <c r="B155" i="18"/>
  <c r="I154" i="18"/>
  <c r="H154" i="18"/>
  <c r="F154" i="18"/>
  <c r="D154" i="18"/>
  <c r="C154" i="18"/>
  <c r="B154" i="18"/>
  <c r="I153" i="18"/>
  <c r="H153" i="18"/>
  <c r="F153" i="18"/>
  <c r="D153" i="18"/>
  <c r="C153" i="18"/>
  <c r="B153" i="18"/>
  <c r="I152" i="18"/>
  <c r="H152" i="18"/>
  <c r="F152" i="18"/>
  <c r="D152" i="18"/>
  <c r="C152" i="18"/>
  <c r="B152" i="18"/>
  <c r="H151" i="18"/>
  <c r="I151" i="18" s="1"/>
  <c r="F151" i="18"/>
  <c r="D151" i="18"/>
  <c r="C151" i="18"/>
  <c r="B151" i="18"/>
  <c r="I150" i="18"/>
  <c r="H150" i="18"/>
  <c r="F150" i="18"/>
  <c r="D150" i="18"/>
  <c r="C150" i="18"/>
  <c r="B150" i="18"/>
  <c r="I149" i="18"/>
  <c r="H149" i="18"/>
  <c r="F149" i="18"/>
  <c r="D149" i="18"/>
  <c r="C149" i="18"/>
  <c r="B149" i="18"/>
  <c r="I148" i="18"/>
  <c r="H148" i="18"/>
  <c r="F148" i="18"/>
  <c r="D148" i="18"/>
  <c r="C148" i="18"/>
  <c r="B148" i="18"/>
  <c r="H147" i="18"/>
  <c r="I147" i="18" s="1"/>
  <c r="F147" i="18"/>
  <c r="D147" i="18"/>
  <c r="C147" i="18"/>
  <c r="B147" i="18"/>
  <c r="I146" i="18"/>
  <c r="H146" i="18"/>
  <c r="F146" i="18"/>
  <c r="D146" i="18"/>
  <c r="C146" i="18"/>
  <c r="B146" i="18"/>
  <c r="I145" i="18"/>
  <c r="H145" i="18"/>
  <c r="F145" i="18"/>
  <c r="D145" i="18"/>
  <c r="C145" i="18"/>
  <c r="B145" i="18"/>
  <c r="I144" i="18"/>
  <c r="H144" i="18"/>
  <c r="F144" i="18"/>
  <c r="D144" i="18"/>
  <c r="C144" i="18"/>
  <c r="B144" i="18"/>
  <c r="H143" i="18"/>
  <c r="I143" i="18" s="1"/>
  <c r="F143" i="18"/>
  <c r="D143" i="18"/>
  <c r="C143" i="18"/>
  <c r="B143" i="18"/>
  <c r="I142" i="18"/>
  <c r="H142" i="18"/>
  <c r="F142" i="18"/>
  <c r="D142" i="18"/>
  <c r="C142" i="18"/>
  <c r="B142" i="18"/>
  <c r="I141" i="18"/>
  <c r="H141" i="18"/>
  <c r="F141" i="18"/>
  <c r="D141" i="18"/>
  <c r="C141" i="18"/>
  <c r="B141" i="18"/>
  <c r="I140" i="18"/>
  <c r="H140" i="18"/>
  <c r="F140" i="18"/>
  <c r="D140" i="18"/>
  <c r="C140" i="18"/>
  <c r="B140" i="18"/>
  <c r="H139" i="18"/>
  <c r="I139" i="18" s="1"/>
  <c r="F139" i="18"/>
  <c r="D139" i="18"/>
  <c r="C139" i="18"/>
  <c r="B139" i="18"/>
  <c r="I138" i="18"/>
  <c r="H138" i="18"/>
  <c r="F138" i="18"/>
  <c r="D138" i="18"/>
  <c r="C138" i="18"/>
  <c r="B138" i="18"/>
  <c r="I137" i="18"/>
  <c r="H137" i="18"/>
  <c r="F137" i="18"/>
  <c r="D137" i="18"/>
  <c r="C137" i="18"/>
  <c r="B137" i="18"/>
  <c r="I136" i="18"/>
  <c r="H136" i="18"/>
  <c r="F136" i="18"/>
  <c r="D136" i="18"/>
  <c r="C136" i="18"/>
  <c r="B136" i="18"/>
  <c r="H135" i="18"/>
  <c r="I135" i="18" s="1"/>
  <c r="F135" i="18"/>
  <c r="D135" i="18"/>
  <c r="C135" i="18"/>
  <c r="B135" i="18"/>
  <c r="I134" i="18"/>
  <c r="H134" i="18"/>
  <c r="F134" i="18"/>
  <c r="D134" i="18"/>
  <c r="C134" i="18"/>
  <c r="B134" i="18"/>
  <c r="I133" i="18"/>
  <c r="H133" i="18"/>
  <c r="F133" i="18"/>
  <c r="D133" i="18"/>
  <c r="C133" i="18"/>
  <c r="B133" i="18"/>
  <c r="I132" i="18"/>
  <c r="H132" i="18"/>
  <c r="F132" i="18"/>
  <c r="D132" i="18"/>
  <c r="C132" i="18"/>
  <c r="B132" i="18"/>
  <c r="H131" i="18"/>
  <c r="I131" i="18" s="1"/>
  <c r="F131" i="18"/>
  <c r="D131" i="18"/>
  <c r="C131" i="18"/>
  <c r="B131" i="18"/>
  <c r="I130" i="18"/>
  <c r="H130" i="18"/>
  <c r="F130" i="18"/>
  <c r="D130" i="18"/>
  <c r="C130" i="18"/>
  <c r="B130" i="18"/>
  <c r="I129" i="18"/>
  <c r="H129" i="18"/>
  <c r="F129" i="18"/>
  <c r="D129" i="18"/>
  <c r="C129" i="18"/>
  <c r="B129" i="18"/>
  <c r="I128" i="18"/>
  <c r="H128" i="18"/>
  <c r="F128" i="18"/>
  <c r="D128" i="18"/>
  <c r="C128" i="18"/>
  <c r="B128" i="18"/>
  <c r="H127" i="18"/>
  <c r="I127" i="18" s="1"/>
  <c r="F127" i="18"/>
  <c r="D127" i="18"/>
  <c r="C127" i="18"/>
  <c r="B127" i="18"/>
  <c r="I126" i="18"/>
  <c r="H126" i="18"/>
  <c r="F126" i="18"/>
  <c r="D126" i="18"/>
  <c r="C126" i="18"/>
  <c r="B126" i="18"/>
  <c r="I125" i="18"/>
  <c r="H125" i="18"/>
  <c r="F125" i="18"/>
  <c r="D125" i="18"/>
  <c r="C125" i="18"/>
  <c r="B125" i="18"/>
  <c r="I124" i="18"/>
  <c r="H124" i="18"/>
  <c r="F124" i="18"/>
  <c r="D124" i="18"/>
  <c r="C124" i="18"/>
  <c r="B124" i="18"/>
  <c r="H123" i="18"/>
  <c r="I123" i="18" s="1"/>
  <c r="F123" i="18"/>
  <c r="D123" i="18"/>
  <c r="C123" i="18"/>
  <c r="B123" i="18"/>
  <c r="I122" i="18"/>
  <c r="H122" i="18"/>
  <c r="F122" i="18"/>
  <c r="D122" i="18"/>
  <c r="C122" i="18"/>
  <c r="B122" i="18"/>
  <c r="I121" i="18"/>
  <c r="H121" i="18"/>
  <c r="F121" i="18"/>
  <c r="D121" i="18"/>
  <c r="C121" i="18"/>
  <c r="B121" i="18"/>
  <c r="I120" i="18"/>
  <c r="H120" i="18"/>
  <c r="F120" i="18"/>
  <c r="D120" i="18"/>
  <c r="C120" i="18"/>
  <c r="B120" i="18"/>
  <c r="H119" i="18"/>
  <c r="I119" i="18" s="1"/>
  <c r="F119" i="18"/>
  <c r="D119" i="18"/>
  <c r="C119" i="18"/>
  <c r="B119" i="18"/>
  <c r="I118" i="18"/>
  <c r="H118" i="18"/>
  <c r="F118" i="18"/>
  <c r="D118" i="18"/>
  <c r="C118" i="18"/>
  <c r="B118" i="18"/>
  <c r="I117" i="18"/>
  <c r="H117" i="18"/>
  <c r="F117" i="18"/>
  <c r="D117" i="18"/>
  <c r="C117" i="18"/>
  <c r="B117" i="18"/>
  <c r="I116" i="18"/>
  <c r="H116" i="18"/>
  <c r="F116" i="18"/>
  <c r="D116" i="18"/>
  <c r="C116" i="18"/>
  <c r="B116" i="18"/>
  <c r="H115" i="18"/>
  <c r="I115" i="18" s="1"/>
  <c r="F115" i="18"/>
  <c r="D115" i="18"/>
  <c r="C115" i="18"/>
  <c r="B115" i="18"/>
  <c r="I114" i="18"/>
  <c r="H114" i="18"/>
  <c r="F114" i="18"/>
  <c r="D114" i="18"/>
  <c r="C114" i="18"/>
  <c r="B114" i="18"/>
  <c r="I113" i="18"/>
  <c r="H113" i="18"/>
  <c r="F113" i="18"/>
  <c r="D113" i="18"/>
  <c r="C113" i="18"/>
  <c r="B113" i="18"/>
  <c r="H112" i="18"/>
  <c r="I112" i="18" s="1"/>
  <c r="F112" i="18"/>
  <c r="D112" i="18"/>
  <c r="C112" i="18"/>
  <c r="B112" i="18"/>
  <c r="H111" i="18"/>
  <c r="I111" i="18" s="1"/>
  <c r="F111" i="18"/>
  <c r="D111" i="18"/>
  <c r="C111" i="18"/>
  <c r="B111" i="18"/>
  <c r="H110" i="18"/>
  <c r="I110" i="18" s="1"/>
  <c r="F110" i="18"/>
  <c r="D110" i="18"/>
  <c r="C110" i="18"/>
  <c r="B110" i="18"/>
  <c r="I109" i="18"/>
  <c r="H109" i="18"/>
  <c r="F109" i="18"/>
  <c r="D109" i="18"/>
  <c r="C109" i="18"/>
  <c r="B109" i="18"/>
  <c r="H108" i="18"/>
  <c r="I108" i="18" s="1"/>
  <c r="F108" i="18"/>
  <c r="D108" i="18"/>
  <c r="C108" i="18"/>
  <c r="B108" i="18"/>
  <c r="I107" i="18"/>
  <c r="H107" i="18"/>
  <c r="F107" i="18"/>
  <c r="D107" i="18"/>
  <c r="C107" i="18"/>
  <c r="B107" i="18"/>
  <c r="I106" i="18"/>
  <c r="H106" i="18"/>
  <c r="F106" i="18"/>
  <c r="D106" i="18"/>
  <c r="C106" i="18"/>
  <c r="B106" i="18"/>
  <c r="I105" i="18"/>
  <c r="H105" i="18"/>
  <c r="F105" i="18"/>
  <c r="D105" i="18"/>
  <c r="C105" i="18"/>
  <c r="B105" i="18"/>
  <c r="H104" i="18"/>
  <c r="I104" i="18" s="1"/>
  <c r="F104" i="18"/>
  <c r="D104" i="18"/>
  <c r="C104" i="18"/>
  <c r="B104" i="18"/>
  <c r="H103" i="18"/>
  <c r="I103" i="18" s="1"/>
  <c r="F103" i="18"/>
  <c r="D103" i="18"/>
  <c r="C103" i="18"/>
  <c r="B103" i="18"/>
  <c r="I102" i="18"/>
  <c r="H102" i="18"/>
  <c r="F102" i="18"/>
  <c r="D102" i="18"/>
  <c r="C102" i="18"/>
  <c r="B102" i="18"/>
  <c r="I101" i="18"/>
  <c r="H101" i="18"/>
  <c r="F101" i="18"/>
  <c r="D101" i="18"/>
  <c r="C101" i="18"/>
  <c r="B101" i="18"/>
  <c r="H100" i="18"/>
  <c r="I100" i="18" s="1"/>
  <c r="F100" i="18"/>
  <c r="D100" i="18"/>
  <c r="C100" i="18"/>
  <c r="B100" i="18"/>
  <c r="I99" i="18"/>
  <c r="H99" i="18"/>
  <c r="F99" i="18"/>
  <c r="D99" i="18"/>
  <c r="C99" i="18"/>
  <c r="B99" i="18"/>
  <c r="H98" i="18"/>
  <c r="I98" i="18" s="1"/>
  <c r="F98" i="18"/>
  <c r="D98" i="18"/>
  <c r="C98" i="18"/>
  <c r="B98" i="18"/>
  <c r="I97" i="18"/>
  <c r="H97" i="18"/>
  <c r="F97" i="18"/>
  <c r="D97" i="18"/>
  <c r="C97" i="18"/>
  <c r="B97" i="18"/>
  <c r="H96" i="18"/>
  <c r="I96" i="18" s="1"/>
  <c r="F96" i="18"/>
  <c r="D96" i="18"/>
  <c r="C96" i="18"/>
  <c r="B96" i="18"/>
  <c r="I95" i="18"/>
  <c r="H95" i="18"/>
  <c r="F95" i="18"/>
  <c r="D95" i="18"/>
  <c r="C95" i="18"/>
  <c r="B95" i="18"/>
  <c r="I94" i="18"/>
  <c r="H94" i="18"/>
  <c r="F94" i="18"/>
  <c r="D94" i="18"/>
  <c r="C94" i="18"/>
  <c r="B94" i="18"/>
  <c r="I93" i="18"/>
  <c r="H93" i="18"/>
  <c r="F93" i="18"/>
  <c r="D93" i="18"/>
  <c r="C93" i="18"/>
  <c r="B93" i="18"/>
  <c r="H92" i="18"/>
  <c r="I92" i="18" s="1"/>
  <c r="F92" i="18"/>
  <c r="D92" i="18"/>
  <c r="C92" i="18"/>
  <c r="B92" i="18"/>
  <c r="H91" i="18"/>
  <c r="I91" i="18" s="1"/>
  <c r="F91" i="18"/>
  <c r="D91" i="18"/>
  <c r="C91" i="18"/>
  <c r="B91" i="18"/>
  <c r="H90" i="18"/>
  <c r="I90" i="18" s="1"/>
  <c r="F90" i="18"/>
  <c r="D90" i="18"/>
  <c r="C90" i="18"/>
  <c r="B90" i="18"/>
  <c r="I89" i="18"/>
  <c r="H89" i="18"/>
  <c r="F89" i="18"/>
  <c r="D89" i="18"/>
  <c r="C89" i="18"/>
  <c r="B89" i="18"/>
  <c r="H88" i="18"/>
  <c r="I88" i="18" s="1"/>
  <c r="F88" i="18"/>
  <c r="D88" i="18"/>
  <c r="C88" i="18"/>
  <c r="B88" i="18"/>
  <c r="I87" i="18"/>
  <c r="H87" i="18"/>
  <c r="F87" i="18"/>
  <c r="D87" i="18"/>
  <c r="C87" i="18"/>
  <c r="B87" i="18"/>
  <c r="H86" i="18"/>
  <c r="I86" i="18" s="1"/>
  <c r="F86" i="18"/>
  <c r="D86" i="18"/>
  <c r="C86" i="18"/>
  <c r="B86" i="18"/>
  <c r="I85" i="18"/>
  <c r="H85" i="18"/>
  <c r="F85" i="18"/>
  <c r="D85" i="18"/>
  <c r="C85" i="18"/>
  <c r="B85" i="18"/>
  <c r="H84" i="18"/>
  <c r="I84" i="18" s="1"/>
  <c r="F84" i="18"/>
  <c r="D84" i="18"/>
  <c r="C84" i="18"/>
  <c r="B84" i="18"/>
  <c r="H83" i="18"/>
  <c r="I83" i="18" s="1"/>
  <c r="F83" i="18"/>
  <c r="D83" i="18"/>
  <c r="C83" i="18"/>
  <c r="B83" i="18"/>
  <c r="I82" i="18"/>
  <c r="H82" i="18"/>
  <c r="F82" i="18"/>
  <c r="D82" i="18"/>
  <c r="C82" i="18"/>
  <c r="B82" i="18"/>
  <c r="I81" i="18"/>
  <c r="H81" i="18"/>
  <c r="F81" i="18"/>
  <c r="D81" i="18"/>
  <c r="C81" i="18"/>
  <c r="B81" i="18"/>
  <c r="H80" i="18"/>
  <c r="I80" i="18" s="1"/>
  <c r="F80" i="18"/>
  <c r="D80" i="18"/>
  <c r="C80" i="18"/>
  <c r="B80" i="18"/>
  <c r="H79" i="18"/>
  <c r="I79" i="18" s="1"/>
  <c r="F79" i="18"/>
  <c r="D79" i="18"/>
  <c r="C79" i="18"/>
  <c r="B79" i="18"/>
  <c r="H78" i="18"/>
  <c r="I78" i="18" s="1"/>
  <c r="F78" i="18"/>
  <c r="D78" i="18"/>
  <c r="C78" i="18"/>
  <c r="B78" i="18"/>
  <c r="I77" i="18"/>
  <c r="H77" i="18"/>
  <c r="F77" i="18"/>
  <c r="D77" i="18"/>
  <c r="C77" i="18"/>
  <c r="B77" i="18"/>
  <c r="H76" i="18"/>
  <c r="I76" i="18" s="1"/>
  <c r="F76" i="18"/>
  <c r="D76" i="18"/>
  <c r="C76" i="18"/>
  <c r="B76" i="18"/>
  <c r="I75" i="18"/>
  <c r="H75" i="18"/>
  <c r="F75" i="18"/>
  <c r="D75" i="18"/>
  <c r="C75" i="18"/>
  <c r="B75" i="18"/>
  <c r="I74" i="18"/>
  <c r="H74" i="18"/>
  <c r="F74" i="18"/>
  <c r="D74" i="18"/>
  <c r="C74" i="18"/>
  <c r="B74" i="18"/>
  <c r="I73" i="18"/>
  <c r="H73" i="18"/>
  <c r="F73" i="18"/>
  <c r="D73" i="18"/>
  <c r="C73" i="18"/>
  <c r="B73" i="18"/>
  <c r="H72" i="18"/>
  <c r="I72" i="18" s="1"/>
  <c r="F72" i="18"/>
  <c r="D72" i="18"/>
  <c r="C72" i="18"/>
  <c r="B72" i="18"/>
  <c r="H71" i="18"/>
  <c r="I71" i="18" s="1"/>
  <c r="F71" i="18"/>
  <c r="D71" i="18"/>
  <c r="C71" i="18"/>
  <c r="B71" i="18"/>
  <c r="I70" i="18"/>
  <c r="H70" i="18"/>
  <c r="F70" i="18"/>
  <c r="D70" i="18"/>
  <c r="C70" i="18"/>
  <c r="B70" i="18"/>
  <c r="I69" i="18"/>
  <c r="H69" i="18"/>
  <c r="F69" i="18"/>
  <c r="D69" i="18"/>
  <c r="C69" i="18"/>
  <c r="B69" i="18"/>
  <c r="H68" i="18"/>
  <c r="I68" i="18" s="1"/>
  <c r="F68" i="18"/>
  <c r="D68" i="18"/>
  <c r="C68" i="18"/>
  <c r="B68" i="18"/>
  <c r="I67" i="18"/>
  <c r="H67" i="18"/>
  <c r="F67" i="18"/>
  <c r="D67" i="18"/>
  <c r="C67" i="18"/>
  <c r="B67" i="18"/>
  <c r="H66" i="18"/>
  <c r="I66" i="18" s="1"/>
  <c r="F66" i="18"/>
  <c r="D66" i="18"/>
  <c r="C66" i="18"/>
  <c r="B66" i="18"/>
  <c r="I65" i="18"/>
  <c r="H65" i="18"/>
  <c r="F65" i="18"/>
  <c r="D65" i="18"/>
  <c r="C65" i="18"/>
  <c r="B65" i="18"/>
  <c r="H64" i="18"/>
  <c r="I64" i="18" s="1"/>
  <c r="F64" i="18"/>
  <c r="D64" i="18"/>
  <c r="C64" i="18"/>
  <c r="B64" i="18"/>
  <c r="I63" i="18"/>
  <c r="H63" i="18"/>
  <c r="F63" i="18"/>
  <c r="D63" i="18"/>
  <c r="C63" i="18"/>
  <c r="B63" i="18"/>
  <c r="I62" i="18"/>
  <c r="H62" i="18"/>
  <c r="F62" i="18"/>
  <c r="D62" i="18"/>
  <c r="C62" i="18"/>
  <c r="B62" i="18"/>
  <c r="I61" i="18"/>
  <c r="H61" i="18"/>
  <c r="F61" i="18"/>
  <c r="D61" i="18"/>
  <c r="C61" i="18"/>
  <c r="B61" i="18"/>
  <c r="H60" i="18"/>
  <c r="I60" i="18" s="1"/>
  <c r="F60" i="18"/>
  <c r="D60" i="18"/>
  <c r="C60" i="18"/>
  <c r="B60" i="18"/>
  <c r="H59" i="18"/>
  <c r="I59" i="18" s="1"/>
  <c r="F59" i="18"/>
  <c r="D59" i="18"/>
  <c r="C59" i="18"/>
  <c r="B59" i="18"/>
  <c r="H58" i="18"/>
  <c r="I58" i="18" s="1"/>
  <c r="F58" i="18"/>
  <c r="D58" i="18"/>
  <c r="C58" i="18"/>
  <c r="B58" i="18"/>
  <c r="I57" i="18"/>
  <c r="H57" i="18"/>
  <c r="F57" i="18"/>
  <c r="D57" i="18"/>
  <c r="C57" i="18"/>
  <c r="B57" i="18"/>
  <c r="H56" i="18"/>
  <c r="I56" i="18" s="1"/>
  <c r="F56" i="18"/>
  <c r="D56" i="18"/>
  <c r="C56" i="18"/>
  <c r="B56" i="18"/>
  <c r="I55" i="18"/>
  <c r="H55" i="18"/>
  <c r="F55" i="18"/>
  <c r="D55" i="18"/>
  <c r="C55" i="18"/>
  <c r="B55" i="18"/>
  <c r="H54" i="18"/>
  <c r="I54" i="18" s="1"/>
  <c r="F54" i="18"/>
  <c r="D54" i="18"/>
  <c r="C54" i="18"/>
  <c r="B54" i="18"/>
  <c r="I53" i="18"/>
  <c r="H53" i="18"/>
  <c r="F53" i="18"/>
  <c r="D53" i="18"/>
  <c r="C53" i="18"/>
  <c r="B53" i="18"/>
  <c r="H52" i="18"/>
  <c r="I52" i="18" s="1"/>
  <c r="F52" i="18"/>
  <c r="D52" i="18"/>
  <c r="C52" i="18"/>
  <c r="B52" i="18"/>
  <c r="H51" i="18"/>
  <c r="I51" i="18" s="1"/>
  <c r="F51" i="18"/>
  <c r="D51" i="18"/>
  <c r="C51" i="18"/>
  <c r="B51" i="18"/>
  <c r="I50" i="18"/>
  <c r="H50" i="18"/>
  <c r="F50" i="18"/>
  <c r="D50" i="18"/>
  <c r="C50" i="18"/>
  <c r="B50" i="18"/>
  <c r="I49" i="18"/>
  <c r="H49" i="18"/>
  <c r="F49" i="18"/>
  <c r="D49" i="18"/>
  <c r="C49" i="18"/>
  <c r="B49" i="18"/>
  <c r="H48" i="18"/>
  <c r="I48" i="18" s="1"/>
  <c r="F48" i="18"/>
  <c r="D48" i="18"/>
  <c r="C48" i="18"/>
  <c r="B48" i="18"/>
  <c r="H47" i="18"/>
  <c r="I47" i="18" s="1"/>
  <c r="F47" i="18"/>
  <c r="D47" i="18"/>
  <c r="C47" i="18"/>
  <c r="B47" i="18"/>
  <c r="H46" i="18"/>
  <c r="I46" i="18" s="1"/>
  <c r="F46" i="18"/>
  <c r="D46" i="18"/>
  <c r="C46" i="18"/>
  <c r="B46" i="18"/>
  <c r="I45" i="18"/>
  <c r="H45" i="18"/>
  <c r="F45" i="18"/>
  <c r="D45" i="18"/>
  <c r="C45" i="18"/>
  <c r="B45" i="18"/>
  <c r="H44" i="18"/>
  <c r="I44" i="18" s="1"/>
  <c r="F44" i="18"/>
  <c r="D44" i="18"/>
  <c r="C44" i="18"/>
  <c r="B44" i="18"/>
  <c r="I43" i="18"/>
  <c r="H43" i="18"/>
  <c r="F43" i="18"/>
  <c r="D43" i="18"/>
  <c r="C43" i="18"/>
  <c r="B43" i="18"/>
  <c r="I42" i="18"/>
  <c r="H42" i="18"/>
  <c r="F42" i="18"/>
  <c r="D42" i="18"/>
  <c r="C42" i="18"/>
  <c r="B42" i="18"/>
  <c r="I41" i="18"/>
  <c r="H41" i="18"/>
  <c r="F41" i="18"/>
  <c r="D41" i="18"/>
  <c r="C41" i="18"/>
  <c r="B41" i="18"/>
  <c r="H40" i="18"/>
  <c r="I40" i="18" s="1"/>
  <c r="F40" i="18"/>
  <c r="D40" i="18"/>
  <c r="C40" i="18"/>
  <c r="B40" i="18"/>
  <c r="H39" i="18"/>
  <c r="I39" i="18" s="1"/>
  <c r="F39" i="18"/>
  <c r="D39" i="18"/>
  <c r="C39" i="18"/>
  <c r="B39" i="18"/>
  <c r="I38" i="18"/>
  <c r="H38" i="18"/>
  <c r="F38" i="18"/>
  <c r="D38" i="18"/>
  <c r="C38" i="18"/>
  <c r="B38" i="18"/>
  <c r="I37" i="18"/>
  <c r="H37" i="18"/>
  <c r="F37" i="18"/>
  <c r="D37" i="18"/>
  <c r="C37" i="18"/>
  <c r="B37" i="18"/>
  <c r="H36" i="18"/>
  <c r="I36" i="18" s="1"/>
  <c r="F36" i="18"/>
  <c r="D36" i="18"/>
  <c r="C36" i="18"/>
  <c r="B36" i="18"/>
  <c r="I35" i="18"/>
  <c r="H35" i="18"/>
  <c r="F35" i="18"/>
  <c r="D35" i="18"/>
  <c r="C35" i="18"/>
  <c r="B35" i="18"/>
  <c r="H34" i="18"/>
  <c r="I34" i="18" s="1"/>
  <c r="F34" i="18"/>
  <c r="D34" i="18"/>
  <c r="C34" i="18"/>
  <c r="B34" i="18"/>
  <c r="I33" i="18"/>
  <c r="H33" i="18"/>
  <c r="F33" i="18"/>
  <c r="D33" i="18"/>
  <c r="C33" i="18"/>
  <c r="B33" i="18"/>
  <c r="H32" i="18"/>
  <c r="I32" i="18" s="1"/>
  <c r="F32" i="18"/>
  <c r="D32" i="18"/>
  <c r="C32" i="18"/>
  <c r="B32" i="18"/>
  <c r="I31" i="18"/>
  <c r="H31" i="18"/>
  <c r="F31" i="18"/>
  <c r="D31" i="18"/>
  <c r="C31" i="18"/>
  <c r="B31" i="18"/>
  <c r="I30" i="18"/>
  <c r="H30" i="18"/>
  <c r="F30" i="18"/>
  <c r="D30" i="18"/>
  <c r="C30" i="18"/>
  <c r="B30" i="18"/>
  <c r="I29" i="18"/>
  <c r="H29" i="18"/>
  <c r="F29" i="18"/>
  <c r="D29" i="18"/>
  <c r="C29" i="18"/>
  <c r="B29" i="18"/>
  <c r="H28" i="18"/>
  <c r="I28" i="18" s="1"/>
  <c r="F28" i="18"/>
  <c r="D28" i="18"/>
  <c r="C28" i="18"/>
  <c r="B28" i="18"/>
  <c r="H27" i="18"/>
  <c r="I27" i="18" s="1"/>
  <c r="F27" i="18"/>
  <c r="D27" i="18"/>
  <c r="C27" i="18"/>
  <c r="B27" i="18"/>
  <c r="H26" i="18"/>
  <c r="I26" i="18" s="1"/>
  <c r="F26" i="18"/>
  <c r="D26" i="18"/>
  <c r="C26" i="18"/>
  <c r="B26" i="18"/>
  <c r="I25" i="18"/>
  <c r="H25" i="18"/>
  <c r="F25" i="18"/>
  <c r="D25" i="18"/>
  <c r="C25" i="18"/>
  <c r="B25" i="18"/>
  <c r="H24" i="18"/>
  <c r="I24" i="18" s="1"/>
  <c r="F24" i="18"/>
  <c r="D24" i="18"/>
  <c r="C24" i="18"/>
  <c r="B24" i="18"/>
  <c r="I23" i="18"/>
  <c r="H23" i="18"/>
  <c r="F23" i="18"/>
  <c r="D23" i="18"/>
  <c r="C23" i="18"/>
  <c r="B23" i="18"/>
  <c r="H22" i="18"/>
  <c r="I22" i="18" s="1"/>
  <c r="F22" i="18"/>
  <c r="D22" i="18"/>
  <c r="C22" i="18"/>
  <c r="B22" i="18"/>
  <c r="I21" i="18"/>
  <c r="H21" i="18"/>
  <c r="F21" i="18"/>
  <c r="D21" i="18"/>
  <c r="C21" i="18"/>
  <c r="B21" i="18"/>
  <c r="H20" i="18"/>
  <c r="I20" i="18" s="1"/>
  <c r="F20" i="18"/>
  <c r="D20" i="18"/>
  <c r="C20" i="18"/>
  <c r="B20" i="18"/>
  <c r="H19" i="18"/>
  <c r="I19" i="18" s="1"/>
  <c r="F19" i="18"/>
  <c r="D19" i="18"/>
  <c r="C19" i="18"/>
  <c r="B19" i="18"/>
  <c r="I18" i="18"/>
  <c r="H18" i="18"/>
  <c r="F18" i="18"/>
  <c r="D18" i="18"/>
  <c r="C18" i="18"/>
  <c r="B18" i="18"/>
  <c r="I17" i="18"/>
  <c r="H17" i="18"/>
  <c r="F17" i="18"/>
  <c r="D17" i="18"/>
  <c r="C17" i="18"/>
  <c r="B17" i="18"/>
  <c r="H16" i="18"/>
  <c r="I16" i="18" s="1"/>
  <c r="F16" i="18"/>
  <c r="D16" i="18"/>
  <c r="C16" i="18"/>
  <c r="B16" i="18"/>
  <c r="H15" i="18"/>
  <c r="I15" i="18" s="1"/>
  <c r="F15" i="18"/>
  <c r="D15" i="18"/>
  <c r="C15" i="18"/>
  <c r="B15" i="18"/>
  <c r="H14" i="18"/>
  <c r="I14" i="18" s="1"/>
  <c r="F14" i="18"/>
  <c r="D14" i="18"/>
  <c r="C14" i="18"/>
  <c r="B14" i="18"/>
  <c r="I13" i="18"/>
  <c r="H13" i="18"/>
  <c r="F13" i="18"/>
  <c r="D13" i="18"/>
  <c r="C13" i="18"/>
  <c r="B13" i="18"/>
  <c r="H12" i="18"/>
  <c r="I12" i="18" s="1"/>
  <c r="F12" i="18"/>
  <c r="D12" i="18"/>
  <c r="C12" i="18"/>
  <c r="B12" i="18"/>
  <c r="I11" i="18"/>
  <c r="H11" i="18"/>
  <c r="F11" i="18"/>
  <c r="D11" i="18"/>
  <c r="C11" i="18"/>
  <c r="B11" i="18"/>
  <c r="I10" i="18"/>
  <c r="H10" i="18"/>
  <c r="F10" i="18"/>
  <c r="D10" i="18"/>
  <c r="C10" i="18"/>
  <c r="B10" i="18"/>
  <c r="I9" i="18"/>
  <c r="H9" i="18"/>
  <c r="D9" i="18"/>
  <c r="C9" i="18"/>
  <c r="F9" i="18" s="1"/>
  <c r="B9" i="18"/>
  <c r="A5" i="18"/>
  <c r="G4" i="18"/>
  <c r="D4" i="18"/>
  <c r="A4" i="18"/>
  <c r="K113" i="17"/>
  <c r="I113" i="17"/>
  <c r="J113" i="17" s="1"/>
  <c r="D113" i="17"/>
  <c r="C113" i="17"/>
  <c r="A113" i="17"/>
  <c r="K112" i="17"/>
  <c r="I112" i="17"/>
  <c r="J112" i="17" s="1"/>
  <c r="D112" i="17"/>
  <c r="C112" i="17"/>
  <c r="A112" i="17"/>
  <c r="K111" i="17"/>
  <c r="I111" i="17"/>
  <c r="J111" i="17" s="1"/>
  <c r="D111" i="17"/>
  <c r="C111" i="17"/>
  <c r="A111" i="17"/>
  <c r="K110" i="17"/>
  <c r="J110" i="17"/>
  <c r="I110" i="17"/>
  <c r="D110" i="17"/>
  <c r="C110" i="17"/>
  <c r="A110" i="17"/>
  <c r="K109" i="17"/>
  <c r="J109" i="17"/>
  <c r="I109" i="17"/>
  <c r="D109" i="17"/>
  <c r="C109" i="17"/>
  <c r="A109" i="17"/>
  <c r="K108" i="17"/>
  <c r="J108" i="17"/>
  <c r="I108" i="17"/>
  <c r="D108" i="17"/>
  <c r="C108" i="17"/>
  <c r="A108" i="17"/>
  <c r="K107" i="17"/>
  <c r="I107" i="17"/>
  <c r="J107" i="17" s="1"/>
  <c r="D107" i="17"/>
  <c r="C107" i="17"/>
  <c r="A107" i="17"/>
  <c r="K106" i="17"/>
  <c r="J106" i="17"/>
  <c r="I106" i="17"/>
  <c r="D106" i="17"/>
  <c r="C106" i="17"/>
  <c r="A106" i="17"/>
  <c r="K105" i="17"/>
  <c r="I105" i="17"/>
  <c r="J105" i="17" s="1"/>
  <c r="D105" i="17"/>
  <c r="C105" i="17"/>
  <c r="A105" i="17"/>
  <c r="K104" i="17"/>
  <c r="J104" i="17"/>
  <c r="I104" i="17"/>
  <c r="D104" i="17"/>
  <c r="C104" i="17"/>
  <c r="A104" i="17"/>
  <c r="K103" i="17"/>
  <c r="I103" i="17"/>
  <c r="J103" i="17" s="1"/>
  <c r="D103" i="17"/>
  <c r="C103" i="17"/>
  <c r="A103" i="17"/>
  <c r="K102" i="17"/>
  <c r="J102" i="17"/>
  <c r="I102" i="17"/>
  <c r="D102" i="17"/>
  <c r="C102" i="17"/>
  <c r="A102" i="17"/>
  <c r="K101" i="17"/>
  <c r="J101" i="17"/>
  <c r="I101" i="17"/>
  <c r="D101" i="17"/>
  <c r="C101" i="17"/>
  <c r="A101" i="17"/>
  <c r="K100" i="17"/>
  <c r="I100" i="17"/>
  <c r="J100" i="17" s="1"/>
  <c r="D100" i="17"/>
  <c r="C100" i="17"/>
  <c r="A100" i="17"/>
  <c r="K99" i="17"/>
  <c r="I99" i="17"/>
  <c r="J99" i="17" s="1"/>
  <c r="D99" i="17"/>
  <c r="C99" i="17"/>
  <c r="A99" i="17"/>
  <c r="K98" i="17"/>
  <c r="J98" i="17"/>
  <c r="I98" i="17"/>
  <c r="D98" i="17"/>
  <c r="C98" i="17"/>
  <c r="A98" i="17"/>
  <c r="K97" i="17"/>
  <c r="I97" i="17"/>
  <c r="J97" i="17" s="1"/>
  <c r="D97" i="17"/>
  <c r="C97" i="17"/>
  <c r="A97" i="17"/>
  <c r="K96" i="17"/>
  <c r="J96" i="17"/>
  <c r="I96" i="17"/>
  <c r="D96" i="17"/>
  <c r="C96" i="17"/>
  <c r="A96" i="17"/>
  <c r="K95" i="17"/>
  <c r="I95" i="17"/>
  <c r="J95" i="17" s="1"/>
  <c r="D95" i="17"/>
  <c r="C95" i="17"/>
  <c r="A95" i="17"/>
  <c r="K94" i="17"/>
  <c r="J94" i="17"/>
  <c r="I94" i="17"/>
  <c r="D94" i="17"/>
  <c r="C94" i="17"/>
  <c r="A94" i="17"/>
  <c r="K93" i="17"/>
  <c r="I93" i="17"/>
  <c r="J93" i="17" s="1"/>
  <c r="D93" i="17"/>
  <c r="C93" i="17"/>
  <c r="A93" i="17"/>
  <c r="K92" i="17"/>
  <c r="J92" i="17"/>
  <c r="I92" i="17"/>
  <c r="D92" i="17"/>
  <c r="C92" i="17"/>
  <c r="A92" i="17"/>
  <c r="K91" i="17"/>
  <c r="I91" i="17"/>
  <c r="J91" i="17" s="1"/>
  <c r="D91" i="17"/>
  <c r="C91" i="17"/>
  <c r="A91" i="17"/>
  <c r="K90" i="17"/>
  <c r="J90" i="17"/>
  <c r="I90" i="17"/>
  <c r="D90" i="17"/>
  <c r="C90" i="17"/>
  <c r="A90" i="17"/>
  <c r="K89" i="17"/>
  <c r="J89" i="17"/>
  <c r="I89" i="17"/>
  <c r="D89" i="17"/>
  <c r="C89" i="17"/>
  <c r="A89" i="17"/>
  <c r="K88" i="17"/>
  <c r="I88" i="17"/>
  <c r="J88" i="17" s="1"/>
  <c r="D88" i="17"/>
  <c r="C88" i="17"/>
  <c r="A88" i="17"/>
  <c r="K87" i="17"/>
  <c r="I87" i="17"/>
  <c r="J87" i="17" s="1"/>
  <c r="D87" i="17"/>
  <c r="C87" i="17"/>
  <c r="A87" i="17"/>
  <c r="K86" i="17"/>
  <c r="J86" i="17"/>
  <c r="I86" i="17"/>
  <c r="D86" i="17"/>
  <c r="C86" i="17"/>
  <c r="A86" i="17"/>
  <c r="K85" i="17"/>
  <c r="J85" i="17"/>
  <c r="I85" i="17"/>
  <c r="D85" i="17"/>
  <c r="C85" i="17"/>
  <c r="A85" i="17"/>
  <c r="K84" i="17"/>
  <c r="J84" i="17"/>
  <c r="I84" i="17"/>
  <c r="D84" i="17"/>
  <c r="C84" i="17"/>
  <c r="A84" i="17"/>
  <c r="K83" i="17"/>
  <c r="I83" i="17"/>
  <c r="J83" i="17" s="1"/>
  <c r="D83" i="17"/>
  <c r="C83" i="17"/>
  <c r="A83" i="17"/>
  <c r="K82" i="17"/>
  <c r="J82" i="17"/>
  <c r="I82" i="17"/>
  <c r="D82" i="17"/>
  <c r="C82" i="17"/>
  <c r="A82" i="17"/>
  <c r="K81" i="17"/>
  <c r="I81" i="17"/>
  <c r="J81" i="17" s="1"/>
  <c r="D81" i="17"/>
  <c r="C81" i="17"/>
  <c r="A81" i="17"/>
  <c r="K80" i="17"/>
  <c r="I80" i="17"/>
  <c r="J80" i="17" s="1"/>
  <c r="D80" i="17"/>
  <c r="C80" i="17"/>
  <c r="A80" i="17"/>
  <c r="K79" i="17"/>
  <c r="I79" i="17"/>
  <c r="J79" i="17" s="1"/>
  <c r="D79" i="17"/>
  <c r="C79" i="17"/>
  <c r="A79" i="17"/>
  <c r="K78" i="17"/>
  <c r="J78" i="17"/>
  <c r="I78" i="17"/>
  <c r="D78" i="17"/>
  <c r="C78" i="17"/>
  <c r="A78" i="17"/>
  <c r="K77" i="17"/>
  <c r="J77" i="17"/>
  <c r="I77" i="17"/>
  <c r="D77" i="17"/>
  <c r="C77" i="17"/>
  <c r="A77" i="17"/>
  <c r="K76" i="17"/>
  <c r="J76" i="17"/>
  <c r="I76" i="17"/>
  <c r="D76" i="17"/>
  <c r="C76" i="17"/>
  <c r="A76" i="17"/>
  <c r="K75" i="17"/>
  <c r="I75" i="17"/>
  <c r="J75" i="17" s="1"/>
  <c r="D75" i="17"/>
  <c r="C75" i="17"/>
  <c r="A75" i="17"/>
  <c r="K74" i="17"/>
  <c r="J74" i="17"/>
  <c r="I74" i="17"/>
  <c r="D74" i="17"/>
  <c r="C74" i="17"/>
  <c r="A74" i="17"/>
  <c r="K73" i="17"/>
  <c r="I73" i="17"/>
  <c r="J73" i="17" s="1"/>
  <c r="D73" i="17"/>
  <c r="C73" i="17"/>
  <c r="A73" i="17"/>
  <c r="K72" i="17"/>
  <c r="I72" i="17"/>
  <c r="J72" i="17" s="1"/>
  <c r="D72" i="17"/>
  <c r="C72" i="17"/>
  <c r="A72" i="17"/>
  <c r="K71" i="17"/>
  <c r="I71" i="17"/>
  <c r="J71" i="17" s="1"/>
  <c r="D71" i="17"/>
  <c r="C71" i="17"/>
  <c r="A71" i="17"/>
  <c r="K70" i="17"/>
  <c r="J70" i="17"/>
  <c r="I70" i="17"/>
  <c r="D70" i="17"/>
  <c r="C70" i="17"/>
  <c r="A70" i="17"/>
  <c r="K69" i="17"/>
  <c r="J69" i="17"/>
  <c r="I69" i="17"/>
  <c r="D69" i="17"/>
  <c r="C69" i="17"/>
  <c r="A69" i="17"/>
  <c r="K68" i="17"/>
  <c r="I68" i="17"/>
  <c r="J68" i="17" s="1"/>
  <c r="D68" i="17"/>
  <c r="C68" i="17"/>
  <c r="A68" i="17"/>
  <c r="K67" i="17"/>
  <c r="I67" i="17"/>
  <c r="J67" i="17" s="1"/>
  <c r="D67" i="17"/>
  <c r="C67" i="17"/>
  <c r="A67" i="17"/>
  <c r="K66" i="17"/>
  <c r="J66" i="17"/>
  <c r="I66" i="17"/>
  <c r="D66" i="17"/>
  <c r="C66" i="17"/>
  <c r="A66" i="17"/>
  <c r="K65" i="17"/>
  <c r="J65" i="17"/>
  <c r="I65" i="17"/>
  <c r="D65" i="17"/>
  <c r="C65" i="17"/>
  <c r="A65" i="17"/>
  <c r="K64" i="17"/>
  <c r="J64" i="17"/>
  <c r="I64" i="17"/>
  <c r="D64" i="17"/>
  <c r="C64" i="17"/>
  <c r="A64" i="17"/>
  <c r="K63" i="17"/>
  <c r="I63" i="17"/>
  <c r="J63" i="17" s="1"/>
  <c r="D63" i="17"/>
  <c r="C63" i="17"/>
  <c r="A63" i="17"/>
  <c r="K62" i="17"/>
  <c r="J62" i="17"/>
  <c r="I62" i="17"/>
  <c r="D62" i="17"/>
  <c r="C62" i="17"/>
  <c r="A62" i="17"/>
  <c r="K61" i="17"/>
  <c r="I61" i="17"/>
  <c r="J61" i="17" s="1"/>
  <c r="D61" i="17"/>
  <c r="C61" i="17"/>
  <c r="A61" i="17"/>
  <c r="K60" i="17"/>
  <c r="J60" i="17"/>
  <c r="I60" i="17"/>
  <c r="D60" i="17"/>
  <c r="C60" i="17"/>
  <c r="A60" i="17"/>
  <c r="K59" i="17"/>
  <c r="I59" i="17"/>
  <c r="J59" i="17" s="1"/>
  <c r="D59" i="17"/>
  <c r="C59" i="17"/>
  <c r="A59" i="17"/>
  <c r="K58" i="17"/>
  <c r="J58" i="17"/>
  <c r="I58" i="17"/>
  <c r="D58" i="17"/>
  <c r="C58" i="17"/>
  <c r="A58" i="17"/>
  <c r="K57" i="17"/>
  <c r="J57" i="17"/>
  <c r="I57" i="17"/>
  <c r="D57" i="17"/>
  <c r="C57" i="17"/>
  <c r="A57" i="17"/>
  <c r="K56" i="17"/>
  <c r="I56" i="17"/>
  <c r="J56" i="17" s="1"/>
  <c r="D56" i="17"/>
  <c r="C56" i="17"/>
  <c r="A56" i="17"/>
  <c r="K55" i="17"/>
  <c r="I55" i="17"/>
  <c r="J55" i="17" s="1"/>
  <c r="D55" i="17"/>
  <c r="C55" i="17"/>
  <c r="A55" i="17"/>
  <c r="K54" i="17"/>
  <c r="J54" i="17"/>
  <c r="I54" i="17"/>
  <c r="D54" i="17"/>
  <c r="C54" i="17"/>
  <c r="A54" i="17"/>
  <c r="K53" i="17"/>
  <c r="J53" i="17"/>
  <c r="I53" i="17"/>
  <c r="D53" i="17"/>
  <c r="C53" i="17"/>
  <c r="A53" i="17"/>
  <c r="K52" i="17"/>
  <c r="J52" i="17"/>
  <c r="I52" i="17"/>
  <c r="D52" i="17"/>
  <c r="C52" i="17"/>
  <c r="A52" i="17"/>
  <c r="K51" i="17"/>
  <c r="I51" i="17"/>
  <c r="J51" i="17" s="1"/>
  <c r="D51" i="17"/>
  <c r="C51" i="17"/>
  <c r="A51" i="17"/>
  <c r="K50" i="17"/>
  <c r="J50" i="17"/>
  <c r="I50" i="17"/>
  <c r="D50" i="17"/>
  <c r="C50" i="17"/>
  <c r="A50" i="17"/>
  <c r="K49" i="17"/>
  <c r="I49" i="17"/>
  <c r="J49" i="17" s="1"/>
  <c r="D49" i="17"/>
  <c r="C49" i="17"/>
  <c r="A49" i="17"/>
  <c r="K48" i="17"/>
  <c r="I48" i="17"/>
  <c r="J48" i="17" s="1"/>
  <c r="D48" i="17"/>
  <c r="C48" i="17"/>
  <c r="A48" i="17"/>
  <c r="K47" i="17"/>
  <c r="I47" i="17"/>
  <c r="J47" i="17" s="1"/>
  <c r="D47" i="17"/>
  <c r="C47" i="17"/>
  <c r="A47" i="17"/>
  <c r="K46" i="17"/>
  <c r="J46" i="17"/>
  <c r="I46" i="17"/>
  <c r="D46" i="17"/>
  <c r="C46" i="17"/>
  <c r="A46" i="17"/>
  <c r="K45" i="17"/>
  <c r="J45" i="17"/>
  <c r="I45" i="17"/>
  <c r="D45" i="17"/>
  <c r="C45" i="17"/>
  <c r="A45" i="17"/>
  <c r="K44" i="17"/>
  <c r="J44" i="17"/>
  <c r="I44" i="17"/>
  <c r="D44" i="17"/>
  <c r="C44" i="17"/>
  <c r="A44" i="17"/>
  <c r="K43" i="17"/>
  <c r="I43" i="17"/>
  <c r="J43" i="17" s="1"/>
  <c r="D43" i="17"/>
  <c r="C43" i="17"/>
  <c r="A43" i="17"/>
  <c r="K42" i="17"/>
  <c r="J42" i="17"/>
  <c r="I42" i="17"/>
  <c r="D42" i="17"/>
  <c r="C42" i="17"/>
  <c r="A42" i="17"/>
  <c r="K41" i="17"/>
  <c r="I41" i="17"/>
  <c r="J41" i="17" s="1"/>
  <c r="D41" i="17"/>
  <c r="C41" i="17"/>
  <c r="A41" i="17"/>
  <c r="K40" i="17"/>
  <c r="J40" i="17"/>
  <c r="I40" i="17"/>
  <c r="D40" i="17"/>
  <c r="C40" i="17"/>
  <c r="A40" i="17"/>
  <c r="K39" i="17"/>
  <c r="I39" i="17"/>
  <c r="J39" i="17" s="1"/>
  <c r="D39" i="17"/>
  <c r="C39" i="17"/>
  <c r="A39" i="17"/>
  <c r="K38" i="17"/>
  <c r="J38" i="17"/>
  <c r="I38" i="17"/>
  <c r="D38" i="17"/>
  <c r="C38" i="17"/>
  <c r="A38" i="17"/>
  <c r="K37" i="17"/>
  <c r="J37" i="17"/>
  <c r="I37" i="17"/>
  <c r="D37" i="17"/>
  <c r="C37" i="17"/>
  <c r="A37" i="17"/>
  <c r="K36" i="17"/>
  <c r="I36" i="17"/>
  <c r="J36" i="17" s="1"/>
  <c r="D36" i="17"/>
  <c r="C36" i="17"/>
  <c r="A36" i="17"/>
  <c r="K35" i="17"/>
  <c r="I35" i="17"/>
  <c r="J35" i="17" s="1"/>
  <c r="D35" i="17"/>
  <c r="C35" i="17"/>
  <c r="A35" i="17"/>
  <c r="K34" i="17"/>
  <c r="J34" i="17"/>
  <c r="I34" i="17"/>
  <c r="D34" i="17"/>
  <c r="C34" i="17"/>
  <c r="A34" i="17"/>
  <c r="K33" i="17"/>
  <c r="I33" i="17"/>
  <c r="J33" i="17" s="1"/>
  <c r="D33" i="17"/>
  <c r="C33" i="17"/>
  <c r="A33" i="17"/>
  <c r="K32" i="17"/>
  <c r="J32" i="17"/>
  <c r="I32" i="17"/>
  <c r="D32" i="17"/>
  <c r="C32" i="17"/>
  <c r="A32" i="17"/>
  <c r="K31" i="17"/>
  <c r="I31" i="17"/>
  <c r="J31" i="17" s="1"/>
  <c r="D31" i="17"/>
  <c r="C31" i="17"/>
  <c r="A31" i="17"/>
  <c r="K30" i="17"/>
  <c r="J30" i="17"/>
  <c r="I30" i="17"/>
  <c r="D30" i="17"/>
  <c r="C30" i="17"/>
  <c r="A30" i="17"/>
  <c r="K29" i="17"/>
  <c r="I29" i="17"/>
  <c r="J29" i="17" s="1"/>
  <c r="D29" i="17"/>
  <c r="C29" i="17"/>
  <c r="A29" i="17"/>
  <c r="K28" i="17"/>
  <c r="J28" i="17"/>
  <c r="I28" i="17"/>
  <c r="D28" i="17"/>
  <c r="C28" i="17"/>
  <c r="A28" i="17"/>
  <c r="K27" i="17"/>
  <c r="I27" i="17"/>
  <c r="J27" i="17" s="1"/>
  <c r="D27" i="17"/>
  <c r="C27" i="17"/>
  <c r="A27" i="17"/>
  <c r="K26" i="17"/>
  <c r="J26" i="17"/>
  <c r="I26" i="17"/>
  <c r="D26" i="17"/>
  <c r="C26" i="17"/>
  <c r="A26" i="17"/>
  <c r="K25" i="17"/>
  <c r="J25" i="17"/>
  <c r="I25" i="17"/>
  <c r="D25" i="17"/>
  <c r="C25" i="17"/>
  <c r="A25" i="17"/>
  <c r="K24" i="17"/>
  <c r="I24" i="17"/>
  <c r="J24" i="17" s="1"/>
  <c r="D24" i="17"/>
  <c r="C24" i="17"/>
  <c r="A24" i="17"/>
  <c r="K23" i="17"/>
  <c r="I23" i="17"/>
  <c r="J23" i="17" s="1"/>
  <c r="D23" i="17"/>
  <c r="C23" i="17"/>
  <c r="A23" i="17"/>
  <c r="K22" i="17"/>
  <c r="J22" i="17"/>
  <c r="I22" i="17"/>
  <c r="D22" i="17"/>
  <c r="C22" i="17"/>
  <c r="A22" i="17"/>
  <c r="K21" i="17"/>
  <c r="J21" i="17"/>
  <c r="I21" i="17"/>
  <c r="D21" i="17"/>
  <c r="C21" i="17"/>
  <c r="A21" i="17"/>
  <c r="K20" i="17"/>
  <c r="J20" i="17"/>
  <c r="I20" i="17"/>
  <c r="D20" i="17"/>
  <c r="C20" i="17"/>
  <c r="A20" i="17"/>
  <c r="K19" i="17"/>
  <c r="I19" i="17"/>
  <c r="J19" i="17" s="1"/>
  <c r="D19" i="17"/>
  <c r="C19" i="17"/>
  <c r="A19" i="17"/>
  <c r="K18" i="17"/>
  <c r="J18" i="17"/>
  <c r="I18" i="17"/>
  <c r="D18" i="17"/>
  <c r="C18" i="17"/>
  <c r="A18" i="17"/>
  <c r="K17" i="17"/>
  <c r="I17" i="17"/>
  <c r="J17" i="17" s="1"/>
  <c r="D17" i="17"/>
  <c r="C17" i="17"/>
  <c r="A17" i="17"/>
  <c r="K16" i="17"/>
  <c r="I16" i="17"/>
  <c r="J16" i="17" s="1"/>
  <c r="D16" i="17"/>
  <c r="C16" i="17"/>
  <c r="A16" i="17"/>
  <c r="K15" i="17"/>
  <c r="I15" i="17"/>
  <c r="J15" i="17" s="1"/>
  <c r="D15" i="17"/>
  <c r="A15" i="17" s="1"/>
  <c r="C15" i="17"/>
  <c r="K14" i="17"/>
  <c r="J14" i="17"/>
  <c r="I14" i="17"/>
  <c r="D14" i="17"/>
  <c r="C14" i="17"/>
  <c r="B9" i="17"/>
  <c r="B10" i="17" s="1"/>
  <c r="B8" i="17"/>
  <c r="J208" i="16"/>
  <c r="I208" i="16"/>
  <c r="G208" i="16"/>
  <c r="D208" i="16"/>
  <c r="C208" i="16"/>
  <c r="B208" i="16"/>
  <c r="J207" i="16"/>
  <c r="I207" i="16"/>
  <c r="G207" i="16"/>
  <c r="D207" i="16"/>
  <c r="C207" i="16"/>
  <c r="B207" i="16"/>
  <c r="J206" i="16"/>
  <c r="I206" i="16"/>
  <c r="G206" i="16"/>
  <c r="D206" i="16"/>
  <c r="C206" i="16"/>
  <c r="B206" i="16"/>
  <c r="I205" i="16"/>
  <c r="J205" i="16" s="1"/>
  <c r="G205" i="16"/>
  <c r="D205" i="16"/>
  <c r="C205" i="16"/>
  <c r="B205" i="16"/>
  <c r="J204" i="16"/>
  <c r="I204" i="16"/>
  <c r="G204" i="16"/>
  <c r="D204" i="16"/>
  <c r="C204" i="16"/>
  <c r="B204" i="16"/>
  <c r="I203" i="16"/>
  <c r="J203" i="16" s="1"/>
  <c r="G203" i="16"/>
  <c r="D203" i="16"/>
  <c r="C203" i="16"/>
  <c r="B203" i="16"/>
  <c r="J202" i="16"/>
  <c r="I202" i="16"/>
  <c r="G202" i="16"/>
  <c r="D202" i="16"/>
  <c r="C202" i="16"/>
  <c r="B202" i="16"/>
  <c r="I201" i="16"/>
  <c r="J201" i="16" s="1"/>
  <c r="G201" i="16"/>
  <c r="D201" i="16"/>
  <c r="C201" i="16"/>
  <c r="B201" i="16"/>
  <c r="J200" i="16"/>
  <c r="I200" i="16"/>
  <c r="G200" i="16"/>
  <c r="D200" i="16"/>
  <c r="C200" i="16"/>
  <c r="B200" i="16"/>
  <c r="J199" i="16"/>
  <c r="I199" i="16"/>
  <c r="G199" i="16"/>
  <c r="D199" i="16"/>
  <c r="C199" i="16"/>
  <c r="B199" i="16"/>
  <c r="I198" i="16"/>
  <c r="J198" i="16" s="1"/>
  <c r="G198" i="16"/>
  <c r="D198" i="16"/>
  <c r="C198" i="16"/>
  <c r="B198" i="16"/>
  <c r="I197" i="16"/>
  <c r="J197" i="16" s="1"/>
  <c r="G197" i="16"/>
  <c r="D197" i="16"/>
  <c r="C197" i="16"/>
  <c r="B197" i="16"/>
  <c r="J196" i="16"/>
  <c r="I196" i="16"/>
  <c r="G196" i="16"/>
  <c r="D196" i="16"/>
  <c r="C196" i="16"/>
  <c r="B196" i="16"/>
  <c r="I195" i="16"/>
  <c r="J195" i="16" s="1"/>
  <c r="G195" i="16"/>
  <c r="D195" i="16"/>
  <c r="C195" i="16"/>
  <c r="B195" i="16"/>
  <c r="J194" i="16"/>
  <c r="I194" i="16"/>
  <c r="G194" i="16"/>
  <c r="D194" i="16"/>
  <c r="C194" i="16"/>
  <c r="B194" i="16"/>
  <c r="I193" i="16"/>
  <c r="J193" i="16" s="1"/>
  <c r="G193" i="16"/>
  <c r="D193" i="16"/>
  <c r="C193" i="16"/>
  <c r="B193" i="16"/>
  <c r="J192" i="16"/>
  <c r="I192" i="16"/>
  <c r="G192" i="16"/>
  <c r="D192" i="16"/>
  <c r="C192" i="16"/>
  <c r="B192" i="16"/>
  <c r="I191" i="16"/>
  <c r="J191" i="16" s="1"/>
  <c r="G191" i="16"/>
  <c r="D191" i="16"/>
  <c r="C191" i="16"/>
  <c r="B191" i="16"/>
  <c r="J190" i="16"/>
  <c r="I190" i="16"/>
  <c r="G190" i="16"/>
  <c r="D190" i="16"/>
  <c r="C190" i="16"/>
  <c r="B190" i="16"/>
  <c r="I189" i="16"/>
  <c r="J189" i="16" s="1"/>
  <c r="G189" i="16"/>
  <c r="D189" i="16"/>
  <c r="C189" i="16"/>
  <c r="B189" i="16"/>
  <c r="J188" i="16"/>
  <c r="I188" i="16"/>
  <c r="G188" i="16"/>
  <c r="D188" i="16"/>
  <c r="C188" i="16"/>
  <c r="B188" i="16"/>
  <c r="J187" i="16"/>
  <c r="I187" i="16"/>
  <c r="G187" i="16"/>
  <c r="D187" i="16"/>
  <c r="C187" i="16"/>
  <c r="B187" i="16"/>
  <c r="I186" i="16"/>
  <c r="J186" i="16" s="1"/>
  <c r="G186" i="16"/>
  <c r="D186" i="16"/>
  <c r="C186" i="16"/>
  <c r="B186" i="16"/>
  <c r="I185" i="16"/>
  <c r="J185" i="16" s="1"/>
  <c r="G185" i="16"/>
  <c r="D185" i="16"/>
  <c r="C185" i="16"/>
  <c r="B185" i="16"/>
  <c r="J184" i="16"/>
  <c r="I184" i="16"/>
  <c r="G184" i="16"/>
  <c r="D184" i="16"/>
  <c r="C184" i="16"/>
  <c r="B184" i="16"/>
  <c r="J183" i="16"/>
  <c r="I183" i="16"/>
  <c r="G183" i="16"/>
  <c r="D183" i="16"/>
  <c r="C183" i="16"/>
  <c r="B183" i="16"/>
  <c r="J182" i="16"/>
  <c r="I182" i="16"/>
  <c r="G182" i="16"/>
  <c r="D182" i="16"/>
  <c r="C182" i="16"/>
  <c r="B182" i="16"/>
  <c r="I181" i="16"/>
  <c r="J181" i="16" s="1"/>
  <c r="G181" i="16"/>
  <c r="D181" i="16"/>
  <c r="C181" i="16"/>
  <c r="B181" i="16"/>
  <c r="J180" i="16"/>
  <c r="I180" i="16"/>
  <c r="G180" i="16"/>
  <c r="D180" i="16"/>
  <c r="C180" i="16"/>
  <c r="B180" i="16"/>
  <c r="I179" i="16"/>
  <c r="J179" i="16" s="1"/>
  <c r="G179" i="16"/>
  <c r="D179" i="16"/>
  <c r="C179" i="16"/>
  <c r="B179" i="16"/>
  <c r="I178" i="16"/>
  <c r="J178" i="16" s="1"/>
  <c r="G178" i="16"/>
  <c r="D178" i="16"/>
  <c r="C178" i="16"/>
  <c r="B178" i="16"/>
  <c r="I177" i="16"/>
  <c r="J177" i="16" s="1"/>
  <c r="G177" i="16"/>
  <c r="D177" i="16"/>
  <c r="C177" i="16"/>
  <c r="B177" i="16"/>
  <c r="J176" i="16"/>
  <c r="I176" i="16"/>
  <c r="G176" i="16"/>
  <c r="D176" i="16"/>
  <c r="C176" i="16"/>
  <c r="B176" i="16"/>
  <c r="J175" i="16"/>
  <c r="I175" i="16"/>
  <c r="G175" i="16"/>
  <c r="D175" i="16"/>
  <c r="C175" i="16"/>
  <c r="B175" i="16"/>
  <c r="J174" i="16"/>
  <c r="I174" i="16"/>
  <c r="G174" i="16"/>
  <c r="D174" i="16"/>
  <c r="C174" i="16"/>
  <c r="B174" i="16"/>
  <c r="I173" i="16"/>
  <c r="J173" i="16" s="1"/>
  <c r="G173" i="16"/>
  <c r="D173" i="16"/>
  <c r="C173" i="16"/>
  <c r="B173" i="16"/>
  <c r="J172" i="16"/>
  <c r="I172" i="16"/>
  <c r="G172" i="16"/>
  <c r="D172" i="16"/>
  <c r="C172" i="16"/>
  <c r="B172" i="16"/>
  <c r="I171" i="16"/>
  <c r="J171" i="16" s="1"/>
  <c r="G171" i="16"/>
  <c r="D171" i="16"/>
  <c r="C171" i="16"/>
  <c r="B171" i="16"/>
  <c r="J170" i="16"/>
  <c r="I170" i="16"/>
  <c r="G170" i="16"/>
  <c r="D170" i="16"/>
  <c r="C170" i="16"/>
  <c r="B170" i="16"/>
  <c r="I169" i="16"/>
  <c r="J169" i="16" s="1"/>
  <c r="G169" i="16"/>
  <c r="D169" i="16"/>
  <c r="C169" i="16"/>
  <c r="B169" i="16"/>
  <c r="J168" i="16"/>
  <c r="I168" i="16"/>
  <c r="G168" i="16"/>
  <c r="D168" i="16"/>
  <c r="C168" i="16"/>
  <c r="B168" i="16"/>
  <c r="J167" i="16"/>
  <c r="I167" i="16"/>
  <c r="G167" i="16"/>
  <c r="D167" i="16"/>
  <c r="C167" i="16"/>
  <c r="B167" i="16"/>
  <c r="I166" i="16"/>
  <c r="J166" i="16" s="1"/>
  <c r="G166" i="16"/>
  <c r="D166" i="16"/>
  <c r="C166" i="16"/>
  <c r="B166" i="16"/>
  <c r="I165" i="16"/>
  <c r="J165" i="16" s="1"/>
  <c r="G165" i="16"/>
  <c r="D165" i="16"/>
  <c r="C165" i="16"/>
  <c r="B165" i="16"/>
  <c r="J164" i="16"/>
  <c r="I164" i="16"/>
  <c r="G164" i="16"/>
  <c r="D164" i="16"/>
  <c r="C164" i="16"/>
  <c r="B164" i="16"/>
  <c r="I163" i="16"/>
  <c r="J163" i="16" s="1"/>
  <c r="G163" i="16"/>
  <c r="D163" i="16"/>
  <c r="C163" i="16"/>
  <c r="B163" i="16"/>
  <c r="J162" i="16"/>
  <c r="I162" i="16"/>
  <c r="G162" i="16"/>
  <c r="D162" i="16"/>
  <c r="C162" i="16"/>
  <c r="B162" i="16"/>
  <c r="I161" i="16"/>
  <c r="J161" i="16" s="1"/>
  <c r="G161" i="16"/>
  <c r="D161" i="16"/>
  <c r="C161" i="16"/>
  <c r="B161" i="16"/>
  <c r="J160" i="16"/>
  <c r="I160" i="16"/>
  <c r="G160" i="16"/>
  <c r="D160" i="16"/>
  <c r="C160" i="16"/>
  <c r="B160" i="16"/>
  <c r="I159" i="16"/>
  <c r="J159" i="16" s="1"/>
  <c r="G159" i="16"/>
  <c r="D159" i="16"/>
  <c r="C159" i="16"/>
  <c r="B159" i="16"/>
  <c r="J158" i="16"/>
  <c r="I158" i="16"/>
  <c r="G158" i="16"/>
  <c r="D158" i="16"/>
  <c r="C158" i="16"/>
  <c r="B158" i="16"/>
  <c r="I157" i="16"/>
  <c r="J157" i="16" s="1"/>
  <c r="G157" i="16"/>
  <c r="D157" i="16"/>
  <c r="C157" i="16"/>
  <c r="B157" i="16"/>
  <c r="J156" i="16"/>
  <c r="I156" i="16"/>
  <c r="G156" i="16"/>
  <c r="D156" i="16"/>
  <c r="C156" i="16"/>
  <c r="B156" i="16"/>
  <c r="J155" i="16"/>
  <c r="I155" i="16"/>
  <c r="G155" i="16"/>
  <c r="D155" i="16"/>
  <c r="C155" i="16"/>
  <c r="B155" i="16"/>
  <c r="I154" i="16"/>
  <c r="J154" i="16" s="1"/>
  <c r="G154" i="16"/>
  <c r="D154" i="16"/>
  <c r="C154" i="16"/>
  <c r="B154" i="16"/>
  <c r="I153" i="16"/>
  <c r="J153" i="16" s="1"/>
  <c r="G153" i="16"/>
  <c r="D153" i="16"/>
  <c r="C153" i="16"/>
  <c r="B153" i="16"/>
  <c r="J152" i="16"/>
  <c r="I152" i="16"/>
  <c r="G152" i="16"/>
  <c r="D152" i="16"/>
  <c r="C152" i="16"/>
  <c r="B152" i="16"/>
  <c r="J151" i="16"/>
  <c r="I151" i="16"/>
  <c r="G151" i="16"/>
  <c r="D151" i="16"/>
  <c r="C151" i="16"/>
  <c r="B151" i="16"/>
  <c r="J150" i="16"/>
  <c r="I150" i="16"/>
  <c r="G150" i="16"/>
  <c r="D150" i="16"/>
  <c r="C150" i="16"/>
  <c r="B150" i="16"/>
  <c r="I149" i="16"/>
  <c r="J149" i="16" s="1"/>
  <c r="G149" i="16"/>
  <c r="D149" i="16"/>
  <c r="C149" i="16"/>
  <c r="B149" i="16"/>
  <c r="J148" i="16"/>
  <c r="I148" i="16"/>
  <c r="G148" i="16"/>
  <c r="D148" i="16"/>
  <c r="C148" i="16"/>
  <c r="B148" i="16"/>
  <c r="I147" i="16"/>
  <c r="J147" i="16" s="1"/>
  <c r="G147" i="16"/>
  <c r="D147" i="16"/>
  <c r="C147" i="16"/>
  <c r="B147" i="16"/>
  <c r="I146" i="16"/>
  <c r="J146" i="16" s="1"/>
  <c r="G146" i="16"/>
  <c r="D146" i="16"/>
  <c r="C146" i="16"/>
  <c r="B146" i="16"/>
  <c r="I145" i="16"/>
  <c r="J145" i="16" s="1"/>
  <c r="G145" i="16"/>
  <c r="D145" i="16"/>
  <c r="C145" i="16"/>
  <c r="B145" i="16"/>
  <c r="J144" i="16"/>
  <c r="I144" i="16"/>
  <c r="G144" i="16"/>
  <c r="D144" i="16"/>
  <c r="C144" i="16"/>
  <c r="B144" i="16"/>
  <c r="J143" i="16"/>
  <c r="I143" i="16"/>
  <c r="G143" i="16"/>
  <c r="D143" i="16"/>
  <c r="C143" i="16"/>
  <c r="B143" i="16"/>
  <c r="J142" i="16"/>
  <c r="I142" i="16"/>
  <c r="G142" i="16"/>
  <c r="D142" i="16"/>
  <c r="C142" i="16"/>
  <c r="B142" i="16"/>
  <c r="I141" i="16"/>
  <c r="J141" i="16" s="1"/>
  <c r="G141" i="16"/>
  <c r="D141" i="16"/>
  <c r="C141" i="16"/>
  <c r="B141" i="16"/>
  <c r="J140" i="16"/>
  <c r="I140" i="16"/>
  <c r="G140" i="16"/>
  <c r="D140" i="16"/>
  <c r="C140" i="16"/>
  <c r="B140" i="16"/>
  <c r="I139" i="16"/>
  <c r="J139" i="16" s="1"/>
  <c r="G139" i="16"/>
  <c r="D139" i="16"/>
  <c r="C139" i="16"/>
  <c r="B139" i="16"/>
  <c r="J138" i="16"/>
  <c r="I138" i="16"/>
  <c r="G138" i="16"/>
  <c r="D138" i="16"/>
  <c r="C138" i="16"/>
  <c r="B138" i="16"/>
  <c r="I137" i="16"/>
  <c r="J137" i="16" s="1"/>
  <c r="G137" i="16"/>
  <c r="D137" i="16"/>
  <c r="C137" i="16"/>
  <c r="B137" i="16"/>
  <c r="J136" i="16"/>
  <c r="I136" i="16"/>
  <c r="G136" i="16"/>
  <c r="D136" i="16"/>
  <c r="C136" i="16"/>
  <c r="B136" i="16"/>
  <c r="J135" i="16"/>
  <c r="I135" i="16"/>
  <c r="G135" i="16"/>
  <c r="D135" i="16"/>
  <c r="C135" i="16"/>
  <c r="B135" i="16"/>
  <c r="I134" i="16"/>
  <c r="J134" i="16" s="1"/>
  <c r="G134" i="16"/>
  <c r="D134" i="16"/>
  <c r="C134" i="16"/>
  <c r="B134" i="16"/>
  <c r="I133" i="16"/>
  <c r="J133" i="16" s="1"/>
  <c r="G133" i="16"/>
  <c r="D133" i="16"/>
  <c r="C133" i="16"/>
  <c r="B133" i="16"/>
  <c r="J132" i="16"/>
  <c r="I132" i="16"/>
  <c r="G132" i="16"/>
  <c r="D132" i="16"/>
  <c r="C132" i="16"/>
  <c r="B132" i="16"/>
  <c r="I131" i="16"/>
  <c r="J131" i="16" s="1"/>
  <c r="G131" i="16"/>
  <c r="D131" i="16"/>
  <c r="C131" i="16"/>
  <c r="B131" i="16"/>
  <c r="J130" i="16"/>
  <c r="I130" i="16"/>
  <c r="G130" i="16"/>
  <c r="D130" i="16"/>
  <c r="C130" i="16"/>
  <c r="B130" i="16"/>
  <c r="I129" i="16"/>
  <c r="J129" i="16" s="1"/>
  <c r="G129" i="16"/>
  <c r="D129" i="16"/>
  <c r="C129" i="16"/>
  <c r="B129" i="16"/>
  <c r="J128" i="16"/>
  <c r="I128" i="16"/>
  <c r="G128" i="16"/>
  <c r="D128" i="16"/>
  <c r="C128" i="16"/>
  <c r="B128" i="16"/>
  <c r="I127" i="16"/>
  <c r="J127" i="16" s="1"/>
  <c r="G127" i="16"/>
  <c r="D127" i="16"/>
  <c r="C127" i="16"/>
  <c r="B127" i="16"/>
  <c r="J126" i="16"/>
  <c r="I126" i="16"/>
  <c r="G126" i="16"/>
  <c r="D126" i="16"/>
  <c r="C126" i="16"/>
  <c r="B126" i="16"/>
  <c r="I125" i="16"/>
  <c r="J125" i="16" s="1"/>
  <c r="G125" i="16"/>
  <c r="D125" i="16"/>
  <c r="C125" i="16"/>
  <c r="B125" i="16"/>
  <c r="J124" i="16"/>
  <c r="I124" i="16"/>
  <c r="G124" i="16"/>
  <c r="D124" i="16"/>
  <c r="C124" i="16"/>
  <c r="B124" i="16"/>
  <c r="J123" i="16"/>
  <c r="I123" i="16"/>
  <c r="G123" i="16"/>
  <c r="D123" i="16"/>
  <c r="C123" i="16"/>
  <c r="B123" i="16"/>
  <c r="I122" i="16"/>
  <c r="J122" i="16" s="1"/>
  <c r="G122" i="16"/>
  <c r="D122" i="16"/>
  <c r="C122" i="16"/>
  <c r="B122" i="16"/>
  <c r="I121" i="16"/>
  <c r="J121" i="16" s="1"/>
  <c r="G121" i="16"/>
  <c r="D121" i="16"/>
  <c r="C121" i="16"/>
  <c r="B121" i="16"/>
  <c r="J120" i="16"/>
  <c r="I120" i="16"/>
  <c r="G120" i="16"/>
  <c r="D120" i="16"/>
  <c r="C120" i="16"/>
  <c r="B120" i="16"/>
  <c r="J119" i="16"/>
  <c r="I119" i="16"/>
  <c r="G119" i="16"/>
  <c r="D119" i="16"/>
  <c r="C119" i="16"/>
  <c r="B119" i="16"/>
  <c r="J118" i="16"/>
  <c r="I118" i="16"/>
  <c r="G118" i="16"/>
  <c r="D118" i="16"/>
  <c r="C118" i="16"/>
  <c r="B118" i="16"/>
  <c r="I117" i="16"/>
  <c r="J117" i="16" s="1"/>
  <c r="G117" i="16"/>
  <c r="D117" i="16"/>
  <c r="C117" i="16"/>
  <c r="B117" i="16"/>
  <c r="J116" i="16"/>
  <c r="I116" i="16"/>
  <c r="G116" i="16"/>
  <c r="D116" i="16"/>
  <c r="C116" i="16"/>
  <c r="B116" i="16"/>
  <c r="I115" i="16"/>
  <c r="J115" i="16" s="1"/>
  <c r="G115" i="16"/>
  <c r="D115" i="16"/>
  <c r="C115" i="16"/>
  <c r="B115" i="16"/>
  <c r="I114" i="16"/>
  <c r="J114" i="16" s="1"/>
  <c r="G114" i="16"/>
  <c r="D114" i="16"/>
  <c r="C114" i="16"/>
  <c r="B114" i="16"/>
  <c r="I113" i="16"/>
  <c r="J113" i="16" s="1"/>
  <c r="G113" i="16"/>
  <c r="D113" i="16"/>
  <c r="C113" i="16"/>
  <c r="B113" i="16"/>
  <c r="J112" i="16"/>
  <c r="I112" i="16"/>
  <c r="G112" i="16"/>
  <c r="D112" i="16"/>
  <c r="C112" i="16"/>
  <c r="B112" i="16"/>
  <c r="J111" i="16"/>
  <c r="I111" i="16"/>
  <c r="G111" i="16"/>
  <c r="D111" i="16"/>
  <c r="C111" i="16"/>
  <c r="B111" i="16"/>
  <c r="J110" i="16"/>
  <c r="I110" i="16"/>
  <c r="G110" i="16"/>
  <c r="D110" i="16"/>
  <c r="C110" i="16"/>
  <c r="B110" i="16"/>
  <c r="I109" i="16"/>
  <c r="J109" i="16" s="1"/>
  <c r="G109" i="16"/>
  <c r="D109" i="16"/>
  <c r="C109" i="16"/>
  <c r="B109" i="16"/>
  <c r="J108" i="16"/>
  <c r="I108" i="16"/>
  <c r="G108" i="16"/>
  <c r="D108" i="16"/>
  <c r="C108" i="16"/>
  <c r="B108" i="16"/>
  <c r="I107" i="16"/>
  <c r="J107" i="16" s="1"/>
  <c r="G107" i="16"/>
  <c r="D107" i="16"/>
  <c r="C107" i="16"/>
  <c r="B107" i="16"/>
  <c r="I106" i="16"/>
  <c r="J106" i="16" s="1"/>
  <c r="G106" i="16"/>
  <c r="D106" i="16"/>
  <c r="C106" i="16"/>
  <c r="B106" i="16"/>
  <c r="I105" i="16"/>
  <c r="J105" i="16" s="1"/>
  <c r="G105" i="16"/>
  <c r="D105" i="16"/>
  <c r="C105" i="16"/>
  <c r="B105" i="16"/>
  <c r="J104" i="16"/>
  <c r="I104" i="16"/>
  <c r="G104" i="16"/>
  <c r="D104" i="16"/>
  <c r="C104" i="16"/>
  <c r="B104" i="16"/>
  <c r="J103" i="16"/>
  <c r="I103" i="16"/>
  <c r="G103" i="16"/>
  <c r="D103" i="16"/>
  <c r="C103" i="16"/>
  <c r="B103" i="16"/>
  <c r="I102" i="16"/>
  <c r="J102" i="16" s="1"/>
  <c r="G102" i="16"/>
  <c r="D102" i="16"/>
  <c r="C102" i="16"/>
  <c r="B102" i="16"/>
  <c r="I101" i="16"/>
  <c r="J101" i="16" s="1"/>
  <c r="G101" i="16"/>
  <c r="D101" i="16"/>
  <c r="C101" i="16"/>
  <c r="B101" i="16"/>
  <c r="J100" i="16"/>
  <c r="I100" i="16"/>
  <c r="G100" i="16"/>
  <c r="D100" i="16"/>
  <c r="C100" i="16"/>
  <c r="B100" i="16"/>
  <c r="I99" i="16"/>
  <c r="J99" i="16" s="1"/>
  <c r="G99" i="16"/>
  <c r="D99" i="16"/>
  <c r="C99" i="16"/>
  <c r="B99" i="16"/>
  <c r="J98" i="16"/>
  <c r="I98" i="16"/>
  <c r="G98" i="16"/>
  <c r="D98" i="16"/>
  <c r="C98" i="16"/>
  <c r="B98" i="16"/>
  <c r="I97" i="16"/>
  <c r="J97" i="16" s="1"/>
  <c r="G97" i="16"/>
  <c r="D97" i="16"/>
  <c r="C97" i="16"/>
  <c r="B97" i="16"/>
  <c r="J96" i="16"/>
  <c r="I96" i="16"/>
  <c r="G96" i="16"/>
  <c r="D96" i="16"/>
  <c r="C96" i="16"/>
  <c r="B96" i="16"/>
  <c r="I95" i="16"/>
  <c r="J95" i="16" s="1"/>
  <c r="G95" i="16"/>
  <c r="D95" i="16"/>
  <c r="C95" i="16"/>
  <c r="B95" i="16"/>
  <c r="J94" i="16"/>
  <c r="I94" i="16"/>
  <c r="G94" i="16"/>
  <c r="D94" i="16"/>
  <c r="C94" i="16"/>
  <c r="B94" i="16"/>
  <c r="I93" i="16"/>
  <c r="J93" i="16" s="1"/>
  <c r="G93" i="16"/>
  <c r="D93" i="16"/>
  <c r="C93" i="16"/>
  <c r="B93" i="16"/>
  <c r="J92" i="16"/>
  <c r="I92" i="16"/>
  <c r="G92" i="16"/>
  <c r="D92" i="16"/>
  <c r="C92" i="16"/>
  <c r="B92" i="16"/>
  <c r="J91" i="16"/>
  <c r="I91" i="16"/>
  <c r="G91" i="16"/>
  <c r="D91" i="16"/>
  <c r="C91" i="16"/>
  <c r="B91" i="16"/>
  <c r="I90" i="16"/>
  <c r="J90" i="16" s="1"/>
  <c r="G90" i="16"/>
  <c r="D90" i="16"/>
  <c r="C90" i="16"/>
  <c r="B90" i="16"/>
  <c r="I89" i="16"/>
  <c r="J89" i="16" s="1"/>
  <c r="G89" i="16"/>
  <c r="D89" i="16"/>
  <c r="C89" i="16"/>
  <c r="B89" i="16"/>
  <c r="J88" i="16"/>
  <c r="I88" i="16"/>
  <c r="G88" i="16"/>
  <c r="D88" i="16"/>
  <c r="C88" i="16"/>
  <c r="B88" i="16"/>
  <c r="J87" i="16"/>
  <c r="I87" i="16"/>
  <c r="G87" i="16"/>
  <c r="D87" i="16"/>
  <c r="C87" i="16"/>
  <c r="B87" i="16"/>
  <c r="J86" i="16"/>
  <c r="I86" i="16"/>
  <c r="G86" i="16"/>
  <c r="D86" i="16"/>
  <c r="C86" i="16"/>
  <c r="B86" i="16"/>
  <c r="I85" i="16"/>
  <c r="J85" i="16" s="1"/>
  <c r="G85" i="16"/>
  <c r="D85" i="16"/>
  <c r="C85" i="16"/>
  <c r="B85" i="16"/>
  <c r="J84" i="16"/>
  <c r="I84" i="16"/>
  <c r="G84" i="16"/>
  <c r="D84" i="16"/>
  <c r="C84" i="16"/>
  <c r="B84" i="16"/>
  <c r="I83" i="16"/>
  <c r="J83" i="16" s="1"/>
  <c r="G83" i="16"/>
  <c r="D83" i="16"/>
  <c r="C83" i="16"/>
  <c r="B83" i="16"/>
  <c r="I82" i="16"/>
  <c r="J82" i="16" s="1"/>
  <c r="G82" i="16"/>
  <c r="D82" i="16"/>
  <c r="C82" i="16"/>
  <c r="B82" i="16"/>
  <c r="I81" i="16"/>
  <c r="J81" i="16" s="1"/>
  <c r="G81" i="16"/>
  <c r="D81" i="16"/>
  <c r="C81" i="16"/>
  <c r="B81" i="16"/>
  <c r="J80" i="16"/>
  <c r="I80" i="16"/>
  <c r="G80" i="16"/>
  <c r="D80" i="16"/>
  <c r="C80" i="16"/>
  <c r="B80" i="16"/>
  <c r="J79" i="16"/>
  <c r="I79" i="16"/>
  <c r="G79" i="16"/>
  <c r="D79" i="16"/>
  <c r="C79" i="16"/>
  <c r="B79" i="16"/>
  <c r="J78" i="16"/>
  <c r="I78" i="16"/>
  <c r="G78" i="16"/>
  <c r="D78" i="16"/>
  <c r="C78" i="16"/>
  <c r="B78" i="16"/>
  <c r="I77" i="16"/>
  <c r="J77" i="16" s="1"/>
  <c r="G77" i="16"/>
  <c r="D77" i="16"/>
  <c r="C77" i="16"/>
  <c r="B77" i="16"/>
  <c r="J76" i="16"/>
  <c r="I76" i="16"/>
  <c r="G76" i="16"/>
  <c r="D76" i="16"/>
  <c r="C76" i="16"/>
  <c r="B76" i="16"/>
  <c r="I75" i="16"/>
  <c r="J75" i="16" s="1"/>
  <c r="G75" i="16"/>
  <c r="D75" i="16"/>
  <c r="C75" i="16"/>
  <c r="B75" i="16"/>
  <c r="J74" i="16"/>
  <c r="I74" i="16"/>
  <c r="G74" i="16"/>
  <c r="D74" i="16"/>
  <c r="C74" i="16"/>
  <c r="B74" i="16"/>
  <c r="I73" i="16"/>
  <c r="J73" i="16" s="1"/>
  <c r="G73" i="16"/>
  <c r="D73" i="16"/>
  <c r="C73" i="16"/>
  <c r="B73" i="16"/>
  <c r="J72" i="16"/>
  <c r="I72" i="16"/>
  <c r="G72" i="16"/>
  <c r="D72" i="16"/>
  <c r="C72" i="16"/>
  <c r="B72" i="16"/>
  <c r="J71" i="16"/>
  <c r="I71" i="16"/>
  <c r="G71" i="16"/>
  <c r="D71" i="16"/>
  <c r="C71" i="16"/>
  <c r="B71" i="16"/>
  <c r="I70" i="16"/>
  <c r="J70" i="16" s="1"/>
  <c r="G70" i="16"/>
  <c r="D70" i="16"/>
  <c r="C70" i="16"/>
  <c r="B70" i="16"/>
  <c r="I69" i="16"/>
  <c r="J69" i="16" s="1"/>
  <c r="G69" i="16"/>
  <c r="D69" i="16"/>
  <c r="C69" i="16"/>
  <c r="B69" i="16"/>
  <c r="J68" i="16"/>
  <c r="I68" i="16"/>
  <c r="G68" i="16"/>
  <c r="D68" i="16"/>
  <c r="C68" i="16"/>
  <c r="B68" i="16"/>
  <c r="I67" i="16"/>
  <c r="J67" i="16" s="1"/>
  <c r="G67" i="16"/>
  <c r="D67" i="16"/>
  <c r="C67" i="16"/>
  <c r="B67" i="16"/>
  <c r="J66" i="16"/>
  <c r="I66" i="16"/>
  <c r="G66" i="16"/>
  <c r="D66" i="16"/>
  <c r="C66" i="16"/>
  <c r="B66" i="16"/>
  <c r="I65" i="16"/>
  <c r="J65" i="16" s="1"/>
  <c r="G65" i="16"/>
  <c r="D65" i="16"/>
  <c r="C65" i="16"/>
  <c r="B65" i="16"/>
  <c r="J64" i="16"/>
  <c r="I64" i="16"/>
  <c r="G64" i="16"/>
  <c r="D64" i="16"/>
  <c r="C64" i="16"/>
  <c r="B64" i="16"/>
  <c r="I63" i="16"/>
  <c r="J63" i="16" s="1"/>
  <c r="G63" i="16"/>
  <c r="D63" i="16"/>
  <c r="C63" i="16"/>
  <c r="B63" i="16"/>
  <c r="J62" i="16"/>
  <c r="I62" i="16"/>
  <c r="G62" i="16"/>
  <c r="D62" i="16"/>
  <c r="C62" i="16"/>
  <c r="B62" i="16"/>
  <c r="I61" i="16"/>
  <c r="J61" i="16" s="1"/>
  <c r="G61" i="16"/>
  <c r="D61" i="16"/>
  <c r="C61" i="16"/>
  <c r="B61" i="16"/>
  <c r="J60" i="16"/>
  <c r="I60" i="16"/>
  <c r="G60" i="16"/>
  <c r="D60" i="16"/>
  <c r="C60" i="16"/>
  <c r="B60" i="16"/>
  <c r="J59" i="16"/>
  <c r="I59" i="16"/>
  <c r="G59" i="16"/>
  <c r="D59" i="16"/>
  <c r="C59" i="16"/>
  <c r="B59" i="16"/>
  <c r="I58" i="16"/>
  <c r="J58" i="16" s="1"/>
  <c r="G58" i="16"/>
  <c r="D58" i="16"/>
  <c r="C58" i="16"/>
  <c r="B58" i="16"/>
  <c r="I57" i="16"/>
  <c r="J57" i="16" s="1"/>
  <c r="G57" i="16"/>
  <c r="D57" i="16"/>
  <c r="C57" i="16"/>
  <c r="B57" i="16"/>
  <c r="J56" i="16"/>
  <c r="I56" i="16"/>
  <c r="G56" i="16"/>
  <c r="D56" i="16"/>
  <c r="C56" i="16"/>
  <c r="B56" i="16"/>
  <c r="J55" i="16"/>
  <c r="I55" i="16"/>
  <c r="G55" i="16"/>
  <c r="D55" i="16"/>
  <c r="C55" i="16"/>
  <c r="B55" i="16"/>
  <c r="J54" i="16"/>
  <c r="I54" i="16"/>
  <c r="G54" i="16"/>
  <c r="D54" i="16"/>
  <c r="C54" i="16"/>
  <c r="B54" i="16"/>
  <c r="I53" i="16"/>
  <c r="J53" i="16" s="1"/>
  <c r="G53" i="16"/>
  <c r="D53" i="16"/>
  <c r="C53" i="16"/>
  <c r="B53" i="16"/>
  <c r="J52" i="16"/>
  <c r="I52" i="16"/>
  <c r="G52" i="16"/>
  <c r="D52" i="16"/>
  <c r="C52" i="16"/>
  <c r="B52" i="16"/>
  <c r="I51" i="16"/>
  <c r="J51" i="16" s="1"/>
  <c r="G51" i="16"/>
  <c r="D51" i="16"/>
  <c r="C51" i="16"/>
  <c r="B51" i="16"/>
  <c r="I50" i="16"/>
  <c r="J50" i="16" s="1"/>
  <c r="G50" i="16"/>
  <c r="D50" i="16"/>
  <c r="C50" i="16"/>
  <c r="B50" i="16"/>
  <c r="I49" i="16"/>
  <c r="J49" i="16" s="1"/>
  <c r="G49" i="16"/>
  <c r="D49" i="16"/>
  <c r="C49" i="16"/>
  <c r="B49" i="16"/>
  <c r="J48" i="16"/>
  <c r="I48" i="16"/>
  <c r="G48" i="16"/>
  <c r="D48" i="16"/>
  <c r="C48" i="16"/>
  <c r="B48" i="16"/>
  <c r="J47" i="16"/>
  <c r="I47" i="16"/>
  <c r="G47" i="16"/>
  <c r="D47" i="16"/>
  <c r="C47" i="16"/>
  <c r="B47" i="16"/>
  <c r="J46" i="16"/>
  <c r="I46" i="16"/>
  <c r="G46" i="16"/>
  <c r="D46" i="16"/>
  <c r="C46" i="16"/>
  <c r="B46" i="16"/>
  <c r="I45" i="16"/>
  <c r="J45" i="16" s="1"/>
  <c r="G45" i="16"/>
  <c r="D45" i="16"/>
  <c r="C45" i="16"/>
  <c r="B45" i="16"/>
  <c r="J44" i="16"/>
  <c r="I44" i="16"/>
  <c r="G44" i="16"/>
  <c r="D44" i="16"/>
  <c r="C44" i="16"/>
  <c r="B44" i="16"/>
  <c r="I43" i="16"/>
  <c r="J43" i="16" s="1"/>
  <c r="G43" i="16"/>
  <c r="D43" i="16"/>
  <c r="C43" i="16"/>
  <c r="B43" i="16"/>
  <c r="J42" i="16"/>
  <c r="I42" i="16"/>
  <c r="G42" i="16"/>
  <c r="D42" i="16"/>
  <c r="C42" i="16"/>
  <c r="B42" i="16"/>
  <c r="I41" i="16"/>
  <c r="J41" i="16" s="1"/>
  <c r="G41" i="16"/>
  <c r="D41" i="16"/>
  <c r="C41" i="16"/>
  <c r="B41" i="16"/>
  <c r="J40" i="16"/>
  <c r="I40" i="16"/>
  <c r="G40" i="16"/>
  <c r="D40" i="16"/>
  <c r="C40" i="16"/>
  <c r="B40" i="16"/>
  <c r="J39" i="16"/>
  <c r="I39" i="16"/>
  <c r="G39" i="16"/>
  <c r="D39" i="16"/>
  <c r="C39" i="16"/>
  <c r="B39" i="16"/>
  <c r="I38" i="16"/>
  <c r="J38" i="16" s="1"/>
  <c r="G38" i="16"/>
  <c r="D38" i="16"/>
  <c r="C38" i="16"/>
  <c r="B38" i="16"/>
  <c r="I37" i="16"/>
  <c r="J37" i="16" s="1"/>
  <c r="G37" i="16"/>
  <c r="D37" i="16"/>
  <c r="C37" i="16"/>
  <c r="B37" i="16"/>
  <c r="J36" i="16"/>
  <c r="I36" i="16"/>
  <c r="G36" i="16"/>
  <c r="D36" i="16"/>
  <c r="C36" i="16"/>
  <c r="B36" i="16"/>
  <c r="I35" i="16"/>
  <c r="J35" i="16" s="1"/>
  <c r="G35" i="16"/>
  <c r="D35" i="16"/>
  <c r="C35" i="16"/>
  <c r="B35" i="16"/>
  <c r="J34" i="16"/>
  <c r="I34" i="16"/>
  <c r="G34" i="16"/>
  <c r="D34" i="16"/>
  <c r="C34" i="16"/>
  <c r="B34" i="16"/>
  <c r="I33" i="16"/>
  <c r="J33" i="16" s="1"/>
  <c r="G33" i="16"/>
  <c r="D33" i="16"/>
  <c r="C33" i="16"/>
  <c r="B33" i="16"/>
  <c r="J32" i="16"/>
  <c r="I32" i="16"/>
  <c r="G32" i="16"/>
  <c r="D32" i="16"/>
  <c r="C32" i="16"/>
  <c r="B32" i="16"/>
  <c r="I31" i="16"/>
  <c r="J31" i="16" s="1"/>
  <c r="G31" i="16"/>
  <c r="D31" i="16"/>
  <c r="C31" i="16"/>
  <c r="B31" i="16"/>
  <c r="J30" i="16"/>
  <c r="I30" i="16"/>
  <c r="G30" i="16"/>
  <c r="D30" i="16"/>
  <c r="C30" i="16"/>
  <c r="B30" i="16"/>
  <c r="I29" i="16"/>
  <c r="J29" i="16" s="1"/>
  <c r="G29" i="16"/>
  <c r="D29" i="16"/>
  <c r="C29" i="16"/>
  <c r="B29" i="16"/>
  <c r="J28" i="16"/>
  <c r="I28" i="16"/>
  <c r="G28" i="16"/>
  <c r="D28" i="16"/>
  <c r="C28" i="16"/>
  <c r="B28" i="16"/>
  <c r="J27" i="16"/>
  <c r="I27" i="16"/>
  <c r="G27" i="16"/>
  <c r="D27" i="16"/>
  <c r="C27" i="16"/>
  <c r="B27" i="16"/>
  <c r="I26" i="16"/>
  <c r="J26" i="16" s="1"/>
  <c r="G26" i="16"/>
  <c r="D26" i="16"/>
  <c r="C26" i="16"/>
  <c r="B26" i="16"/>
  <c r="I25" i="16"/>
  <c r="J25" i="16" s="1"/>
  <c r="G25" i="16"/>
  <c r="D25" i="16"/>
  <c r="C25" i="16"/>
  <c r="B25" i="16"/>
  <c r="I24" i="16"/>
  <c r="J24" i="16" s="1"/>
  <c r="G24" i="16"/>
  <c r="D24" i="16"/>
  <c r="C24" i="16"/>
  <c r="B24" i="16"/>
  <c r="J23" i="16"/>
  <c r="I23" i="16"/>
  <c r="G23" i="16"/>
  <c r="D23" i="16"/>
  <c r="C23" i="16"/>
  <c r="B23" i="16"/>
  <c r="J22" i="16"/>
  <c r="I22" i="16"/>
  <c r="G22" i="16"/>
  <c r="D22" i="16"/>
  <c r="C22" i="16"/>
  <c r="B22" i="16"/>
  <c r="J21" i="16"/>
  <c r="I21" i="16"/>
  <c r="G21" i="16"/>
  <c r="D21" i="16"/>
  <c r="C21" i="16"/>
  <c r="B21" i="16"/>
  <c r="I20" i="16"/>
  <c r="J20" i="16" s="1"/>
  <c r="G20" i="16"/>
  <c r="D20" i="16"/>
  <c r="C20" i="16"/>
  <c r="B20" i="16"/>
  <c r="J19" i="16"/>
  <c r="I19" i="16"/>
  <c r="G19" i="16"/>
  <c r="D19" i="16"/>
  <c r="C19" i="16"/>
  <c r="B19" i="16"/>
  <c r="J18" i="16"/>
  <c r="I18" i="16"/>
  <c r="G18" i="16"/>
  <c r="D18" i="16"/>
  <c r="C18" i="16"/>
  <c r="B18" i="16"/>
  <c r="J17" i="16"/>
  <c r="I17" i="16"/>
  <c r="G17" i="16"/>
  <c r="D17" i="16"/>
  <c r="C17" i="16"/>
  <c r="B17" i="16"/>
  <c r="I16" i="16"/>
  <c r="J16" i="16" s="1"/>
  <c r="G16" i="16"/>
  <c r="D16" i="16"/>
  <c r="C16" i="16"/>
  <c r="B16" i="16"/>
  <c r="J15" i="16"/>
  <c r="I15" i="16"/>
  <c r="G15" i="16"/>
  <c r="D15" i="16"/>
  <c r="C15" i="16"/>
  <c r="B15" i="16"/>
  <c r="J14" i="16"/>
  <c r="I14" i="16"/>
  <c r="G14" i="16"/>
  <c r="D14" i="16"/>
  <c r="C14" i="16"/>
  <c r="B14" i="16"/>
  <c r="J13" i="16"/>
  <c r="I13" i="16"/>
  <c r="G13" i="16"/>
  <c r="D13" i="16"/>
  <c r="C13" i="16"/>
  <c r="B13" i="16"/>
  <c r="I12" i="16"/>
  <c r="J12" i="16" s="1"/>
  <c r="G12" i="16"/>
  <c r="D12" i="16"/>
  <c r="C12" i="16"/>
  <c r="B12" i="16"/>
  <c r="J11" i="16"/>
  <c r="I11" i="16"/>
  <c r="G11" i="16"/>
  <c r="D11" i="16"/>
  <c r="C11" i="16"/>
  <c r="B11" i="16"/>
  <c r="G10" i="16"/>
  <c r="D10" i="16"/>
  <c r="C10" i="16"/>
  <c r="I10" i="16" s="1"/>
  <c r="J10" i="16" s="1"/>
  <c r="B10" i="16"/>
  <c r="J9" i="16"/>
  <c r="D9" i="16"/>
  <c r="C9" i="16"/>
  <c r="I9" i="16" s="1"/>
  <c r="B9" i="16"/>
  <c r="J4" i="16"/>
  <c r="G4" i="16"/>
  <c r="D4" i="16"/>
  <c r="A4" i="16"/>
  <c r="I208" i="15"/>
  <c r="H208" i="15"/>
  <c r="F208" i="15"/>
  <c r="D208" i="15"/>
  <c r="C208" i="15"/>
  <c r="B208" i="15"/>
  <c r="I207" i="15"/>
  <c r="H207" i="15"/>
  <c r="F207" i="15"/>
  <c r="D207" i="15"/>
  <c r="C207" i="15"/>
  <c r="B207" i="15"/>
  <c r="H206" i="15"/>
  <c r="I206" i="15" s="1"/>
  <c r="F206" i="15"/>
  <c r="D206" i="15"/>
  <c r="C206" i="15"/>
  <c r="B206" i="15"/>
  <c r="I205" i="15"/>
  <c r="H205" i="15"/>
  <c r="F205" i="15"/>
  <c r="D205" i="15"/>
  <c r="C205" i="15"/>
  <c r="B205" i="15"/>
  <c r="I204" i="15"/>
  <c r="H204" i="15"/>
  <c r="F204" i="15"/>
  <c r="D204" i="15"/>
  <c r="C204" i="15"/>
  <c r="B204" i="15"/>
  <c r="I203" i="15"/>
  <c r="H203" i="15"/>
  <c r="F203" i="15"/>
  <c r="D203" i="15"/>
  <c r="C203" i="15"/>
  <c r="B203" i="15"/>
  <c r="H202" i="15"/>
  <c r="I202" i="15" s="1"/>
  <c r="F202" i="15"/>
  <c r="D202" i="15"/>
  <c r="C202" i="15"/>
  <c r="B202" i="15"/>
  <c r="I201" i="15"/>
  <c r="H201" i="15"/>
  <c r="F201" i="15"/>
  <c r="D201" i="15"/>
  <c r="C201" i="15"/>
  <c r="B201" i="15"/>
  <c r="I200" i="15"/>
  <c r="H200" i="15"/>
  <c r="F200" i="15"/>
  <c r="D200" i="15"/>
  <c r="C200" i="15"/>
  <c r="B200" i="15"/>
  <c r="I199" i="15"/>
  <c r="H199" i="15"/>
  <c r="F199" i="15"/>
  <c r="D199" i="15"/>
  <c r="C199" i="15"/>
  <c r="B199" i="15"/>
  <c r="H198" i="15"/>
  <c r="I198" i="15" s="1"/>
  <c r="F198" i="15"/>
  <c r="D198" i="15"/>
  <c r="C198" i="15"/>
  <c r="B198" i="15"/>
  <c r="I197" i="15"/>
  <c r="H197" i="15"/>
  <c r="F197" i="15"/>
  <c r="D197" i="15"/>
  <c r="C197" i="15"/>
  <c r="B197" i="15"/>
  <c r="I196" i="15"/>
  <c r="H196" i="15"/>
  <c r="F196" i="15"/>
  <c r="D196" i="15"/>
  <c r="C196" i="15"/>
  <c r="B196" i="15"/>
  <c r="I195" i="15"/>
  <c r="H195" i="15"/>
  <c r="F195" i="15"/>
  <c r="D195" i="15"/>
  <c r="C195" i="15"/>
  <c r="B195" i="15"/>
  <c r="H194" i="15"/>
  <c r="I194" i="15" s="1"/>
  <c r="F194" i="15"/>
  <c r="D194" i="15"/>
  <c r="C194" i="15"/>
  <c r="B194" i="15"/>
  <c r="I193" i="15"/>
  <c r="H193" i="15"/>
  <c r="F193" i="15"/>
  <c r="D193" i="15"/>
  <c r="C193" i="15"/>
  <c r="B193" i="15"/>
  <c r="I192" i="15"/>
  <c r="H192" i="15"/>
  <c r="F192" i="15"/>
  <c r="D192" i="15"/>
  <c r="C192" i="15"/>
  <c r="B192" i="15"/>
  <c r="I191" i="15"/>
  <c r="H191" i="15"/>
  <c r="F191" i="15"/>
  <c r="D191" i="15"/>
  <c r="C191" i="15"/>
  <c r="B191" i="15"/>
  <c r="H190" i="15"/>
  <c r="I190" i="15" s="1"/>
  <c r="F190" i="15"/>
  <c r="D190" i="15"/>
  <c r="C190" i="15"/>
  <c r="B190" i="15"/>
  <c r="I189" i="15"/>
  <c r="H189" i="15"/>
  <c r="F189" i="15"/>
  <c r="D189" i="15"/>
  <c r="C189" i="15"/>
  <c r="B189" i="15"/>
  <c r="I188" i="15"/>
  <c r="H188" i="15"/>
  <c r="F188" i="15"/>
  <c r="D188" i="15"/>
  <c r="C188" i="15"/>
  <c r="B188" i="15"/>
  <c r="I187" i="15"/>
  <c r="H187" i="15"/>
  <c r="F187" i="15"/>
  <c r="D187" i="15"/>
  <c r="C187" i="15"/>
  <c r="B187" i="15"/>
  <c r="H186" i="15"/>
  <c r="I186" i="15" s="1"/>
  <c r="F186" i="15"/>
  <c r="D186" i="15"/>
  <c r="C186" i="15"/>
  <c r="B186" i="15"/>
  <c r="I185" i="15"/>
  <c r="H185" i="15"/>
  <c r="F185" i="15"/>
  <c r="D185" i="15"/>
  <c r="C185" i="15"/>
  <c r="B185" i="15"/>
  <c r="I184" i="15"/>
  <c r="H184" i="15"/>
  <c r="F184" i="15"/>
  <c r="D184" i="15"/>
  <c r="C184" i="15"/>
  <c r="B184" i="15"/>
  <c r="I183" i="15"/>
  <c r="H183" i="15"/>
  <c r="F183" i="15"/>
  <c r="D183" i="15"/>
  <c r="C183" i="15"/>
  <c r="B183" i="15"/>
  <c r="H182" i="15"/>
  <c r="I182" i="15" s="1"/>
  <c r="F182" i="15"/>
  <c r="D182" i="15"/>
  <c r="C182" i="15"/>
  <c r="B182" i="15"/>
  <c r="I181" i="15"/>
  <c r="H181" i="15"/>
  <c r="F181" i="15"/>
  <c r="D181" i="15"/>
  <c r="C181" i="15"/>
  <c r="B181" i="15"/>
  <c r="I180" i="15"/>
  <c r="H180" i="15"/>
  <c r="F180" i="15"/>
  <c r="D180" i="15"/>
  <c r="C180" i="15"/>
  <c r="B180" i="15"/>
  <c r="I179" i="15"/>
  <c r="H179" i="15"/>
  <c r="F179" i="15"/>
  <c r="D179" i="15"/>
  <c r="C179" i="15"/>
  <c r="B179" i="15"/>
  <c r="H178" i="15"/>
  <c r="I178" i="15" s="1"/>
  <c r="F178" i="15"/>
  <c r="D178" i="15"/>
  <c r="C178" i="15"/>
  <c r="B178" i="15"/>
  <c r="I177" i="15"/>
  <c r="H177" i="15"/>
  <c r="F177" i="15"/>
  <c r="D177" i="15"/>
  <c r="C177" i="15"/>
  <c r="B177" i="15"/>
  <c r="I176" i="15"/>
  <c r="H176" i="15"/>
  <c r="F176" i="15"/>
  <c r="D176" i="15"/>
  <c r="C176" i="15"/>
  <c r="B176" i="15"/>
  <c r="I175" i="15"/>
  <c r="H175" i="15"/>
  <c r="F175" i="15"/>
  <c r="D175" i="15"/>
  <c r="C175" i="15"/>
  <c r="B175" i="15"/>
  <c r="H174" i="15"/>
  <c r="I174" i="15" s="1"/>
  <c r="F174" i="15"/>
  <c r="D174" i="15"/>
  <c r="C174" i="15"/>
  <c r="B174" i="15"/>
  <c r="I173" i="15"/>
  <c r="H173" i="15"/>
  <c r="F173" i="15"/>
  <c r="D173" i="15"/>
  <c r="C173" i="15"/>
  <c r="B173" i="15"/>
  <c r="I172" i="15"/>
  <c r="H172" i="15"/>
  <c r="F172" i="15"/>
  <c r="D172" i="15"/>
  <c r="C172" i="15"/>
  <c r="B172" i="15"/>
  <c r="I171" i="15"/>
  <c r="H171" i="15"/>
  <c r="F171" i="15"/>
  <c r="D171" i="15"/>
  <c r="C171" i="15"/>
  <c r="B171" i="15"/>
  <c r="H170" i="15"/>
  <c r="I170" i="15" s="1"/>
  <c r="F170" i="15"/>
  <c r="D170" i="15"/>
  <c r="C170" i="15"/>
  <c r="B170" i="15"/>
  <c r="I169" i="15"/>
  <c r="H169" i="15"/>
  <c r="F169" i="15"/>
  <c r="D169" i="15"/>
  <c r="C169" i="15"/>
  <c r="B169" i="15"/>
  <c r="I168" i="15"/>
  <c r="H168" i="15"/>
  <c r="F168" i="15"/>
  <c r="D168" i="15"/>
  <c r="C168" i="15"/>
  <c r="B168" i="15"/>
  <c r="I167" i="15"/>
  <c r="H167" i="15"/>
  <c r="F167" i="15"/>
  <c r="D167" i="15"/>
  <c r="C167" i="15"/>
  <c r="B167" i="15"/>
  <c r="H166" i="15"/>
  <c r="I166" i="15" s="1"/>
  <c r="F166" i="15"/>
  <c r="D166" i="15"/>
  <c r="C166" i="15"/>
  <c r="B166" i="15"/>
  <c r="I165" i="15"/>
  <c r="H165" i="15"/>
  <c r="F165" i="15"/>
  <c r="D165" i="15"/>
  <c r="C165" i="15"/>
  <c r="B165" i="15"/>
  <c r="I164" i="15"/>
  <c r="H164" i="15"/>
  <c r="F164" i="15"/>
  <c r="D164" i="15"/>
  <c r="C164" i="15"/>
  <c r="B164" i="15"/>
  <c r="I163" i="15"/>
  <c r="H163" i="15"/>
  <c r="F163" i="15"/>
  <c r="D163" i="15"/>
  <c r="C163" i="15"/>
  <c r="B163" i="15"/>
  <c r="H162" i="15"/>
  <c r="I162" i="15" s="1"/>
  <c r="F162" i="15"/>
  <c r="D162" i="15"/>
  <c r="C162" i="15"/>
  <c r="B162" i="15"/>
  <c r="I161" i="15"/>
  <c r="H161" i="15"/>
  <c r="F161" i="15"/>
  <c r="D161" i="15"/>
  <c r="C161" i="15"/>
  <c r="B161" i="15"/>
  <c r="I160" i="15"/>
  <c r="H160" i="15"/>
  <c r="F160" i="15"/>
  <c r="D160" i="15"/>
  <c r="C160" i="15"/>
  <c r="B160" i="15"/>
  <c r="I159" i="15"/>
  <c r="H159" i="15"/>
  <c r="F159" i="15"/>
  <c r="D159" i="15"/>
  <c r="C159" i="15"/>
  <c r="B159" i="15"/>
  <c r="H158" i="15"/>
  <c r="I158" i="15" s="1"/>
  <c r="F158" i="15"/>
  <c r="D158" i="15"/>
  <c r="C158" i="15"/>
  <c r="B158" i="15"/>
  <c r="I157" i="15"/>
  <c r="H157" i="15"/>
  <c r="F157" i="15"/>
  <c r="D157" i="15"/>
  <c r="C157" i="15"/>
  <c r="B157" i="15"/>
  <c r="I156" i="15"/>
  <c r="H156" i="15"/>
  <c r="F156" i="15"/>
  <c r="D156" i="15"/>
  <c r="C156" i="15"/>
  <c r="B156" i="15"/>
  <c r="I155" i="15"/>
  <c r="H155" i="15"/>
  <c r="F155" i="15"/>
  <c r="D155" i="15"/>
  <c r="C155" i="15"/>
  <c r="B155" i="15"/>
  <c r="H154" i="15"/>
  <c r="I154" i="15" s="1"/>
  <c r="F154" i="15"/>
  <c r="D154" i="15"/>
  <c r="C154" i="15"/>
  <c r="B154" i="15"/>
  <c r="I153" i="15"/>
  <c r="H153" i="15"/>
  <c r="F153" i="15"/>
  <c r="D153" i="15"/>
  <c r="C153" i="15"/>
  <c r="B153" i="15"/>
  <c r="I152" i="15"/>
  <c r="H152" i="15"/>
  <c r="F152" i="15"/>
  <c r="D152" i="15"/>
  <c r="C152" i="15"/>
  <c r="B152" i="15"/>
  <c r="I151" i="15"/>
  <c r="H151" i="15"/>
  <c r="F151" i="15"/>
  <c r="D151" i="15"/>
  <c r="C151" i="15"/>
  <c r="B151" i="15"/>
  <c r="H150" i="15"/>
  <c r="I150" i="15" s="1"/>
  <c r="F150" i="15"/>
  <c r="D150" i="15"/>
  <c r="C150" i="15"/>
  <c r="B150" i="15"/>
  <c r="I149" i="15"/>
  <c r="H149" i="15"/>
  <c r="F149" i="15"/>
  <c r="D149" i="15"/>
  <c r="C149" i="15"/>
  <c r="B149" i="15"/>
  <c r="I148" i="15"/>
  <c r="H148" i="15"/>
  <c r="F148" i="15"/>
  <c r="D148" i="15"/>
  <c r="C148" i="15"/>
  <c r="B148" i="15"/>
  <c r="I147" i="15"/>
  <c r="H147" i="15"/>
  <c r="F147" i="15"/>
  <c r="D147" i="15"/>
  <c r="C147" i="15"/>
  <c r="B147" i="15"/>
  <c r="H146" i="15"/>
  <c r="I146" i="15" s="1"/>
  <c r="F146" i="15"/>
  <c r="D146" i="15"/>
  <c r="C146" i="15"/>
  <c r="B146" i="15"/>
  <c r="I145" i="15"/>
  <c r="H145" i="15"/>
  <c r="F145" i="15"/>
  <c r="D145" i="15"/>
  <c r="C145" i="15"/>
  <c r="B145" i="15"/>
  <c r="I144" i="15"/>
  <c r="H144" i="15"/>
  <c r="F144" i="15"/>
  <c r="D144" i="15"/>
  <c r="C144" i="15"/>
  <c r="B144" i="15"/>
  <c r="I143" i="15"/>
  <c r="H143" i="15"/>
  <c r="F143" i="15"/>
  <c r="D143" i="15"/>
  <c r="C143" i="15"/>
  <c r="B143" i="15"/>
  <c r="H142" i="15"/>
  <c r="I142" i="15" s="1"/>
  <c r="F142" i="15"/>
  <c r="D142" i="15"/>
  <c r="C142" i="15"/>
  <c r="B142" i="15"/>
  <c r="I141" i="15"/>
  <c r="H141" i="15"/>
  <c r="F141" i="15"/>
  <c r="D141" i="15"/>
  <c r="C141" i="15"/>
  <c r="B141" i="15"/>
  <c r="I140" i="15"/>
  <c r="H140" i="15"/>
  <c r="F140" i="15"/>
  <c r="D140" i="15"/>
  <c r="C140" i="15"/>
  <c r="B140" i="15"/>
  <c r="I139" i="15"/>
  <c r="H139" i="15"/>
  <c r="F139" i="15"/>
  <c r="D139" i="15"/>
  <c r="C139" i="15"/>
  <c r="B139" i="15"/>
  <c r="H138" i="15"/>
  <c r="I138" i="15" s="1"/>
  <c r="F138" i="15"/>
  <c r="D138" i="15"/>
  <c r="C138" i="15"/>
  <c r="B138" i="15"/>
  <c r="I137" i="15"/>
  <c r="H137" i="15"/>
  <c r="F137" i="15"/>
  <c r="D137" i="15"/>
  <c r="C137" i="15"/>
  <c r="B137" i="15"/>
  <c r="I136" i="15"/>
  <c r="H136" i="15"/>
  <c r="F136" i="15"/>
  <c r="D136" i="15"/>
  <c r="C136" i="15"/>
  <c r="B136" i="15"/>
  <c r="I135" i="15"/>
  <c r="H135" i="15"/>
  <c r="F135" i="15"/>
  <c r="D135" i="15"/>
  <c r="C135" i="15"/>
  <c r="B135" i="15"/>
  <c r="H134" i="15"/>
  <c r="I134" i="15" s="1"/>
  <c r="F134" i="15"/>
  <c r="D134" i="15"/>
  <c r="C134" i="15"/>
  <c r="B134" i="15"/>
  <c r="I133" i="15"/>
  <c r="H133" i="15"/>
  <c r="F133" i="15"/>
  <c r="D133" i="15"/>
  <c r="C133" i="15"/>
  <c r="B133" i="15"/>
  <c r="I132" i="15"/>
  <c r="H132" i="15"/>
  <c r="F132" i="15"/>
  <c r="D132" i="15"/>
  <c r="C132" i="15"/>
  <c r="B132" i="15"/>
  <c r="I131" i="15"/>
  <c r="H131" i="15"/>
  <c r="F131" i="15"/>
  <c r="D131" i="15"/>
  <c r="C131" i="15"/>
  <c r="B131" i="15"/>
  <c r="H130" i="15"/>
  <c r="I130" i="15" s="1"/>
  <c r="F130" i="15"/>
  <c r="D130" i="15"/>
  <c r="C130" i="15"/>
  <c r="B130" i="15"/>
  <c r="I129" i="15"/>
  <c r="H129" i="15"/>
  <c r="F129" i="15"/>
  <c r="D129" i="15"/>
  <c r="C129" i="15"/>
  <c r="B129" i="15"/>
  <c r="I128" i="15"/>
  <c r="H128" i="15"/>
  <c r="F128" i="15"/>
  <c r="D128" i="15"/>
  <c r="C128" i="15"/>
  <c r="B128" i="15"/>
  <c r="I127" i="15"/>
  <c r="H127" i="15"/>
  <c r="F127" i="15"/>
  <c r="D127" i="15"/>
  <c r="C127" i="15"/>
  <c r="B127" i="15"/>
  <c r="H126" i="15"/>
  <c r="I126" i="15" s="1"/>
  <c r="F126" i="15"/>
  <c r="D126" i="15"/>
  <c r="C126" i="15"/>
  <c r="B126" i="15"/>
  <c r="I125" i="15"/>
  <c r="H125" i="15"/>
  <c r="F125" i="15"/>
  <c r="D125" i="15"/>
  <c r="C125" i="15"/>
  <c r="B125" i="15"/>
  <c r="I124" i="15"/>
  <c r="H124" i="15"/>
  <c r="F124" i="15"/>
  <c r="D124" i="15"/>
  <c r="C124" i="15"/>
  <c r="B124" i="15"/>
  <c r="I123" i="15"/>
  <c r="H123" i="15"/>
  <c r="F123" i="15"/>
  <c r="D123" i="15"/>
  <c r="C123" i="15"/>
  <c r="B123" i="15"/>
  <c r="H122" i="15"/>
  <c r="I122" i="15" s="1"/>
  <c r="F122" i="15"/>
  <c r="D122" i="15"/>
  <c r="C122" i="15"/>
  <c r="B122" i="15"/>
  <c r="I121" i="15"/>
  <c r="H121" i="15"/>
  <c r="F121" i="15"/>
  <c r="D121" i="15"/>
  <c r="C121" i="15"/>
  <c r="B121" i="15"/>
  <c r="I120" i="15"/>
  <c r="H120" i="15"/>
  <c r="F120" i="15"/>
  <c r="D120" i="15"/>
  <c r="C120" i="15"/>
  <c r="B120" i="15"/>
  <c r="I119" i="15"/>
  <c r="H119" i="15"/>
  <c r="F119" i="15"/>
  <c r="D119" i="15"/>
  <c r="C119" i="15"/>
  <c r="B119" i="15"/>
  <c r="H118" i="15"/>
  <c r="I118" i="15" s="1"/>
  <c r="F118" i="15"/>
  <c r="D118" i="15"/>
  <c r="C118" i="15"/>
  <c r="B118" i="15"/>
  <c r="I117" i="15"/>
  <c r="H117" i="15"/>
  <c r="F117" i="15"/>
  <c r="D117" i="15"/>
  <c r="C117" i="15"/>
  <c r="B117" i="15"/>
  <c r="I116" i="15"/>
  <c r="H116" i="15"/>
  <c r="F116" i="15"/>
  <c r="D116" i="15"/>
  <c r="C116" i="15"/>
  <c r="B116" i="15"/>
  <c r="I115" i="15"/>
  <c r="H115" i="15"/>
  <c r="F115" i="15"/>
  <c r="D115" i="15"/>
  <c r="C115" i="15"/>
  <c r="B115" i="15"/>
  <c r="H114" i="15"/>
  <c r="I114" i="15" s="1"/>
  <c r="F114" i="15"/>
  <c r="D114" i="15"/>
  <c r="C114" i="15"/>
  <c r="B114" i="15"/>
  <c r="I113" i="15"/>
  <c r="H113" i="15"/>
  <c r="F113" i="15"/>
  <c r="D113" i="15"/>
  <c r="C113" i="15"/>
  <c r="B113" i="15"/>
  <c r="I112" i="15"/>
  <c r="H112" i="15"/>
  <c r="F112" i="15"/>
  <c r="D112" i="15"/>
  <c r="C112" i="15"/>
  <c r="B112" i="15"/>
  <c r="I111" i="15"/>
  <c r="H111" i="15"/>
  <c r="F111" i="15"/>
  <c r="D111" i="15"/>
  <c r="C111" i="15"/>
  <c r="B111" i="15"/>
  <c r="H110" i="15"/>
  <c r="I110" i="15" s="1"/>
  <c r="F110" i="15"/>
  <c r="D110" i="15"/>
  <c r="C110" i="15"/>
  <c r="B110" i="15"/>
  <c r="I109" i="15"/>
  <c r="H109" i="15"/>
  <c r="F109" i="15"/>
  <c r="D109" i="15"/>
  <c r="C109" i="15"/>
  <c r="B109" i="15"/>
  <c r="I108" i="15"/>
  <c r="H108" i="15"/>
  <c r="F108" i="15"/>
  <c r="D108" i="15"/>
  <c r="C108" i="15"/>
  <c r="B108" i="15"/>
  <c r="I107" i="15"/>
  <c r="H107" i="15"/>
  <c r="F107" i="15"/>
  <c r="D107" i="15"/>
  <c r="C107" i="15"/>
  <c r="B107" i="15"/>
  <c r="H106" i="15"/>
  <c r="I106" i="15" s="1"/>
  <c r="F106" i="15"/>
  <c r="D106" i="15"/>
  <c r="C106" i="15"/>
  <c r="B106" i="15"/>
  <c r="I105" i="15"/>
  <c r="H105" i="15"/>
  <c r="F105" i="15"/>
  <c r="D105" i="15"/>
  <c r="C105" i="15"/>
  <c r="B105" i="15"/>
  <c r="I104" i="15"/>
  <c r="H104" i="15"/>
  <c r="F104" i="15"/>
  <c r="D104" i="15"/>
  <c r="C104" i="15"/>
  <c r="B104" i="15"/>
  <c r="I103" i="15"/>
  <c r="H103" i="15"/>
  <c r="F103" i="15"/>
  <c r="D103" i="15"/>
  <c r="C103" i="15"/>
  <c r="B103" i="15"/>
  <c r="H102" i="15"/>
  <c r="I102" i="15" s="1"/>
  <c r="F102" i="15"/>
  <c r="D102" i="15"/>
  <c r="C102" i="15"/>
  <c r="B102" i="15"/>
  <c r="I101" i="15"/>
  <c r="H101" i="15"/>
  <c r="F101" i="15"/>
  <c r="D101" i="15"/>
  <c r="C101" i="15"/>
  <c r="B101" i="15"/>
  <c r="I100" i="15"/>
  <c r="H100" i="15"/>
  <c r="F100" i="15"/>
  <c r="D100" i="15"/>
  <c r="C100" i="15"/>
  <c r="B100" i="15"/>
  <c r="I99" i="15"/>
  <c r="H99" i="15"/>
  <c r="F99" i="15"/>
  <c r="D99" i="15"/>
  <c r="C99" i="15"/>
  <c r="B99" i="15"/>
  <c r="H98" i="15"/>
  <c r="I98" i="15" s="1"/>
  <c r="F98" i="15"/>
  <c r="D98" i="15"/>
  <c r="C98" i="15"/>
  <c r="B98" i="15"/>
  <c r="I97" i="15"/>
  <c r="H97" i="15"/>
  <c r="F97" i="15"/>
  <c r="D97" i="15"/>
  <c r="C97" i="15"/>
  <c r="B97" i="15"/>
  <c r="I96" i="15"/>
  <c r="H96" i="15"/>
  <c r="F96" i="15"/>
  <c r="D96" i="15"/>
  <c r="C96" i="15"/>
  <c r="B96" i="15"/>
  <c r="I95" i="15"/>
  <c r="H95" i="15"/>
  <c r="F95" i="15"/>
  <c r="D95" i="15"/>
  <c r="C95" i="15"/>
  <c r="B95" i="15"/>
  <c r="H94" i="15"/>
  <c r="I94" i="15" s="1"/>
  <c r="F94" i="15"/>
  <c r="D94" i="15"/>
  <c r="C94" i="15"/>
  <c r="B94" i="15"/>
  <c r="I93" i="15"/>
  <c r="H93" i="15"/>
  <c r="F93" i="15"/>
  <c r="D93" i="15"/>
  <c r="C93" i="15"/>
  <c r="B93" i="15"/>
  <c r="I92" i="15"/>
  <c r="H92" i="15"/>
  <c r="F92" i="15"/>
  <c r="D92" i="15"/>
  <c r="C92" i="15"/>
  <c r="B92" i="15"/>
  <c r="I91" i="15"/>
  <c r="H91" i="15"/>
  <c r="F91" i="15"/>
  <c r="D91" i="15"/>
  <c r="C91" i="15"/>
  <c r="B91" i="15"/>
  <c r="H90" i="15"/>
  <c r="I90" i="15" s="1"/>
  <c r="F90" i="15"/>
  <c r="D90" i="15"/>
  <c r="C90" i="15"/>
  <c r="B90" i="15"/>
  <c r="I89" i="15"/>
  <c r="H89" i="15"/>
  <c r="F89" i="15"/>
  <c r="D89" i="15"/>
  <c r="C89" i="15"/>
  <c r="B89" i="15"/>
  <c r="I88" i="15"/>
  <c r="H88" i="15"/>
  <c r="F88" i="15"/>
  <c r="D88" i="15"/>
  <c r="C88" i="15"/>
  <c r="B88" i="15"/>
  <c r="I87" i="15"/>
  <c r="H87" i="15"/>
  <c r="F87" i="15"/>
  <c r="D87" i="15"/>
  <c r="C87" i="15"/>
  <c r="B87" i="15"/>
  <c r="H86" i="15"/>
  <c r="I86" i="15" s="1"/>
  <c r="F86" i="15"/>
  <c r="D86" i="15"/>
  <c r="C86" i="15"/>
  <c r="B86" i="15"/>
  <c r="I85" i="15"/>
  <c r="H85" i="15"/>
  <c r="F85" i="15"/>
  <c r="D85" i="15"/>
  <c r="C85" i="15"/>
  <c r="B85" i="15"/>
  <c r="I84" i="15"/>
  <c r="H84" i="15"/>
  <c r="F84" i="15"/>
  <c r="D84" i="15"/>
  <c r="C84" i="15"/>
  <c r="B84" i="15"/>
  <c r="I83" i="15"/>
  <c r="H83" i="15"/>
  <c r="F83" i="15"/>
  <c r="D83" i="15"/>
  <c r="C83" i="15"/>
  <c r="B83" i="15"/>
  <c r="H82" i="15"/>
  <c r="I82" i="15" s="1"/>
  <c r="F82" i="15"/>
  <c r="D82" i="15"/>
  <c r="C82" i="15"/>
  <c r="B82" i="15"/>
  <c r="I81" i="15"/>
  <c r="H81" i="15"/>
  <c r="F81" i="15"/>
  <c r="D81" i="15"/>
  <c r="C81" i="15"/>
  <c r="B81" i="15"/>
  <c r="I80" i="15"/>
  <c r="H80" i="15"/>
  <c r="F80" i="15"/>
  <c r="D80" i="15"/>
  <c r="C80" i="15"/>
  <c r="B80" i="15"/>
  <c r="I79" i="15"/>
  <c r="H79" i="15"/>
  <c r="F79" i="15"/>
  <c r="D79" i="15"/>
  <c r="C79" i="15"/>
  <c r="B79" i="15"/>
  <c r="H78" i="15"/>
  <c r="I78" i="15" s="1"/>
  <c r="F78" i="15"/>
  <c r="D78" i="15"/>
  <c r="C78" i="15"/>
  <c r="B78" i="15"/>
  <c r="I77" i="15"/>
  <c r="H77" i="15"/>
  <c r="F77" i="15"/>
  <c r="D77" i="15"/>
  <c r="C77" i="15"/>
  <c r="B77" i="15"/>
  <c r="I76" i="15"/>
  <c r="H76" i="15"/>
  <c r="F76" i="15"/>
  <c r="D76" i="15"/>
  <c r="C76" i="15"/>
  <c r="B76" i="15"/>
  <c r="I75" i="15"/>
  <c r="H75" i="15"/>
  <c r="F75" i="15"/>
  <c r="D75" i="15"/>
  <c r="C75" i="15"/>
  <c r="B75" i="15"/>
  <c r="H74" i="15"/>
  <c r="I74" i="15" s="1"/>
  <c r="F74" i="15"/>
  <c r="D74" i="15"/>
  <c r="C74" i="15"/>
  <c r="B74" i="15"/>
  <c r="I73" i="15"/>
  <c r="H73" i="15"/>
  <c r="F73" i="15"/>
  <c r="D73" i="15"/>
  <c r="C73" i="15"/>
  <c r="B73" i="15"/>
  <c r="I72" i="15"/>
  <c r="H72" i="15"/>
  <c r="F72" i="15"/>
  <c r="D72" i="15"/>
  <c r="C72" i="15"/>
  <c r="B72" i="15"/>
  <c r="I71" i="15"/>
  <c r="H71" i="15"/>
  <c r="F71" i="15"/>
  <c r="D71" i="15"/>
  <c r="C71" i="15"/>
  <c r="B71" i="15"/>
  <c r="H70" i="15"/>
  <c r="I70" i="15" s="1"/>
  <c r="F70" i="15"/>
  <c r="D70" i="15"/>
  <c r="C70" i="15"/>
  <c r="B70" i="15"/>
  <c r="I69" i="15"/>
  <c r="H69" i="15"/>
  <c r="F69" i="15"/>
  <c r="D69" i="15"/>
  <c r="C69" i="15"/>
  <c r="B69" i="15"/>
  <c r="I68" i="15"/>
  <c r="H68" i="15"/>
  <c r="F68" i="15"/>
  <c r="D68" i="15"/>
  <c r="C68" i="15"/>
  <c r="B68" i="15"/>
  <c r="I67" i="15"/>
  <c r="H67" i="15"/>
  <c r="F67" i="15"/>
  <c r="D67" i="15"/>
  <c r="C67" i="15"/>
  <c r="B67" i="15"/>
  <c r="H66" i="15"/>
  <c r="I66" i="15" s="1"/>
  <c r="F66" i="15"/>
  <c r="D66" i="15"/>
  <c r="C66" i="15"/>
  <c r="B66" i="15"/>
  <c r="I65" i="15"/>
  <c r="H65" i="15"/>
  <c r="F65" i="15"/>
  <c r="D65" i="15"/>
  <c r="C65" i="15"/>
  <c r="B65" i="15"/>
  <c r="I64" i="15"/>
  <c r="H64" i="15"/>
  <c r="F64" i="15"/>
  <c r="D64" i="15"/>
  <c r="C64" i="15"/>
  <c r="B64" i="15"/>
  <c r="I63" i="15"/>
  <c r="H63" i="15"/>
  <c r="F63" i="15"/>
  <c r="D63" i="15"/>
  <c r="C63" i="15"/>
  <c r="B63" i="15"/>
  <c r="H62" i="15"/>
  <c r="I62" i="15" s="1"/>
  <c r="F62" i="15"/>
  <c r="D62" i="15"/>
  <c r="C62" i="15"/>
  <c r="B62" i="15"/>
  <c r="I61" i="15"/>
  <c r="H61" i="15"/>
  <c r="F61" i="15"/>
  <c r="D61" i="15"/>
  <c r="C61" i="15"/>
  <c r="B61" i="15"/>
  <c r="I60" i="15"/>
  <c r="H60" i="15"/>
  <c r="F60" i="15"/>
  <c r="D60" i="15"/>
  <c r="C60" i="15"/>
  <c r="B60" i="15"/>
  <c r="I59" i="15"/>
  <c r="H59" i="15"/>
  <c r="F59" i="15"/>
  <c r="D59" i="15"/>
  <c r="C59" i="15"/>
  <c r="B59" i="15"/>
  <c r="H58" i="15"/>
  <c r="I58" i="15" s="1"/>
  <c r="F58" i="15"/>
  <c r="D58" i="15"/>
  <c r="C58" i="15"/>
  <c r="B58" i="15"/>
  <c r="I57" i="15"/>
  <c r="H57" i="15"/>
  <c r="F57" i="15"/>
  <c r="D57" i="15"/>
  <c r="C57" i="15"/>
  <c r="B57" i="15"/>
  <c r="I56" i="15"/>
  <c r="H56" i="15"/>
  <c r="F56" i="15"/>
  <c r="D56" i="15"/>
  <c r="C56" i="15"/>
  <c r="B56" i="15"/>
  <c r="I55" i="15"/>
  <c r="H55" i="15"/>
  <c r="F55" i="15"/>
  <c r="D55" i="15"/>
  <c r="C55" i="15"/>
  <c r="B55" i="15"/>
  <c r="H54" i="15"/>
  <c r="I54" i="15" s="1"/>
  <c r="F54" i="15"/>
  <c r="D54" i="15"/>
  <c r="C54" i="15"/>
  <c r="B54" i="15"/>
  <c r="I53" i="15"/>
  <c r="H53" i="15"/>
  <c r="F53" i="15"/>
  <c r="D53" i="15"/>
  <c r="C53" i="15"/>
  <c r="B53" i="15"/>
  <c r="I52" i="15"/>
  <c r="H52" i="15"/>
  <c r="F52" i="15"/>
  <c r="D52" i="15"/>
  <c r="C52" i="15"/>
  <c r="B52" i="15"/>
  <c r="I51" i="15"/>
  <c r="H51" i="15"/>
  <c r="F51" i="15"/>
  <c r="D51" i="15"/>
  <c r="C51" i="15"/>
  <c r="B51" i="15"/>
  <c r="H50" i="15"/>
  <c r="I50" i="15" s="1"/>
  <c r="F50" i="15"/>
  <c r="D50" i="15"/>
  <c r="C50" i="15"/>
  <c r="B50" i="15"/>
  <c r="I49" i="15"/>
  <c r="H49" i="15"/>
  <c r="F49" i="15"/>
  <c r="D49" i="15"/>
  <c r="C49" i="15"/>
  <c r="B49" i="15"/>
  <c r="H48" i="15"/>
  <c r="I48" i="15" s="1"/>
  <c r="F48" i="15"/>
  <c r="D48" i="15"/>
  <c r="C48" i="15"/>
  <c r="B48" i="15"/>
  <c r="I47" i="15"/>
  <c r="H47" i="15"/>
  <c r="F47" i="15"/>
  <c r="D47" i="15"/>
  <c r="C47" i="15"/>
  <c r="B47" i="15"/>
  <c r="H46" i="15"/>
  <c r="I46" i="15" s="1"/>
  <c r="F46" i="15"/>
  <c r="D46" i="15"/>
  <c r="C46" i="15"/>
  <c r="B46" i="15"/>
  <c r="I45" i="15"/>
  <c r="H45" i="15"/>
  <c r="F45" i="15"/>
  <c r="D45" i="15"/>
  <c r="C45" i="15"/>
  <c r="B45" i="15"/>
  <c r="H44" i="15"/>
  <c r="I44" i="15" s="1"/>
  <c r="F44" i="15"/>
  <c r="D44" i="15"/>
  <c r="C44" i="15"/>
  <c r="B44" i="15"/>
  <c r="I43" i="15"/>
  <c r="H43" i="15"/>
  <c r="F43" i="15"/>
  <c r="D43" i="15"/>
  <c r="C43" i="15"/>
  <c r="B43" i="15"/>
  <c r="H42" i="15"/>
  <c r="I42" i="15" s="1"/>
  <c r="F42" i="15"/>
  <c r="D42" i="15"/>
  <c r="C42" i="15"/>
  <c r="B42" i="15"/>
  <c r="I41" i="15"/>
  <c r="H41" i="15"/>
  <c r="F41" i="15"/>
  <c r="D41" i="15"/>
  <c r="C41" i="15"/>
  <c r="B41" i="15"/>
  <c r="H40" i="15"/>
  <c r="I40" i="15" s="1"/>
  <c r="F40" i="15"/>
  <c r="D40" i="15"/>
  <c r="C40" i="15"/>
  <c r="B40" i="15"/>
  <c r="I39" i="15"/>
  <c r="H39" i="15"/>
  <c r="F39" i="15"/>
  <c r="D39" i="15"/>
  <c r="C39" i="15"/>
  <c r="B39" i="15"/>
  <c r="H38" i="15"/>
  <c r="I38" i="15" s="1"/>
  <c r="F38" i="15"/>
  <c r="D38" i="15"/>
  <c r="C38" i="15"/>
  <c r="B38" i="15"/>
  <c r="I37" i="15"/>
  <c r="H37" i="15"/>
  <c r="F37" i="15"/>
  <c r="D37" i="15"/>
  <c r="C37" i="15"/>
  <c r="B37" i="15"/>
  <c r="H36" i="15"/>
  <c r="I36" i="15" s="1"/>
  <c r="F36" i="15"/>
  <c r="D36" i="15"/>
  <c r="C36" i="15"/>
  <c r="B36" i="15"/>
  <c r="I35" i="15"/>
  <c r="H35" i="15"/>
  <c r="F35" i="15"/>
  <c r="D35" i="15"/>
  <c r="C35" i="15"/>
  <c r="B35" i="15"/>
  <c r="H34" i="15"/>
  <c r="I34" i="15" s="1"/>
  <c r="F34" i="15"/>
  <c r="D34" i="15"/>
  <c r="C34" i="15"/>
  <c r="B34" i="15"/>
  <c r="I33" i="15"/>
  <c r="H33" i="15"/>
  <c r="F33" i="15"/>
  <c r="D33" i="15"/>
  <c r="C33" i="15"/>
  <c r="B33" i="15"/>
  <c r="H32" i="15"/>
  <c r="I32" i="15" s="1"/>
  <c r="F32" i="15"/>
  <c r="D32" i="15"/>
  <c r="C32" i="15"/>
  <c r="B32" i="15"/>
  <c r="I31" i="15"/>
  <c r="H31" i="15"/>
  <c r="F31" i="15"/>
  <c r="D31" i="15"/>
  <c r="C31" i="15"/>
  <c r="B31" i="15"/>
  <c r="H30" i="15"/>
  <c r="I30" i="15" s="1"/>
  <c r="F30" i="15"/>
  <c r="D30" i="15"/>
  <c r="C30" i="15"/>
  <c r="B30" i="15"/>
  <c r="I29" i="15"/>
  <c r="H29" i="15"/>
  <c r="F29" i="15"/>
  <c r="D29" i="15"/>
  <c r="C29" i="15"/>
  <c r="B29" i="15"/>
  <c r="H28" i="15"/>
  <c r="I28" i="15" s="1"/>
  <c r="F28" i="15"/>
  <c r="D28" i="15"/>
  <c r="C28" i="15"/>
  <c r="B28" i="15"/>
  <c r="I27" i="15"/>
  <c r="H27" i="15"/>
  <c r="F27" i="15"/>
  <c r="D27" i="15"/>
  <c r="C27" i="15"/>
  <c r="B27" i="15"/>
  <c r="H26" i="15"/>
  <c r="I26" i="15" s="1"/>
  <c r="F26" i="15"/>
  <c r="D26" i="15"/>
  <c r="C26" i="15"/>
  <c r="B26" i="15"/>
  <c r="I25" i="15"/>
  <c r="H25" i="15"/>
  <c r="F25" i="15"/>
  <c r="D25" i="15"/>
  <c r="C25" i="15"/>
  <c r="B25" i="15"/>
  <c r="H24" i="15"/>
  <c r="I24" i="15" s="1"/>
  <c r="F24" i="15"/>
  <c r="D24" i="15"/>
  <c r="C24" i="15"/>
  <c r="B24" i="15"/>
  <c r="I23" i="15"/>
  <c r="H23" i="15"/>
  <c r="F23" i="15"/>
  <c r="D23" i="15"/>
  <c r="C23" i="15"/>
  <c r="B23" i="15"/>
  <c r="H22" i="15"/>
  <c r="I22" i="15" s="1"/>
  <c r="F22" i="15"/>
  <c r="D22" i="15"/>
  <c r="C22" i="15"/>
  <c r="B22" i="15"/>
  <c r="I21" i="15"/>
  <c r="H21" i="15"/>
  <c r="F21" i="15"/>
  <c r="D21" i="15"/>
  <c r="C21" i="15"/>
  <c r="B21" i="15"/>
  <c r="H20" i="15"/>
  <c r="I20" i="15" s="1"/>
  <c r="F20" i="15"/>
  <c r="D20" i="15"/>
  <c r="C20" i="15"/>
  <c r="B20" i="15"/>
  <c r="I19" i="15"/>
  <c r="H19" i="15"/>
  <c r="F19" i="15"/>
  <c r="D19" i="15"/>
  <c r="C19" i="15"/>
  <c r="B19" i="15"/>
  <c r="H18" i="15"/>
  <c r="I18" i="15" s="1"/>
  <c r="F18" i="15"/>
  <c r="D18" i="15"/>
  <c r="C18" i="15"/>
  <c r="B18" i="15"/>
  <c r="I17" i="15"/>
  <c r="H17" i="15"/>
  <c r="F17" i="15"/>
  <c r="D17" i="15"/>
  <c r="C17" i="15"/>
  <c r="B17" i="15"/>
  <c r="H16" i="15"/>
  <c r="I16" i="15" s="1"/>
  <c r="F16" i="15"/>
  <c r="D16" i="15"/>
  <c r="C16" i="15"/>
  <c r="B16" i="15"/>
  <c r="I15" i="15"/>
  <c r="H15" i="15"/>
  <c r="F15" i="15"/>
  <c r="D15" i="15"/>
  <c r="C15" i="15"/>
  <c r="B15" i="15"/>
  <c r="H14" i="15"/>
  <c r="I14" i="15" s="1"/>
  <c r="F14" i="15"/>
  <c r="D14" i="15"/>
  <c r="C14" i="15"/>
  <c r="B14" i="15"/>
  <c r="I13" i="15"/>
  <c r="H13" i="15"/>
  <c r="F13" i="15"/>
  <c r="D13" i="15"/>
  <c r="C13" i="15"/>
  <c r="B13" i="15"/>
  <c r="H12" i="15"/>
  <c r="I12" i="15" s="1"/>
  <c r="F12" i="15"/>
  <c r="D12" i="15"/>
  <c r="C12" i="15"/>
  <c r="B12" i="15"/>
  <c r="I11" i="15"/>
  <c r="H11" i="15"/>
  <c r="F11" i="15"/>
  <c r="D11" i="15"/>
  <c r="C11" i="15"/>
  <c r="B11" i="15"/>
  <c r="H10" i="15"/>
  <c r="I10" i="15" s="1"/>
  <c r="F10" i="15"/>
  <c r="D10" i="15"/>
  <c r="C10" i="15"/>
  <c r="B10" i="15"/>
  <c r="I9" i="15"/>
  <c r="H9" i="15"/>
  <c r="D9" i="15"/>
  <c r="C9" i="15"/>
  <c r="F9" i="15" s="1"/>
  <c r="B9" i="15"/>
  <c r="A5" i="15"/>
  <c r="G4" i="15"/>
  <c r="D4" i="15"/>
  <c r="A4" i="15"/>
  <c r="K113" i="14"/>
  <c r="J113" i="14"/>
  <c r="I113" i="14"/>
  <c r="D113" i="14"/>
  <c r="C113" i="14"/>
  <c r="A113" i="14"/>
  <c r="K112" i="14"/>
  <c r="J112" i="14"/>
  <c r="I112" i="14"/>
  <c r="D112" i="14"/>
  <c r="C112" i="14"/>
  <c r="A112" i="14"/>
  <c r="K111" i="14"/>
  <c r="I111" i="14"/>
  <c r="J111" i="14" s="1"/>
  <c r="D111" i="14"/>
  <c r="C111" i="14"/>
  <c r="A111" i="14"/>
  <c r="K110" i="14"/>
  <c r="I110" i="14"/>
  <c r="J110" i="14" s="1"/>
  <c r="D110" i="14"/>
  <c r="C110" i="14"/>
  <c r="A110" i="14"/>
  <c r="K109" i="14"/>
  <c r="J109" i="14"/>
  <c r="I109" i="14"/>
  <c r="D109" i="14"/>
  <c r="C109" i="14"/>
  <c r="A109" i="14"/>
  <c r="K108" i="14"/>
  <c r="J108" i="14"/>
  <c r="I108" i="14"/>
  <c r="D108" i="14"/>
  <c r="C108" i="14"/>
  <c r="A108" i="14"/>
  <c r="K107" i="14"/>
  <c r="I107" i="14"/>
  <c r="J107" i="14" s="1"/>
  <c r="D107" i="14"/>
  <c r="C107" i="14"/>
  <c r="A107" i="14"/>
  <c r="K106" i="14"/>
  <c r="I106" i="14"/>
  <c r="J106" i="14" s="1"/>
  <c r="D106" i="14"/>
  <c r="C106" i="14"/>
  <c r="A106" i="14"/>
  <c r="K105" i="14"/>
  <c r="I105" i="14"/>
  <c r="J105" i="14" s="1"/>
  <c r="D105" i="14"/>
  <c r="C105" i="14"/>
  <c r="A105" i="14"/>
  <c r="K104" i="14"/>
  <c r="J104" i="14"/>
  <c r="I104" i="14"/>
  <c r="D104" i="14"/>
  <c r="C104" i="14"/>
  <c r="A104" i="14"/>
  <c r="K103" i="14"/>
  <c r="I103" i="14"/>
  <c r="J103" i="14" s="1"/>
  <c r="D103" i="14"/>
  <c r="C103" i="14"/>
  <c r="A103" i="14"/>
  <c r="K102" i="14"/>
  <c r="I102" i="14"/>
  <c r="J102" i="14" s="1"/>
  <c r="D102" i="14"/>
  <c r="C102" i="14"/>
  <c r="A102" i="14"/>
  <c r="K101" i="14"/>
  <c r="J101" i="14"/>
  <c r="I101" i="14"/>
  <c r="D101" i="14"/>
  <c r="C101" i="14"/>
  <c r="A101" i="14"/>
  <c r="K100" i="14"/>
  <c r="J100" i="14"/>
  <c r="I100" i="14"/>
  <c r="D100" i="14"/>
  <c r="C100" i="14"/>
  <c r="A100" i="14"/>
  <c r="K99" i="14"/>
  <c r="I99" i="14"/>
  <c r="J99" i="14" s="1"/>
  <c r="D99" i="14"/>
  <c r="C99" i="14"/>
  <c r="A99" i="14"/>
  <c r="K98" i="14"/>
  <c r="I98" i="14"/>
  <c r="J98" i="14" s="1"/>
  <c r="D98" i="14"/>
  <c r="C98" i="14"/>
  <c r="A98" i="14"/>
  <c r="K97" i="14"/>
  <c r="J97" i="14"/>
  <c r="I97" i="14"/>
  <c r="D97" i="14"/>
  <c r="C97" i="14"/>
  <c r="A97" i="14"/>
  <c r="K96" i="14"/>
  <c r="J96" i="14"/>
  <c r="I96" i="14"/>
  <c r="D96" i="14"/>
  <c r="C96" i="14"/>
  <c r="A96" i="14"/>
  <c r="K95" i="14"/>
  <c r="I95" i="14"/>
  <c r="J95" i="14" s="1"/>
  <c r="D95" i="14"/>
  <c r="C95" i="14"/>
  <c r="A95" i="14"/>
  <c r="K94" i="14"/>
  <c r="I94" i="14"/>
  <c r="J94" i="14" s="1"/>
  <c r="D94" i="14"/>
  <c r="C94" i="14"/>
  <c r="A94" i="14"/>
  <c r="K93" i="14"/>
  <c r="J93" i="14"/>
  <c r="I93" i="14"/>
  <c r="D93" i="14"/>
  <c r="C93" i="14"/>
  <c r="A93" i="14"/>
  <c r="K92" i="14"/>
  <c r="J92" i="14"/>
  <c r="I92" i="14"/>
  <c r="D92" i="14"/>
  <c r="C92" i="14"/>
  <c r="A92" i="14"/>
  <c r="K91" i="14"/>
  <c r="I91" i="14"/>
  <c r="J91" i="14" s="1"/>
  <c r="D91" i="14"/>
  <c r="C91" i="14"/>
  <c r="A91" i="14"/>
  <c r="K90" i="14"/>
  <c r="I90" i="14"/>
  <c r="J90" i="14" s="1"/>
  <c r="D90" i="14"/>
  <c r="C90" i="14"/>
  <c r="A90" i="14"/>
  <c r="K89" i="14"/>
  <c r="I89" i="14"/>
  <c r="J89" i="14" s="1"/>
  <c r="D89" i="14"/>
  <c r="C89" i="14"/>
  <c r="A89" i="14"/>
  <c r="K88" i="14"/>
  <c r="J88" i="14"/>
  <c r="I88" i="14"/>
  <c r="D88" i="14"/>
  <c r="C88" i="14"/>
  <c r="A88" i="14"/>
  <c r="K87" i="14"/>
  <c r="I87" i="14"/>
  <c r="J87" i="14" s="1"/>
  <c r="D87" i="14"/>
  <c r="C87" i="14"/>
  <c r="A87" i="14"/>
  <c r="K86" i="14"/>
  <c r="I86" i="14"/>
  <c r="J86" i="14" s="1"/>
  <c r="D86" i="14"/>
  <c r="C86" i="14"/>
  <c r="A86" i="14"/>
  <c r="K85" i="14"/>
  <c r="J85" i="14"/>
  <c r="I85" i="14"/>
  <c r="D85" i="14"/>
  <c r="C85" i="14"/>
  <c r="A85" i="14"/>
  <c r="K84" i="14"/>
  <c r="J84" i="14"/>
  <c r="I84" i="14"/>
  <c r="D84" i="14"/>
  <c r="C84" i="14"/>
  <c r="A84" i="14"/>
  <c r="K83" i="14"/>
  <c r="I83" i="14"/>
  <c r="J83" i="14" s="1"/>
  <c r="D83" i="14"/>
  <c r="C83" i="14"/>
  <c r="A83" i="14"/>
  <c r="K82" i="14"/>
  <c r="I82" i="14"/>
  <c r="J82" i="14" s="1"/>
  <c r="D82" i="14"/>
  <c r="C82" i="14"/>
  <c r="A82" i="14"/>
  <c r="K81" i="14"/>
  <c r="J81" i="14"/>
  <c r="I81" i="14"/>
  <c r="D81" i="14"/>
  <c r="C81" i="14"/>
  <c r="A81" i="14"/>
  <c r="K80" i="14"/>
  <c r="J80" i="14"/>
  <c r="I80" i="14"/>
  <c r="D80" i="14"/>
  <c r="C80" i="14"/>
  <c r="A80" i="14"/>
  <c r="K79" i="14"/>
  <c r="I79" i="14"/>
  <c r="J79" i="14" s="1"/>
  <c r="D79" i="14"/>
  <c r="C79" i="14"/>
  <c r="A79" i="14"/>
  <c r="K78" i="14"/>
  <c r="I78" i="14"/>
  <c r="J78" i="14" s="1"/>
  <c r="D78" i="14"/>
  <c r="C78" i="14"/>
  <c r="A78" i="14"/>
  <c r="K77" i="14"/>
  <c r="J77" i="14"/>
  <c r="I77" i="14"/>
  <c r="D77" i="14"/>
  <c r="C77" i="14"/>
  <c r="A77" i="14"/>
  <c r="K76" i="14"/>
  <c r="J76" i="14"/>
  <c r="I76" i="14"/>
  <c r="D76" i="14"/>
  <c r="C76" i="14"/>
  <c r="A76" i="14"/>
  <c r="K75" i="14"/>
  <c r="I75" i="14"/>
  <c r="J75" i="14" s="1"/>
  <c r="D75" i="14"/>
  <c r="C75" i="14"/>
  <c r="A75" i="14"/>
  <c r="K74" i="14"/>
  <c r="I74" i="14"/>
  <c r="J74" i="14" s="1"/>
  <c r="D74" i="14"/>
  <c r="C74" i="14"/>
  <c r="A74" i="14"/>
  <c r="K73" i="14"/>
  <c r="I73" i="14"/>
  <c r="J73" i="14" s="1"/>
  <c r="D73" i="14"/>
  <c r="C73" i="14"/>
  <c r="A73" i="14"/>
  <c r="K72" i="14"/>
  <c r="J72" i="14"/>
  <c r="I72" i="14"/>
  <c r="D72" i="14"/>
  <c r="C72" i="14"/>
  <c r="A72" i="14"/>
  <c r="K71" i="14"/>
  <c r="I71" i="14"/>
  <c r="J71" i="14" s="1"/>
  <c r="D71" i="14"/>
  <c r="C71" i="14"/>
  <c r="A71" i="14"/>
  <c r="K70" i="14"/>
  <c r="I70" i="14"/>
  <c r="J70" i="14" s="1"/>
  <c r="D70" i="14"/>
  <c r="C70" i="14"/>
  <c r="A70" i="14"/>
  <c r="K69" i="14"/>
  <c r="J69" i="14"/>
  <c r="I69" i="14"/>
  <c r="D69" i="14"/>
  <c r="C69" i="14"/>
  <c r="A69" i="14"/>
  <c r="K68" i="14"/>
  <c r="J68" i="14"/>
  <c r="I68" i="14"/>
  <c r="D68" i="14"/>
  <c r="C68" i="14"/>
  <c r="A68" i="14"/>
  <c r="K67" i="14"/>
  <c r="I67" i="14"/>
  <c r="J67" i="14" s="1"/>
  <c r="D67" i="14"/>
  <c r="C67" i="14"/>
  <c r="A67" i="14"/>
  <c r="K66" i="14"/>
  <c r="I66" i="14"/>
  <c r="J66" i="14" s="1"/>
  <c r="D66" i="14"/>
  <c r="C66" i="14"/>
  <c r="A66" i="14"/>
  <c r="K65" i="14"/>
  <c r="J65" i="14"/>
  <c r="I65" i="14"/>
  <c r="D65" i="14"/>
  <c r="C65" i="14"/>
  <c r="A65" i="14"/>
  <c r="K64" i="14"/>
  <c r="J64" i="14"/>
  <c r="I64" i="14"/>
  <c r="D64" i="14"/>
  <c r="C64" i="14"/>
  <c r="A64" i="14"/>
  <c r="K63" i="14"/>
  <c r="I63" i="14"/>
  <c r="J63" i="14" s="1"/>
  <c r="D63" i="14"/>
  <c r="C63" i="14"/>
  <c r="A63" i="14"/>
  <c r="K62" i="14"/>
  <c r="I62" i="14"/>
  <c r="J62" i="14" s="1"/>
  <c r="D62" i="14"/>
  <c r="C62" i="14"/>
  <c r="A62" i="14"/>
  <c r="K61" i="14"/>
  <c r="J61" i="14"/>
  <c r="I61" i="14"/>
  <c r="D61" i="14"/>
  <c r="C61" i="14"/>
  <c r="A61" i="14"/>
  <c r="K60" i="14"/>
  <c r="J60" i="14"/>
  <c r="I60" i="14"/>
  <c r="D60" i="14"/>
  <c r="C60" i="14"/>
  <c r="A60" i="14"/>
  <c r="K59" i="14"/>
  <c r="I59" i="14"/>
  <c r="J59" i="14" s="1"/>
  <c r="D59" i="14"/>
  <c r="C59" i="14"/>
  <c r="A59" i="14"/>
  <c r="K58" i="14"/>
  <c r="I58" i="14"/>
  <c r="J58" i="14" s="1"/>
  <c r="D58" i="14"/>
  <c r="C58" i="14"/>
  <c r="A58" i="14"/>
  <c r="K57" i="14"/>
  <c r="I57" i="14"/>
  <c r="J57" i="14" s="1"/>
  <c r="D57" i="14"/>
  <c r="C57" i="14"/>
  <c r="A57" i="14"/>
  <c r="K56" i="14"/>
  <c r="J56" i="14"/>
  <c r="I56" i="14"/>
  <c r="D56" i="14"/>
  <c r="C56" i="14"/>
  <c r="A56" i="14"/>
  <c r="K55" i="14"/>
  <c r="I55" i="14"/>
  <c r="J55" i="14" s="1"/>
  <c r="D55" i="14"/>
  <c r="C55" i="14"/>
  <c r="A55" i="14"/>
  <c r="K54" i="14"/>
  <c r="I54" i="14"/>
  <c r="J54" i="14" s="1"/>
  <c r="D54" i="14"/>
  <c r="C54" i="14"/>
  <c r="A54" i="14"/>
  <c r="K53" i="14"/>
  <c r="J53" i="14"/>
  <c r="I53" i="14"/>
  <c r="D53" i="14"/>
  <c r="C53" i="14"/>
  <c r="A53" i="14"/>
  <c r="K52" i="14"/>
  <c r="J52" i="14"/>
  <c r="I52" i="14"/>
  <c r="D52" i="14"/>
  <c r="C52" i="14"/>
  <c r="A52" i="14"/>
  <c r="K51" i="14"/>
  <c r="I51" i="14"/>
  <c r="J51" i="14" s="1"/>
  <c r="D51" i="14"/>
  <c r="C51" i="14"/>
  <c r="A51" i="14"/>
  <c r="K50" i="14"/>
  <c r="I50" i="14"/>
  <c r="J50" i="14" s="1"/>
  <c r="D50" i="14"/>
  <c r="C50" i="14"/>
  <c r="A50" i="14"/>
  <c r="K49" i="14"/>
  <c r="J49" i="14"/>
  <c r="I49" i="14"/>
  <c r="D49" i="14"/>
  <c r="C49" i="14"/>
  <c r="A49" i="14"/>
  <c r="K48" i="14"/>
  <c r="J48" i="14"/>
  <c r="I48" i="14"/>
  <c r="D48" i="14"/>
  <c r="C48" i="14"/>
  <c r="A48" i="14"/>
  <c r="K47" i="14"/>
  <c r="I47" i="14"/>
  <c r="J47" i="14" s="1"/>
  <c r="D47" i="14"/>
  <c r="C47" i="14"/>
  <c r="A47" i="14"/>
  <c r="K46" i="14"/>
  <c r="I46" i="14"/>
  <c r="J46" i="14" s="1"/>
  <c r="D46" i="14"/>
  <c r="C46" i="14"/>
  <c r="A46" i="14"/>
  <c r="K45" i="14"/>
  <c r="J45" i="14"/>
  <c r="I45" i="14"/>
  <c r="D45" i="14"/>
  <c r="C45" i="14"/>
  <c r="A45" i="14"/>
  <c r="K44" i="14"/>
  <c r="J44" i="14"/>
  <c r="I44" i="14"/>
  <c r="D44" i="14"/>
  <c r="C44" i="14"/>
  <c r="A44" i="14"/>
  <c r="K43" i="14"/>
  <c r="I43" i="14"/>
  <c r="J43" i="14" s="1"/>
  <c r="D43" i="14"/>
  <c r="C43" i="14"/>
  <c r="A43" i="14"/>
  <c r="K42" i="14"/>
  <c r="I42" i="14"/>
  <c r="J42" i="14" s="1"/>
  <c r="D42" i="14"/>
  <c r="C42" i="14"/>
  <c r="A42" i="14"/>
  <c r="K41" i="14"/>
  <c r="I41" i="14"/>
  <c r="J41" i="14" s="1"/>
  <c r="D41" i="14"/>
  <c r="C41" i="14"/>
  <c r="A41" i="14"/>
  <c r="K40" i="14"/>
  <c r="J40" i="14"/>
  <c r="I40" i="14"/>
  <c r="D40" i="14"/>
  <c r="C40" i="14"/>
  <c r="A40" i="14"/>
  <c r="K39" i="14"/>
  <c r="I39" i="14"/>
  <c r="J39" i="14" s="1"/>
  <c r="D39" i="14"/>
  <c r="C39" i="14"/>
  <c r="A39" i="14"/>
  <c r="K38" i="14"/>
  <c r="I38" i="14"/>
  <c r="J38" i="14" s="1"/>
  <c r="D38" i="14"/>
  <c r="C38" i="14"/>
  <c r="A38" i="14"/>
  <c r="K37" i="14"/>
  <c r="J37" i="14"/>
  <c r="I37" i="14"/>
  <c r="D37" i="14"/>
  <c r="C37" i="14"/>
  <c r="A37" i="14"/>
  <c r="K36" i="14"/>
  <c r="J36" i="14"/>
  <c r="I36" i="14"/>
  <c r="D36" i="14"/>
  <c r="C36" i="14"/>
  <c r="A36" i="14"/>
  <c r="K35" i="14"/>
  <c r="I35" i="14"/>
  <c r="J35" i="14" s="1"/>
  <c r="D35" i="14"/>
  <c r="C35" i="14"/>
  <c r="A35" i="14"/>
  <c r="K34" i="14"/>
  <c r="I34" i="14"/>
  <c r="J34" i="14" s="1"/>
  <c r="D34" i="14"/>
  <c r="C34" i="14"/>
  <c r="A34" i="14"/>
  <c r="K33" i="14"/>
  <c r="J33" i="14"/>
  <c r="I33" i="14"/>
  <c r="D33" i="14"/>
  <c r="C33" i="14"/>
  <c r="A33" i="14"/>
  <c r="K32" i="14"/>
  <c r="J32" i="14"/>
  <c r="I32" i="14"/>
  <c r="D32" i="14"/>
  <c r="C32" i="14"/>
  <c r="A32" i="14"/>
  <c r="K31" i="14"/>
  <c r="I31" i="14"/>
  <c r="J31" i="14" s="1"/>
  <c r="D31" i="14"/>
  <c r="C31" i="14"/>
  <c r="A31" i="14"/>
  <c r="K30" i="14"/>
  <c r="I30" i="14"/>
  <c r="J30" i="14" s="1"/>
  <c r="D30" i="14"/>
  <c r="C30" i="14"/>
  <c r="A30" i="14"/>
  <c r="K29" i="14"/>
  <c r="J29" i="14"/>
  <c r="I29" i="14"/>
  <c r="D29" i="14"/>
  <c r="C29" i="14"/>
  <c r="A29" i="14"/>
  <c r="K28" i="14"/>
  <c r="J28" i="14"/>
  <c r="I28" i="14"/>
  <c r="D28" i="14"/>
  <c r="C28" i="14"/>
  <c r="A28" i="14"/>
  <c r="K27" i="14"/>
  <c r="I27" i="14"/>
  <c r="J27" i="14" s="1"/>
  <c r="D27" i="14"/>
  <c r="C27" i="14"/>
  <c r="A27" i="14"/>
  <c r="K26" i="14"/>
  <c r="I26" i="14"/>
  <c r="J26" i="14" s="1"/>
  <c r="D26" i="14"/>
  <c r="C26" i="14"/>
  <c r="A26" i="14"/>
  <c r="K25" i="14"/>
  <c r="I25" i="14"/>
  <c r="J25" i="14" s="1"/>
  <c r="D25" i="14"/>
  <c r="C25" i="14"/>
  <c r="A25" i="14"/>
  <c r="K24" i="14"/>
  <c r="J24" i="14"/>
  <c r="I24" i="14"/>
  <c r="D24" i="14"/>
  <c r="C24" i="14"/>
  <c r="A24" i="14"/>
  <c r="K23" i="14"/>
  <c r="I23" i="14"/>
  <c r="J23" i="14" s="1"/>
  <c r="D23" i="14"/>
  <c r="C23" i="14"/>
  <c r="A23" i="14"/>
  <c r="K22" i="14"/>
  <c r="I22" i="14"/>
  <c r="J22" i="14" s="1"/>
  <c r="D22" i="14"/>
  <c r="C22" i="14"/>
  <c r="A22" i="14"/>
  <c r="K21" i="14"/>
  <c r="J21" i="14"/>
  <c r="I21" i="14"/>
  <c r="D21" i="14"/>
  <c r="C21" i="14"/>
  <c r="A21" i="14"/>
  <c r="K20" i="14"/>
  <c r="J20" i="14"/>
  <c r="I20" i="14"/>
  <c r="D20" i="14"/>
  <c r="C20" i="14"/>
  <c r="A20" i="14"/>
  <c r="K19" i="14"/>
  <c r="I19" i="14"/>
  <c r="J19" i="14" s="1"/>
  <c r="D19" i="14"/>
  <c r="C19" i="14"/>
  <c r="A19" i="14"/>
  <c r="K18" i="14"/>
  <c r="I18" i="14"/>
  <c r="J18" i="14" s="1"/>
  <c r="D18" i="14"/>
  <c r="C18" i="14"/>
  <c r="A18" i="14"/>
  <c r="K17" i="14"/>
  <c r="J17" i="14"/>
  <c r="I17" i="14"/>
  <c r="D17" i="14"/>
  <c r="C17" i="14"/>
  <c r="A17" i="14"/>
  <c r="K16" i="14"/>
  <c r="J16" i="14"/>
  <c r="I16" i="14"/>
  <c r="D16" i="14"/>
  <c r="C16" i="14"/>
  <c r="A16" i="14"/>
  <c r="K15" i="14"/>
  <c r="I15" i="14"/>
  <c r="J15" i="14" s="1"/>
  <c r="D15" i="14"/>
  <c r="A15" i="14" s="1"/>
  <c r="C15" i="14"/>
  <c r="K14" i="14"/>
  <c r="I14" i="14"/>
  <c r="J14" i="14" s="1"/>
  <c r="D14" i="14"/>
  <c r="C14" i="14"/>
  <c r="A14" i="14" s="1"/>
  <c r="B9" i="14"/>
  <c r="B10" i="14" s="1"/>
  <c r="B8" i="14"/>
  <c r="I208" i="13"/>
  <c r="J208" i="13" s="1"/>
  <c r="G208" i="13"/>
  <c r="D208" i="13"/>
  <c r="C208" i="13"/>
  <c r="B208" i="13"/>
  <c r="J207" i="13"/>
  <c r="I207" i="13"/>
  <c r="G207" i="13"/>
  <c r="D207" i="13"/>
  <c r="C207" i="13"/>
  <c r="B207" i="13"/>
  <c r="J206" i="13"/>
  <c r="I206" i="13"/>
  <c r="G206" i="13"/>
  <c r="D206" i="13"/>
  <c r="C206" i="13"/>
  <c r="B206" i="13"/>
  <c r="I205" i="13"/>
  <c r="J205" i="13" s="1"/>
  <c r="G205" i="13"/>
  <c r="D205" i="13"/>
  <c r="C205" i="13"/>
  <c r="B205" i="13"/>
  <c r="I204" i="13"/>
  <c r="J204" i="13" s="1"/>
  <c r="G204" i="13"/>
  <c r="D204" i="13"/>
  <c r="C204" i="13"/>
  <c r="B204" i="13"/>
  <c r="I203" i="13"/>
  <c r="J203" i="13" s="1"/>
  <c r="G203" i="13"/>
  <c r="D203" i="13"/>
  <c r="C203" i="13"/>
  <c r="B203" i="13"/>
  <c r="J202" i="13"/>
  <c r="I202" i="13"/>
  <c r="G202" i="13"/>
  <c r="D202" i="13"/>
  <c r="C202" i="13"/>
  <c r="B202" i="13"/>
  <c r="I201" i="13"/>
  <c r="J201" i="13" s="1"/>
  <c r="G201" i="13"/>
  <c r="D201" i="13"/>
  <c r="C201" i="13"/>
  <c r="B201" i="13"/>
  <c r="I200" i="13"/>
  <c r="J200" i="13" s="1"/>
  <c r="G200" i="13"/>
  <c r="D200" i="13"/>
  <c r="C200" i="13"/>
  <c r="B200" i="13"/>
  <c r="I199" i="13"/>
  <c r="J199" i="13" s="1"/>
  <c r="G199" i="13"/>
  <c r="D199" i="13"/>
  <c r="C199" i="13"/>
  <c r="B199" i="13"/>
  <c r="J198" i="13"/>
  <c r="I198" i="13"/>
  <c r="G198" i="13"/>
  <c r="D198" i="13"/>
  <c r="C198" i="13"/>
  <c r="B198" i="13"/>
  <c r="I197" i="13"/>
  <c r="J197" i="13" s="1"/>
  <c r="G197" i="13"/>
  <c r="D197" i="13"/>
  <c r="C197" i="13"/>
  <c r="B197" i="13"/>
  <c r="I196" i="13"/>
  <c r="J196" i="13" s="1"/>
  <c r="G196" i="13"/>
  <c r="D196" i="13"/>
  <c r="C196" i="13"/>
  <c r="B196" i="13"/>
  <c r="I195" i="13"/>
  <c r="J195" i="13" s="1"/>
  <c r="G195" i="13"/>
  <c r="D195" i="13"/>
  <c r="C195" i="13"/>
  <c r="B195" i="13"/>
  <c r="J194" i="13"/>
  <c r="I194" i="13"/>
  <c r="G194" i="13"/>
  <c r="D194" i="13"/>
  <c r="C194" i="13"/>
  <c r="B194" i="13"/>
  <c r="I193" i="13"/>
  <c r="J193" i="13" s="1"/>
  <c r="G193" i="13"/>
  <c r="D193" i="13"/>
  <c r="C193" i="13"/>
  <c r="B193" i="13"/>
  <c r="I192" i="13"/>
  <c r="J192" i="13" s="1"/>
  <c r="G192" i="13"/>
  <c r="D192" i="13"/>
  <c r="C192" i="13"/>
  <c r="B192" i="13"/>
  <c r="J191" i="13"/>
  <c r="I191" i="13"/>
  <c r="G191" i="13"/>
  <c r="D191" i="13"/>
  <c r="C191" i="13"/>
  <c r="B191" i="13"/>
  <c r="J190" i="13"/>
  <c r="I190" i="13"/>
  <c r="G190" i="13"/>
  <c r="D190" i="13"/>
  <c r="C190" i="13"/>
  <c r="B190" i="13"/>
  <c r="I189" i="13"/>
  <c r="J189" i="13" s="1"/>
  <c r="G189" i="13"/>
  <c r="D189" i="13"/>
  <c r="C189" i="13"/>
  <c r="B189" i="13"/>
  <c r="I188" i="13"/>
  <c r="J188" i="13" s="1"/>
  <c r="G188" i="13"/>
  <c r="D188" i="13"/>
  <c r="C188" i="13"/>
  <c r="B188" i="13"/>
  <c r="I187" i="13"/>
  <c r="J187" i="13" s="1"/>
  <c r="G187" i="13"/>
  <c r="D187" i="13"/>
  <c r="C187" i="13"/>
  <c r="B187" i="13"/>
  <c r="J186" i="13"/>
  <c r="I186" i="13"/>
  <c r="G186" i="13"/>
  <c r="D186" i="13"/>
  <c r="C186" i="13"/>
  <c r="B186" i="13"/>
  <c r="I185" i="13"/>
  <c r="J185" i="13" s="1"/>
  <c r="G185" i="13"/>
  <c r="D185" i="13"/>
  <c r="C185" i="13"/>
  <c r="B185" i="13"/>
  <c r="I184" i="13"/>
  <c r="J184" i="13" s="1"/>
  <c r="G184" i="13"/>
  <c r="D184" i="13"/>
  <c r="C184" i="13"/>
  <c r="B184" i="13"/>
  <c r="I183" i="13"/>
  <c r="J183" i="13" s="1"/>
  <c r="G183" i="13"/>
  <c r="D183" i="13"/>
  <c r="C183" i="13"/>
  <c r="B183" i="13"/>
  <c r="J182" i="13"/>
  <c r="I182" i="13"/>
  <c r="G182" i="13"/>
  <c r="D182" i="13"/>
  <c r="C182" i="13"/>
  <c r="B182" i="13"/>
  <c r="I181" i="13"/>
  <c r="J181" i="13" s="1"/>
  <c r="G181" i="13"/>
  <c r="D181" i="13"/>
  <c r="C181" i="13"/>
  <c r="B181" i="13"/>
  <c r="I180" i="13"/>
  <c r="J180" i="13" s="1"/>
  <c r="G180" i="13"/>
  <c r="D180" i="13"/>
  <c r="C180" i="13"/>
  <c r="B180" i="13"/>
  <c r="J179" i="13"/>
  <c r="I179" i="13"/>
  <c r="G179" i="13"/>
  <c r="D179" i="13"/>
  <c r="C179" i="13"/>
  <c r="B179" i="13"/>
  <c r="J178" i="13"/>
  <c r="I178" i="13"/>
  <c r="G178" i="13"/>
  <c r="D178" i="13"/>
  <c r="C178" i="13"/>
  <c r="B178" i="13"/>
  <c r="I177" i="13"/>
  <c r="J177" i="13" s="1"/>
  <c r="G177" i="13"/>
  <c r="D177" i="13"/>
  <c r="C177" i="13"/>
  <c r="B177" i="13"/>
  <c r="I176" i="13"/>
  <c r="J176" i="13" s="1"/>
  <c r="G176" i="13"/>
  <c r="D176" i="13"/>
  <c r="C176" i="13"/>
  <c r="B176" i="13"/>
  <c r="J175" i="13"/>
  <c r="I175" i="13"/>
  <c r="G175" i="13"/>
  <c r="D175" i="13"/>
  <c r="C175" i="13"/>
  <c r="B175" i="13"/>
  <c r="J174" i="13"/>
  <c r="I174" i="13"/>
  <c r="G174" i="13"/>
  <c r="D174" i="13"/>
  <c r="C174" i="13"/>
  <c r="B174" i="13"/>
  <c r="I173" i="13"/>
  <c r="J173" i="13" s="1"/>
  <c r="G173" i="13"/>
  <c r="D173" i="13"/>
  <c r="C173" i="13"/>
  <c r="B173" i="13"/>
  <c r="I172" i="13"/>
  <c r="J172" i="13" s="1"/>
  <c r="G172" i="13"/>
  <c r="D172" i="13"/>
  <c r="C172" i="13"/>
  <c r="B172" i="13"/>
  <c r="I171" i="13"/>
  <c r="J171" i="13" s="1"/>
  <c r="G171" i="13"/>
  <c r="D171" i="13"/>
  <c r="C171" i="13"/>
  <c r="B171" i="13"/>
  <c r="J170" i="13"/>
  <c r="I170" i="13"/>
  <c r="G170" i="13"/>
  <c r="D170" i="13"/>
  <c r="C170" i="13"/>
  <c r="B170" i="13"/>
  <c r="I169" i="13"/>
  <c r="J169" i="13" s="1"/>
  <c r="G169" i="13"/>
  <c r="D169" i="13"/>
  <c r="C169" i="13"/>
  <c r="B169" i="13"/>
  <c r="I168" i="13"/>
  <c r="J168" i="13" s="1"/>
  <c r="G168" i="13"/>
  <c r="D168" i="13"/>
  <c r="C168" i="13"/>
  <c r="B168" i="13"/>
  <c r="I167" i="13"/>
  <c r="J167" i="13" s="1"/>
  <c r="G167" i="13"/>
  <c r="D167" i="13"/>
  <c r="C167" i="13"/>
  <c r="B167" i="13"/>
  <c r="J166" i="13"/>
  <c r="I166" i="13"/>
  <c r="G166" i="13"/>
  <c r="D166" i="13"/>
  <c r="C166" i="13"/>
  <c r="B166" i="13"/>
  <c r="I165" i="13"/>
  <c r="J165" i="13" s="1"/>
  <c r="G165" i="13"/>
  <c r="D165" i="13"/>
  <c r="C165" i="13"/>
  <c r="B165" i="13"/>
  <c r="I164" i="13"/>
  <c r="J164" i="13" s="1"/>
  <c r="G164" i="13"/>
  <c r="D164" i="13"/>
  <c r="C164" i="13"/>
  <c r="B164" i="13"/>
  <c r="J163" i="13"/>
  <c r="I163" i="13"/>
  <c r="G163" i="13"/>
  <c r="D163" i="13"/>
  <c r="C163" i="13"/>
  <c r="B163" i="13"/>
  <c r="J162" i="13"/>
  <c r="I162" i="13"/>
  <c r="G162" i="13"/>
  <c r="D162" i="13"/>
  <c r="C162" i="13"/>
  <c r="B162" i="13"/>
  <c r="I161" i="13"/>
  <c r="J161" i="13" s="1"/>
  <c r="G161" i="13"/>
  <c r="D161" i="13"/>
  <c r="C161" i="13"/>
  <c r="B161" i="13"/>
  <c r="I160" i="13"/>
  <c r="J160" i="13" s="1"/>
  <c r="G160" i="13"/>
  <c r="D160" i="13"/>
  <c r="C160" i="13"/>
  <c r="B160" i="13"/>
  <c r="J159" i="13"/>
  <c r="I159" i="13"/>
  <c r="G159" i="13"/>
  <c r="D159" i="13"/>
  <c r="C159" i="13"/>
  <c r="B159" i="13"/>
  <c r="J158" i="13"/>
  <c r="I158" i="13"/>
  <c r="G158" i="13"/>
  <c r="D158" i="13"/>
  <c r="C158" i="13"/>
  <c r="B158" i="13"/>
  <c r="I157" i="13"/>
  <c r="J157" i="13" s="1"/>
  <c r="G157" i="13"/>
  <c r="D157" i="13"/>
  <c r="C157" i="13"/>
  <c r="B157" i="13"/>
  <c r="I156" i="13"/>
  <c r="J156" i="13" s="1"/>
  <c r="G156" i="13"/>
  <c r="D156" i="13"/>
  <c r="C156" i="13"/>
  <c r="B156" i="13"/>
  <c r="I155" i="13"/>
  <c r="J155" i="13" s="1"/>
  <c r="G155" i="13"/>
  <c r="D155" i="13"/>
  <c r="C155" i="13"/>
  <c r="B155" i="13"/>
  <c r="J154" i="13"/>
  <c r="I154" i="13"/>
  <c r="G154" i="13"/>
  <c r="D154" i="13"/>
  <c r="C154" i="13"/>
  <c r="B154" i="13"/>
  <c r="I153" i="13"/>
  <c r="J153" i="13" s="1"/>
  <c r="G153" i="13"/>
  <c r="D153" i="13"/>
  <c r="C153" i="13"/>
  <c r="B153" i="13"/>
  <c r="I152" i="13"/>
  <c r="J152" i="13" s="1"/>
  <c r="G152" i="13"/>
  <c r="D152" i="13"/>
  <c r="C152" i="13"/>
  <c r="B152" i="13"/>
  <c r="I151" i="13"/>
  <c r="J151" i="13" s="1"/>
  <c r="G151" i="13"/>
  <c r="D151" i="13"/>
  <c r="C151" i="13"/>
  <c r="B151" i="13"/>
  <c r="J150" i="13"/>
  <c r="I150" i="13"/>
  <c r="G150" i="13"/>
  <c r="D150" i="13"/>
  <c r="C150" i="13"/>
  <c r="B150" i="13"/>
  <c r="I149" i="13"/>
  <c r="J149" i="13" s="1"/>
  <c r="G149" i="13"/>
  <c r="D149" i="13"/>
  <c r="C149" i="13"/>
  <c r="B149" i="13"/>
  <c r="I148" i="13"/>
  <c r="J148" i="13" s="1"/>
  <c r="G148" i="13"/>
  <c r="D148" i="13"/>
  <c r="C148" i="13"/>
  <c r="B148" i="13"/>
  <c r="I147" i="13"/>
  <c r="J147" i="13" s="1"/>
  <c r="G147" i="13"/>
  <c r="D147" i="13"/>
  <c r="C147" i="13"/>
  <c r="B147" i="13"/>
  <c r="J146" i="13"/>
  <c r="I146" i="13"/>
  <c r="G146" i="13"/>
  <c r="D146" i="13"/>
  <c r="C146" i="13"/>
  <c r="B146" i="13"/>
  <c r="I145" i="13"/>
  <c r="J145" i="13" s="1"/>
  <c r="G145" i="13"/>
  <c r="D145" i="13"/>
  <c r="C145" i="13"/>
  <c r="B145" i="13"/>
  <c r="I144" i="13"/>
  <c r="J144" i="13" s="1"/>
  <c r="G144" i="13"/>
  <c r="D144" i="13"/>
  <c r="C144" i="13"/>
  <c r="B144" i="13"/>
  <c r="J143" i="13"/>
  <c r="I143" i="13"/>
  <c r="G143" i="13"/>
  <c r="D143" i="13"/>
  <c r="C143" i="13"/>
  <c r="B143" i="13"/>
  <c r="J142" i="13"/>
  <c r="I142" i="13"/>
  <c r="G142" i="13"/>
  <c r="D142" i="13"/>
  <c r="C142" i="13"/>
  <c r="B142" i="13"/>
  <c r="I141" i="13"/>
  <c r="J141" i="13" s="1"/>
  <c r="G141" i="13"/>
  <c r="D141" i="13"/>
  <c r="C141" i="13"/>
  <c r="B141" i="13"/>
  <c r="I140" i="13"/>
  <c r="J140" i="13" s="1"/>
  <c r="G140" i="13"/>
  <c r="D140" i="13"/>
  <c r="C140" i="13"/>
  <c r="B140" i="13"/>
  <c r="I139" i="13"/>
  <c r="J139" i="13" s="1"/>
  <c r="G139" i="13"/>
  <c r="D139" i="13"/>
  <c r="C139" i="13"/>
  <c r="B139" i="13"/>
  <c r="J138" i="13"/>
  <c r="I138" i="13"/>
  <c r="G138" i="13"/>
  <c r="D138" i="13"/>
  <c r="C138" i="13"/>
  <c r="B138" i="13"/>
  <c r="I137" i="13"/>
  <c r="J137" i="13" s="1"/>
  <c r="G137" i="13"/>
  <c r="D137" i="13"/>
  <c r="C137" i="13"/>
  <c r="B137" i="13"/>
  <c r="I136" i="13"/>
  <c r="J136" i="13" s="1"/>
  <c r="G136" i="13"/>
  <c r="D136" i="13"/>
  <c r="C136" i="13"/>
  <c r="B136" i="13"/>
  <c r="I135" i="13"/>
  <c r="J135" i="13" s="1"/>
  <c r="G135" i="13"/>
  <c r="D135" i="13"/>
  <c r="C135" i="13"/>
  <c r="B135" i="13"/>
  <c r="J134" i="13"/>
  <c r="I134" i="13"/>
  <c r="G134" i="13"/>
  <c r="D134" i="13"/>
  <c r="C134" i="13"/>
  <c r="B134" i="13"/>
  <c r="I133" i="13"/>
  <c r="J133" i="13" s="1"/>
  <c r="G133" i="13"/>
  <c r="D133" i="13"/>
  <c r="C133" i="13"/>
  <c r="B133" i="13"/>
  <c r="I132" i="13"/>
  <c r="J132" i="13" s="1"/>
  <c r="G132" i="13"/>
  <c r="D132" i="13"/>
  <c r="C132" i="13"/>
  <c r="B132" i="13"/>
  <c r="I131" i="13"/>
  <c r="J131" i="13" s="1"/>
  <c r="G131" i="13"/>
  <c r="D131" i="13"/>
  <c r="C131" i="13"/>
  <c r="B131" i="13"/>
  <c r="J130" i="13"/>
  <c r="I130" i="13"/>
  <c r="G130" i="13"/>
  <c r="D130" i="13"/>
  <c r="C130" i="13"/>
  <c r="B130" i="13"/>
  <c r="I129" i="13"/>
  <c r="J129" i="13" s="1"/>
  <c r="G129" i="13"/>
  <c r="D129" i="13"/>
  <c r="C129" i="13"/>
  <c r="B129" i="13"/>
  <c r="I128" i="13"/>
  <c r="J128" i="13" s="1"/>
  <c r="G128" i="13"/>
  <c r="D128" i="13"/>
  <c r="C128" i="13"/>
  <c r="B128" i="13"/>
  <c r="J127" i="13"/>
  <c r="I127" i="13"/>
  <c r="G127" i="13"/>
  <c r="D127" i="13"/>
  <c r="C127" i="13"/>
  <c r="B127" i="13"/>
  <c r="J126" i="13"/>
  <c r="I126" i="13"/>
  <c r="G126" i="13"/>
  <c r="D126" i="13"/>
  <c r="C126" i="13"/>
  <c r="B126" i="13"/>
  <c r="I125" i="13"/>
  <c r="J125" i="13" s="1"/>
  <c r="G125" i="13"/>
  <c r="D125" i="13"/>
  <c r="C125" i="13"/>
  <c r="B125" i="13"/>
  <c r="I124" i="13"/>
  <c r="J124" i="13" s="1"/>
  <c r="G124" i="13"/>
  <c r="D124" i="13"/>
  <c r="C124" i="13"/>
  <c r="B124" i="13"/>
  <c r="I123" i="13"/>
  <c r="J123" i="13" s="1"/>
  <c r="G123" i="13"/>
  <c r="D123" i="13"/>
  <c r="C123" i="13"/>
  <c r="B123" i="13"/>
  <c r="J122" i="13"/>
  <c r="I122" i="13"/>
  <c r="G122" i="13"/>
  <c r="D122" i="13"/>
  <c r="C122" i="13"/>
  <c r="B122" i="13"/>
  <c r="I121" i="13"/>
  <c r="J121" i="13" s="1"/>
  <c r="G121" i="13"/>
  <c r="D121" i="13"/>
  <c r="C121" i="13"/>
  <c r="B121" i="13"/>
  <c r="I120" i="13"/>
  <c r="J120" i="13" s="1"/>
  <c r="G120" i="13"/>
  <c r="D120" i="13"/>
  <c r="C120" i="13"/>
  <c r="B120" i="13"/>
  <c r="I119" i="13"/>
  <c r="J119" i="13" s="1"/>
  <c r="G119" i="13"/>
  <c r="D119" i="13"/>
  <c r="C119" i="13"/>
  <c r="B119" i="13"/>
  <c r="J118" i="13"/>
  <c r="I118" i="13"/>
  <c r="G118" i="13"/>
  <c r="D118" i="13"/>
  <c r="C118" i="13"/>
  <c r="B118" i="13"/>
  <c r="I117" i="13"/>
  <c r="J117" i="13" s="1"/>
  <c r="G117" i="13"/>
  <c r="D117" i="13"/>
  <c r="C117" i="13"/>
  <c r="B117" i="13"/>
  <c r="I116" i="13"/>
  <c r="J116" i="13" s="1"/>
  <c r="G116" i="13"/>
  <c r="D116" i="13"/>
  <c r="C116" i="13"/>
  <c r="B116" i="13"/>
  <c r="J115" i="13"/>
  <c r="I115" i="13"/>
  <c r="G115" i="13"/>
  <c r="D115" i="13"/>
  <c r="C115" i="13"/>
  <c r="B115" i="13"/>
  <c r="J114" i="13"/>
  <c r="I114" i="13"/>
  <c r="G114" i="13"/>
  <c r="D114" i="13"/>
  <c r="C114" i="13"/>
  <c r="B114" i="13"/>
  <c r="I113" i="13"/>
  <c r="J113" i="13" s="1"/>
  <c r="G113" i="13"/>
  <c r="D113" i="13"/>
  <c r="C113" i="13"/>
  <c r="B113" i="13"/>
  <c r="I112" i="13"/>
  <c r="J112" i="13" s="1"/>
  <c r="G112" i="13"/>
  <c r="D112" i="13"/>
  <c r="C112" i="13"/>
  <c r="B112" i="13"/>
  <c r="J111" i="13"/>
  <c r="I111" i="13"/>
  <c r="G111" i="13"/>
  <c r="D111" i="13"/>
  <c r="C111" i="13"/>
  <c r="B111" i="13"/>
  <c r="J110" i="13"/>
  <c r="I110" i="13"/>
  <c r="G110" i="13"/>
  <c r="D110" i="13"/>
  <c r="C110" i="13"/>
  <c r="B110" i="13"/>
  <c r="I109" i="13"/>
  <c r="J109" i="13" s="1"/>
  <c r="G109" i="13"/>
  <c r="D109" i="13"/>
  <c r="C109" i="13"/>
  <c r="B109" i="13"/>
  <c r="I108" i="13"/>
  <c r="J108" i="13" s="1"/>
  <c r="G108" i="13"/>
  <c r="D108" i="13"/>
  <c r="C108" i="13"/>
  <c r="B108" i="13"/>
  <c r="I107" i="13"/>
  <c r="J107" i="13" s="1"/>
  <c r="G107" i="13"/>
  <c r="D107" i="13"/>
  <c r="C107" i="13"/>
  <c r="B107" i="13"/>
  <c r="J106" i="13"/>
  <c r="I106" i="13"/>
  <c r="G106" i="13"/>
  <c r="D106" i="13"/>
  <c r="C106" i="13"/>
  <c r="B106" i="13"/>
  <c r="I105" i="13"/>
  <c r="J105" i="13" s="1"/>
  <c r="G105" i="13"/>
  <c r="D105" i="13"/>
  <c r="C105" i="13"/>
  <c r="B105" i="13"/>
  <c r="I104" i="13"/>
  <c r="J104" i="13" s="1"/>
  <c r="G104" i="13"/>
  <c r="D104" i="13"/>
  <c r="C104" i="13"/>
  <c r="B104" i="13"/>
  <c r="I103" i="13"/>
  <c r="J103" i="13" s="1"/>
  <c r="G103" i="13"/>
  <c r="D103" i="13"/>
  <c r="C103" i="13"/>
  <c r="B103" i="13"/>
  <c r="J102" i="13"/>
  <c r="I102" i="13"/>
  <c r="G102" i="13"/>
  <c r="D102" i="13"/>
  <c r="C102" i="13"/>
  <c r="B102" i="13"/>
  <c r="I101" i="13"/>
  <c r="J101" i="13" s="1"/>
  <c r="G101" i="13"/>
  <c r="D101" i="13"/>
  <c r="C101" i="13"/>
  <c r="B101" i="13"/>
  <c r="I100" i="13"/>
  <c r="J100" i="13" s="1"/>
  <c r="G100" i="13"/>
  <c r="D100" i="13"/>
  <c r="C100" i="13"/>
  <c r="B100" i="13"/>
  <c r="J99" i="13"/>
  <c r="I99" i="13"/>
  <c r="G99" i="13"/>
  <c r="D99" i="13"/>
  <c r="C99" i="13"/>
  <c r="B99" i="13"/>
  <c r="J98" i="13"/>
  <c r="I98" i="13"/>
  <c r="G98" i="13"/>
  <c r="D98" i="13"/>
  <c r="C98" i="13"/>
  <c r="B98" i="13"/>
  <c r="I97" i="13"/>
  <c r="J97" i="13" s="1"/>
  <c r="G97" i="13"/>
  <c r="D97" i="13"/>
  <c r="C97" i="13"/>
  <c r="B97" i="13"/>
  <c r="I96" i="13"/>
  <c r="J96" i="13" s="1"/>
  <c r="G96" i="13"/>
  <c r="D96" i="13"/>
  <c r="C96" i="13"/>
  <c r="B96" i="13"/>
  <c r="J95" i="13"/>
  <c r="I95" i="13"/>
  <c r="G95" i="13"/>
  <c r="D95" i="13"/>
  <c r="C95" i="13"/>
  <c r="B95" i="13"/>
  <c r="J94" i="13"/>
  <c r="I94" i="13"/>
  <c r="G94" i="13"/>
  <c r="D94" i="13"/>
  <c r="C94" i="13"/>
  <c r="B94" i="13"/>
  <c r="I93" i="13"/>
  <c r="J93" i="13" s="1"/>
  <c r="G93" i="13"/>
  <c r="D93" i="13"/>
  <c r="C93" i="13"/>
  <c r="B93" i="13"/>
  <c r="I92" i="13"/>
  <c r="J92" i="13" s="1"/>
  <c r="G92" i="13"/>
  <c r="D92" i="13"/>
  <c r="C92" i="13"/>
  <c r="B92" i="13"/>
  <c r="I91" i="13"/>
  <c r="J91" i="13" s="1"/>
  <c r="G91" i="13"/>
  <c r="D91" i="13"/>
  <c r="C91" i="13"/>
  <c r="B91" i="13"/>
  <c r="J90" i="13"/>
  <c r="I90" i="13"/>
  <c r="G90" i="13"/>
  <c r="D90" i="13"/>
  <c r="C90" i="13"/>
  <c r="B90" i="13"/>
  <c r="I89" i="13"/>
  <c r="J89" i="13" s="1"/>
  <c r="G89" i="13"/>
  <c r="D89" i="13"/>
  <c r="C89" i="13"/>
  <c r="B89" i="13"/>
  <c r="I88" i="13"/>
  <c r="J88" i="13" s="1"/>
  <c r="G88" i="13"/>
  <c r="D88" i="13"/>
  <c r="C88" i="13"/>
  <c r="B88" i="13"/>
  <c r="I87" i="13"/>
  <c r="J87" i="13" s="1"/>
  <c r="G87" i="13"/>
  <c r="D87" i="13"/>
  <c r="C87" i="13"/>
  <c r="B87" i="13"/>
  <c r="J86" i="13"/>
  <c r="I86" i="13"/>
  <c r="G86" i="13"/>
  <c r="D86" i="13"/>
  <c r="C86" i="13"/>
  <c r="B86" i="13"/>
  <c r="I85" i="13"/>
  <c r="J85" i="13" s="1"/>
  <c r="G85" i="13"/>
  <c r="D85" i="13"/>
  <c r="C85" i="13"/>
  <c r="B85" i="13"/>
  <c r="I84" i="13"/>
  <c r="J84" i="13" s="1"/>
  <c r="G84" i="13"/>
  <c r="D84" i="13"/>
  <c r="C84" i="13"/>
  <c r="B84" i="13"/>
  <c r="I83" i="13"/>
  <c r="J83" i="13" s="1"/>
  <c r="G83" i="13"/>
  <c r="D83" i="13"/>
  <c r="C83" i="13"/>
  <c r="B83" i="13"/>
  <c r="J82" i="13"/>
  <c r="I82" i="13"/>
  <c r="G82" i="13"/>
  <c r="D82" i="13"/>
  <c r="C82" i="13"/>
  <c r="B82" i="13"/>
  <c r="I81" i="13"/>
  <c r="J81" i="13" s="1"/>
  <c r="G81" i="13"/>
  <c r="D81" i="13"/>
  <c r="C81" i="13"/>
  <c r="B81" i="13"/>
  <c r="I80" i="13"/>
  <c r="J80" i="13" s="1"/>
  <c r="G80" i="13"/>
  <c r="D80" i="13"/>
  <c r="C80" i="13"/>
  <c r="B80" i="13"/>
  <c r="J79" i="13"/>
  <c r="I79" i="13"/>
  <c r="G79" i="13"/>
  <c r="D79" i="13"/>
  <c r="C79" i="13"/>
  <c r="B79" i="13"/>
  <c r="J78" i="13"/>
  <c r="I78" i="13"/>
  <c r="G78" i="13"/>
  <c r="D78" i="13"/>
  <c r="C78" i="13"/>
  <c r="B78" i="13"/>
  <c r="I77" i="13"/>
  <c r="J77" i="13" s="1"/>
  <c r="G77" i="13"/>
  <c r="D77" i="13"/>
  <c r="C77" i="13"/>
  <c r="B77" i="13"/>
  <c r="I76" i="13"/>
  <c r="J76" i="13" s="1"/>
  <c r="G76" i="13"/>
  <c r="D76" i="13"/>
  <c r="C76" i="13"/>
  <c r="B76" i="13"/>
  <c r="I75" i="13"/>
  <c r="J75" i="13" s="1"/>
  <c r="G75" i="13"/>
  <c r="D75" i="13"/>
  <c r="C75" i="13"/>
  <c r="B75" i="13"/>
  <c r="J74" i="13"/>
  <c r="I74" i="13"/>
  <c r="G74" i="13"/>
  <c r="D74" i="13"/>
  <c r="C74" i="13"/>
  <c r="B74" i="13"/>
  <c r="I73" i="13"/>
  <c r="J73" i="13" s="1"/>
  <c r="G73" i="13"/>
  <c r="D73" i="13"/>
  <c r="C73" i="13"/>
  <c r="B73" i="13"/>
  <c r="I72" i="13"/>
  <c r="J72" i="13" s="1"/>
  <c r="G72" i="13"/>
  <c r="D72" i="13"/>
  <c r="C72" i="13"/>
  <c r="B72" i="13"/>
  <c r="I71" i="13"/>
  <c r="J71" i="13" s="1"/>
  <c r="G71" i="13"/>
  <c r="D71" i="13"/>
  <c r="C71" i="13"/>
  <c r="B71" i="13"/>
  <c r="J70" i="13"/>
  <c r="I70" i="13"/>
  <c r="G70" i="13"/>
  <c r="D70" i="13"/>
  <c r="C70" i="13"/>
  <c r="B70" i="13"/>
  <c r="J69" i="13"/>
  <c r="I69" i="13"/>
  <c r="G69" i="13"/>
  <c r="D69" i="13"/>
  <c r="C69" i="13"/>
  <c r="B69" i="13"/>
  <c r="I68" i="13"/>
  <c r="J68" i="13" s="1"/>
  <c r="G68" i="13"/>
  <c r="D68" i="13"/>
  <c r="C68" i="13"/>
  <c r="B68" i="13"/>
  <c r="J67" i="13"/>
  <c r="I67" i="13"/>
  <c r="G67" i="13"/>
  <c r="D67" i="13"/>
  <c r="C67" i="13"/>
  <c r="B67" i="13"/>
  <c r="J66" i="13"/>
  <c r="I66" i="13"/>
  <c r="G66" i="13"/>
  <c r="D66" i="13"/>
  <c r="C66" i="13"/>
  <c r="B66" i="13"/>
  <c r="I65" i="13"/>
  <c r="J65" i="13" s="1"/>
  <c r="G65" i="13"/>
  <c r="D65" i="13"/>
  <c r="C65" i="13"/>
  <c r="B65" i="13"/>
  <c r="I64" i="13"/>
  <c r="J64" i="13" s="1"/>
  <c r="G64" i="13"/>
  <c r="D64" i="13"/>
  <c r="C64" i="13"/>
  <c r="B64" i="13"/>
  <c r="J63" i="13"/>
  <c r="I63" i="13"/>
  <c r="G63" i="13"/>
  <c r="D63" i="13"/>
  <c r="C63" i="13"/>
  <c r="B63" i="13"/>
  <c r="J62" i="13"/>
  <c r="I62" i="13"/>
  <c r="G62" i="13"/>
  <c r="D62" i="13"/>
  <c r="C62" i="13"/>
  <c r="B62" i="13"/>
  <c r="I61" i="13"/>
  <c r="J61" i="13" s="1"/>
  <c r="G61" i="13"/>
  <c r="D61" i="13"/>
  <c r="C61" i="13"/>
  <c r="B61" i="13"/>
  <c r="I60" i="13"/>
  <c r="J60" i="13" s="1"/>
  <c r="G60" i="13"/>
  <c r="D60" i="13"/>
  <c r="C60" i="13"/>
  <c r="B60" i="13"/>
  <c r="I59" i="13"/>
  <c r="J59" i="13" s="1"/>
  <c r="G59" i="13"/>
  <c r="D59" i="13"/>
  <c r="C59" i="13"/>
  <c r="B59" i="13"/>
  <c r="J58" i="13"/>
  <c r="I58" i="13"/>
  <c r="G58" i="13"/>
  <c r="D58" i="13"/>
  <c r="C58" i="13"/>
  <c r="B58" i="13"/>
  <c r="J57" i="13"/>
  <c r="I57" i="13"/>
  <c r="G57" i="13"/>
  <c r="D57" i="13"/>
  <c r="C57" i="13"/>
  <c r="B57" i="13"/>
  <c r="I56" i="13"/>
  <c r="J56" i="13" s="1"/>
  <c r="G56" i="13"/>
  <c r="D56" i="13"/>
  <c r="C56" i="13"/>
  <c r="B56" i="13"/>
  <c r="J55" i="13"/>
  <c r="I55" i="13"/>
  <c r="G55" i="13"/>
  <c r="D55" i="13"/>
  <c r="C55" i="13"/>
  <c r="B55" i="13"/>
  <c r="J54" i="13"/>
  <c r="I54" i="13"/>
  <c r="G54" i="13"/>
  <c r="D54" i="13"/>
  <c r="C54" i="13"/>
  <c r="B54" i="13"/>
  <c r="I53" i="13"/>
  <c r="J53" i="13" s="1"/>
  <c r="G53" i="13"/>
  <c r="D53" i="13"/>
  <c r="C53" i="13"/>
  <c r="B53" i="13"/>
  <c r="I52" i="13"/>
  <c r="J52" i="13" s="1"/>
  <c r="G52" i="13"/>
  <c r="D52" i="13"/>
  <c r="C52" i="13"/>
  <c r="B52" i="13"/>
  <c r="I51" i="13"/>
  <c r="J51" i="13" s="1"/>
  <c r="G51" i="13"/>
  <c r="D51" i="13"/>
  <c r="C51" i="13"/>
  <c r="B51" i="13"/>
  <c r="J50" i="13"/>
  <c r="I50" i="13"/>
  <c r="G50" i="13"/>
  <c r="D50" i="13"/>
  <c r="C50" i="13"/>
  <c r="B50" i="13"/>
  <c r="J49" i="13"/>
  <c r="I49" i="13"/>
  <c r="G49" i="13"/>
  <c r="D49" i="13"/>
  <c r="C49" i="13"/>
  <c r="B49" i="13"/>
  <c r="I48" i="13"/>
  <c r="J48" i="13" s="1"/>
  <c r="G48" i="13"/>
  <c r="D48" i="13"/>
  <c r="C48" i="13"/>
  <c r="B48" i="13"/>
  <c r="I47" i="13"/>
  <c r="J47" i="13" s="1"/>
  <c r="G47" i="13"/>
  <c r="D47" i="13"/>
  <c r="C47" i="13"/>
  <c r="B47" i="13"/>
  <c r="J46" i="13"/>
  <c r="I46" i="13"/>
  <c r="G46" i="13"/>
  <c r="D46" i="13"/>
  <c r="C46" i="13"/>
  <c r="B46" i="13"/>
  <c r="I45" i="13"/>
  <c r="J45" i="13" s="1"/>
  <c r="G45" i="13"/>
  <c r="D45" i="13"/>
  <c r="C45" i="13"/>
  <c r="B45" i="13"/>
  <c r="I44" i="13"/>
  <c r="J44" i="13" s="1"/>
  <c r="G44" i="13"/>
  <c r="D44" i="13"/>
  <c r="C44" i="13"/>
  <c r="B44" i="13"/>
  <c r="J43" i="13"/>
  <c r="I43" i="13"/>
  <c r="G43" i="13"/>
  <c r="D43" i="13"/>
  <c r="C43" i="13"/>
  <c r="B43" i="13"/>
  <c r="J42" i="13"/>
  <c r="I42" i="13"/>
  <c r="G42" i="13"/>
  <c r="D42" i="13"/>
  <c r="C42" i="13"/>
  <c r="B42" i="13"/>
  <c r="I41" i="13"/>
  <c r="J41" i="13" s="1"/>
  <c r="G41" i="13"/>
  <c r="D41" i="13"/>
  <c r="C41" i="13"/>
  <c r="B41" i="13"/>
  <c r="I40" i="13"/>
  <c r="J40" i="13" s="1"/>
  <c r="G40" i="13"/>
  <c r="D40" i="13"/>
  <c r="C40" i="13"/>
  <c r="B40" i="13"/>
  <c r="I39" i="13"/>
  <c r="J39" i="13" s="1"/>
  <c r="G39" i="13"/>
  <c r="D39" i="13"/>
  <c r="C39" i="13"/>
  <c r="B39" i="13"/>
  <c r="J38" i="13"/>
  <c r="I38" i="13"/>
  <c r="G38" i="13"/>
  <c r="D38" i="13"/>
  <c r="C38" i="13"/>
  <c r="B38" i="13"/>
  <c r="J37" i="13"/>
  <c r="I37" i="13"/>
  <c r="G37" i="13"/>
  <c r="D37" i="13"/>
  <c r="C37" i="13"/>
  <c r="B37" i="13"/>
  <c r="I36" i="13"/>
  <c r="J36" i="13" s="1"/>
  <c r="G36" i="13"/>
  <c r="D36" i="13"/>
  <c r="C36" i="13"/>
  <c r="B36" i="13"/>
  <c r="J35" i="13"/>
  <c r="I35" i="13"/>
  <c r="G35" i="13"/>
  <c r="D35" i="13"/>
  <c r="C35" i="13"/>
  <c r="B35" i="13"/>
  <c r="J34" i="13"/>
  <c r="I34" i="13"/>
  <c r="G34" i="13"/>
  <c r="D34" i="13"/>
  <c r="C34" i="13"/>
  <c r="B34" i="13"/>
  <c r="I33" i="13"/>
  <c r="J33" i="13" s="1"/>
  <c r="G33" i="13"/>
  <c r="D33" i="13"/>
  <c r="C33" i="13"/>
  <c r="B33" i="13"/>
  <c r="I32" i="13"/>
  <c r="J32" i="13" s="1"/>
  <c r="G32" i="13"/>
  <c r="D32" i="13"/>
  <c r="C32" i="13"/>
  <c r="B32" i="13"/>
  <c r="J31" i="13"/>
  <c r="I31" i="13"/>
  <c r="G31" i="13"/>
  <c r="D31" i="13"/>
  <c r="C31" i="13"/>
  <c r="B31" i="13"/>
  <c r="J30" i="13"/>
  <c r="I30" i="13"/>
  <c r="G30" i="13"/>
  <c r="D30" i="13"/>
  <c r="C30" i="13"/>
  <c r="B30" i="13"/>
  <c r="I29" i="13"/>
  <c r="J29" i="13" s="1"/>
  <c r="G29" i="13"/>
  <c r="D29" i="13"/>
  <c r="C29" i="13"/>
  <c r="B29" i="13"/>
  <c r="I28" i="13"/>
  <c r="J28" i="13" s="1"/>
  <c r="G28" i="13"/>
  <c r="D28" i="13"/>
  <c r="C28" i="13"/>
  <c r="B28" i="13"/>
  <c r="I27" i="13"/>
  <c r="J27" i="13" s="1"/>
  <c r="G27" i="13"/>
  <c r="D27" i="13"/>
  <c r="C27" i="13"/>
  <c r="B27" i="13"/>
  <c r="J26" i="13"/>
  <c r="I26" i="13"/>
  <c r="G26" i="13"/>
  <c r="D26" i="13"/>
  <c r="C26" i="13"/>
  <c r="B26" i="13"/>
  <c r="J25" i="13"/>
  <c r="I25" i="13"/>
  <c r="G25" i="13"/>
  <c r="D25" i="13"/>
  <c r="C25" i="13"/>
  <c r="B25" i="13"/>
  <c r="I24" i="13"/>
  <c r="J24" i="13" s="1"/>
  <c r="G24" i="13"/>
  <c r="D24" i="13"/>
  <c r="C24" i="13"/>
  <c r="B24" i="13"/>
  <c r="J23" i="13"/>
  <c r="I23" i="13"/>
  <c r="G23" i="13"/>
  <c r="D23" i="13"/>
  <c r="C23" i="13"/>
  <c r="B23" i="13"/>
  <c r="J22" i="13"/>
  <c r="I22" i="13"/>
  <c r="G22" i="13"/>
  <c r="D22" i="13"/>
  <c r="C22" i="13"/>
  <c r="B22" i="13"/>
  <c r="I21" i="13"/>
  <c r="J21" i="13" s="1"/>
  <c r="G21" i="13"/>
  <c r="D21" i="13"/>
  <c r="C21" i="13"/>
  <c r="B21" i="13"/>
  <c r="I20" i="13"/>
  <c r="J20" i="13" s="1"/>
  <c r="G20" i="13"/>
  <c r="D20" i="13"/>
  <c r="C20" i="13"/>
  <c r="B20" i="13"/>
  <c r="I19" i="13"/>
  <c r="J19" i="13" s="1"/>
  <c r="G19" i="13"/>
  <c r="D19" i="13"/>
  <c r="C19" i="13"/>
  <c r="B19" i="13"/>
  <c r="J18" i="13"/>
  <c r="I18" i="13"/>
  <c r="G18" i="13"/>
  <c r="D18" i="13"/>
  <c r="C18" i="13"/>
  <c r="B18" i="13"/>
  <c r="J17" i="13"/>
  <c r="I17" i="13"/>
  <c r="G17" i="13"/>
  <c r="D17" i="13"/>
  <c r="C17" i="13"/>
  <c r="B17" i="13"/>
  <c r="I16" i="13"/>
  <c r="J16" i="13" s="1"/>
  <c r="G16" i="13"/>
  <c r="D16" i="13"/>
  <c r="C16" i="13"/>
  <c r="B16" i="13"/>
  <c r="I15" i="13"/>
  <c r="J15" i="13" s="1"/>
  <c r="G15" i="13"/>
  <c r="D15" i="13"/>
  <c r="C15" i="13"/>
  <c r="B15" i="13"/>
  <c r="J14" i="13"/>
  <c r="I14" i="13"/>
  <c r="G14" i="13"/>
  <c r="D14" i="13"/>
  <c r="C14" i="13"/>
  <c r="B14" i="13"/>
  <c r="I13" i="13"/>
  <c r="J13" i="13" s="1"/>
  <c r="G13" i="13"/>
  <c r="D13" i="13"/>
  <c r="C13" i="13"/>
  <c r="B13" i="13"/>
  <c r="I12" i="13"/>
  <c r="J12" i="13" s="1"/>
  <c r="G12" i="13"/>
  <c r="D12" i="13"/>
  <c r="C12" i="13"/>
  <c r="B12" i="13"/>
  <c r="J11" i="13"/>
  <c r="I11" i="13"/>
  <c r="G11" i="13"/>
  <c r="D11" i="13"/>
  <c r="C11" i="13"/>
  <c r="B11" i="13"/>
  <c r="J10" i="13"/>
  <c r="G10" i="13"/>
  <c r="D10" i="13"/>
  <c r="C10" i="13"/>
  <c r="I10" i="13" s="1"/>
  <c r="B10" i="13"/>
  <c r="J9" i="13"/>
  <c r="I9" i="13"/>
  <c r="G9" i="13"/>
  <c r="D9" i="13"/>
  <c r="C9" i="13"/>
  <c r="B9" i="13"/>
  <c r="J4" i="13"/>
  <c r="G4" i="13"/>
  <c r="D4" i="13"/>
  <c r="A4" i="13"/>
  <c r="I208" i="12"/>
  <c r="H208" i="12"/>
  <c r="F208" i="12"/>
  <c r="D208" i="12"/>
  <c r="C208" i="12"/>
  <c r="B208" i="12"/>
  <c r="I207" i="12"/>
  <c r="H207" i="12"/>
  <c r="F207" i="12"/>
  <c r="D207" i="12"/>
  <c r="C207" i="12"/>
  <c r="B207" i="12"/>
  <c r="H206" i="12"/>
  <c r="I206" i="12" s="1"/>
  <c r="F206" i="12"/>
  <c r="D206" i="12"/>
  <c r="C206" i="12"/>
  <c r="B206" i="12"/>
  <c r="H205" i="12"/>
  <c r="I205" i="12" s="1"/>
  <c r="F205" i="12"/>
  <c r="D205" i="12"/>
  <c r="C205" i="12"/>
  <c r="B205" i="12"/>
  <c r="I204" i="12"/>
  <c r="H204" i="12"/>
  <c r="F204" i="12"/>
  <c r="D204" i="12"/>
  <c r="C204" i="12"/>
  <c r="B204" i="12"/>
  <c r="I203" i="12"/>
  <c r="H203" i="12"/>
  <c r="F203" i="12"/>
  <c r="D203" i="12"/>
  <c r="C203" i="12"/>
  <c r="B203" i="12"/>
  <c r="H202" i="12"/>
  <c r="I202" i="12" s="1"/>
  <c r="F202" i="12"/>
  <c r="D202" i="12"/>
  <c r="C202" i="12"/>
  <c r="B202" i="12"/>
  <c r="H201" i="12"/>
  <c r="I201" i="12" s="1"/>
  <c r="F201" i="12"/>
  <c r="D201" i="12"/>
  <c r="C201" i="12"/>
  <c r="B201" i="12"/>
  <c r="I200" i="12"/>
  <c r="H200" i="12"/>
  <c r="F200" i="12"/>
  <c r="D200" i="12"/>
  <c r="C200" i="12"/>
  <c r="B200" i="12"/>
  <c r="I199" i="12"/>
  <c r="H199" i="12"/>
  <c r="F199" i="12"/>
  <c r="D199" i="12"/>
  <c r="C199" i="12"/>
  <c r="B199" i="12"/>
  <c r="H198" i="12"/>
  <c r="I198" i="12" s="1"/>
  <c r="F198" i="12"/>
  <c r="D198" i="12"/>
  <c r="C198" i="12"/>
  <c r="B198" i="12"/>
  <c r="H197" i="12"/>
  <c r="I197" i="12" s="1"/>
  <c r="F197" i="12"/>
  <c r="D197" i="12"/>
  <c r="C197" i="12"/>
  <c r="B197" i="12"/>
  <c r="H196" i="12"/>
  <c r="I196" i="12" s="1"/>
  <c r="F196" i="12"/>
  <c r="D196" i="12"/>
  <c r="C196" i="12"/>
  <c r="B196" i="12"/>
  <c r="I195" i="12"/>
  <c r="H195" i="12"/>
  <c r="F195" i="12"/>
  <c r="D195" i="12"/>
  <c r="C195" i="12"/>
  <c r="B195" i="12"/>
  <c r="H194" i="12"/>
  <c r="I194" i="12" s="1"/>
  <c r="F194" i="12"/>
  <c r="D194" i="12"/>
  <c r="C194" i="12"/>
  <c r="B194" i="12"/>
  <c r="H193" i="12"/>
  <c r="I193" i="12" s="1"/>
  <c r="F193" i="12"/>
  <c r="D193" i="12"/>
  <c r="C193" i="12"/>
  <c r="B193" i="12"/>
  <c r="H192" i="12"/>
  <c r="I192" i="12" s="1"/>
  <c r="F192" i="12"/>
  <c r="D192" i="12"/>
  <c r="C192" i="12"/>
  <c r="B192" i="12"/>
  <c r="I191" i="12"/>
  <c r="H191" i="12"/>
  <c r="F191" i="12"/>
  <c r="D191" i="12"/>
  <c r="C191" i="12"/>
  <c r="B191" i="12"/>
  <c r="H190" i="12"/>
  <c r="I190" i="12" s="1"/>
  <c r="F190" i="12"/>
  <c r="D190" i="12"/>
  <c r="C190" i="12"/>
  <c r="B190" i="12"/>
  <c r="H189" i="12"/>
  <c r="I189" i="12" s="1"/>
  <c r="F189" i="12"/>
  <c r="D189" i="12"/>
  <c r="C189" i="12"/>
  <c r="B189" i="12"/>
  <c r="H188" i="12"/>
  <c r="I188" i="12" s="1"/>
  <c r="F188" i="12"/>
  <c r="D188" i="12"/>
  <c r="C188" i="12"/>
  <c r="B188" i="12"/>
  <c r="I187" i="12"/>
  <c r="H187" i="12"/>
  <c r="F187" i="12"/>
  <c r="D187" i="12"/>
  <c r="C187" i="12"/>
  <c r="B187" i="12"/>
  <c r="H186" i="12"/>
  <c r="I186" i="12" s="1"/>
  <c r="F186" i="12"/>
  <c r="D186" i="12"/>
  <c r="C186" i="12"/>
  <c r="B186" i="12"/>
  <c r="H185" i="12"/>
  <c r="I185" i="12" s="1"/>
  <c r="F185" i="12"/>
  <c r="D185" i="12"/>
  <c r="C185" i="12"/>
  <c r="B185" i="12"/>
  <c r="I184" i="12"/>
  <c r="H184" i="12"/>
  <c r="F184" i="12"/>
  <c r="D184" i="12"/>
  <c r="C184" i="12"/>
  <c r="B184" i="12"/>
  <c r="I183" i="12"/>
  <c r="H183" i="12"/>
  <c r="F183" i="12"/>
  <c r="D183" i="12"/>
  <c r="C183" i="12"/>
  <c r="B183" i="12"/>
  <c r="H182" i="12"/>
  <c r="I182" i="12" s="1"/>
  <c r="F182" i="12"/>
  <c r="D182" i="12"/>
  <c r="C182" i="12"/>
  <c r="B182" i="12"/>
  <c r="H181" i="12"/>
  <c r="I181" i="12" s="1"/>
  <c r="F181" i="12"/>
  <c r="D181" i="12"/>
  <c r="C181" i="12"/>
  <c r="B181" i="12"/>
  <c r="H180" i="12"/>
  <c r="I180" i="12" s="1"/>
  <c r="F180" i="12"/>
  <c r="D180" i="12"/>
  <c r="C180" i="12"/>
  <c r="B180" i="12"/>
  <c r="I179" i="12"/>
  <c r="H179" i="12"/>
  <c r="F179" i="12"/>
  <c r="D179" i="12"/>
  <c r="C179" i="12"/>
  <c r="B179" i="12"/>
  <c r="H178" i="12"/>
  <c r="I178" i="12" s="1"/>
  <c r="F178" i="12"/>
  <c r="D178" i="12"/>
  <c r="C178" i="12"/>
  <c r="B178" i="12"/>
  <c r="H177" i="12"/>
  <c r="I177" i="12" s="1"/>
  <c r="F177" i="12"/>
  <c r="D177" i="12"/>
  <c r="C177" i="12"/>
  <c r="B177" i="12"/>
  <c r="H176" i="12"/>
  <c r="I176" i="12" s="1"/>
  <c r="F176" i="12"/>
  <c r="D176" i="12"/>
  <c r="C176" i="12"/>
  <c r="B176" i="12"/>
  <c r="I175" i="12"/>
  <c r="H175" i="12"/>
  <c r="F175" i="12"/>
  <c r="D175" i="12"/>
  <c r="C175" i="12"/>
  <c r="B175" i="12"/>
  <c r="H174" i="12"/>
  <c r="I174" i="12" s="1"/>
  <c r="F174" i="12"/>
  <c r="D174" i="12"/>
  <c r="C174" i="12"/>
  <c r="B174" i="12"/>
  <c r="H173" i="12"/>
  <c r="I173" i="12" s="1"/>
  <c r="F173" i="12"/>
  <c r="D173" i="12"/>
  <c r="C173" i="12"/>
  <c r="B173" i="12"/>
  <c r="H172" i="12"/>
  <c r="I172" i="12" s="1"/>
  <c r="F172" i="12"/>
  <c r="D172" i="12"/>
  <c r="C172" i="12"/>
  <c r="B172" i="12"/>
  <c r="I171" i="12"/>
  <c r="H171" i="12"/>
  <c r="F171" i="12"/>
  <c r="D171" i="12"/>
  <c r="C171" i="12"/>
  <c r="B171" i="12"/>
  <c r="H170" i="12"/>
  <c r="I170" i="12" s="1"/>
  <c r="F170" i="12"/>
  <c r="D170" i="12"/>
  <c r="C170" i="12"/>
  <c r="B170" i="12"/>
  <c r="H169" i="12"/>
  <c r="I169" i="12" s="1"/>
  <c r="F169" i="12"/>
  <c r="D169" i="12"/>
  <c r="C169" i="12"/>
  <c r="B169" i="12"/>
  <c r="I168" i="12"/>
  <c r="H168" i="12"/>
  <c r="F168" i="12"/>
  <c r="D168" i="12"/>
  <c r="C168" i="12"/>
  <c r="B168" i="12"/>
  <c r="I167" i="12"/>
  <c r="H167" i="12"/>
  <c r="F167" i="12"/>
  <c r="D167" i="12"/>
  <c r="C167" i="12"/>
  <c r="B167" i="12"/>
  <c r="H166" i="12"/>
  <c r="I166" i="12" s="1"/>
  <c r="F166" i="12"/>
  <c r="D166" i="12"/>
  <c r="C166" i="12"/>
  <c r="B166" i="12"/>
  <c r="H165" i="12"/>
  <c r="I165" i="12" s="1"/>
  <c r="F165" i="12"/>
  <c r="D165" i="12"/>
  <c r="C165" i="12"/>
  <c r="B165" i="12"/>
  <c r="H164" i="12"/>
  <c r="I164" i="12" s="1"/>
  <c r="F164" i="12"/>
  <c r="D164" i="12"/>
  <c r="C164" i="12"/>
  <c r="B164" i="12"/>
  <c r="I163" i="12"/>
  <c r="H163" i="12"/>
  <c r="F163" i="12"/>
  <c r="D163" i="12"/>
  <c r="C163" i="12"/>
  <c r="B163" i="12"/>
  <c r="H162" i="12"/>
  <c r="I162" i="12" s="1"/>
  <c r="F162" i="12"/>
  <c r="D162" i="12"/>
  <c r="C162" i="12"/>
  <c r="B162" i="12"/>
  <c r="H161" i="12"/>
  <c r="I161" i="12" s="1"/>
  <c r="F161" i="12"/>
  <c r="D161" i="12"/>
  <c r="C161" i="12"/>
  <c r="B161" i="12"/>
  <c r="H160" i="12"/>
  <c r="I160" i="12" s="1"/>
  <c r="F160" i="12"/>
  <c r="D160" i="12"/>
  <c r="C160" i="12"/>
  <c r="B160" i="12"/>
  <c r="I159" i="12"/>
  <c r="H159" i="12"/>
  <c r="F159" i="12"/>
  <c r="D159" i="12"/>
  <c r="C159" i="12"/>
  <c r="B159" i="12"/>
  <c r="H158" i="12"/>
  <c r="I158" i="12" s="1"/>
  <c r="F158" i="12"/>
  <c r="D158" i="12"/>
  <c r="C158" i="12"/>
  <c r="B158" i="12"/>
  <c r="H157" i="12"/>
  <c r="I157" i="12" s="1"/>
  <c r="F157" i="12"/>
  <c r="D157" i="12"/>
  <c r="C157" i="12"/>
  <c r="B157" i="12"/>
  <c r="H156" i="12"/>
  <c r="I156" i="12" s="1"/>
  <c r="F156" i="12"/>
  <c r="D156" i="12"/>
  <c r="C156" i="12"/>
  <c r="B156" i="12"/>
  <c r="I155" i="12"/>
  <c r="H155" i="12"/>
  <c r="F155" i="12"/>
  <c r="D155" i="12"/>
  <c r="C155" i="12"/>
  <c r="B155" i="12"/>
  <c r="H154" i="12"/>
  <c r="I154" i="12" s="1"/>
  <c r="F154" i="12"/>
  <c r="D154" i="12"/>
  <c r="C154" i="12"/>
  <c r="B154" i="12"/>
  <c r="H153" i="12"/>
  <c r="I153" i="12" s="1"/>
  <c r="F153" i="12"/>
  <c r="D153" i="12"/>
  <c r="C153" i="12"/>
  <c r="B153" i="12"/>
  <c r="I152" i="12"/>
  <c r="H152" i="12"/>
  <c r="F152" i="12"/>
  <c r="D152" i="12"/>
  <c r="C152" i="12"/>
  <c r="B152" i="12"/>
  <c r="I151" i="12"/>
  <c r="H151" i="12"/>
  <c r="F151" i="12"/>
  <c r="D151" i="12"/>
  <c r="C151" i="12"/>
  <c r="B151" i="12"/>
  <c r="H150" i="12"/>
  <c r="I150" i="12" s="1"/>
  <c r="F150" i="12"/>
  <c r="D150" i="12"/>
  <c r="C150" i="12"/>
  <c r="B150" i="12"/>
  <c r="H149" i="12"/>
  <c r="I149" i="12" s="1"/>
  <c r="F149" i="12"/>
  <c r="D149" i="12"/>
  <c r="C149" i="12"/>
  <c r="B149" i="12"/>
  <c r="H148" i="12"/>
  <c r="I148" i="12" s="1"/>
  <c r="F148" i="12"/>
  <c r="D148" i="12"/>
  <c r="C148" i="12"/>
  <c r="B148" i="12"/>
  <c r="I147" i="12"/>
  <c r="H147" i="12"/>
  <c r="F147" i="12"/>
  <c r="D147" i="12"/>
  <c r="C147" i="12"/>
  <c r="B147" i="12"/>
  <c r="H146" i="12"/>
  <c r="I146" i="12" s="1"/>
  <c r="F146" i="12"/>
  <c r="D146" i="12"/>
  <c r="C146" i="12"/>
  <c r="B146" i="12"/>
  <c r="H145" i="12"/>
  <c r="I145" i="12" s="1"/>
  <c r="F145" i="12"/>
  <c r="D145" i="12"/>
  <c r="C145" i="12"/>
  <c r="B145" i="12"/>
  <c r="H144" i="12"/>
  <c r="I144" i="12" s="1"/>
  <c r="F144" i="12"/>
  <c r="D144" i="12"/>
  <c r="C144" i="12"/>
  <c r="B144" i="12"/>
  <c r="I143" i="12"/>
  <c r="H143" i="12"/>
  <c r="F143" i="12"/>
  <c r="D143" i="12"/>
  <c r="C143" i="12"/>
  <c r="B143" i="12"/>
  <c r="H142" i="12"/>
  <c r="I142" i="12" s="1"/>
  <c r="F142" i="12"/>
  <c r="D142" i="12"/>
  <c r="C142" i="12"/>
  <c r="B142" i="12"/>
  <c r="H141" i="12"/>
  <c r="I141" i="12" s="1"/>
  <c r="F141" i="12"/>
  <c r="D141" i="12"/>
  <c r="C141" i="12"/>
  <c r="B141" i="12"/>
  <c r="H140" i="12"/>
  <c r="I140" i="12" s="1"/>
  <c r="F140" i="12"/>
  <c r="D140" i="12"/>
  <c r="C140" i="12"/>
  <c r="B140" i="12"/>
  <c r="I139" i="12"/>
  <c r="H139" i="12"/>
  <c r="F139" i="12"/>
  <c r="D139" i="12"/>
  <c r="C139" i="12"/>
  <c r="B139" i="12"/>
  <c r="H138" i="12"/>
  <c r="I138" i="12" s="1"/>
  <c r="F138" i="12"/>
  <c r="D138" i="12"/>
  <c r="C138" i="12"/>
  <c r="B138" i="12"/>
  <c r="H137" i="12"/>
  <c r="I137" i="12" s="1"/>
  <c r="F137" i="12"/>
  <c r="D137" i="12"/>
  <c r="C137" i="12"/>
  <c r="B137" i="12"/>
  <c r="I136" i="12"/>
  <c r="H136" i="12"/>
  <c r="F136" i="12"/>
  <c r="D136" i="12"/>
  <c r="C136" i="12"/>
  <c r="B136" i="12"/>
  <c r="I135" i="12"/>
  <c r="H135" i="12"/>
  <c r="F135" i="12"/>
  <c r="D135" i="12"/>
  <c r="C135" i="12"/>
  <c r="B135" i="12"/>
  <c r="H134" i="12"/>
  <c r="I134" i="12" s="1"/>
  <c r="F134" i="12"/>
  <c r="D134" i="12"/>
  <c r="C134" i="12"/>
  <c r="B134" i="12"/>
  <c r="H133" i="12"/>
  <c r="I133" i="12" s="1"/>
  <c r="F133" i="12"/>
  <c r="D133" i="12"/>
  <c r="C133" i="12"/>
  <c r="B133" i="12"/>
  <c r="H132" i="12"/>
  <c r="I132" i="12" s="1"/>
  <c r="F132" i="12"/>
  <c r="D132" i="12"/>
  <c r="C132" i="12"/>
  <c r="B132" i="12"/>
  <c r="I131" i="12"/>
  <c r="H131" i="12"/>
  <c r="F131" i="12"/>
  <c r="D131" i="12"/>
  <c r="C131" i="12"/>
  <c r="B131" i="12"/>
  <c r="H130" i="12"/>
  <c r="I130" i="12" s="1"/>
  <c r="F130" i="12"/>
  <c r="D130" i="12"/>
  <c r="C130" i="12"/>
  <c r="B130" i="12"/>
  <c r="H129" i="12"/>
  <c r="I129" i="12" s="1"/>
  <c r="F129" i="12"/>
  <c r="D129" i="12"/>
  <c r="C129" i="12"/>
  <c r="B129" i="12"/>
  <c r="H128" i="12"/>
  <c r="I128" i="12" s="1"/>
  <c r="F128" i="12"/>
  <c r="D128" i="12"/>
  <c r="C128" i="12"/>
  <c r="B128" i="12"/>
  <c r="I127" i="12"/>
  <c r="H127" i="12"/>
  <c r="F127" i="12"/>
  <c r="D127" i="12"/>
  <c r="C127" i="12"/>
  <c r="B127" i="12"/>
  <c r="H126" i="12"/>
  <c r="I126" i="12" s="1"/>
  <c r="F126" i="12"/>
  <c r="D126" i="12"/>
  <c r="C126" i="12"/>
  <c r="B126" i="12"/>
  <c r="H125" i="12"/>
  <c r="I125" i="12" s="1"/>
  <c r="F125" i="12"/>
  <c r="D125" i="12"/>
  <c r="C125" i="12"/>
  <c r="B125" i="12"/>
  <c r="H124" i="12"/>
  <c r="I124" i="12" s="1"/>
  <c r="F124" i="12"/>
  <c r="D124" i="12"/>
  <c r="C124" i="12"/>
  <c r="B124" i="12"/>
  <c r="I123" i="12"/>
  <c r="H123" i="12"/>
  <c r="F123" i="12"/>
  <c r="D123" i="12"/>
  <c r="C123" i="12"/>
  <c r="B123" i="12"/>
  <c r="H122" i="12"/>
  <c r="I122" i="12" s="1"/>
  <c r="F122" i="12"/>
  <c r="D122" i="12"/>
  <c r="C122" i="12"/>
  <c r="B122" i="12"/>
  <c r="H121" i="12"/>
  <c r="I121" i="12" s="1"/>
  <c r="F121" i="12"/>
  <c r="D121" i="12"/>
  <c r="C121" i="12"/>
  <c r="B121" i="12"/>
  <c r="I120" i="12"/>
  <c r="H120" i="12"/>
  <c r="F120" i="12"/>
  <c r="D120" i="12"/>
  <c r="C120" i="12"/>
  <c r="B120" i="12"/>
  <c r="I119" i="12"/>
  <c r="H119" i="12"/>
  <c r="F119" i="12"/>
  <c r="D119" i="12"/>
  <c r="C119" i="12"/>
  <c r="B119" i="12"/>
  <c r="H118" i="12"/>
  <c r="I118" i="12" s="1"/>
  <c r="F118" i="12"/>
  <c r="D118" i="12"/>
  <c r="C118" i="12"/>
  <c r="B118" i="12"/>
  <c r="H117" i="12"/>
  <c r="I117" i="12" s="1"/>
  <c r="F117" i="12"/>
  <c r="D117" i="12"/>
  <c r="C117" i="12"/>
  <c r="B117" i="12"/>
  <c r="H116" i="12"/>
  <c r="I116" i="12" s="1"/>
  <c r="F116" i="12"/>
  <c r="D116" i="12"/>
  <c r="C116" i="12"/>
  <c r="B116" i="12"/>
  <c r="I115" i="12"/>
  <c r="H115" i="12"/>
  <c r="F115" i="12"/>
  <c r="D115" i="12"/>
  <c r="C115" i="12"/>
  <c r="B115" i="12"/>
  <c r="H114" i="12"/>
  <c r="I114" i="12" s="1"/>
  <c r="F114" i="12"/>
  <c r="D114" i="12"/>
  <c r="C114" i="12"/>
  <c r="B114" i="12"/>
  <c r="H113" i="12"/>
  <c r="I113" i="12" s="1"/>
  <c r="F113" i="12"/>
  <c r="D113" i="12"/>
  <c r="C113" i="12"/>
  <c r="B113" i="12"/>
  <c r="H112" i="12"/>
  <c r="I112" i="12" s="1"/>
  <c r="F112" i="12"/>
  <c r="D112" i="12"/>
  <c r="C112" i="12"/>
  <c r="B112" i="12"/>
  <c r="I111" i="12"/>
  <c r="H111" i="12"/>
  <c r="F111" i="12"/>
  <c r="D111" i="12"/>
  <c r="C111" i="12"/>
  <c r="B111" i="12"/>
  <c r="H110" i="12"/>
  <c r="I110" i="12" s="1"/>
  <c r="F110" i="12"/>
  <c r="D110" i="12"/>
  <c r="C110" i="12"/>
  <c r="B110" i="12"/>
  <c r="H109" i="12"/>
  <c r="I109" i="12" s="1"/>
  <c r="F109" i="12"/>
  <c r="D109" i="12"/>
  <c r="C109" i="12"/>
  <c r="B109" i="12"/>
  <c r="H108" i="12"/>
  <c r="I108" i="12" s="1"/>
  <c r="F108" i="12"/>
  <c r="D108" i="12"/>
  <c r="C108" i="12"/>
  <c r="B108" i="12"/>
  <c r="I107" i="12"/>
  <c r="H107" i="12"/>
  <c r="F107" i="12"/>
  <c r="D107" i="12"/>
  <c r="C107" i="12"/>
  <c r="B107" i="12"/>
  <c r="H106" i="12"/>
  <c r="I106" i="12" s="1"/>
  <c r="F106" i="12"/>
  <c r="D106" i="12"/>
  <c r="C106" i="12"/>
  <c r="B106" i="12"/>
  <c r="H105" i="12"/>
  <c r="I105" i="12" s="1"/>
  <c r="F105" i="12"/>
  <c r="D105" i="12"/>
  <c r="C105" i="12"/>
  <c r="B105" i="12"/>
  <c r="I104" i="12"/>
  <c r="H104" i="12"/>
  <c r="F104" i="12"/>
  <c r="D104" i="12"/>
  <c r="C104" i="12"/>
  <c r="B104" i="12"/>
  <c r="I103" i="12"/>
  <c r="H103" i="12"/>
  <c r="F103" i="12"/>
  <c r="D103" i="12"/>
  <c r="C103" i="12"/>
  <c r="B103" i="12"/>
  <c r="H102" i="12"/>
  <c r="I102" i="12" s="1"/>
  <c r="F102" i="12"/>
  <c r="D102" i="12"/>
  <c r="C102" i="12"/>
  <c r="B102" i="12"/>
  <c r="H101" i="12"/>
  <c r="I101" i="12" s="1"/>
  <c r="F101" i="12"/>
  <c r="D101" i="12"/>
  <c r="C101" i="12"/>
  <c r="B101" i="12"/>
  <c r="H100" i="12"/>
  <c r="I100" i="12" s="1"/>
  <c r="F100" i="12"/>
  <c r="D100" i="12"/>
  <c r="C100" i="12"/>
  <c r="B100" i="12"/>
  <c r="I99" i="12"/>
  <c r="H99" i="12"/>
  <c r="F99" i="12"/>
  <c r="D99" i="12"/>
  <c r="C99" i="12"/>
  <c r="B99" i="12"/>
  <c r="H98" i="12"/>
  <c r="I98" i="12" s="1"/>
  <c r="F98" i="12"/>
  <c r="D98" i="12"/>
  <c r="C98" i="12"/>
  <c r="B98" i="12"/>
  <c r="H97" i="12"/>
  <c r="I97" i="12" s="1"/>
  <c r="F97" i="12"/>
  <c r="D97" i="12"/>
  <c r="C97" i="12"/>
  <c r="B97" i="12"/>
  <c r="H96" i="12"/>
  <c r="I96" i="12" s="1"/>
  <c r="F96" i="12"/>
  <c r="D96" i="12"/>
  <c r="C96" i="12"/>
  <c r="B96" i="12"/>
  <c r="I95" i="12"/>
  <c r="H95" i="12"/>
  <c r="F95" i="12"/>
  <c r="D95" i="12"/>
  <c r="C95" i="12"/>
  <c r="B95" i="12"/>
  <c r="H94" i="12"/>
  <c r="I94" i="12" s="1"/>
  <c r="F94" i="12"/>
  <c r="D94" i="12"/>
  <c r="C94" i="12"/>
  <c r="B94" i="12"/>
  <c r="H93" i="12"/>
  <c r="I93" i="12" s="1"/>
  <c r="F93" i="12"/>
  <c r="D93" i="12"/>
  <c r="C93" i="12"/>
  <c r="B93" i="12"/>
  <c r="H92" i="12"/>
  <c r="I92" i="12" s="1"/>
  <c r="F92" i="12"/>
  <c r="D92" i="12"/>
  <c r="C92" i="12"/>
  <c r="B92" i="12"/>
  <c r="I91" i="12"/>
  <c r="H91" i="12"/>
  <c r="F91" i="12"/>
  <c r="D91" i="12"/>
  <c r="C91" i="12"/>
  <c r="B91" i="12"/>
  <c r="H90" i="12"/>
  <c r="I90" i="12" s="1"/>
  <c r="F90" i="12"/>
  <c r="D90" i="12"/>
  <c r="C90" i="12"/>
  <c r="B90" i="12"/>
  <c r="H89" i="12"/>
  <c r="I89" i="12" s="1"/>
  <c r="F89" i="12"/>
  <c r="D89" i="12"/>
  <c r="C89" i="12"/>
  <c r="B89" i="12"/>
  <c r="I88" i="12"/>
  <c r="H88" i="12"/>
  <c r="F88" i="12"/>
  <c r="D88" i="12"/>
  <c r="C88" i="12"/>
  <c r="B88" i="12"/>
  <c r="I87" i="12"/>
  <c r="H87" i="12"/>
  <c r="F87" i="12"/>
  <c r="D87" i="12"/>
  <c r="C87" i="12"/>
  <c r="B87" i="12"/>
  <c r="H86" i="12"/>
  <c r="I86" i="12" s="1"/>
  <c r="F86" i="12"/>
  <c r="D86" i="12"/>
  <c r="C86" i="12"/>
  <c r="B86" i="12"/>
  <c r="H85" i="12"/>
  <c r="I85" i="12" s="1"/>
  <c r="F85" i="12"/>
  <c r="D85" i="12"/>
  <c r="C85" i="12"/>
  <c r="B85" i="12"/>
  <c r="H84" i="12"/>
  <c r="I84" i="12" s="1"/>
  <c r="F84" i="12"/>
  <c r="D84" i="12"/>
  <c r="C84" i="12"/>
  <c r="B84" i="12"/>
  <c r="I83" i="12"/>
  <c r="H83" i="12"/>
  <c r="F83" i="12"/>
  <c r="D83" i="12"/>
  <c r="C83" i="12"/>
  <c r="B83" i="12"/>
  <c r="H82" i="12"/>
  <c r="I82" i="12" s="1"/>
  <c r="F82" i="12"/>
  <c r="D82" i="12"/>
  <c r="C82" i="12"/>
  <c r="B82" i="12"/>
  <c r="H81" i="12"/>
  <c r="I81" i="12" s="1"/>
  <c r="F81" i="12"/>
  <c r="D81" i="12"/>
  <c r="C81" i="12"/>
  <c r="B81" i="12"/>
  <c r="H80" i="12"/>
  <c r="I80" i="12" s="1"/>
  <c r="F80" i="12"/>
  <c r="D80" i="12"/>
  <c r="C80" i="12"/>
  <c r="B80" i="12"/>
  <c r="I79" i="12"/>
  <c r="H79" i="12"/>
  <c r="F79" i="12"/>
  <c r="D79" i="12"/>
  <c r="C79" i="12"/>
  <c r="B79" i="12"/>
  <c r="H78" i="12"/>
  <c r="I78" i="12" s="1"/>
  <c r="F78" i="12"/>
  <c r="D78" i="12"/>
  <c r="C78" i="12"/>
  <c r="B78" i="12"/>
  <c r="H77" i="12"/>
  <c r="I77" i="12" s="1"/>
  <c r="F77" i="12"/>
  <c r="D77" i="12"/>
  <c r="C77" i="12"/>
  <c r="B77" i="12"/>
  <c r="H76" i="12"/>
  <c r="I76" i="12" s="1"/>
  <c r="F76" i="12"/>
  <c r="D76" i="12"/>
  <c r="C76" i="12"/>
  <c r="B76" i="12"/>
  <c r="I75" i="12"/>
  <c r="H75" i="12"/>
  <c r="F75" i="12"/>
  <c r="D75" i="12"/>
  <c r="C75" i="12"/>
  <c r="B75" i="12"/>
  <c r="H74" i="12"/>
  <c r="I74" i="12" s="1"/>
  <c r="F74" i="12"/>
  <c r="D74" i="12"/>
  <c r="C74" i="12"/>
  <c r="B74" i="12"/>
  <c r="H73" i="12"/>
  <c r="I73" i="12" s="1"/>
  <c r="F73" i="12"/>
  <c r="D73" i="12"/>
  <c r="C73" i="12"/>
  <c r="B73" i="12"/>
  <c r="I72" i="12"/>
  <c r="H72" i="12"/>
  <c r="F72" i="12"/>
  <c r="D72" i="12"/>
  <c r="C72" i="12"/>
  <c r="B72" i="12"/>
  <c r="I71" i="12"/>
  <c r="H71" i="12"/>
  <c r="F71" i="12"/>
  <c r="D71" i="12"/>
  <c r="C71" i="12"/>
  <c r="B71" i="12"/>
  <c r="H70" i="12"/>
  <c r="I70" i="12" s="1"/>
  <c r="F70" i="12"/>
  <c r="D70" i="12"/>
  <c r="C70" i="12"/>
  <c r="B70" i="12"/>
  <c r="H69" i="12"/>
  <c r="I69" i="12" s="1"/>
  <c r="F69" i="12"/>
  <c r="D69" i="12"/>
  <c r="C69" i="12"/>
  <c r="B69" i="12"/>
  <c r="H68" i="12"/>
  <c r="I68" i="12" s="1"/>
  <c r="F68" i="12"/>
  <c r="D68" i="12"/>
  <c r="C68" i="12"/>
  <c r="B68" i="12"/>
  <c r="I67" i="12"/>
  <c r="H67" i="12"/>
  <c r="F67" i="12"/>
  <c r="D67" i="12"/>
  <c r="C67" i="12"/>
  <c r="B67" i="12"/>
  <c r="H66" i="12"/>
  <c r="I66" i="12" s="1"/>
  <c r="F66" i="12"/>
  <c r="D66" i="12"/>
  <c r="C66" i="12"/>
  <c r="B66" i="12"/>
  <c r="H65" i="12"/>
  <c r="I65" i="12" s="1"/>
  <c r="F65" i="12"/>
  <c r="D65" i="12"/>
  <c r="C65" i="12"/>
  <c r="B65" i="12"/>
  <c r="H64" i="12"/>
  <c r="I64" i="12" s="1"/>
  <c r="F64" i="12"/>
  <c r="D64" i="12"/>
  <c r="C64" i="12"/>
  <c r="B64" i="12"/>
  <c r="I63" i="12"/>
  <c r="H63" i="12"/>
  <c r="F63" i="12"/>
  <c r="D63" i="12"/>
  <c r="C63" i="12"/>
  <c r="B63" i="12"/>
  <c r="H62" i="12"/>
  <c r="I62" i="12" s="1"/>
  <c r="F62" i="12"/>
  <c r="D62" i="12"/>
  <c r="C62" i="12"/>
  <c r="B62" i="12"/>
  <c r="H61" i="12"/>
  <c r="I61" i="12" s="1"/>
  <c r="F61" i="12"/>
  <c r="D61" i="12"/>
  <c r="C61" i="12"/>
  <c r="B61" i="12"/>
  <c r="H60" i="12"/>
  <c r="I60" i="12" s="1"/>
  <c r="F60" i="12"/>
  <c r="D60" i="12"/>
  <c r="C60" i="12"/>
  <c r="B60" i="12"/>
  <c r="I59" i="12"/>
  <c r="H59" i="12"/>
  <c r="F59" i="12"/>
  <c r="D59" i="12"/>
  <c r="C59" i="12"/>
  <c r="B59" i="12"/>
  <c r="H58" i="12"/>
  <c r="I58" i="12" s="1"/>
  <c r="F58" i="12"/>
  <c r="D58" i="12"/>
  <c r="C58" i="12"/>
  <c r="B58" i="12"/>
  <c r="H57" i="12"/>
  <c r="I57" i="12" s="1"/>
  <c r="F57" i="12"/>
  <c r="D57" i="12"/>
  <c r="C57" i="12"/>
  <c r="B57" i="12"/>
  <c r="I56" i="12"/>
  <c r="H56" i="12"/>
  <c r="F56" i="12"/>
  <c r="D56" i="12"/>
  <c r="C56" i="12"/>
  <c r="B56" i="12"/>
  <c r="I55" i="12"/>
  <c r="H55" i="12"/>
  <c r="F55" i="12"/>
  <c r="D55" i="12"/>
  <c r="C55" i="12"/>
  <c r="B55" i="12"/>
  <c r="H54" i="12"/>
  <c r="I54" i="12" s="1"/>
  <c r="F54" i="12"/>
  <c r="D54" i="12"/>
  <c r="C54" i="12"/>
  <c r="B54" i="12"/>
  <c r="H53" i="12"/>
  <c r="I53" i="12" s="1"/>
  <c r="F53" i="12"/>
  <c r="D53" i="12"/>
  <c r="C53" i="12"/>
  <c r="B53" i="12"/>
  <c r="H52" i="12"/>
  <c r="I52" i="12" s="1"/>
  <c r="F52" i="12"/>
  <c r="D52" i="12"/>
  <c r="C52" i="12"/>
  <c r="B52" i="12"/>
  <c r="I51" i="12"/>
  <c r="H51" i="12"/>
  <c r="F51" i="12"/>
  <c r="D51" i="12"/>
  <c r="C51" i="12"/>
  <c r="B51" i="12"/>
  <c r="H50" i="12"/>
  <c r="I50" i="12" s="1"/>
  <c r="F50" i="12"/>
  <c r="D50" i="12"/>
  <c r="C50" i="12"/>
  <c r="B50" i="12"/>
  <c r="H49" i="12"/>
  <c r="I49" i="12" s="1"/>
  <c r="F49" i="12"/>
  <c r="D49" i="12"/>
  <c r="C49" i="12"/>
  <c r="B49" i="12"/>
  <c r="H48" i="12"/>
  <c r="I48" i="12" s="1"/>
  <c r="F48" i="12"/>
  <c r="D48" i="12"/>
  <c r="C48" i="12"/>
  <c r="B48" i="12"/>
  <c r="I47" i="12"/>
  <c r="H47" i="12"/>
  <c r="F47" i="12"/>
  <c r="D47" i="12"/>
  <c r="C47" i="12"/>
  <c r="B47" i="12"/>
  <c r="H46" i="12"/>
  <c r="I46" i="12" s="1"/>
  <c r="F46" i="12"/>
  <c r="D46" i="12"/>
  <c r="C46" i="12"/>
  <c r="B46" i="12"/>
  <c r="H45" i="12"/>
  <c r="I45" i="12" s="1"/>
  <c r="F45" i="12"/>
  <c r="D45" i="12"/>
  <c r="C45" i="12"/>
  <c r="B45" i="12"/>
  <c r="H44" i="12"/>
  <c r="I44" i="12" s="1"/>
  <c r="F44" i="12"/>
  <c r="D44" i="12"/>
  <c r="C44" i="12"/>
  <c r="B44" i="12"/>
  <c r="I43" i="12"/>
  <c r="H43" i="12"/>
  <c r="F43" i="12"/>
  <c r="D43" i="12"/>
  <c r="C43" i="12"/>
  <c r="B43" i="12"/>
  <c r="H42" i="12"/>
  <c r="I42" i="12" s="1"/>
  <c r="F42" i="12"/>
  <c r="D42" i="12"/>
  <c r="C42" i="12"/>
  <c r="B42" i="12"/>
  <c r="H41" i="12"/>
  <c r="I41" i="12" s="1"/>
  <c r="F41" i="12"/>
  <c r="D41" i="12"/>
  <c r="C41" i="12"/>
  <c r="B41" i="12"/>
  <c r="H40" i="12"/>
  <c r="I40" i="12" s="1"/>
  <c r="F40" i="12"/>
  <c r="D40" i="12"/>
  <c r="C40" i="12"/>
  <c r="B40" i="12"/>
  <c r="I39" i="12"/>
  <c r="H39" i="12"/>
  <c r="F39" i="12"/>
  <c r="D39" i="12"/>
  <c r="C39" i="12"/>
  <c r="B39" i="12"/>
  <c r="H38" i="12"/>
  <c r="I38" i="12" s="1"/>
  <c r="F38" i="12"/>
  <c r="D38" i="12"/>
  <c r="C38" i="12"/>
  <c r="B38" i="12"/>
  <c r="H37" i="12"/>
  <c r="I37" i="12" s="1"/>
  <c r="F37" i="12"/>
  <c r="D37" i="12"/>
  <c r="C37" i="12"/>
  <c r="B37" i="12"/>
  <c r="H36" i="12"/>
  <c r="I36" i="12" s="1"/>
  <c r="F36" i="12"/>
  <c r="D36" i="12"/>
  <c r="C36" i="12"/>
  <c r="B36" i="12"/>
  <c r="I35" i="12"/>
  <c r="H35" i="12"/>
  <c r="F35" i="12"/>
  <c r="D35" i="12"/>
  <c r="C35" i="12"/>
  <c r="B35" i="12"/>
  <c r="H34" i="12"/>
  <c r="I34" i="12" s="1"/>
  <c r="F34" i="12"/>
  <c r="D34" i="12"/>
  <c r="C34" i="12"/>
  <c r="B34" i="12"/>
  <c r="H33" i="12"/>
  <c r="I33" i="12" s="1"/>
  <c r="F33" i="12"/>
  <c r="D33" i="12"/>
  <c r="C33" i="12"/>
  <c r="B33" i="12"/>
  <c r="H32" i="12"/>
  <c r="I32" i="12" s="1"/>
  <c r="F32" i="12"/>
  <c r="D32" i="12"/>
  <c r="C32" i="12"/>
  <c r="B32" i="12"/>
  <c r="I31" i="12"/>
  <c r="H31" i="12"/>
  <c r="F31" i="12"/>
  <c r="D31" i="12"/>
  <c r="C31" i="12"/>
  <c r="B31" i="12"/>
  <c r="H30" i="12"/>
  <c r="I30" i="12" s="1"/>
  <c r="F30" i="12"/>
  <c r="D30" i="12"/>
  <c r="C30" i="12"/>
  <c r="B30" i="12"/>
  <c r="H29" i="12"/>
  <c r="I29" i="12" s="1"/>
  <c r="F29" i="12"/>
  <c r="D29" i="12"/>
  <c r="C29" i="12"/>
  <c r="B29" i="12"/>
  <c r="H28" i="12"/>
  <c r="I28" i="12" s="1"/>
  <c r="F28" i="12"/>
  <c r="D28" i="12"/>
  <c r="C28" i="12"/>
  <c r="B28" i="12"/>
  <c r="I27" i="12"/>
  <c r="H27" i="12"/>
  <c r="F27" i="12"/>
  <c r="D27" i="12"/>
  <c r="C27" i="12"/>
  <c r="B27" i="12"/>
  <c r="H26" i="12"/>
  <c r="I26" i="12" s="1"/>
  <c r="F26" i="12"/>
  <c r="D26" i="12"/>
  <c r="C26" i="12"/>
  <c r="B26" i="12"/>
  <c r="H25" i="12"/>
  <c r="I25" i="12" s="1"/>
  <c r="F25" i="12"/>
  <c r="D25" i="12"/>
  <c r="C25" i="12"/>
  <c r="B25" i="12"/>
  <c r="H24" i="12"/>
  <c r="I24" i="12" s="1"/>
  <c r="F24" i="12"/>
  <c r="D24" i="12"/>
  <c r="C24" i="12"/>
  <c r="B24" i="12"/>
  <c r="I23" i="12"/>
  <c r="H23" i="12"/>
  <c r="F23" i="12"/>
  <c r="D23" i="12"/>
  <c r="C23" i="12"/>
  <c r="B23" i="12"/>
  <c r="H22" i="12"/>
  <c r="I22" i="12" s="1"/>
  <c r="F22" i="12"/>
  <c r="D22" i="12"/>
  <c r="C22" i="12"/>
  <c r="B22" i="12"/>
  <c r="H21" i="12"/>
  <c r="I21" i="12" s="1"/>
  <c r="F21" i="12"/>
  <c r="D21" i="12"/>
  <c r="C21" i="12"/>
  <c r="B21" i="12"/>
  <c r="H20" i="12"/>
  <c r="I20" i="12" s="1"/>
  <c r="F20" i="12"/>
  <c r="D20" i="12"/>
  <c r="C20" i="12"/>
  <c r="B20" i="12"/>
  <c r="I19" i="12"/>
  <c r="H19" i="12"/>
  <c r="F19" i="12"/>
  <c r="D19" i="12"/>
  <c r="C19" i="12"/>
  <c r="B19" i="12"/>
  <c r="H18" i="12"/>
  <c r="I18" i="12" s="1"/>
  <c r="F18" i="12"/>
  <c r="D18" i="12"/>
  <c r="C18" i="12"/>
  <c r="B18" i="12"/>
  <c r="H17" i="12"/>
  <c r="I17" i="12" s="1"/>
  <c r="F17" i="12"/>
  <c r="D17" i="12"/>
  <c r="C17" i="12"/>
  <c r="B17" i="12"/>
  <c r="H16" i="12"/>
  <c r="I16" i="12" s="1"/>
  <c r="F16" i="12"/>
  <c r="D16" i="12"/>
  <c r="C16" i="12"/>
  <c r="B16" i="12"/>
  <c r="I15" i="12"/>
  <c r="H15" i="12"/>
  <c r="F15" i="12"/>
  <c r="D15" i="12"/>
  <c r="C15" i="12"/>
  <c r="B15" i="12"/>
  <c r="H14" i="12"/>
  <c r="I14" i="12" s="1"/>
  <c r="F14" i="12"/>
  <c r="D14" i="12"/>
  <c r="C14" i="12"/>
  <c r="B14" i="12"/>
  <c r="H13" i="12"/>
  <c r="I13" i="12" s="1"/>
  <c r="F13" i="12"/>
  <c r="D13" i="12"/>
  <c r="C13" i="12"/>
  <c r="B13" i="12"/>
  <c r="H12" i="12"/>
  <c r="I12" i="12" s="1"/>
  <c r="F12" i="12"/>
  <c r="D12" i="12"/>
  <c r="C12" i="12"/>
  <c r="B12" i="12"/>
  <c r="I11" i="12"/>
  <c r="H11" i="12"/>
  <c r="F11" i="12"/>
  <c r="D11" i="12"/>
  <c r="C11" i="12"/>
  <c r="B11" i="12"/>
  <c r="H10" i="12"/>
  <c r="I10" i="12" s="1"/>
  <c r="D10" i="12"/>
  <c r="C10" i="12"/>
  <c r="F10" i="12" s="1"/>
  <c r="B10" i="12"/>
  <c r="H9" i="12"/>
  <c r="I9" i="12" s="1"/>
  <c r="D9" i="12"/>
  <c r="C9" i="12"/>
  <c r="F9" i="12" s="1"/>
  <c r="B9" i="12"/>
  <c r="A5" i="12"/>
  <c r="G4" i="12"/>
  <c r="D4" i="12"/>
  <c r="A4" i="12"/>
  <c r="K113" i="11"/>
  <c r="I113" i="11"/>
  <c r="J113" i="11" s="1"/>
  <c r="D113" i="11"/>
  <c r="C113" i="11"/>
  <c r="A113" i="11"/>
  <c r="K112" i="11"/>
  <c r="J112" i="11"/>
  <c r="I112" i="11"/>
  <c r="D112" i="11"/>
  <c r="C112" i="11"/>
  <c r="A112" i="11"/>
  <c r="K111" i="11"/>
  <c r="J111" i="11"/>
  <c r="I111" i="11"/>
  <c r="D111" i="11"/>
  <c r="C111" i="11"/>
  <c r="A111" i="11"/>
  <c r="K110" i="11"/>
  <c r="I110" i="11"/>
  <c r="J110" i="11" s="1"/>
  <c r="D110" i="11"/>
  <c r="C110" i="11"/>
  <c r="A110" i="11"/>
  <c r="K109" i="11"/>
  <c r="J109" i="11"/>
  <c r="I109" i="11"/>
  <c r="D109" i="11"/>
  <c r="C109" i="11"/>
  <c r="A109" i="11"/>
  <c r="K108" i="11"/>
  <c r="J108" i="11"/>
  <c r="I108" i="11"/>
  <c r="D108" i="11"/>
  <c r="C108" i="11"/>
  <c r="A108" i="11"/>
  <c r="K107" i="11"/>
  <c r="J107" i="11"/>
  <c r="I107" i="11"/>
  <c r="D107" i="11"/>
  <c r="C107" i="11"/>
  <c r="A107" i="11"/>
  <c r="K106" i="11"/>
  <c r="I106" i="11"/>
  <c r="J106" i="11" s="1"/>
  <c r="D106" i="11"/>
  <c r="C106" i="11"/>
  <c r="A106" i="11"/>
  <c r="K105" i="11"/>
  <c r="I105" i="11"/>
  <c r="J105" i="11" s="1"/>
  <c r="D105" i="11"/>
  <c r="C105" i="11"/>
  <c r="A105" i="11"/>
  <c r="K104" i="11"/>
  <c r="J104" i="11"/>
  <c r="I104" i="11"/>
  <c r="D104" i="11"/>
  <c r="C104" i="11"/>
  <c r="A104" i="11"/>
  <c r="K103" i="11"/>
  <c r="I103" i="11"/>
  <c r="J103" i="11" s="1"/>
  <c r="D103" i="11"/>
  <c r="C103" i="11"/>
  <c r="A103" i="11"/>
  <c r="K102" i="11"/>
  <c r="I102" i="11"/>
  <c r="J102" i="11" s="1"/>
  <c r="D102" i="11"/>
  <c r="C102" i="11"/>
  <c r="A102" i="11"/>
  <c r="K101" i="11"/>
  <c r="J101" i="11"/>
  <c r="I101" i="11"/>
  <c r="D101" i="11"/>
  <c r="C101" i="11"/>
  <c r="A101" i="11"/>
  <c r="K100" i="11"/>
  <c r="J100" i="11"/>
  <c r="I100" i="11"/>
  <c r="D100" i="11"/>
  <c r="C100" i="11"/>
  <c r="A100" i="11"/>
  <c r="K99" i="11"/>
  <c r="J99" i="11"/>
  <c r="I99" i="11"/>
  <c r="D99" i="11"/>
  <c r="C99" i="11"/>
  <c r="A99" i="11"/>
  <c r="K98" i="11"/>
  <c r="I98" i="11"/>
  <c r="J98" i="11" s="1"/>
  <c r="D98" i="11"/>
  <c r="C98" i="11"/>
  <c r="A98" i="11"/>
  <c r="K97" i="11"/>
  <c r="J97" i="11"/>
  <c r="I97" i="11"/>
  <c r="D97" i="11"/>
  <c r="C97" i="11"/>
  <c r="A97" i="11"/>
  <c r="K96" i="11"/>
  <c r="J96" i="11"/>
  <c r="I96" i="11"/>
  <c r="D96" i="11"/>
  <c r="C96" i="11"/>
  <c r="A96" i="11"/>
  <c r="K95" i="11"/>
  <c r="I95" i="11"/>
  <c r="J95" i="11" s="1"/>
  <c r="D95" i="11"/>
  <c r="C95" i="11"/>
  <c r="A95" i="11"/>
  <c r="K94" i="11"/>
  <c r="I94" i="11"/>
  <c r="J94" i="11" s="1"/>
  <c r="D94" i="11"/>
  <c r="C94" i="11"/>
  <c r="A94" i="11"/>
  <c r="K93" i="11"/>
  <c r="J93" i="11"/>
  <c r="I93" i="11"/>
  <c r="D93" i="11"/>
  <c r="C93" i="11"/>
  <c r="A93" i="11"/>
  <c r="K92" i="11"/>
  <c r="J92" i="11"/>
  <c r="I92" i="11"/>
  <c r="D92" i="11"/>
  <c r="C92" i="11"/>
  <c r="A92" i="11"/>
  <c r="K91" i="11"/>
  <c r="J91" i="11"/>
  <c r="I91" i="11"/>
  <c r="D91" i="11"/>
  <c r="C91" i="11"/>
  <c r="A91" i="11"/>
  <c r="K90" i="11"/>
  <c r="I90" i="11"/>
  <c r="J90" i="11" s="1"/>
  <c r="D90" i="11"/>
  <c r="C90" i="11"/>
  <c r="A90" i="11"/>
  <c r="K89" i="11"/>
  <c r="I89" i="11"/>
  <c r="J89" i="11" s="1"/>
  <c r="D89" i="11"/>
  <c r="C89" i="11"/>
  <c r="A89" i="11"/>
  <c r="K88" i="11"/>
  <c r="J88" i="11"/>
  <c r="I88" i="11"/>
  <c r="D88" i="11"/>
  <c r="C88" i="11"/>
  <c r="A88" i="11"/>
  <c r="K87" i="11"/>
  <c r="I87" i="11"/>
  <c r="J87" i="11" s="1"/>
  <c r="D87" i="11"/>
  <c r="C87" i="11"/>
  <c r="A87" i="11"/>
  <c r="K86" i="11"/>
  <c r="I86" i="11"/>
  <c r="J86" i="11" s="1"/>
  <c r="D86" i="11"/>
  <c r="C86" i="11"/>
  <c r="A86" i="11"/>
  <c r="K85" i="11"/>
  <c r="J85" i="11"/>
  <c r="I85" i="11"/>
  <c r="D85" i="11"/>
  <c r="C85" i="11"/>
  <c r="A85" i="11"/>
  <c r="K84" i="11"/>
  <c r="J84" i="11"/>
  <c r="I84" i="11"/>
  <c r="D84" i="11"/>
  <c r="C84" i="11"/>
  <c r="A84" i="11"/>
  <c r="K83" i="11"/>
  <c r="J83" i="11"/>
  <c r="I83" i="11"/>
  <c r="D83" i="11"/>
  <c r="C83" i="11"/>
  <c r="A83" i="11"/>
  <c r="K82" i="11"/>
  <c r="I82" i="11"/>
  <c r="J82" i="11" s="1"/>
  <c r="D82" i="11"/>
  <c r="C82" i="11"/>
  <c r="A82" i="11"/>
  <c r="K81" i="11"/>
  <c r="I81" i="11"/>
  <c r="J81" i="11" s="1"/>
  <c r="D81" i="11"/>
  <c r="C81" i="11"/>
  <c r="A81" i="11"/>
  <c r="K80" i="11"/>
  <c r="J80" i="11"/>
  <c r="I80" i="11"/>
  <c r="D80" i="11"/>
  <c r="C80" i="11"/>
  <c r="A80" i="11"/>
  <c r="K79" i="11"/>
  <c r="J79" i="11"/>
  <c r="I79" i="11"/>
  <c r="D79" i="11"/>
  <c r="C79" i="11"/>
  <c r="A79" i="11"/>
  <c r="K78" i="11"/>
  <c r="I78" i="11"/>
  <c r="J78" i="11" s="1"/>
  <c r="D78" i="11"/>
  <c r="C78" i="11"/>
  <c r="A78" i="11"/>
  <c r="K77" i="11"/>
  <c r="J77" i="11"/>
  <c r="I77" i="11"/>
  <c r="D77" i="11"/>
  <c r="C77" i="11"/>
  <c r="A77" i="11"/>
  <c r="K76" i="11"/>
  <c r="J76" i="11"/>
  <c r="I76" i="11"/>
  <c r="D76" i="11"/>
  <c r="C76" i="11"/>
  <c r="A76" i="11"/>
  <c r="K75" i="11"/>
  <c r="J75" i="11"/>
  <c r="I75" i="11"/>
  <c r="D75" i="11"/>
  <c r="C75" i="11"/>
  <c r="A75" i="11"/>
  <c r="K74" i="11"/>
  <c r="I74" i="11"/>
  <c r="J74" i="11" s="1"/>
  <c r="D74" i="11"/>
  <c r="C74" i="11"/>
  <c r="A74" i="11"/>
  <c r="K73" i="11"/>
  <c r="I73" i="11"/>
  <c r="J73" i="11" s="1"/>
  <c r="D73" i="11"/>
  <c r="C73" i="11"/>
  <c r="A73" i="11"/>
  <c r="K72" i="11"/>
  <c r="J72" i="11"/>
  <c r="I72" i="11"/>
  <c r="D72" i="11"/>
  <c r="C72" i="11"/>
  <c r="A72" i="11"/>
  <c r="K71" i="11"/>
  <c r="I71" i="11"/>
  <c r="J71" i="11" s="1"/>
  <c r="D71" i="11"/>
  <c r="C71" i="11"/>
  <c r="A71" i="11"/>
  <c r="K70" i="11"/>
  <c r="I70" i="11"/>
  <c r="J70" i="11" s="1"/>
  <c r="D70" i="11"/>
  <c r="C70" i="11"/>
  <c r="A70" i="11"/>
  <c r="K69" i="11"/>
  <c r="I69" i="11"/>
  <c r="J69" i="11" s="1"/>
  <c r="D69" i="11"/>
  <c r="C69" i="11"/>
  <c r="A69" i="11"/>
  <c r="K68" i="11"/>
  <c r="J68" i="11"/>
  <c r="I68" i="11"/>
  <c r="D68" i="11"/>
  <c r="C68" i="11"/>
  <c r="A68" i="11"/>
  <c r="K67" i="11"/>
  <c r="J67" i="11"/>
  <c r="I67" i="11"/>
  <c r="D67" i="11"/>
  <c r="C67" i="11"/>
  <c r="A67" i="11"/>
  <c r="K66" i="11"/>
  <c r="I66" i="11"/>
  <c r="J66" i="11" s="1"/>
  <c r="D66" i="11"/>
  <c r="C66" i="11"/>
  <c r="A66" i="11"/>
  <c r="K65" i="11"/>
  <c r="J65" i="11"/>
  <c r="I65" i="11"/>
  <c r="D65" i="11"/>
  <c r="C65" i="11"/>
  <c r="A65" i="11"/>
  <c r="K64" i="11"/>
  <c r="J64" i="11"/>
  <c r="I64" i="11"/>
  <c r="D64" i="11"/>
  <c r="C64" i="11"/>
  <c r="A64" i="11"/>
  <c r="K63" i="11"/>
  <c r="I63" i="11"/>
  <c r="J63" i="11" s="1"/>
  <c r="D63" i="11"/>
  <c r="C63" i="11"/>
  <c r="A63" i="11"/>
  <c r="K62" i="11"/>
  <c r="I62" i="11"/>
  <c r="J62" i="11" s="1"/>
  <c r="D62" i="11"/>
  <c r="C62" i="11"/>
  <c r="A62" i="11"/>
  <c r="K61" i="11"/>
  <c r="J61" i="11"/>
  <c r="I61" i="11"/>
  <c r="D61" i="11"/>
  <c r="C61" i="11"/>
  <c r="A61" i="11"/>
  <c r="K60" i="11"/>
  <c r="J60" i="11"/>
  <c r="I60" i="11"/>
  <c r="D60" i="11"/>
  <c r="C60" i="11"/>
  <c r="A60" i="11"/>
  <c r="K59" i="11"/>
  <c r="J59" i="11"/>
  <c r="I59" i="11"/>
  <c r="D59" i="11"/>
  <c r="C59" i="11"/>
  <c r="A59" i="11"/>
  <c r="K58" i="11"/>
  <c r="I58" i="11"/>
  <c r="J58" i="11" s="1"/>
  <c r="D58" i="11"/>
  <c r="C58" i="11"/>
  <c r="A58" i="11"/>
  <c r="K57" i="11"/>
  <c r="I57" i="11"/>
  <c r="J57" i="11" s="1"/>
  <c r="D57" i="11"/>
  <c r="C57" i="11"/>
  <c r="A57" i="11"/>
  <c r="K56" i="11"/>
  <c r="J56" i="11"/>
  <c r="I56" i="11"/>
  <c r="D56" i="11"/>
  <c r="C56" i="11"/>
  <c r="A56" i="11"/>
  <c r="K55" i="11"/>
  <c r="I55" i="11"/>
  <c r="J55" i="11" s="1"/>
  <c r="D55" i="11"/>
  <c r="C55" i="11"/>
  <c r="A55" i="11"/>
  <c r="K54" i="11"/>
  <c r="I54" i="11"/>
  <c r="J54" i="11" s="1"/>
  <c r="D54" i="11"/>
  <c r="C54" i="11"/>
  <c r="A54" i="11"/>
  <c r="K53" i="11"/>
  <c r="J53" i="11"/>
  <c r="I53" i="11"/>
  <c r="D53" i="11"/>
  <c r="C53" i="11"/>
  <c r="A53" i="11"/>
  <c r="K52" i="11"/>
  <c r="J52" i="11"/>
  <c r="I52" i="11"/>
  <c r="D52" i="11"/>
  <c r="C52" i="11"/>
  <c r="A52" i="11"/>
  <c r="K51" i="11"/>
  <c r="I51" i="11"/>
  <c r="J51" i="11" s="1"/>
  <c r="D51" i="11"/>
  <c r="C51" i="11"/>
  <c r="A51" i="11"/>
  <c r="K50" i="11"/>
  <c r="I50" i="11"/>
  <c r="J50" i="11" s="1"/>
  <c r="D50" i="11"/>
  <c r="C50" i="11"/>
  <c r="A50" i="11"/>
  <c r="K49" i="11"/>
  <c r="I49" i="11"/>
  <c r="J49" i="11" s="1"/>
  <c r="D49" i="11"/>
  <c r="C49" i="11"/>
  <c r="A49" i="11"/>
  <c r="K48" i="11"/>
  <c r="J48" i="11"/>
  <c r="I48" i="11"/>
  <c r="D48" i="11"/>
  <c r="C48" i="11"/>
  <c r="A48" i="11"/>
  <c r="K47" i="11"/>
  <c r="J47" i="11"/>
  <c r="I47" i="11"/>
  <c r="D47" i="11"/>
  <c r="C47" i="11"/>
  <c r="A47" i="11"/>
  <c r="K46" i="11"/>
  <c r="I46" i="11"/>
  <c r="J46" i="11" s="1"/>
  <c r="D46" i="11"/>
  <c r="C46" i="11"/>
  <c r="A46" i="11"/>
  <c r="K45" i="11"/>
  <c r="J45" i="11"/>
  <c r="I45" i="11"/>
  <c r="D45" i="11"/>
  <c r="C45" i="11"/>
  <c r="A45" i="11"/>
  <c r="K44" i="11"/>
  <c r="J44" i="11"/>
  <c r="I44" i="11"/>
  <c r="D44" i="11"/>
  <c r="C44" i="11"/>
  <c r="A44" i="11"/>
  <c r="K43" i="11"/>
  <c r="J43" i="11"/>
  <c r="I43" i="11"/>
  <c r="D43" i="11"/>
  <c r="C43" i="11"/>
  <c r="A43" i="11"/>
  <c r="K42" i="11"/>
  <c r="I42" i="11"/>
  <c r="J42" i="11" s="1"/>
  <c r="D42" i="11"/>
  <c r="C42" i="11"/>
  <c r="A42" i="11"/>
  <c r="K41" i="11"/>
  <c r="I41" i="11"/>
  <c r="J41" i="11" s="1"/>
  <c r="D41" i="11"/>
  <c r="C41" i="11"/>
  <c r="A41" i="11"/>
  <c r="K40" i="11"/>
  <c r="J40" i="11"/>
  <c r="I40" i="11"/>
  <c r="D40" i="11"/>
  <c r="C40" i="11"/>
  <c r="A40" i="11"/>
  <c r="K39" i="11"/>
  <c r="I39" i="11"/>
  <c r="J39" i="11" s="1"/>
  <c r="D39" i="11"/>
  <c r="C39" i="11"/>
  <c r="A39" i="11"/>
  <c r="K38" i="11"/>
  <c r="I38" i="11"/>
  <c r="J38" i="11" s="1"/>
  <c r="D38" i="11"/>
  <c r="C38" i="11"/>
  <c r="A38" i="11"/>
  <c r="K37" i="11"/>
  <c r="I37" i="11"/>
  <c r="J37" i="11" s="1"/>
  <c r="D37" i="11"/>
  <c r="C37" i="11"/>
  <c r="A37" i="11"/>
  <c r="K36" i="11"/>
  <c r="J36" i="11"/>
  <c r="I36" i="11"/>
  <c r="D36" i="11"/>
  <c r="C36" i="11"/>
  <c r="A36" i="11"/>
  <c r="K35" i="11"/>
  <c r="J35" i="11"/>
  <c r="I35" i="11"/>
  <c r="D35" i="11"/>
  <c r="C35" i="11"/>
  <c r="A35" i="11"/>
  <c r="K34" i="11"/>
  <c r="I34" i="11"/>
  <c r="J34" i="11" s="1"/>
  <c r="D34" i="11"/>
  <c r="C34" i="11"/>
  <c r="A34" i="11"/>
  <c r="K33" i="11"/>
  <c r="J33" i="11"/>
  <c r="I33" i="11"/>
  <c r="D33" i="11"/>
  <c r="C33" i="11"/>
  <c r="A33" i="11"/>
  <c r="K32" i="11"/>
  <c r="J32" i="11"/>
  <c r="I32" i="11"/>
  <c r="D32" i="11"/>
  <c r="C32" i="11"/>
  <c r="A32" i="11"/>
  <c r="K31" i="11"/>
  <c r="I31" i="11"/>
  <c r="J31" i="11" s="1"/>
  <c r="D31" i="11"/>
  <c r="C31" i="11"/>
  <c r="A31" i="11"/>
  <c r="K30" i="11"/>
  <c r="I30" i="11"/>
  <c r="J30" i="11" s="1"/>
  <c r="D30" i="11"/>
  <c r="C30" i="11"/>
  <c r="A30" i="11"/>
  <c r="K29" i="11"/>
  <c r="J29" i="11"/>
  <c r="I29" i="11"/>
  <c r="D29" i="11"/>
  <c r="C29" i="11"/>
  <c r="A29" i="11"/>
  <c r="K28" i="11"/>
  <c r="J28" i="11"/>
  <c r="I28" i="11"/>
  <c r="D28" i="11"/>
  <c r="C28" i="11"/>
  <c r="A28" i="11"/>
  <c r="K27" i="11"/>
  <c r="J27" i="11"/>
  <c r="I27" i="11"/>
  <c r="D27" i="11"/>
  <c r="C27" i="11"/>
  <c r="A27" i="11"/>
  <c r="K26" i="11"/>
  <c r="I26" i="11"/>
  <c r="J26" i="11" s="1"/>
  <c r="D26" i="11"/>
  <c r="C26" i="11"/>
  <c r="A26" i="11"/>
  <c r="K25" i="11"/>
  <c r="I25" i="11"/>
  <c r="J25" i="11" s="1"/>
  <c r="D25" i="11"/>
  <c r="C25" i="11"/>
  <c r="A25" i="11"/>
  <c r="K24" i="11"/>
  <c r="J24" i="11"/>
  <c r="I24" i="11"/>
  <c r="D24" i="11"/>
  <c r="C24" i="11"/>
  <c r="A24" i="11"/>
  <c r="K23" i="11"/>
  <c r="I23" i="11"/>
  <c r="J23" i="11" s="1"/>
  <c r="D23" i="11"/>
  <c r="C23" i="11"/>
  <c r="A23" i="11"/>
  <c r="K22" i="11"/>
  <c r="I22" i="11"/>
  <c r="J22" i="11" s="1"/>
  <c r="D22" i="11"/>
  <c r="C22" i="11"/>
  <c r="A22" i="11"/>
  <c r="K21" i="11"/>
  <c r="J21" i="11"/>
  <c r="I21" i="11"/>
  <c r="D21" i="11"/>
  <c r="C21" i="11"/>
  <c r="A21" i="11"/>
  <c r="K20" i="11"/>
  <c r="J20" i="11"/>
  <c r="I20" i="11"/>
  <c r="D20" i="11"/>
  <c r="C20" i="11"/>
  <c r="A20" i="11"/>
  <c r="K19" i="11"/>
  <c r="I19" i="11"/>
  <c r="J19" i="11" s="1"/>
  <c r="D19" i="11"/>
  <c r="C19" i="11"/>
  <c r="A19" i="11"/>
  <c r="K18" i="11"/>
  <c r="I18" i="11"/>
  <c r="J18" i="11" s="1"/>
  <c r="D18" i="11"/>
  <c r="C18" i="11"/>
  <c r="A18" i="11"/>
  <c r="K17" i="11"/>
  <c r="I17" i="11"/>
  <c r="J17" i="11" s="1"/>
  <c r="D17" i="11"/>
  <c r="C17" i="11"/>
  <c r="A17" i="11"/>
  <c r="K16" i="11"/>
  <c r="J16" i="11"/>
  <c r="I16" i="11"/>
  <c r="D16" i="11"/>
  <c r="C16" i="11"/>
  <c r="A16" i="11"/>
  <c r="K15" i="11"/>
  <c r="J15" i="11"/>
  <c r="I15" i="11"/>
  <c r="D15" i="11"/>
  <c r="A15" i="11" s="1"/>
  <c r="C15" i="11"/>
  <c r="K14" i="11"/>
  <c r="I14" i="11"/>
  <c r="J14" i="11" s="1"/>
  <c r="D14" i="11"/>
  <c r="C14" i="11"/>
  <c r="A14" i="11" s="1"/>
  <c r="B9" i="11"/>
  <c r="B10" i="11" s="1"/>
  <c r="B8" i="11"/>
  <c r="I208" i="10"/>
  <c r="J208" i="10" s="1"/>
  <c r="G208" i="10"/>
  <c r="D208" i="10"/>
  <c r="C208" i="10"/>
  <c r="B208" i="10"/>
  <c r="I207" i="10"/>
  <c r="J207" i="10" s="1"/>
  <c r="G207" i="10"/>
  <c r="D207" i="10"/>
  <c r="C207" i="10"/>
  <c r="B207" i="10"/>
  <c r="J206" i="10"/>
  <c r="I206" i="10"/>
  <c r="G206" i="10"/>
  <c r="D206" i="10"/>
  <c r="C206" i="10"/>
  <c r="B206" i="10"/>
  <c r="J205" i="10"/>
  <c r="I205" i="10"/>
  <c r="G205" i="10"/>
  <c r="D205" i="10"/>
  <c r="C205" i="10"/>
  <c r="B205" i="10"/>
  <c r="I204" i="10"/>
  <c r="J204" i="10" s="1"/>
  <c r="G204" i="10"/>
  <c r="D204" i="10"/>
  <c r="C204" i="10"/>
  <c r="B204" i="10"/>
  <c r="J203" i="10"/>
  <c r="I203" i="10"/>
  <c r="G203" i="10"/>
  <c r="D203" i="10"/>
  <c r="C203" i="10"/>
  <c r="B203" i="10"/>
  <c r="J202" i="10"/>
  <c r="I202" i="10"/>
  <c r="G202" i="10"/>
  <c r="D202" i="10"/>
  <c r="C202" i="10"/>
  <c r="B202" i="10"/>
  <c r="I201" i="10"/>
  <c r="J201" i="10" s="1"/>
  <c r="G201" i="10"/>
  <c r="D201" i="10"/>
  <c r="C201" i="10"/>
  <c r="B201" i="10"/>
  <c r="I200" i="10"/>
  <c r="J200" i="10" s="1"/>
  <c r="G200" i="10"/>
  <c r="D200" i="10"/>
  <c r="C200" i="10"/>
  <c r="B200" i="10"/>
  <c r="J199" i="10"/>
  <c r="I199" i="10"/>
  <c r="G199" i="10"/>
  <c r="D199" i="10"/>
  <c r="C199" i="10"/>
  <c r="B199" i="10"/>
  <c r="J198" i="10"/>
  <c r="I198" i="10"/>
  <c r="G198" i="10"/>
  <c r="D198" i="10"/>
  <c r="C198" i="10"/>
  <c r="B198" i="10"/>
  <c r="J197" i="10"/>
  <c r="I197" i="10"/>
  <c r="G197" i="10"/>
  <c r="D197" i="10"/>
  <c r="C197" i="10"/>
  <c r="B197" i="10"/>
  <c r="I196" i="10"/>
  <c r="J196" i="10" s="1"/>
  <c r="G196" i="10"/>
  <c r="D196" i="10"/>
  <c r="C196" i="10"/>
  <c r="B196" i="10"/>
  <c r="I195" i="10"/>
  <c r="J195" i="10" s="1"/>
  <c r="G195" i="10"/>
  <c r="D195" i="10"/>
  <c r="C195" i="10"/>
  <c r="B195" i="10"/>
  <c r="J194" i="10"/>
  <c r="I194" i="10"/>
  <c r="G194" i="10"/>
  <c r="D194" i="10"/>
  <c r="C194" i="10"/>
  <c r="B194" i="10"/>
  <c r="I193" i="10"/>
  <c r="J193" i="10" s="1"/>
  <c r="G193" i="10"/>
  <c r="D193" i="10"/>
  <c r="C193" i="10"/>
  <c r="B193" i="10"/>
  <c r="I192" i="10"/>
  <c r="J192" i="10" s="1"/>
  <c r="G192" i="10"/>
  <c r="D192" i="10"/>
  <c r="C192" i="10"/>
  <c r="B192" i="10"/>
  <c r="J191" i="10"/>
  <c r="I191" i="10"/>
  <c r="G191" i="10"/>
  <c r="D191" i="10"/>
  <c r="C191" i="10"/>
  <c r="B191" i="10"/>
  <c r="J190" i="10"/>
  <c r="I190" i="10"/>
  <c r="G190" i="10"/>
  <c r="D190" i="10"/>
  <c r="C190" i="10"/>
  <c r="B190" i="10"/>
  <c r="I189" i="10"/>
  <c r="J189" i="10" s="1"/>
  <c r="G189" i="10"/>
  <c r="D189" i="10"/>
  <c r="C189" i="10"/>
  <c r="B189" i="10"/>
  <c r="I188" i="10"/>
  <c r="J188" i="10" s="1"/>
  <c r="G188" i="10"/>
  <c r="D188" i="10"/>
  <c r="C188" i="10"/>
  <c r="B188" i="10"/>
  <c r="I187" i="10"/>
  <c r="J187" i="10" s="1"/>
  <c r="G187" i="10"/>
  <c r="D187" i="10"/>
  <c r="C187" i="10"/>
  <c r="B187" i="10"/>
  <c r="J186" i="10"/>
  <c r="I186" i="10"/>
  <c r="G186" i="10"/>
  <c r="D186" i="10"/>
  <c r="C186" i="10"/>
  <c r="B186" i="10"/>
  <c r="J185" i="10"/>
  <c r="I185" i="10"/>
  <c r="G185" i="10"/>
  <c r="D185" i="10"/>
  <c r="C185" i="10"/>
  <c r="B185" i="10"/>
  <c r="I184" i="10"/>
  <c r="J184" i="10" s="1"/>
  <c r="G184" i="10"/>
  <c r="D184" i="10"/>
  <c r="C184" i="10"/>
  <c r="B184" i="10"/>
  <c r="J183" i="10"/>
  <c r="I183" i="10"/>
  <c r="G183" i="10"/>
  <c r="D183" i="10"/>
  <c r="C183" i="10"/>
  <c r="B183" i="10"/>
  <c r="J182" i="10"/>
  <c r="I182" i="10"/>
  <c r="G182" i="10"/>
  <c r="D182" i="10"/>
  <c r="C182" i="10"/>
  <c r="B182" i="10"/>
  <c r="J181" i="10"/>
  <c r="I181" i="10"/>
  <c r="G181" i="10"/>
  <c r="D181" i="10"/>
  <c r="C181" i="10"/>
  <c r="B181" i="10"/>
  <c r="I180" i="10"/>
  <c r="J180" i="10" s="1"/>
  <c r="G180" i="10"/>
  <c r="D180" i="10"/>
  <c r="C180" i="10"/>
  <c r="B180" i="10"/>
  <c r="I179" i="10"/>
  <c r="J179" i="10" s="1"/>
  <c r="G179" i="10"/>
  <c r="D179" i="10"/>
  <c r="C179" i="10"/>
  <c r="B179" i="10"/>
  <c r="J178" i="10"/>
  <c r="I178" i="10"/>
  <c r="G178" i="10"/>
  <c r="D178" i="10"/>
  <c r="C178" i="10"/>
  <c r="B178" i="10"/>
  <c r="I177" i="10"/>
  <c r="J177" i="10" s="1"/>
  <c r="G177" i="10"/>
  <c r="D177" i="10"/>
  <c r="C177" i="10"/>
  <c r="B177" i="10"/>
  <c r="I176" i="10"/>
  <c r="J176" i="10" s="1"/>
  <c r="G176" i="10"/>
  <c r="D176" i="10"/>
  <c r="C176" i="10"/>
  <c r="B176" i="10"/>
  <c r="I175" i="10"/>
  <c r="J175" i="10" s="1"/>
  <c r="G175" i="10"/>
  <c r="D175" i="10"/>
  <c r="C175" i="10"/>
  <c r="B175" i="10"/>
  <c r="J174" i="10"/>
  <c r="I174" i="10"/>
  <c r="G174" i="10"/>
  <c r="D174" i="10"/>
  <c r="C174" i="10"/>
  <c r="B174" i="10"/>
  <c r="J173" i="10"/>
  <c r="I173" i="10"/>
  <c r="G173" i="10"/>
  <c r="D173" i="10"/>
  <c r="C173" i="10"/>
  <c r="B173" i="10"/>
  <c r="I172" i="10"/>
  <c r="J172" i="10" s="1"/>
  <c r="G172" i="10"/>
  <c r="D172" i="10"/>
  <c r="C172" i="10"/>
  <c r="B172" i="10"/>
  <c r="J171" i="10"/>
  <c r="I171" i="10"/>
  <c r="G171" i="10"/>
  <c r="D171" i="10"/>
  <c r="C171" i="10"/>
  <c r="B171" i="10"/>
  <c r="J170" i="10"/>
  <c r="I170" i="10"/>
  <c r="G170" i="10"/>
  <c r="D170" i="10"/>
  <c r="C170" i="10"/>
  <c r="B170" i="10"/>
  <c r="I169" i="10"/>
  <c r="J169" i="10" s="1"/>
  <c r="G169" i="10"/>
  <c r="D169" i="10"/>
  <c r="C169" i="10"/>
  <c r="B169" i="10"/>
  <c r="I168" i="10"/>
  <c r="J168" i="10" s="1"/>
  <c r="G168" i="10"/>
  <c r="D168" i="10"/>
  <c r="C168" i="10"/>
  <c r="B168" i="10"/>
  <c r="J167" i="10"/>
  <c r="I167" i="10"/>
  <c r="G167" i="10"/>
  <c r="D167" i="10"/>
  <c r="C167" i="10"/>
  <c r="B167" i="10"/>
  <c r="J166" i="10"/>
  <c r="I166" i="10"/>
  <c r="G166" i="10"/>
  <c r="D166" i="10"/>
  <c r="C166" i="10"/>
  <c r="B166" i="10"/>
  <c r="J165" i="10"/>
  <c r="I165" i="10"/>
  <c r="G165" i="10"/>
  <c r="D165" i="10"/>
  <c r="C165" i="10"/>
  <c r="B165" i="10"/>
  <c r="I164" i="10"/>
  <c r="J164" i="10" s="1"/>
  <c r="G164" i="10"/>
  <c r="D164" i="10"/>
  <c r="C164" i="10"/>
  <c r="B164" i="10"/>
  <c r="I163" i="10"/>
  <c r="J163" i="10" s="1"/>
  <c r="G163" i="10"/>
  <c r="D163" i="10"/>
  <c r="C163" i="10"/>
  <c r="B163" i="10"/>
  <c r="J162" i="10"/>
  <c r="I162" i="10"/>
  <c r="G162" i="10"/>
  <c r="D162" i="10"/>
  <c r="C162" i="10"/>
  <c r="B162" i="10"/>
  <c r="I161" i="10"/>
  <c r="J161" i="10" s="1"/>
  <c r="G161" i="10"/>
  <c r="D161" i="10"/>
  <c r="C161" i="10"/>
  <c r="B161" i="10"/>
  <c r="I160" i="10"/>
  <c r="J160" i="10" s="1"/>
  <c r="G160" i="10"/>
  <c r="D160" i="10"/>
  <c r="C160" i="10"/>
  <c r="B160" i="10"/>
  <c r="J159" i="10"/>
  <c r="I159" i="10"/>
  <c r="G159" i="10"/>
  <c r="D159" i="10"/>
  <c r="C159" i="10"/>
  <c r="B159" i="10"/>
  <c r="J158" i="10"/>
  <c r="I158" i="10"/>
  <c r="G158" i="10"/>
  <c r="D158" i="10"/>
  <c r="C158" i="10"/>
  <c r="B158" i="10"/>
  <c r="I157" i="10"/>
  <c r="J157" i="10" s="1"/>
  <c r="G157" i="10"/>
  <c r="D157" i="10"/>
  <c r="C157" i="10"/>
  <c r="B157" i="10"/>
  <c r="I156" i="10"/>
  <c r="J156" i="10" s="1"/>
  <c r="G156" i="10"/>
  <c r="D156" i="10"/>
  <c r="C156" i="10"/>
  <c r="B156" i="10"/>
  <c r="I155" i="10"/>
  <c r="J155" i="10" s="1"/>
  <c r="G155" i="10"/>
  <c r="D155" i="10"/>
  <c r="C155" i="10"/>
  <c r="B155" i="10"/>
  <c r="J154" i="10"/>
  <c r="I154" i="10"/>
  <c r="G154" i="10"/>
  <c r="D154" i="10"/>
  <c r="C154" i="10"/>
  <c r="B154" i="10"/>
  <c r="J153" i="10"/>
  <c r="I153" i="10"/>
  <c r="G153" i="10"/>
  <c r="D153" i="10"/>
  <c r="C153" i="10"/>
  <c r="B153" i="10"/>
  <c r="I152" i="10"/>
  <c r="J152" i="10" s="1"/>
  <c r="G152" i="10"/>
  <c r="D152" i="10"/>
  <c r="C152" i="10"/>
  <c r="B152" i="10"/>
  <c r="J151" i="10"/>
  <c r="I151" i="10"/>
  <c r="G151" i="10"/>
  <c r="D151" i="10"/>
  <c r="C151" i="10"/>
  <c r="B151" i="10"/>
  <c r="J150" i="10"/>
  <c r="I150" i="10"/>
  <c r="G150" i="10"/>
  <c r="D150" i="10"/>
  <c r="C150" i="10"/>
  <c r="B150" i="10"/>
  <c r="J149" i="10"/>
  <c r="I149" i="10"/>
  <c r="G149" i="10"/>
  <c r="D149" i="10"/>
  <c r="C149" i="10"/>
  <c r="B149" i="10"/>
  <c r="I148" i="10"/>
  <c r="J148" i="10" s="1"/>
  <c r="G148" i="10"/>
  <c r="D148" i="10"/>
  <c r="C148" i="10"/>
  <c r="B148" i="10"/>
  <c r="I147" i="10"/>
  <c r="J147" i="10" s="1"/>
  <c r="G147" i="10"/>
  <c r="D147" i="10"/>
  <c r="C147" i="10"/>
  <c r="B147" i="10"/>
  <c r="J146" i="10"/>
  <c r="I146" i="10"/>
  <c r="G146" i="10"/>
  <c r="D146" i="10"/>
  <c r="C146" i="10"/>
  <c r="B146" i="10"/>
  <c r="I145" i="10"/>
  <c r="J145" i="10" s="1"/>
  <c r="G145" i="10"/>
  <c r="D145" i="10"/>
  <c r="C145" i="10"/>
  <c r="B145" i="10"/>
  <c r="I144" i="10"/>
  <c r="J144" i="10" s="1"/>
  <c r="G144" i="10"/>
  <c r="D144" i="10"/>
  <c r="C144" i="10"/>
  <c r="B144" i="10"/>
  <c r="I143" i="10"/>
  <c r="J143" i="10" s="1"/>
  <c r="G143" i="10"/>
  <c r="D143" i="10"/>
  <c r="C143" i="10"/>
  <c r="B143" i="10"/>
  <c r="J142" i="10"/>
  <c r="I142" i="10"/>
  <c r="G142" i="10"/>
  <c r="D142" i="10"/>
  <c r="C142" i="10"/>
  <c r="B142" i="10"/>
  <c r="J141" i="10"/>
  <c r="I141" i="10"/>
  <c r="G141" i="10"/>
  <c r="D141" i="10"/>
  <c r="C141" i="10"/>
  <c r="B141" i="10"/>
  <c r="I140" i="10"/>
  <c r="J140" i="10" s="1"/>
  <c r="G140" i="10"/>
  <c r="D140" i="10"/>
  <c r="C140" i="10"/>
  <c r="B140" i="10"/>
  <c r="J139" i="10"/>
  <c r="I139" i="10"/>
  <c r="G139" i="10"/>
  <c r="D139" i="10"/>
  <c r="C139" i="10"/>
  <c r="B139" i="10"/>
  <c r="J138" i="10"/>
  <c r="I138" i="10"/>
  <c r="G138" i="10"/>
  <c r="D138" i="10"/>
  <c r="C138" i="10"/>
  <c r="B138" i="10"/>
  <c r="I137" i="10"/>
  <c r="J137" i="10" s="1"/>
  <c r="G137" i="10"/>
  <c r="D137" i="10"/>
  <c r="C137" i="10"/>
  <c r="B137" i="10"/>
  <c r="I136" i="10"/>
  <c r="J136" i="10" s="1"/>
  <c r="G136" i="10"/>
  <c r="D136" i="10"/>
  <c r="C136" i="10"/>
  <c r="B136" i="10"/>
  <c r="J135" i="10"/>
  <c r="I135" i="10"/>
  <c r="G135" i="10"/>
  <c r="D135" i="10"/>
  <c r="C135" i="10"/>
  <c r="B135" i="10"/>
  <c r="J134" i="10"/>
  <c r="I134" i="10"/>
  <c r="G134" i="10"/>
  <c r="D134" i="10"/>
  <c r="C134" i="10"/>
  <c r="B134" i="10"/>
  <c r="J133" i="10"/>
  <c r="I133" i="10"/>
  <c r="G133" i="10"/>
  <c r="D133" i="10"/>
  <c r="C133" i="10"/>
  <c r="B133" i="10"/>
  <c r="I132" i="10"/>
  <c r="J132" i="10" s="1"/>
  <c r="G132" i="10"/>
  <c r="D132" i="10"/>
  <c r="C132" i="10"/>
  <c r="B132" i="10"/>
  <c r="I131" i="10"/>
  <c r="J131" i="10" s="1"/>
  <c r="G131" i="10"/>
  <c r="D131" i="10"/>
  <c r="C131" i="10"/>
  <c r="B131" i="10"/>
  <c r="J130" i="10"/>
  <c r="I130" i="10"/>
  <c r="G130" i="10"/>
  <c r="D130" i="10"/>
  <c r="C130" i="10"/>
  <c r="B130" i="10"/>
  <c r="I129" i="10"/>
  <c r="J129" i="10" s="1"/>
  <c r="G129" i="10"/>
  <c r="D129" i="10"/>
  <c r="C129" i="10"/>
  <c r="B129" i="10"/>
  <c r="I128" i="10"/>
  <c r="J128" i="10" s="1"/>
  <c r="G128" i="10"/>
  <c r="D128" i="10"/>
  <c r="C128" i="10"/>
  <c r="B128" i="10"/>
  <c r="J127" i="10"/>
  <c r="I127" i="10"/>
  <c r="G127" i="10"/>
  <c r="D127" i="10"/>
  <c r="C127" i="10"/>
  <c r="B127" i="10"/>
  <c r="J126" i="10"/>
  <c r="I126" i="10"/>
  <c r="G126" i="10"/>
  <c r="D126" i="10"/>
  <c r="C126" i="10"/>
  <c r="B126" i="10"/>
  <c r="I125" i="10"/>
  <c r="J125" i="10" s="1"/>
  <c r="G125" i="10"/>
  <c r="D125" i="10"/>
  <c r="C125" i="10"/>
  <c r="B125" i="10"/>
  <c r="I124" i="10"/>
  <c r="J124" i="10" s="1"/>
  <c r="G124" i="10"/>
  <c r="D124" i="10"/>
  <c r="C124" i="10"/>
  <c r="B124" i="10"/>
  <c r="I123" i="10"/>
  <c r="J123" i="10" s="1"/>
  <c r="G123" i="10"/>
  <c r="D123" i="10"/>
  <c r="C123" i="10"/>
  <c r="B123" i="10"/>
  <c r="J122" i="10"/>
  <c r="I122" i="10"/>
  <c r="G122" i="10"/>
  <c r="D122" i="10"/>
  <c r="C122" i="10"/>
  <c r="B122" i="10"/>
  <c r="J121" i="10"/>
  <c r="I121" i="10"/>
  <c r="G121" i="10"/>
  <c r="D121" i="10"/>
  <c r="C121" i="10"/>
  <c r="B121" i="10"/>
  <c r="I120" i="10"/>
  <c r="J120" i="10" s="1"/>
  <c r="G120" i="10"/>
  <c r="D120" i="10"/>
  <c r="C120" i="10"/>
  <c r="B120" i="10"/>
  <c r="J119" i="10"/>
  <c r="I119" i="10"/>
  <c r="G119" i="10"/>
  <c r="D119" i="10"/>
  <c r="C119" i="10"/>
  <c r="B119" i="10"/>
  <c r="J118" i="10"/>
  <c r="I118" i="10"/>
  <c r="G118" i="10"/>
  <c r="D118" i="10"/>
  <c r="C118" i="10"/>
  <c r="B118" i="10"/>
  <c r="J117" i="10"/>
  <c r="I117" i="10"/>
  <c r="G117" i="10"/>
  <c r="D117" i="10"/>
  <c r="C117" i="10"/>
  <c r="B117" i="10"/>
  <c r="I116" i="10"/>
  <c r="J116" i="10" s="1"/>
  <c r="G116" i="10"/>
  <c r="D116" i="10"/>
  <c r="C116" i="10"/>
  <c r="B116" i="10"/>
  <c r="I115" i="10"/>
  <c r="J115" i="10" s="1"/>
  <c r="G115" i="10"/>
  <c r="D115" i="10"/>
  <c r="C115" i="10"/>
  <c r="B115" i="10"/>
  <c r="J114" i="10"/>
  <c r="I114" i="10"/>
  <c r="G114" i="10"/>
  <c r="D114" i="10"/>
  <c r="C114" i="10"/>
  <c r="B114" i="10"/>
  <c r="I113" i="10"/>
  <c r="J113" i="10" s="1"/>
  <c r="G113" i="10"/>
  <c r="D113" i="10"/>
  <c r="C113" i="10"/>
  <c r="B113" i="10"/>
  <c r="I112" i="10"/>
  <c r="J112" i="10" s="1"/>
  <c r="G112" i="10"/>
  <c r="D112" i="10"/>
  <c r="C112" i="10"/>
  <c r="B112" i="10"/>
  <c r="I111" i="10"/>
  <c r="J111" i="10" s="1"/>
  <c r="G111" i="10"/>
  <c r="D111" i="10"/>
  <c r="C111" i="10"/>
  <c r="B111" i="10"/>
  <c r="J110" i="10"/>
  <c r="I110" i="10"/>
  <c r="G110" i="10"/>
  <c r="D110" i="10"/>
  <c r="C110" i="10"/>
  <c r="B110" i="10"/>
  <c r="J109" i="10"/>
  <c r="I109" i="10"/>
  <c r="G109" i="10"/>
  <c r="D109" i="10"/>
  <c r="C109" i="10"/>
  <c r="B109" i="10"/>
  <c r="I108" i="10"/>
  <c r="J108" i="10" s="1"/>
  <c r="G108" i="10"/>
  <c r="D108" i="10"/>
  <c r="C108" i="10"/>
  <c r="B108" i="10"/>
  <c r="J107" i="10"/>
  <c r="I107" i="10"/>
  <c r="G107" i="10"/>
  <c r="D107" i="10"/>
  <c r="C107" i="10"/>
  <c r="B107" i="10"/>
  <c r="J106" i="10"/>
  <c r="I106" i="10"/>
  <c r="G106" i="10"/>
  <c r="D106" i="10"/>
  <c r="C106" i="10"/>
  <c r="B106" i="10"/>
  <c r="I105" i="10"/>
  <c r="J105" i="10" s="1"/>
  <c r="G105" i="10"/>
  <c r="D105" i="10"/>
  <c r="C105" i="10"/>
  <c r="B105" i="10"/>
  <c r="I104" i="10"/>
  <c r="J104" i="10" s="1"/>
  <c r="G104" i="10"/>
  <c r="D104" i="10"/>
  <c r="C104" i="10"/>
  <c r="B104" i="10"/>
  <c r="J103" i="10"/>
  <c r="I103" i="10"/>
  <c r="G103" i="10"/>
  <c r="D103" i="10"/>
  <c r="C103" i="10"/>
  <c r="B103" i="10"/>
  <c r="J102" i="10"/>
  <c r="I102" i="10"/>
  <c r="G102" i="10"/>
  <c r="D102" i="10"/>
  <c r="C102" i="10"/>
  <c r="B102" i="10"/>
  <c r="J101" i="10"/>
  <c r="I101" i="10"/>
  <c r="G101" i="10"/>
  <c r="D101" i="10"/>
  <c r="C101" i="10"/>
  <c r="B101" i="10"/>
  <c r="I100" i="10"/>
  <c r="J100" i="10" s="1"/>
  <c r="G100" i="10"/>
  <c r="D100" i="10"/>
  <c r="C100" i="10"/>
  <c r="B100" i="10"/>
  <c r="I99" i="10"/>
  <c r="J99" i="10" s="1"/>
  <c r="G99" i="10"/>
  <c r="D99" i="10"/>
  <c r="C99" i="10"/>
  <c r="B99" i="10"/>
  <c r="J98" i="10"/>
  <c r="I98" i="10"/>
  <c r="G98" i="10"/>
  <c r="D98" i="10"/>
  <c r="C98" i="10"/>
  <c r="B98" i="10"/>
  <c r="I97" i="10"/>
  <c r="J97" i="10" s="1"/>
  <c r="G97" i="10"/>
  <c r="D97" i="10"/>
  <c r="C97" i="10"/>
  <c r="B97" i="10"/>
  <c r="I96" i="10"/>
  <c r="J96" i="10" s="1"/>
  <c r="G96" i="10"/>
  <c r="D96" i="10"/>
  <c r="C96" i="10"/>
  <c r="B96" i="10"/>
  <c r="J95" i="10"/>
  <c r="I95" i="10"/>
  <c r="G95" i="10"/>
  <c r="D95" i="10"/>
  <c r="C95" i="10"/>
  <c r="B95" i="10"/>
  <c r="J94" i="10"/>
  <c r="I94" i="10"/>
  <c r="G94" i="10"/>
  <c r="D94" i="10"/>
  <c r="C94" i="10"/>
  <c r="B94" i="10"/>
  <c r="I93" i="10"/>
  <c r="J93" i="10" s="1"/>
  <c r="G93" i="10"/>
  <c r="D93" i="10"/>
  <c r="C93" i="10"/>
  <c r="B93" i="10"/>
  <c r="I92" i="10"/>
  <c r="J92" i="10" s="1"/>
  <c r="G92" i="10"/>
  <c r="D92" i="10"/>
  <c r="C92" i="10"/>
  <c r="B92" i="10"/>
  <c r="I91" i="10"/>
  <c r="J91" i="10" s="1"/>
  <c r="G91" i="10"/>
  <c r="D91" i="10"/>
  <c r="C91" i="10"/>
  <c r="B91" i="10"/>
  <c r="J90" i="10"/>
  <c r="I90" i="10"/>
  <c r="G90" i="10"/>
  <c r="D90" i="10"/>
  <c r="C90" i="10"/>
  <c r="B90" i="10"/>
  <c r="J89" i="10"/>
  <c r="I89" i="10"/>
  <c r="G89" i="10"/>
  <c r="D89" i="10"/>
  <c r="C89" i="10"/>
  <c r="B89" i="10"/>
  <c r="I88" i="10"/>
  <c r="J88" i="10" s="1"/>
  <c r="G88" i="10"/>
  <c r="D88" i="10"/>
  <c r="C88" i="10"/>
  <c r="B88" i="10"/>
  <c r="J87" i="10"/>
  <c r="I87" i="10"/>
  <c r="G87" i="10"/>
  <c r="D87" i="10"/>
  <c r="C87" i="10"/>
  <c r="B87" i="10"/>
  <c r="J86" i="10"/>
  <c r="I86" i="10"/>
  <c r="G86" i="10"/>
  <c r="D86" i="10"/>
  <c r="C86" i="10"/>
  <c r="B86" i="10"/>
  <c r="J85" i="10"/>
  <c r="I85" i="10"/>
  <c r="G85" i="10"/>
  <c r="D85" i="10"/>
  <c r="C85" i="10"/>
  <c r="B85" i="10"/>
  <c r="I84" i="10"/>
  <c r="J84" i="10" s="1"/>
  <c r="G84" i="10"/>
  <c r="D84" i="10"/>
  <c r="C84" i="10"/>
  <c r="B84" i="10"/>
  <c r="I83" i="10"/>
  <c r="J83" i="10" s="1"/>
  <c r="G83" i="10"/>
  <c r="D83" i="10"/>
  <c r="C83" i="10"/>
  <c r="B83" i="10"/>
  <c r="J82" i="10"/>
  <c r="I82" i="10"/>
  <c r="G82" i="10"/>
  <c r="D82" i="10"/>
  <c r="C82" i="10"/>
  <c r="B82" i="10"/>
  <c r="I81" i="10"/>
  <c r="J81" i="10" s="1"/>
  <c r="G81" i="10"/>
  <c r="D81" i="10"/>
  <c r="C81" i="10"/>
  <c r="B81" i="10"/>
  <c r="I80" i="10"/>
  <c r="J80" i="10" s="1"/>
  <c r="G80" i="10"/>
  <c r="D80" i="10"/>
  <c r="C80" i="10"/>
  <c r="B80" i="10"/>
  <c r="I79" i="10"/>
  <c r="J79" i="10" s="1"/>
  <c r="G79" i="10"/>
  <c r="D79" i="10"/>
  <c r="C79" i="10"/>
  <c r="B79" i="10"/>
  <c r="J78" i="10"/>
  <c r="I78" i="10"/>
  <c r="G78" i="10"/>
  <c r="D78" i="10"/>
  <c r="C78" i="10"/>
  <c r="B78" i="10"/>
  <c r="J77" i="10"/>
  <c r="I77" i="10"/>
  <c r="G77" i="10"/>
  <c r="D77" i="10"/>
  <c r="C77" i="10"/>
  <c r="B77" i="10"/>
  <c r="I76" i="10"/>
  <c r="J76" i="10" s="1"/>
  <c r="G76" i="10"/>
  <c r="D76" i="10"/>
  <c r="C76" i="10"/>
  <c r="B76" i="10"/>
  <c r="J75" i="10"/>
  <c r="I75" i="10"/>
  <c r="G75" i="10"/>
  <c r="D75" i="10"/>
  <c r="C75" i="10"/>
  <c r="B75" i="10"/>
  <c r="J74" i="10"/>
  <c r="I74" i="10"/>
  <c r="G74" i="10"/>
  <c r="D74" i="10"/>
  <c r="C74" i="10"/>
  <c r="B74" i="10"/>
  <c r="I73" i="10"/>
  <c r="J73" i="10" s="1"/>
  <c r="G73" i="10"/>
  <c r="D73" i="10"/>
  <c r="C73" i="10"/>
  <c r="B73" i="10"/>
  <c r="I72" i="10"/>
  <c r="J72" i="10" s="1"/>
  <c r="G72" i="10"/>
  <c r="D72" i="10"/>
  <c r="C72" i="10"/>
  <c r="B72" i="10"/>
  <c r="J71" i="10"/>
  <c r="I71" i="10"/>
  <c r="G71" i="10"/>
  <c r="D71" i="10"/>
  <c r="C71" i="10"/>
  <c r="B71" i="10"/>
  <c r="J70" i="10"/>
  <c r="I70" i="10"/>
  <c r="G70" i="10"/>
  <c r="D70" i="10"/>
  <c r="C70" i="10"/>
  <c r="B70" i="10"/>
  <c r="J69" i="10"/>
  <c r="I69" i="10"/>
  <c r="G69" i="10"/>
  <c r="D69" i="10"/>
  <c r="C69" i="10"/>
  <c r="B69" i="10"/>
  <c r="I68" i="10"/>
  <c r="J68" i="10" s="1"/>
  <c r="G68" i="10"/>
  <c r="D68" i="10"/>
  <c r="C68" i="10"/>
  <c r="B68" i="10"/>
  <c r="I67" i="10"/>
  <c r="J67" i="10" s="1"/>
  <c r="G67" i="10"/>
  <c r="D67" i="10"/>
  <c r="C67" i="10"/>
  <c r="B67" i="10"/>
  <c r="J66" i="10"/>
  <c r="I66" i="10"/>
  <c r="G66" i="10"/>
  <c r="D66" i="10"/>
  <c r="C66" i="10"/>
  <c r="B66" i="10"/>
  <c r="I65" i="10"/>
  <c r="J65" i="10" s="1"/>
  <c r="G65" i="10"/>
  <c r="D65" i="10"/>
  <c r="C65" i="10"/>
  <c r="B65" i="10"/>
  <c r="I64" i="10"/>
  <c r="J64" i="10" s="1"/>
  <c r="G64" i="10"/>
  <c r="D64" i="10"/>
  <c r="C64" i="10"/>
  <c r="B64" i="10"/>
  <c r="J63" i="10"/>
  <c r="I63" i="10"/>
  <c r="G63" i="10"/>
  <c r="D63" i="10"/>
  <c r="C63" i="10"/>
  <c r="B63" i="10"/>
  <c r="J62" i="10"/>
  <c r="I62" i="10"/>
  <c r="G62" i="10"/>
  <c r="D62" i="10"/>
  <c r="C62" i="10"/>
  <c r="B62" i="10"/>
  <c r="I61" i="10"/>
  <c r="J61" i="10" s="1"/>
  <c r="G61" i="10"/>
  <c r="D61" i="10"/>
  <c r="C61" i="10"/>
  <c r="B61" i="10"/>
  <c r="I60" i="10"/>
  <c r="J60" i="10" s="1"/>
  <c r="G60" i="10"/>
  <c r="D60" i="10"/>
  <c r="C60" i="10"/>
  <c r="B60" i="10"/>
  <c r="I59" i="10"/>
  <c r="J59" i="10" s="1"/>
  <c r="G59" i="10"/>
  <c r="D59" i="10"/>
  <c r="C59" i="10"/>
  <c r="B59" i="10"/>
  <c r="J58" i="10"/>
  <c r="I58" i="10"/>
  <c r="G58" i="10"/>
  <c r="D58" i="10"/>
  <c r="C58" i="10"/>
  <c r="B58" i="10"/>
  <c r="J57" i="10"/>
  <c r="I57" i="10"/>
  <c r="G57" i="10"/>
  <c r="D57" i="10"/>
  <c r="C57" i="10"/>
  <c r="B57" i="10"/>
  <c r="I56" i="10"/>
  <c r="J56" i="10" s="1"/>
  <c r="G56" i="10"/>
  <c r="D56" i="10"/>
  <c r="C56" i="10"/>
  <c r="B56" i="10"/>
  <c r="J55" i="10"/>
  <c r="I55" i="10"/>
  <c r="G55" i="10"/>
  <c r="D55" i="10"/>
  <c r="C55" i="10"/>
  <c r="B55" i="10"/>
  <c r="J54" i="10"/>
  <c r="I54" i="10"/>
  <c r="G54" i="10"/>
  <c r="D54" i="10"/>
  <c r="C54" i="10"/>
  <c r="B54" i="10"/>
  <c r="J53" i="10"/>
  <c r="I53" i="10"/>
  <c r="G53" i="10"/>
  <c r="D53" i="10"/>
  <c r="C53" i="10"/>
  <c r="B53" i="10"/>
  <c r="I52" i="10"/>
  <c r="J52" i="10" s="1"/>
  <c r="G52" i="10"/>
  <c r="D52" i="10"/>
  <c r="C52" i="10"/>
  <c r="B52" i="10"/>
  <c r="I51" i="10"/>
  <c r="J51" i="10" s="1"/>
  <c r="G51" i="10"/>
  <c r="D51" i="10"/>
  <c r="C51" i="10"/>
  <c r="B51" i="10"/>
  <c r="J50" i="10"/>
  <c r="I50" i="10"/>
  <c r="G50" i="10"/>
  <c r="D50" i="10"/>
  <c r="C50" i="10"/>
  <c r="B50" i="10"/>
  <c r="I49" i="10"/>
  <c r="J49" i="10" s="1"/>
  <c r="G49" i="10"/>
  <c r="D49" i="10"/>
  <c r="C49" i="10"/>
  <c r="B49" i="10"/>
  <c r="I48" i="10"/>
  <c r="J48" i="10" s="1"/>
  <c r="G48" i="10"/>
  <c r="D48" i="10"/>
  <c r="C48" i="10"/>
  <c r="B48" i="10"/>
  <c r="I47" i="10"/>
  <c r="J47" i="10" s="1"/>
  <c r="G47" i="10"/>
  <c r="D47" i="10"/>
  <c r="C47" i="10"/>
  <c r="B47" i="10"/>
  <c r="J46" i="10"/>
  <c r="I46" i="10"/>
  <c r="G46" i="10"/>
  <c r="D46" i="10"/>
  <c r="C46" i="10"/>
  <c r="B46" i="10"/>
  <c r="J45" i="10"/>
  <c r="I45" i="10"/>
  <c r="G45" i="10"/>
  <c r="D45" i="10"/>
  <c r="C45" i="10"/>
  <c r="B45" i="10"/>
  <c r="I44" i="10"/>
  <c r="J44" i="10" s="1"/>
  <c r="G44" i="10"/>
  <c r="D44" i="10"/>
  <c r="C44" i="10"/>
  <c r="B44" i="10"/>
  <c r="J43" i="10"/>
  <c r="I43" i="10"/>
  <c r="G43" i="10"/>
  <c r="D43" i="10"/>
  <c r="C43" i="10"/>
  <c r="B43" i="10"/>
  <c r="J42" i="10"/>
  <c r="I42" i="10"/>
  <c r="G42" i="10"/>
  <c r="D42" i="10"/>
  <c r="C42" i="10"/>
  <c r="B42" i="10"/>
  <c r="I41" i="10"/>
  <c r="J41" i="10" s="1"/>
  <c r="G41" i="10"/>
  <c r="D41" i="10"/>
  <c r="C41" i="10"/>
  <c r="B41" i="10"/>
  <c r="I40" i="10"/>
  <c r="J40" i="10" s="1"/>
  <c r="G40" i="10"/>
  <c r="D40" i="10"/>
  <c r="C40" i="10"/>
  <c r="B40" i="10"/>
  <c r="J39" i="10"/>
  <c r="I39" i="10"/>
  <c r="G39" i="10"/>
  <c r="D39" i="10"/>
  <c r="C39" i="10"/>
  <c r="B39" i="10"/>
  <c r="J38" i="10"/>
  <c r="I38" i="10"/>
  <c r="G38" i="10"/>
  <c r="D38" i="10"/>
  <c r="C38" i="10"/>
  <c r="B38" i="10"/>
  <c r="J37" i="10"/>
  <c r="I37" i="10"/>
  <c r="G37" i="10"/>
  <c r="D37" i="10"/>
  <c r="C37" i="10"/>
  <c r="B37" i="10"/>
  <c r="I36" i="10"/>
  <c r="J36" i="10" s="1"/>
  <c r="G36" i="10"/>
  <c r="D36" i="10"/>
  <c r="C36" i="10"/>
  <c r="B36" i="10"/>
  <c r="I35" i="10"/>
  <c r="J35" i="10" s="1"/>
  <c r="G35" i="10"/>
  <c r="D35" i="10"/>
  <c r="C35" i="10"/>
  <c r="B35" i="10"/>
  <c r="J34" i="10"/>
  <c r="I34" i="10"/>
  <c r="G34" i="10"/>
  <c r="D34" i="10"/>
  <c r="C34" i="10"/>
  <c r="B34" i="10"/>
  <c r="I33" i="10"/>
  <c r="J33" i="10" s="1"/>
  <c r="G33" i="10"/>
  <c r="D33" i="10"/>
  <c r="C33" i="10"/>
  <c r="B33" i="10"/>
  <c r="I32" i="10"/>
  <c r="J32" i="10" s="1"/>
  <c r="G32" i="10"/>
  <c r="D32" i="10"/>
  <c r="C32" i="10"/>
  <c r="B32" i="10"/>
  <c r="J31" i="10"/>
  <c r="I31" i="10"/>
  <c r="G31" i="10"/>
  <c r="D31" i="10"/>
  <c r="C31" i="10"/>
  <c r="B31" i="10"/>
  <c r="J30" i="10"/>
  <c r="I30" i="10"/>
  <c r="G30" i="10"/>
  <c r="D30" i="10"/>
  <c r="C30" i="10"/>
  <c r="B30" i="10"/>
  <c r="I29" i="10"/>
  <c r="J29" i="10" s="1"/>
  <c r="G29" i="10"/>
  <c r="D29" i="10"/>
  <c r="C29" i="10"/>
  <c r="B29" i="10"/>
  <c r="I28" i="10"/>
  <c r="J28" i="10" s="1"/>
  <c r="G28" i="10"/>
  <c r="D28" i="10"/>
  <c r="C28" i="10"/>
  <c r="B28" i="10"/>
  <c r="I27" i="10"/>
  <c r="J27" i="10" s="1"/>
  <c r="G27" i="10"/>
  <c r="D27" i="10"/>
  <c r="C27" i="10"/>
  <c r="B27" i="10"/>
  <c r="J26" i="10"/>
  <c r="I26" i="10"/>
  <c r="G26" i="10"/>
  <c r="D26" i="10"/>
  <c r="C26" i="10"/>
  <c r="B26" i="10"/>
  <c r="J25" i="10"/>
  <c r="I25" i="10"/>
  <c r="G25" i="10"/>
  <c r="D25" i="10"/>
  <c r="C25" i="10"/>
  <c r="B25" i="10"/>
  <c r="I24" i="10"/>
  <c r="J24" i="10" s="1"/>
  <c r="G24" i="10"/>
  <c r="D24" i="10"/>
  <c r="C24" i="10"/>
  <c r="B24" i="10"/>
  <c r="J23" i="10"/>
  <c r="I23" i="10"/>
  <c r="G23" i="10"/>
  <c r="D23" i="10"/>
  <c r="C23" i="10"/>
  <c r="B23" i="10"/>
  <c r="J22" i="10"/>
  <c r="I22" i="10"/>
  <c r="G22" i="10"/>
  <c r="D22" i="10"/>
  <c r="C22" i="10"/>
  <c r="B22" i="10"/>
  <c r="J21" i="10"/>
  <c r="I21" i="10"/>
  <c r="G21" i="10"/>
  <c r="D21" i="10"/>
  <c r="C21" i="10"/>
  <c r="B21" i="10"/>
  <c r="I20" i="10"/>
  <c r="J20" i="10" s="1"/>
  <c r="G20" i="10"/>
  <c r="D20" i="10"/>
  <c r="C20" i="10"/>
  <c r="B20" i="10"/>
  <c r="I19" i="10"/>
  <c r="J19" i="10" s="1"/>
  <c r="G19" i="10"/>
  <c r="D19" i="10"/>
  <c r="C19" i="10"/>
  <c r="B19" i="10"/>
  <c r="J18" i="10"/>
  <c r="I18" i="10"/>
  <c r="G18" i="10"/>
  <c r="D18" i="10"/>
  <c r="C18" i="10"/>
  <c r="B18" i="10"/>
  <c r="I17" i="10"/>
  <c r="J17" i="10" s="1"/>
  <c r="G17" i="10"/>
  <c r="D17" i="10"/>
  <c r="C17" i="10"/>
  <c r="B17" i="10"/>
  <c r="I16" i="10"/>
  <c r="J16" i="10" s="1"/>
  <c r="G16" i="10"/>
  <c r="D16" i="10"/>
  <c r="C16" i="10"/>
  <c r="B16" i="10"/>
  <c r="I15" i="10"/>
  <c r="J15" i="10" s="1"/>
  <c r="G15" i="10"/>
  <c r="D15" i="10"/>
  <c r="C15" i="10"/>
  <c r="B15" i="10"/>
  <c r="J14" i="10"/>
  <c r="I14" i="10"/>
  <c r="G14" i="10"/>
  <c r="D14" i="10"/>
  <c r="C14" i="10"/>
  <c r="B14" i="10"/>
  <c r="J13" i="10"/>
  <c r="I13" i="10"/>
  <c r="G13" i="10"/>
  <c r="D13" i="10"/>
  <c r="C13" i="10"/>
  <c r="B13" i="10"/>
  <c r="I12" i="10"/>
  <c r="J12" i="10" s="1"/>
  <c r="G12" i="10"/>
  <c r="D12" i="10"/>
  <c r="C12" i="10"/>
  <c r="B12" i="10"/>
  <c r="J11" i="10"/>
  <c r="I11" i="10"/>
  <c r="G11" i="10"/>
  <c r="D11" i="10"/>
  <c r="C11" i="10"/>
  <c r="B11" i="10"/>
  <c r="G10" i="10"/>
  <c r="D10" i="10"/>
  <c r="C10" i="10"/>
  <c r="I10" i="10" s="1"/>
  <c r="J10" i="10" s="1"/>
  <c r="B10" i="10"/>
  <c r="G9" i="10"/>
  <c r="D9" i="10"/>
  <c r="C9" i="10"/>
  <c r="I9" i="10" s="1"/>
  <c r="J9" i="10" s="1"/>
  <c r="B9" i="10"/>
  <c r="J4" i="10"/>
  <c r="G4" i="10"/>
  <c r="D4" i="10"/>
  <c r="A4" i="10"/>
  <c r="I208" i="9"/>
  <c r="H208" i="9"/>
  <c r="F208" i="9"/>
  <c r="D208" i="9"/>
  <c r="C208" i="9"/>
  <c r="B208" i="9"/>
  <c r="I207" i="9"/>
  <c r="H207" i="9"/>
  <c r="F207" i="9"/>
  <c r="D207" i="9"/>
  <c r="C207" i="9"/>
  <c r="B207" i="9"/>
  <c r="H206" i="9"/>
  <c r="I206" i="9" s="1"/>
  <c r="F206" i="9"/>
  <c r="D206" i="9"/>
  <c r="C206" i="9"/>
  <c r="B206" i="9"/>
  <c r="H205" i="9"/>
  <c r="I205" i="9" s="1"/>
  <c r="F205" i="9"/>
  <c r="D205" i="9"/>
  <c r="C205" i="9"/>
  <c r="B205" i="9"/>
  <c r="I204" i="9"/>
  <c r="H204" i="9"/>
  <c r="F204" i="9"/>
  <c r="D204" i="9"/>
  <c r="C204" i="9"/>
  <c r="B204" i="9"/>
  <c r="H203" i="9"/>
  <c r="I203" i="9" s="1"/>
  <c r="F203" i="9"/>
  <c r="D203" i="9"/>
  <c r="C203" i="9"/>
  <c r="B203" i="9"/>
  <c r="H202" i="9"/>
  <c r="I202" i="9" s="1"/>
  <c r="F202" i="9"/>
  <c r="D202" i="9"/>
  <c r="C202" i="9"/>
  <c r="B202" i="9"/>
  <c r="I201" i="9"/>
  <c r="H201" i="9"/>
  <c r="F201" i="9"/>
  <c r="D201" i="9"/>
  <c r="C201" i="9"/>
  <c r="B201" i="9"/>
  <c r="I200" i="9"/>
  <c r="H200" i="9"/>
  <c r="F200" i="9"/>
  <c r="D200" i="9"/>
  <c r="C200" i="9"/>
  <c r="B200" i="9"/>
  <c r="H199" i="9"/>
  <c r="I199" i="9" s="1"/>
  <c r="F199" i="9"/>
  <c r="D199" i="9"/>
  <c r="C199" i="9"/>
  <c r="B199" i="9"/>
  <c r="H198" i="9"/>
  <c r="I198" i="9" s="1"/>
  <c r="F198" i="9"/>
  <c r="D198" i="9"/>
  <c r="C198" i="9"/>
  <c r="B198" i="9"/>
  <c r="H197" i="9"/>
  <c r="I197" i="9" s="1"/>
  <c r="F197" i="9"/>
  <c r="D197" i="9"/>
  <c r="C197" i="9"/>
  <c r="B197" i="9"/>
  <c r="I196" i="9"/>
  <c r="H196" i="9"/>
  <c r="F196" i="9"/>
  <c r="D196" i="9"/>
  <c r="C196" i="9"/>
  <c r="B196" i="9"/>
  <c r="I195" i="9"/>
  <c r="H195" i="9"/>
  <c r="F195" i="9"/>
  <c r="D195" i="9"/>
  <c r="C195" i="9"/>
  <c r="B195" i="9"/>
  <c r="H194" i="9"/>
  <c r="I194" i="9" s="1"/>
  <c r="F194" i="9"/>
  <c r="D194" i="9"/>
  <c r="C194" i="9"/>
  <c r="B194" i="9"/>
  <c r="I193" i="9"/>
  <c r="H193" i="9"/>
  <c r="F193" i="9"/>
  <c r="D193" i="9"/>
  <c r="C193" i="9"/>
  <c r="B193" i="9"/>
  <c r="I192" i="9"/>
  <c r="H192" i="9"/>
  <c r="F192" i="9"/>
  <c r="D192" i="9"/>
  <c r="C192" i="9"/>
  <c r="B192" i="9"/>
  <c r="I191" i="9"/>
  <c r="H191" i="9"/>
  <c r="F191" i="9"/>
  <c r="D191" i="9"/>
  <c r="C191" i="9"/>
  <c r="B191" i="9"/>
  <c r="H190" i="9"/>
  <c r="I190" i="9" s="1"/>
  <c r="F190" i="9"/>
  <c r="D190" i="9"/>
  <c r="C190" i="9"/>
  <c r="B190" i="9"/>
  <c r="I189" i="9"/>
  <c r="H189" i="9"/>
  <c r="F189" i="9"/>
  <c r="D189" i="9"/>
  <c r="C189" i="9"/>
  <c r="B189" i="9"/>
  <c r="I188" i="9"/>
  <c r="H188" i="9"/>
  <c r="F188" i="9"/>
  <c r="D188" i="9"/>
  <c r="C188" i="9"/>
  <c r="B188" i="9"/>
  <c r="H187" i="9"/>
  <c r="I187" i="9" s="1"/>
  <c r="F187" i="9"/>
  <c r="D187" i="9"/>
  <c r="C187" i="9"/>
  <c r="B187" i="9"/>
  <c r="H186" i="9"/>
  <c r="I186" i="9" s="1"/>
  <c r="F186" i="9"/>
  <c r="D186" i="9"/>
  <c r="C186" i="9"/>
  <c r="B186" i="9"/>
  <c r="H185" i="9"/>
  <c r="I185" i="9" s="1"/>
  <c r="F185" i="9"/>
  <c r="D185" i="9"/>
  <c r="C185" i="9"/>
  <c r="B185" i="9"/>
  <c r="I184" i="9"/>
  <c r="H184" i="9"/>
  <c r="F184" i="9"/>
  <c r="D184" i="9"/>
  <c r="C184" i="9"/>
  <c r="B184" i="9"/>
  <c r="I183" i="9"/>
  <c r="H183" i="9"/>
  <c r="F183" i="9"/>
  <c r="D183" i="9"/>
  <c r="C183" i="9"/>
  <c r="B183" i="9"/>
  <c r="H182" i="9"/>
  <c r="I182" i="9" s="1"/>
  <c r="F182" i="9"/>
  <c r="D182" i="9"/>
  <c r="C182" i="9"/>
  <c r="B182" i="9"/>
  <c r="I181" i="9"/>
  <c r="H181" i="9"/>
  <c r="F181" i="9"/>
  <c r="D181" i="9"/>
  <c r="C181" i="9"/>
  <c r="B181" i="9"/>
  <c r="I180" i="9"/>
  <c r="H180" i="9"/>
  <c r="F180" i="9"/>
  <c r="D180" i="9"/>
  <c r="C180" i="9"/>
  <c r="B180" i="9"/>
  <c r="H179" i="9"/>
  <c r="I179" i="9" s="1"/>
  <c r="F179" i="9"/>
  <c r="D179" i="9"/>
  <c r="C179" i="9"/>
  <c r="B179" i="9"/>
  <c r="H178" i="9"/>
  <c r="I178" i="9" s="1"/>
  <c r="F178" i="9"/>
  <c r="D178" i="9"/>
  <c r="C178" i="9"/>
  <c r="B178" i="9"/>
  <c r="I177" i="9"/>
  <c r="H177" i="9"/>
  <c r="F177" i="9"/>
  <c r="D177" i="9"/>
  <c r="C177" i="9"/>
  <c r="B177" i="9"/>
  <c r="I176" i="9"/>
  <c r="H176" i="9"/>
  <c r="F176" i="9"/>
  <c r="D176" i="9"/>
  <c r="C176" i="9"/>
  <c r="B176" i="9"/>
  <c r="I175" i="9"/>
  <c r="H175" i="9"/>
  <c r="F175" i="9"/>
  <c r="D175" i="9"/>
  <c r="C175" i="9"/>
  <c r="B175" i="9"/>
  <c r="H174" i="9"/>
  <c r="I174" i="9" s="1"/>
  <c r="F174" i="9"/>
  <c r="D174" i="9"/>
  <c r="C174" i="9"/>
  <c r="B174" i="9"/>
  <c r="H173" i="9"/>
  <c r="I173" i="9" s="1"/>
  <c r="F173" i="9"/>
  <c r="D173" i="9"/>
  <c r="C173" i="9"/>
  <c r="B173" i="9"/>
  <c r="I172" i="9"/>
  <c r="H172" i="9"/>
  <c r="F172" i="9"/>
  <c r="D172" i="9"/>
  <c r="C172" i="9"/>
  <c r="B172" i="9"/>
  <c r="I171" i="9"/>
  <c r="H171" i="9"/>
  <c r="F171" i="9"/>
  <c r="D171" i="9"/>
  <c r="C171" i="9"/>
  <c r="B171" i="9"/>
  <c r="H170" i="9"/>
  <c r="I170" i="9" s="1"/>
  <c r="F170" i="9"/>
  <c r="D170" i="9"/>
  <c r="C170" i="9"/>
  <c r="B170" i="9"/>
  <c r="I169" i="9"/>
  <c r="H169" i="9"/>
  <c r="F169" i="9"/>
  <c r="D169" i="9"/>
  <c r="C169" i="9"/>
  <c r="B169" i="9"/>
  <c r="I168" i="9"/>
  <c r="H168" i="9"/>
  <c r="F168" i="9"/>
  <c r="D168" i="9"/>
  <c r="C168" i="9"/>
  <c r="B168" i="9"/>
  <c r="H167" i="9"/>
  <c r="I167" i="9" s="1"/>
  <c r="F167" i="9"/>
  <c r="D167" i="9"/>
  <c r="C167" i="9"/>
  <c r="B167" i="9"/>
  <c r="H166" i="9"/>
  <c r="I166" i="9" s="1"/>
  <c r="F166" i="9"/>
  <c r="D166" i="9"/>
  <c r="C166" i="9"/>
  <c r="B166" i="9"/>
  <c r="H165" i="9"/>
  <c r="I165" i="9" s="1"/>
  <c r="F165" i="9"/>
  <c r="D165" i="9"/>
  <c r="C165" i="9"/>
  <c r="B165" i="9"/>
  <c r="I164" i="9"/>
  <c r="H164" i="9"/>
  <c r="F164" i="9"/>
  <c r="D164" i="9"/>
  <c r="C164" i="9"/>
  <c r="B164" i="9"/>
  <c r="I163" i="9"/>
  <c r="H163" i="9"/>
  <c r="F163" i="9"/>
  <c r="D163" i="9"/>
  <c r="C163" i="9"/>
  <c r="B163" i="9"/>
  <c r="H162" i="9"/>
  <c r="I162" i="9" s="1"/>
  <c r="F162" i="9"/>
  <c r="D162" i="9"/>
  <c r="C162" i="9"/>
  <c r="B162" i="9"/>
  <c r="I161" i="9"/>
  <c r="H161" i="9"/>
  <c r="F161" i="9"/>
  <c r="D161" i="9"/>
  <c r="C161" i="9"/>
  <c r="B161" i="9"/>
  <c r="I160" i="9"/>
  <c r="H160" i="9"/>
  <c r="F160" i="9"/>
  <c r="D160" i="9"/>
  <c r="C160" i="9"/>
  <c r="B160" i="9"/>
  <c r="I159" i="9"/>
  <c r="H159" i="9"/>
  <c r="F159" i="9"/>
  <c r="D159" i="9"/>
  <c r="C159" i="9"/>
  <c r="B159" i="9"/>
  <c r="H158" i="9"/>
  <c r="I158" i="9" s="1"/>
  <c r="F158" i="9"/>
  <c r="D158" i="9"/>
  <c r="C158" i="9"/>
  <c r="B158" i="9"/>
  <c r="H157" i="9"/>
  <c r="I157" i="9" s="1"/>
  <c r="F157" i="9"/>
  <c r="D157" i="9"/>
  <c r="C157" i="9"/>
  <c r="B157" i="9"/>
  <c r="I156" i="9"/>
  <c r="H156" i="9"/>
  <c r="F156" i="9"/>
  <c r="D156" i="9"/>
  <c r="C156" i="9"/>
  <c r="B156" i="9"/>
  <c r="H155" i="9"/>
  <c r="I155" i="9" s="1"/>
  <c r="F155" i="9"/>
  <c r="D155" i="9"/>
  <c r="C155" i="9"/>
  <c r="B155" i="9"/>
  <c r="H154" i="9"/>
  <c r="I154" i="9" s="1"/>
  <c r="F154" i="9"/>
  <c r="D154" i="9"/>
  <c r="C154" i="9"/>
  <c r="B154" i="9"/>
  <c r="H153" i="9"/>
  <c r="I153" i="9" s="1"/>
  <c r="F153" i="9"/>
  <c r="D153" i="9"/>
  <c r="C153" i="9"/>
  <c r="B153" i="9"/>
  <c r="I152" i="9"/>
  <c r="H152" i="9"/>
  <c r="F152" i="9"/>
  <c r="D152" i="9"/>
  <c r="C152" i="9"/>
  <c r="B152" i="9"/>
  <c r="I151" i="9"/>
  <c r="H151" i="9"/>
  <c r="F151" i="9"/>
  <c r="D151" i="9"/>
  <c r="C151" i="9"/>
  <c r="B151" i="9"/>
  <c r="H150" i="9"/>
  <c r="I150" i="9" s="1"/>
  <c r="F150" i="9"/>
  <c r="D150" i="9"/>
  <c r="C150" i="9"/>
  <c r="B150" i="9"/>
  <c r="I149" i="9"/>
  <c r="H149" i="9"/>
  <c r="F149" i="9"/>
  <c r="D149" i="9"/>
  <c r="C149" i="9"/>
  <c r="B149" i="9"/>
  <c r="I148" i="9"/>
  <c r="H148" i="9"/>
  <c r="F148" i="9"/>
  <c r="D148" i="9"/>
  <c r="C148" i="9"/>
  <c r="B148" i="9"/>
  <c r="H147" i="9"/>
  <c r="I147" i="9" s="1"/>
  <c r="F147" i="9"/>
  <c r="D147" i="9"/>
  <c r="C147" i="9"/>
  <c r="B147" i="9"/>
  <c r="H146" i="9"/>
  <c r="I146" i="9" s="1"/>
  <c r="F146" i="9"/>
  <c r="D146" i="9"/>
  <c r="C146" i="9"/>
  <c r="B146" i="9"/>
  <c r="I145" i="9"/>
  <c r="H145" i="9"/>
  <c r="F145" i="9"/>
  <c r="D145" i="9"/>
  <c r="C145" i="9"/>
  <c r="B145" i="9"/>
  <c r="I144" i="9"/>
  <c r="H144" i="9"/>
  <c r="F144" i="9"/>
  <c r="D144" i="9"/>
  <c r="C144" i="9"/>
  <c r="B144" i="9"/>
  <c r="I143" i="9"/>
  <c r="H143" i="9"/>
  <c r="F143" i="9"/>
  <c r="D143" i="9"/>
  <c r="C143" i="9"/>
  <c r="B143" i="9"/>
  <c r="H142" i="9"/>
  <c r="I142" i="9" s="1"/>
  <c r="F142" i="9"/>
  <c r="D142" i="9"/>
  <c r="C142" i="9"/>
  <c r="B142" i="9"/>
  <c r="H141" i="9"/>
  <c r="I141" i="9" s="1"/>
  <c r="F141" i="9"/>
  <c r="D141" i="9"/>
  <c r="C141" i="9"/>
  <c r="B141" i="9"/>
  <c r="I140" i="9"/>
  <c r="H140" i="9"/>
  <c r="F140" i="9"/>
  <c r="D140" i="9"/>
  <c r="C140" i="9"/>
  <c r="B140" i="9"/>
  <c r="H139" i="9"/>
  <c r="I139" i="9" s="1"/>
  <c r="F139" i="9"/>
  <c r="D139" i="9"/>
  <c r="C139" i="9"/>
  <c r="B139" i="9"/>
  <c r="H138" i="9"/>
  <c r="I138" i="9" s="1"/>
  <c r="F138" i="9"/>
  <c r="D138" i="9"/>
  <c r="C138" i="9"/>
  <c r="B138" i="9"/>
  <c r="I137" i="9"/>
  <c r="H137" i="9"/>
  <c r="F137" i="9"/>
  <c r="D137" i="9"/>
  <c r="C137" i="9"/>
  <c r="B137" i="9"/>
  <c r="I136" i="9"/>
  <c r="H136" i="9"/>
  <c r="F136" i="9"/>
  <c r="D136" i="9"/>
  <c r="C136" i="9"/>
  <c r="B136" i="9"/>
  <c r="H135" i="9"/>
  <c r="I135" i="9" s="1"/>
  <c r="F135" i="9"/>
  <c r="D135" i="9"/>
  <c r="C135" i="9"/>
  <c r="B135" i="9"/>
  <c r="H134" i="9"/>
  <c r="I134" i="9" s="1"/>
  <c r="F134" i="9"/>
  <c r="D134" i="9"/>
  <c r="C134" i="9"/>
  <c r="B134" i="9"/>
  <c r="H133" i="9"/>
  <c r="I133" i="9" s="1"/>
  <c r="F133" i="9"/>
  <c r="D133" i="9"/>
  <c r="C133" i="9"/>
  <c r="B133" i="9"/>
  <c r="I132" i="9"/>
  <c r="H132" i="9"/>
  <c r="F132" i="9"/>
  <c r="D132" i="9"/>
  <c r="C132" i="9"/>
  <c r="B132" i="9"/>
  <c r="I131" i="9"/>
  <c r="H131" i="9"/>
  <c r="F131" i="9"/>
  <c r="D131" i="9"/>
  <c r="C131" i="9"/>
  <c r="B131" i="9"/>
  <c r="H130" i="9"/>
  <c r="I130" i="9" s="1"/>
  <c r="F130" i="9"/>
  <c r="D130" i="9"/>
  <c r="C130" i="9"/>
  <c r="B130" i="9"/>
  <c r="I129" i="9"/>
  <c r="H129" i="9"/>
  <c r="F129" i="9"/>
  <c r="D129" i="9"/>
  <c r="C129" i="9"/>
  <c r="B129" i="9"/>
  <c r="I128" i="9"/>
  <c r="H128" i="9"/>
  <c r="F128" i="9"/>
  <c r="D128" i="9"/>
  <c r="C128" i="9"/>
  <c r="B128" i="9"/>
  <c r="I127" i="9"/>
  <c r="H127" i="9"/>
  <c r="F127" i="9"/>
  <c r="D127" i="9"/>
  <c r="C127" i="9"/>
  <c r="B127" i="9"/>
  <c r="H126" i="9"/>
  <c r="I126" i="9" s="1"/>
  <c r="F126" i="9"/>
  <c r="D126" i="9"/>
  <c r="C126" i="9"/>
  <c r="B126" i="9"/>
  <c r="I125" i="9"/>
  <c r="H125" i="9"/>
  <c r="F125" i="9"/>
  <c r="D125" i="9"/>
  <c r="C125" i="9"/>
  <c r="B125" i="9"/>
  <c r="I124" i="9"/>
  <c r="H124" i="9"/>
  <c r="F124" i="9"/>
  <c r="D124" i="9"/>
  <c r="C124" i="9"/>
  <c r="B124" i="9"/>
  <c r="H123" i="9"/>
  <c r="I123" i="9" s="1"/>
  <c r="F123" i="9"/>
  <c r="D123" i="9"/>
  <c r="C123" i="9"/>
  <c r="B123" i="9"/>
  <c r="H122" i="9"/>
  <c r="I122" i="9" s="1"/>
  <c r="F122" i="9"/>
  <c r="D122" i="9"/>
  <c r="C122" i="9"/>
  <c r="B122" i="9"/>
  <c r="H121" i="9"/>
  <c r="I121" i="9" s="1"/>
  <c r="F121" i="9"/>
  <c r="D121" i="9"/>
  <c r="C121" i="9"/>
  <c r="B121" i="9"/>
  <c r="I120" i="9"/>
  <c r="H120" i="9"/>
  <c r="F120" i="9"/>
  <c r="D120" i="9"/>
  <c r="C120" i="9"/>
  <c r="B120" i="9"/>
  <c r="I119" i="9"/>
  <c r="H119" i="9"/>
  <c r="F119" i="9"/>
  <c r="D119" i="9"/>
  <c r="C119" i="9"/>
  <c r="B119" i="9"/>
  <c r="H118" i="9"/>
  <c r="I118" i="9" s="1"/>
  <c r="F118" i="9"/>
  <c r="D118" i="9"/>
  <c r="C118" i="9"/>
  <c r="B118" i="9"/>
  <c r="I117" i="9"/>
  <c r="H117" i="9"/>
  <c r="F117" i="9"/>
  <c r="D117" i="9"/>
  <c r="C117" i="9"/>
  <c r="B117" i="9"/>
  <c r="I116" i="9"/>
  <c r="H116" i="9"/>
  <c r="F116" i="9"/>
  <c r="D116" i="9"/>
  <c r="C116" i="9"/>
  <c r="B116" i="9"/>
  <c r="H115" i="9"/>
  <c r="I115" i="9" s="1"/>
  <c r="F115" i="9"/>
  <c r="D115" i="9"/>
  <c r="C115" i="9"/>
  <c r="B115" i="9"/>
  <c r="H114" i="9"/>
  <c r="I114" i="9" s="1"/>
  <c r="F114" i="9"/>
  <c r="D114" i="9"/>
  <c r="C114" i="9"/>
  <c r="B114" i="9"/>
  <c r="I113" i="9"/>
  <c r="H113" i="9"/>
  <c r="F113" i="9"/>
  <c r="D113" i="9"/>
  <c r="C113" i="9"/>
  <c r="B113" i="9"/>
  <c r="I112" i="9"/>
  <c r="H112" i="9"/>
  <c r="F112" i="9"/>
  <c r="D112" i="9"/>
  <c r="C112" i="9"/>
  <c r="B112" i="9"/>
  <c r="I111" i="9"/>
  <c r="H111" i="9"/>
  <c r="F111" i="9"/>
  <c r="D111" i="9"/>
  <c r="C111" i="9"/>
  <c r="B111" i="9"/>
  <c r="H110" i="9"/>
  <c r="I110" i="9" s="1"/>
  <c r="F110" i="9"/>
  <c r="D110" i="9"/>
  <c r="C110" i="9"/>
  <c r="B110" i="9"/>
  <c r="H109" i="9"/>
  <c r="I109" i="9" s="1"/>
  <c r="F109" i="9"/>
  <c r="D109" i="9"/>
  <c r="C109" i="9"/>
  <c r="B109" i="9"/>
  <c r="I108" i="9"/>
  <c r="H108" i="9"/>
  <c r="F108" i="9"/>
  <c r="D108" i="9"/>
  <c r="C108" i="9"/>
  <c r="B108" i="9"/>
  <c r="I107" i="9"/>
  <c r="H107" i="9"/>
  <c r="F107" i="9"/>
  <c r="D107" i="9"/>
  <c r="C107" i="9"/>
  <c r="B107" i="9"/>
  <c r="H106" i="9"/>
  <c r="I106" i="9" s="1"/>
  <c r="F106" i="9"/>
  <c r="D106" i="9"/>
  <c r="C106" i="9"/>
  <c r="B106" i="9"/>
  <c r="I105" i="9"/>
  <c r="H105" i="9"/>
  <c r="F105" i="9"/>
  <c r="D105" i="9"/>
  <c r="C105" i="9"/>
  <c r="B105" i="9"/>
  <c r="I104" i="9"/>
  <c r="H104" i="9"/>
  <c r="F104" i="9"/>
  <c r="D104" i="9"/>
  <c r="C104" i="9"/>
  <c r="B104" i="9"/>
  <c r="H103" i="9"/>
  <c r="I103" i="9" s="1"/>
  <c r="F103" i="9"/>
  <c r="D103" i="9"/>
  <c r="C103" i="9"/>
  <c r="B103" i="9"/>
  <c r="H102" i="9"/>
  <c r="I102" i="9" s="1"/>
  <c r="F102" i="9"/>
  <c r="D102" i="9"/>
  <c r="C102" i="9"/>
  <c r="B102" i="9"/>
  <c r="H101" i="9"/>
  <c r="I101" i="9" s="1"/>
  <c r="F101" i="9"/>
  <c r="D101" i="9"/>
  <c r="C101" i="9"/>
  <c r="B101" i="9"/>
  <c r="I100" i="9"/>
  <c r="H100" i="9"/>
  <c r="F100" i="9"/>
  <c r="D100" i="9"/>
  <c r="C100" i="9"/>
  <c r="B100" i="9"/>
  <c r="I99" i="9"/>
  <c r="H99" i="9"/>
  <c r="F99" i="9"/>
  <c r="D99" i="9"/>
  <c r="C99" i="9"/>
  <c r="B99" i="9"/>
  <c r="H98" i="9"/>
  <c r="I98" i="9" s="1"/>
  <c r="F98" i="9"/>
  <c r="D98" i="9"/>
  <c r="C98" i="9"/>
  <c r="B98" i="9"/>
  <c r="I97" i="9"/>
  <c r="H97" i="9"/>
  <c r="F97" i="9"/>
  <c r="D97" i="9"/>
  <c r="C97" i="9"/>
  <c r="B97" i="9"/>
  <c r="I96" i="9"/>
  <c r="H96" i="9"/>
  <c r="F96" i="9"/>
  <c r="D96" i="9"/>
  <c r="C96" i="9"/>
  <c r="B96" i="9"/>
  <c r="I95" i="9"/>
  <c r="H95" i="9"/>
  <c r="F95" i="9"/>
  <c r="D95" i="9"/>
  <c r="C95" i="9"/>
  <c r="B95" i="9"/>
  <c r="H94" i="9"/>
  <c r="I94" i="9" s="1"/>
  <c r="F94" i="9"/>
  <c r="D94" i="9"/>
  <c r="C94" i="9"/>
  <c r="B94" i="9"/>
  <c r="H93" i="9"/>
  <c r="I93" i="9" s="1"/>
  <c r="F93" i="9"/>
  <c r="D93" i="9"/>
  <c r="C93" i="9"/>
  <c r="B93" i="9"/>
  <c r="I92" i="9"/>
  <c r="H92" i="9"/>
  <c r="F92" i="9"/>
  <c r="D92" i="9"/>
  <c r="C92" i="9"/>
  <c r="B92" i="9"/>
  <c r="H91" i="9"/>
  <c r="I91" i="9" s="1"/>
  <c r="F91" i="9"/>
  <c r="D91" i="9"/>
  <c r="C91" i="9"/>
  <c r="B91" i="9"/>
  <c r="H90" i="9"/>
  <c r="I90" i="9" s="1"/>
  <c r="F90" i="9"/>
  <c r="D90" i="9"/>
  <c r="C90" i="9"/>
  <c r="B90" i="9"/>
  <c r="H89" i="9"/>
  <c r="I89" i="9" s="1"/>
  <c r="F89" i="9"/>
  <c r="D89" i="9"/>
  <c r="C89" i="9"/>
  <c r="B89" i="9"/>
  <c r="I88" i="9"/>
  <c r="H88" i="9"/>
  <c r="F88" i="9"/>
  <c r="D88" i="9"/>
  <c r="C88" i="9"/>
  <c r="B88" i="9"/>
  <c r="I87" i="9"/>
  <c r="H87" i="9"/>
  <c r="F87" i="9"/>
  <c r="D87" i="9"/>
  <c r="C87" i="9"/>
  <c r="B87" i="9"/>
  <c r="H86" i="9"/>
  <c r="I86" i="9" s="1"/>
  <c r="F86" i="9"/>
  <c r="D86" i="9"/>
  <c r="C86" i="9"/>
  <c r="B86" i="9"/>
  <c r="I85" i="9"/>
  <c r="H85" i="9"/>
  <c r="F85" i="9"/>
  <c r="D85" i="9"/>
  <c r="C85" i="9"/>
  <c r="B85" i="9"/>
  <c r="I84" i="9"/>
  <c r="H84" i="9"/>
  <c r="F84" i="9"/>
  <c r="D84" i="9"/>
  <c r="C84" i="9"/>
  <c r="B84" i="9"/>
  <c r="H83" i="9"/>
  <c r="I83" i="9" s="1"/>
  <c r="F83" i="9"/>
  <c r="D83" i="9"/>
  <c r="C83" i="9"/>
  <c r="B83" i="9"/>
  <c r="H82" i="9"/>
  <c r="I82" i="9" s="1"/>
  <c r="F82" i="9"/>
  <c r="D82" i="9"/>
  <c r="C82" i="9"/>
  <c r="B82" i="9"/>
  <c r="I81" i="9"/>
  <c r="H81" i="9"/>
  <c r="F81" i="9"/>
  <c r="D81" i="9"/>
  <c r="C81" i="9"/>
  <c r="B81" i="9"/>
  <c r="I80" i="9"/>
  <c r="H80" i="9"/>
  <c r="F80" i="9"/>
  <c r="D80" i="9"/>
  <c r="C80" i="9"/>
  <c r="B80" i="9"/>
  <c r="I79" i="9"/>
  <c r="H79" i="9"/>
  <c r="F79" i="9"/>
  <c r="D79" i="9"/>
  <c r="C79" i="9"/>
  <c r="B79" i="9"/>
  <c r="H78" i="9"/>
  <c r="I78" i="9" s="1"/>
  <c r="F78" i="9"/>
  <c r="D78" i="9"/>
  <c r="C78" i="9"/>
  <c r="B78" i="9"/>
  <c r="H77" i="9"/>
  <c r="I77" i="9" s="1"/>
  <c r="F77" i="9"/>
  <c r="D77" i="9"/>
  <c r="C77" i="9"/>
  <c r="B77" i="9"/>
  <c r="I76" i="9"/>
  <c r="H76" i="9"/>
  <c r="F76" i="9"/>
  <c r="D76" i="9"/>
  <c r="C76" i="9"/>
  <c r="B76" i="9"/>
  <c r="H75" i="9"/>
  <c r="I75" i="9" s="1"/>
  <c r="F75" i="9"/>
  <c r="D75" i="9"/>
  <c r="C75" i="9"/>
  <c r="B75" i="9"/>
  <c r="H74" i="9"/>
  <c r="I74" i="9" s="1"/>
  <c r="F74" i="9"/>
  <c r="D74" i="9"/>
  <c r="C74" i="9"/>
  <c r="B74" i="9"/>
  <c r="I73" i="9"/>
  <c r="H73" i="9"/>
  <c r="F73" i="9"/>
  <c r="D73" i="9"/>
  <c r="C73" i="9"/>
  <c r="B73" i="9"/>
  <c r="I72" i="9"/>
  <c r="H72" i="9"/>
  <c r="F72" i="9"/>
  <c r="D72" i="9"/>
  <c r="C72" i="9"/>
  <c r="B72" i="9"/>
  <c r="H71" i="9"/>
  <c r="I71" i="9" s="1"/>
  <c r="F71" i="9"/>
  <c r="D71" i="9"/>
  <c r="C71" i="9"/>
  <c r="B71" i="9"/>
  <c r="H70" i="9"/>
  <c r="I70" i="9" s="1"/>
  <c r="F70" i="9"/>
  <c r="D70" i="9"/>
  <c r="C70" i="9"/>
  <c r="B70" i="9"/>
  <c r="H69" i="9"/>
  <c r="I69" i="9" s="1"/>
  <c r="F69" i="9"/>
  <c r="D69" i="9"/>
  <c r="C69" i="9"/>
  <c r="B69" i="9"/>
  <c r="I68" i="9"/>
  <c r="H68" i="9"/>
  <c r="F68" i="9"/>
  <c r="D68" i="9"/>
  <c r="C68" i="9"/>
  <c r="B68" i="9"/>
  <c r="I67" i="9"/>
  <c r="H67" i="9"/>
  <c r="F67" i="9"/>
  <c r="D67" i="9"/>
  <c r="C67" i="9"/>
  <c r="B67" i="9"/>
  <c r="H66" i="9"/>
  <c r="I66" i="9" s="1"/>
  <c r="F66" i="9"/>
  <c r="D66" i="9"/>
  <c r="C66" i="9"/>
  <c r="B66" i="9"/>
  <c r="I65" i="9"/>
  <c r="H65" i="9"/>
  <c r="F65" i="9"/>
  <c r="D65" i="9"/>
  <c r="C65" i="9"/>
  <c r="B65" i="9"/>
  <c r="I64" i="9"/>
  <c r="H64" i="9"/>
  <c r="F64" i="9"/>
  <c r="D64" i="9"/>
  <c r="C64" i="9"/>
  <c r="B64" i="9"/>
  <c r="I63" i="9"/>
  <c r="H63" i="9"/>
  <c r="F63" i="9"/>
  <c r="D63" i="9"/>
  <c r="C63" i="9"/>
  <c r="B63" i="9"/>
  <c r="H62" i="9"/>
  <c r="I62" i="9" s="1"/>
  <c r="F62" i="9"/>
  <c r="D62" i="9"/>
  <c r="C62" i="9"/>
  <c r="B62" i="9"/>
  <c r="I61" i="9"/>
  <c r="H61" i="9"/>
  <c r="F61" i="9"/>
  <c r="D61" i="9"/>
  <c r="C61" i="9"/>
  <c r="B61" i="9"/>
  <c r="I60" i="9"/>
  <c r="H60" i="9"/>
  <c r="F60" i="9"/>
  <c r="D60" i="9"/>
  <c r="C60" i="9"/>
  <c r="B60" i="9"/>
  <c r="H59" i="9"/>
  <c r="I59" i="9" s="1"/>
  <c r="F59" i="9"/>
  <c r="D59" i="9"/>
  <c r="C59" i="9"/>
  <c r="B59" i="9"/>
  <c r="H58" i="9"/>
  <c r="I58" i="9" s="1"/>
  <c r="F58" i="9"/>
  <c r="D58" i="9"/>
  <c r="C58" i="9"/>
  <c r="B58" i="9"/>
  <c r="H57" i="9"/>
  <c r="I57" i="9" s="1"/>
  <c r="F57" i="9"/>
  <c r="D57" i="9"/>
  <c r="C57" i="9"/>
  <c r="B57" i="9"/>
  <c r="I56" i="9"/>
  <c r="H56" i="9"/>
  <c r="F56" i="9"/>
  <c r="D56" i="9"/>
  <c r="C56" i="9"/>
  <c r="B56" i="9"/>
  <c r="I55" i="9"/>
  <c r="H55" i="9"/>
  <c r="F55" i="9"/>
  <c r="D55" i="9"/>
  <c r="C55" i="9"/>
  <c r="B55" i="9"/>
  <c r="H54" i="9"/>
  <c r="I54" i="9" s="1"/>
  <c r="F54" i="9"/>
  <c r="D54" i="9"/>
  <c r="C54" i="9"/>
  <c r="B54" i="9"/>
  <c r="I53" i="9"/>
  <c r="H53" i="9"/>
  <c r="F53" i="9"/>
  <c r="D53" i="9"/>
  <c r="C53" i="9"/>
  <c r="B53" i="9"/>
  <c r="I52" i="9"/>
  <c r="H52" i="9"/>
  <c r="F52" i="9"/>
  <c r="D52" i="9"/>
  <c r="C52" i="9"/>
  <c r="B52" i="9"/>
  <c r="H51" i="9"/>
  <c r="I51" i="9" s="1"/>
  <c r="F51" i="9"/>
  <c r="D51" i="9"/>
  <c r="C51" i="9"/>
  <c r="B51" i="9"/>
  <c r="H50" i="9"/>
  <c r="I50" i="9" s="1"/>
  <c r="F50" i="9"/>
  <c r="D50" i="9"/>
  <c r="C50" i="9"/>
  <c r="B50" i="9"/>
  <c r="I49" i="9"/>
  <c r="H49" i="9"/>
  <c r="F49" i="9"/>
  <c r="D49" i="9"/>
  <c r="C49" i="9"/>
  <c r="B49" i="9"/>
  <c r="I48" i="9"/>
  <c r="H48" i="9"/>
  <c r="F48" i="9"/>
  <c r="D48" i="9"/>
  <c r="C48" i="9"/>
  <c r="B48" i="9"/>
  <c r="I47" i="9"/>
  <c r="H47" i="9"/>
  <c r="F47" i="9"/>
  <c r="D47" i="9"/>
  <c r="C47" i="9"/>
  <c r="B47" i="9"/>
  <c r="H46" i="9"/>
  <c r="I46" i="9" s="1"/>
  <c r="F46" i="9"/>
  <c r="D46" i="9"/>
  <c r="C46" i="9"/>
  <c r="B46" i="9"/>
  <c r="H45" i="9"/>
  <c r="I45" i="9" s="1"/>
  <c r="F45" i="9"/>
  <c r="D45" i="9"/>
  <c r="C45" i="9"/>
  <c r="B45" i="9"/>
  <c r="I44" i="9"/>
  <c r="H44" i="9"/>
  <c r="F44" i="9"/>
  <c r="D44" i="9"/>
  <c r="C44" i="9"/>
  <c r="B44" i="9"/>
  <c r="I43" i="9"/>
  <c r="H43" i="9"/>
  <c r="F43" i="9"/>
  <c r="D43" i="9"/>
  <c r="C43" i="9"/>
  <c r="B43" i="9"/>
  <c r="H42" i="9"/>
  <c r="I42" i="9" s="1"/>
  <c r="F42" i="9"/>
  <c r="D42" i="9"/>
  <c r="C42" i="9"/>
  <c r="B42" i="9"/>
  <c r="I41" i="9"/>
  <c r="H41" i="9"/>
  <c r="F41" i="9"/>
  <c r="D41" i="9"/>
  <c r="C41" i="9"/>
  <c r="B41" i="9"/>
  <c r="I40" i="9"/>
  <c r="H40" i="9"/>
  <c r="F40" i="9"/>
  <c r="D40" i="9"/>
  <c r="C40" i="9"/>
  <c r="B40" i="9"/>
  <c r="H39" i="9"/>
  <c r="I39" i="9" s="1"/>
  <c r="F39" i="9"/>
  <c r="D39" i="9"/>
  <c r="C39" i="9"/>
  <c r="B39" i="9"/>
  <c r="H38" i="9"/>
  <c r="I38" i="9" s="1"/>
  <c r="F38" i="9"/>
  <c r="D38" i="9"/>
  <c r="C38" i="9"/>
  <c r="B38" i="9"/>
  <c r="H37" i="9"/>
  <c r="I37" i="9" s="1"/>
  <c r="F37" i="9"/>
  <c r="D37" i="9"/>
  <c r="C37" i="9"/>
  <c r="B37" i="9"/>
  <c r="I36" i="9"/>
  <c r="H36" i="9"/>
  <c r="F36" i="9"/>
  <c r="D36" i="9"/>
  <c r="C36" i="9"/>
  <c r="B36" i="9"/>
  <c r="I35" i="9"/>
  <c r="H35" i="9"/>
  <c r="F35" i="9"/>
  <c r="D35" i="9"/>
  <c r="C35" i="9"/>
  <c r="B35" i="9"/>
  <c r="H34" i="9"/>
  <c r="I34" i="9" s="1"/>
  <c r="F34" i="9"/>
  <c r="D34" i="9"/>
  <c r="C34" i="9"/>
  <c r="B34" i="9"/>
  <c r="I33" i="9"/>
  <c r="H33" i="9"/>
  <c r="F33" i="9"/>
  <c r="D33" i="9"/>
  <c r="C33" i="9"/>
  <c r="B33" i="9"/>
  <c r="I32" i="9"/>
  <c r="H32" i="9"/>
  <c r="F32" i="9"/>
  <c r="D32" i="9"/>
  <c r="C32" i="9"/>
  <c r="B32" i="9"/>
  <c r="I31" i="9"/>
  <c r="H31" i="9"/>
  <c r="F31" i="9"/>
  <c r="D31" i="9"/>
  <c r="C31" i="9"/>
  <c r="B31" i="9"/>
  <c r="H30" i="9"/>
  <c r="I30" i="9" s="1"/>
  <c r="F30" i="9"/>
  <c r="D30" i="9"/>
  <c r="C30" i="9"/>
  <c r="B30" i="9"/>
  <c r="H29" i="9"/>
  <c r="I29" i="9" s="1"/>
  <c r="F29" i="9"/>
  <c r="D29" i="9"/>
  <c r="C29" i="9"/>
  <c r="B29" i="9"/>
  <c r="I28" i="9"/>
  <c r="H28" i="9"/>
  <c r="F28" i="9"/>
  <c r="D28" i="9"/>
  <c r="C28" i="9"/>
  <c r="B28" i="9"/>
  <c r="H27" i="9"/>
  <c r="I27" i="9" s="1"/>
  <c r="F27" i="9"/>
  <c r="D27" i="9"/>
  <c r="C27" i="9"/>
  <c r="B27" i="9"/>
  <c r="H26" i="9"/>
  <c r="I26" i="9" s="1"/>
  <c r="F26" i="9"/>
  <c r="D26" i="9"/>
  <c r="C26" i="9"/>
  <c r="B26" i="9"/>
  <c r="H25" i="9"/>
  <c r="I25" i="9" s="1"/>
  <c r="F25" i="9"/>
  <c r="D25" i="9"/>
  <c r="C25" i="9"/>
  <c r="B25" i="9"/>
  <c r="I24" i="9"/>
  <c r="H24" i="9"/>
  <c r="F24" i="9"/>
  <c r="D24" i="9"/>
  <c r="C24" i="9"/>
  <c r="B24" i="9"/>
  <c r="I23" i="9"/>
  <c r="H23" i="9"/>
  <c r="F23" i="9"/>
  <c r="D23" i="9"/>
  <c r="C23" i="9"/>
  <c r="B23" i="9"/>
  <c r="H22" i="9"/>
  <c r="I22" i="9" s="1"/>
  <c r="F22" i="9"/>
  <c r="D22" i="9"/>
  <c r="C22" i="9"/>
  <c r="B22" i="9"/>
  <c r="I21" i="9"/>
  <c r="H21" i="9"/>
  <c r="F21" i="9"/>
  <c r="D21" i="9"/>
  <c r="C21" i="9"/>
  <c r="B21" i="9"/>
  <c r="I20" i="9"/>
  <c r="H20" i="9"/>
  <c r="F20" i="9"/>
  <c r="D20" i="9"/>
  <c r="C20" i="9"/>
  <c r="B20" i="9"/>
  <c r="H19" i="9"/>
  <c r="I19" i="9" s="1"/>
  <c r="F19" i="9"/>
  <c r="D19" i="9"/>
  <c r="C19" i="9"/>
  <c r="B19" i="9"/>
  <c r="H18" i="9"/>
  <c r="I18" i="9" s="1"/>
  <c r="F18" i="9"/>
  <c r="D18" i="9"/>
  <c r="C18" i="9"/>
  <c r="B18" i="9"/>
  <c r="I17" i="9"/>
  <c r="H17" i="9"/>
  <c r="F17" i="9"/>
  <c r="D17" i="9"/>
  <c r="C17" i="9"/>
  <c r="B17" i="9"/>
  <c r="I16" i="9"/>
  <c r="H16" i="9"/>
  <c r="F16" i="9"/>
  <c r="D16" i="9"/>
  <c r="C16" i="9"/>
  <c r="B16" i="9"/>
  <c r="I15" i="9"/>
  <c r="H15" i="9"/>
  <c r="F15" i="9"/>
  <c r="D15" i="9"/>
  <c r="C15" i="9"/>
  <c r="B15" i="9"/>
  <c r="H14" i="9"/>
  <c r="I14" i="9" s="1"/>
  <c r="F14" i="9"/>
  <c r="D14" i="9"/>
  <c r="C14" i="9"/>
  <c r="B14" i="9"/>
  <c r="H13" i="9"/>
  <c r="I13" i="9" s="1"/>
  <c r="F13" i="9"/>
  <c r="D13" i="9"/>
  <c r="C13" i="9"/>
  <c r="B13" i="9"/>
  <c r="I12" i="9"/>
  <c r="H12" i="9"/>
  <c r="F12" i="9"/>
  <c r="D12" i="9"/>
  <c r="C12" i="9"/>
  <c r="B12" i="9"/>
  <c r="H11" i="9"/>
  <c r="I11" i="9" s="1"/>
  <c r="F11" i="9"/>
  <c r="D11" i="9"/>
  <c r="C11" i="9"/>
  <c r="B11" i="9"/>
  <c r="H10" i="9"/>
  <c r="I10" i="9" s="1"/>
  <c r="D10" i="9"/>
  <c r="C10" i="9"/>
  <c r="F10" i="9" s="1"/>
  <c r="B10" i="9"/>
  <c r="I9" i="9"/>
  <c r="H9" i="9"/>
  <c r="D9" i="9"/>
  <c r="C9" i="9"/>
  <c r="F9" i="9" s="1"/>
  <c r="B9" i="9"/>
  <c r="A5" i="9"/>
  <c r="G4" i="9"/>
  <c r="D4" i="9"/>
  <c r="A4" i="9"/>
  <c r="K113" i="8"/>
  <c r="I113" i="8"/>
  <c r="J113" i="8" s="1"/>
  <c r="D113" i="8"/>
  <c r="C113" i="8"/>
  <c r="A113" i="8"/>
  <c r="K112" i="8"/>
  <c r="J112" i="8"/>
  <c r="I112" i="8"/>
  <c r="D112" i="8"/>
  <c r="C112" i="8"/>
  <c r="A112" i="8"/>
  <c r="K111" i="8"/>
  <c r="I111" i="8"/>
  <c r="J111" i="8" s="1"/>
  <c r="D111" i="8"/>
  <c r="C111" i="8"/>
  <c r="A111" i="8"/>
  <c r="K110" i="8"/>
  <c r="J110" i="8"/>
  <c r="I110" i="8"/>
  <c r="D110" i="8"/>
  <c r="C110" i="8"/>
  <c r="A110" i="8"/>
  <c r="K109" i="8"/>
  <c r="I109" i="8"/>
  <c r="J109" i="8" s="1"/>
  <c r="D109" i="8"/>
  <c r="C109" i="8"/>
  <c r="A109" i="8"/>
  <c r="K108" i="8"/>
  <c r="J108" i="8"/>
  <c r="I108" i="8"/>
  <c r="D108" i="8"/>
  <c r="C108" i="8"/>
  <c r="A108" i="8"/>
  <c r="K107" i="8"/>
  <c r="I107" i="8"/>
  <c r="J107" i="8" s="1"/>
  <c r="D107" i="8"/>
  <c r="C107" i="8"/>
  <c r="A107" i="8"/>
  <c r="K106" i="8"/>
  <c r="I106" i="8"/>
  <c r="J106" i="8" s="1"/>
  <c r="D106" i="8"/>
  <c r="C106" i="8"/>
  <c r="A106" i="8"/>
  <c r="K105" i="8"/>
  <c r="J105" i="8"/>
  <c r="I105" i="8"/>
  <c r="D105" i="8"/>
  <c r="C105" i="8"/>
  <c r="A105" i="8"/>
  <c r="K104" i="8"/>
  <c r="J104" i="8"/>
  <c r="I104" i="8"/>
  <c r="D104" i="8"/>
  <c r="C104" i="8"/>
  <c r="A104" i="8"/>
  <c r="K103" i="8"/>
  <c r="I103" i="8"/>
  <c r="J103" i="8" s="1"/>
  <c r="D103" i="8"/>
  <c r="C103" i="8"/>
  <c r="A103" i="8"/>
  <c r="K102" i="8"/>
  <c r="I102" i="8"/>
  <c r="J102" i="8" s="1"/>
  <c r="D102" i="8"/>
  <c r="C102" i="8"/>
  <c r="A102" i="8"/>
  <c r="K101" i="8"/>
  <c r="J101" i="8"/>
  <c r="I101" i="8"/>
  <c r="D101" i="8"/>
  <c r="C101" i="8"/>
  <c r="A101" i="8"/>
  <c r="K100" i="8"/>
  <c r="J100" i="8"/>
  <c r="I100" i="8"/>
  <c r="D100" i="8"/>
  <c r="C100" i="8"/>
  <c r="A100" i="8"/>
  <c r="K99" i="8"/>
  <c r="I99" i="8"/>
  <c r="J99" i="8" s="1"/>
  <c r="D99" i="8"/>
  <c r="C99" i="8"/>
  <c r="A99" i="8"/>
  <c r="K98" i="8"/>
  <c r="J98" i="8"/>
  <c r="I98" i="8"/>
  <c r="D98" i="8"/>
  <c r="C98" i="8"/>
  <c r="A98" i="8"/>
  <c r="K97" i="8"/>
  <c r="I97" i="8"/>
  <c r="J97" i="8" s="1"/>
  <c r="D97" i="8"/>
  <c r="C97" i="8"/>
  <c r="A97" i="8"/>
  <c r="K96" i="8"/>
  <c r="J96" i="8"/>
  <c r="I96" i="8"/>
  <c r="D96" i="8"/>
  <c r="C96" i="8"/>
  <c r="A96" i="8"/>
  <c r="K95" i="8"/>
  <c r="I95" i="8"/>
  <c r="J95" i="8" s="1"/>
  <c r="D95" i="8"/>
  <c r="C95" i="8"/>
  <c r="A95" i="8"/>
  <c r="K94" i="8"/>
  <c r="J94" i="8"/>
  <c r="I94" i="8"/>
  <c r="D94" i="8"/>
  <c r="C94" i="8"/>
  <c r="A94" i="8"/>
  <c r="K93" i="8"/>
  <c r="I93" i="8"/>
  <c r="J93" i="8" s="1"/>
  <c r="D93" i="8"/>
  <c r="C93" i="8"/>
  <c r="A93" i="8"/>
  <c r="K92" i="8"/>
  <c r="J92" i="8"/>
  <c r="I92" i="8"/>
  <c r="D92" i="8"/>
  <c r="C92" i="8"/>
  <c r="A92" i="8"/>
  <c r="K91" i="8"/>
  <c r="I91" i="8"/>
  <c r="J91" i="8" s="1"/>
  <c r="D91" i="8"/>
  <c r="C91" i="8"/>
  <c r="A91" i="8"/>
  <c r="K90" i="8"/>
  <c r="I90" i="8"/>
  <c r="J90" i="8" s="1"/>
  <c r="D90" i="8"/>
  <c r="C90" i="8"/>
  <c r="A90" i="8"/>
  <c r="K89" i="8"/>
  <c r="I89" i="8"/>
  <c r="J89" i="8" s="1"/>
  <c r="D89" i="8"/>
  <c r="C89" i="8"/>
  <c r="A89" i="8"/>
  <c r="K88" i="8"/>
  <c r="J88" i="8"/>
  <c r="I88" i="8"/>
  <c r="D88" i="8"/>
  <c r="C88" i="8"/>
  <c r="A88" i="8"/>
  <c r="K87" i="8"/>
  <c r="I87" i="8"/>
  <c r="J87" i="8" s="1"/>
  <c r="D87" i="8"/>
  <c r="C87" i="8"/>
  <c r="A87" i="8"/>
  <c r="K86" i="8"/>
  <c r="J86" i="8"/>
  <c r="I86" i="8"/>
  <c r="D86" i="8"/>
  <c r="C86" i="8"/>
  <c r="A86" i="8"/>
  <c r="K85" i="8"/>
  <c r="J85" i="8"/>
  <c r="I85" i="8"/>
  <c r="D85" i="8"/>
  <c r="C85" i="8"/>
  <c r="A85" i="8"/>
  <c r="K84" i="8"/>
  <c r="J84" i="8"/>
  <c r="I84" i="8"/>
  <c r="D84" i="8"/>
  <c r="C84" i="8"/>
  <c r="A84" i="8"/>
  <c r="K83" i="8"/>
  <c r="I83" i="8"/>
  <c r="J83" i="8" s="1"/>
  <c r="D83" i="8"/>
  <c r="C83" i="8"/>
  <c r="A83" i="8"/>
  <c r="K82" i="8"/>
  <c r="I82" i="8"/>
  <c r="J82" i="8" s="1"/>
  <c r="D82" i="8"/>
  <c r="C82" i="8"/>
  <c r="A82" i="8"/>
  <c r="K81" i="8"/>
  <c r="I81" i="8"/>
  <c r="J81" i="8" s="1"/>
  <c r="D81" i="8"/>
  <c r="C81" i="8"/>
  <c r="A81" i="8"/>
  <c r="K80" i="8"/>
  <c r="J80" i="8"/>
  <c r="I80" i="8"/>
  <c r="D80" i="8"/>
  <c r="C80" i="8"/>
  <c r="A80" i="8"/>
  <c r="K79" i="8"/>
  <c r="I79" i="8"/>
  <c r="J79" i="8" s="1"/>
  <c r="D79" i="8"/>
  <c r="C79" i="8"/>
  <c r="A79" i="8"/>
  <c r="K78" i="8"/>
  <c r="J78" i="8"/>
  <c r="I78" i="8"/>
  <c r="D78" i="8"/>
  <c r="C78" i="8"/>
  <c r="A78" i="8"/>
  <c r="K77" i="8"/>
  <c r="I77" i="8"/>
  <c r="J77" i="8" s="1"/>
  <c r="D77" i="8"/>
  <c r="C77" i="8"/>
  <c r="A77" i="8"/>
  <c r="K76" i="8"/>
  <c r="J76" i="8"/>
  <c r="I76" i="8"/>
  <c r="D76" i="8"/>
  <c r="C76" i="8"/>
  <c r="A76" i="8"/>
  <c r="K75" i="8"/>
  <c r="I75" i="8"/>
  <c r="J75" i="8" s="1"/>
  <c r="D75" i="8"/>
  <c r="C75" i="8"/>
  <c r="A75" i="8"/>
  <c r="K74" i="8"/>
  <c r="I74" i="8"/>
  <c r="J74" i="8" s="1"/>
  <c r="D74" i="8"/>
  <c r="C74" i="8"/>
  <c r="A74" i="8"/>
  <c r="K73" i="8"/>
  <c r="J73" i="8"/>
  <c r="I73" i="8"/>
  <c r="D73" i="8"/>
  <c r="C73" i="8"/>
  <c r="A73" i="8"/>
  <c r="K72" i="8"/>
  <c r="J72" i="8"/>
  <c r="I72" i="8"/>
  <c r="D72" i="8"/>
  <c r="C72" i="8"/>
  <c r="A72" i="8"/>
  <c r="K71" i="8"/>
  <c r="I71" i="8"/>
  <c r="J71" i="8" s="1"/>
  <c r="D71" i="8"/>
  <c r="C71" i="8"/>
  <c r="A71" i="8"/>
  <c r="K70" i="8"/>
  <c r="I70" i="8"/>
  <c r="J70" i="8" s="1"/>
  <c r="D70" i="8"/>
  <c r="C70" i="8"/>
  <c r="A70" i="8"/>
  <c r="K69" i="8"/>
  <c r="J69" i="8"/>
  <c r="I69" i="8"/>
  <c r="D69" i="8"/>
  <c r="C69" i="8"/>
  <c r="A69" i="8"/>
  <c r="K68" i="8"/>
  <c r="J68" i="8"/>
  <c r="I68" i="8"/>
  <c r="D68" i="8"/>
  <c r="C68" i="8"/>
  <c r="A68" i="8"/>
  <c r="K67" i="8"/>
  <c r="I67" i="8"/>
  <c r="J67" i="8" s="1"/>
  <c r="D67" i="8"/>
  <c r="C67" i="8"/>
  <c r="A67" i="8"/>
  <c r="K66" i="8"/>
  <c r="J66" i="8"/>
  <c r="I66" i="8"/>
  <c r="D66" i="8"/>
  <c r="C66" i="8"/>
  <c r="A66" i="8"/>
  <c r="K65" i="8"/>
  <c r="J65" i="8"/>
  <c r="I65" i="8"/>
  <c r="D65" i="8"/>
  <c r="C65" i="8"/>
  <c r="A65" i="8"/>
  <c r="K64" i="8"/>
  <c r="J64" i="8"/>
  <c r="I64" i="8"/>
  <c r="D64" i="8"/>
  <c r="C64" i="8"/>
  <c r="A64" i="8"/>
  <c r="K63" i="8"/>
  <c r="I63" i="8"/>
  <c r="J63" i="8" s="1"/>
  <c r="D63" i="8"/>
  <c r="C63" i="8"/>
  <c r="A63" i="8"/>
  <c r="K62" i="8"/>
  <c r="J62" i="8"/>
  <c r="I62" i="8"/>
  <c r="D62" i="8"/>
  <c r="C62" i="8"/>
  <c r="A62" i="8"/>
  <c r="K61" i="8"/>
  <c r="I61" i="8"/>
  <c r="J61" i="8" s="1"/>
  <c r="D61" i="8"/>
  <c r="C61" i="8"/>
  <c r="A61" i="8"/>
  <c r="K60" i="8"/>
  <c r="J60" i="8"/>
  <c r="I60" i="8"/>
  <c r="D60" i="8"/>
  <c r="C60" i="8"/>
  <c r="A60" i="8"/>
  <c r="K59" i="8"/>
  <c r="I59" i="8"/>
  <c r="J59" i="8" s="1"/>
  <c r="D59" i="8"/>
  <c r="C59" i="8"/>
  <c r="A59" i="8"/>
  <c r="K58" i="8"/>
  <c r="J58" i="8"/>
  <c r="I58" i="8"/>
  <c r="D58" i="8"/>
  <c r="C58" i="8"/>
  <c r="A58" i="8"/>
  <c r="K57" i="8"/>
  <c r="I57" i="8"/>
  <c r="J57" i="8" s="1"/>
  <c r="D57" i="8"/>
  <c r="C57" i="8"/>
  <c r="A57" i="8"/>
  <c r="K56" i="8"/>
  <c r="J56" i="8"/>
  <c r="I56" i="8"/>
  <c r="D56" i="8"/>
  <c r="C56" i="8"/>
  <c r="A56" i="8"/>
  <c r="K55" i="8"/>
  <c r="I55" i="8"/>
  <c r="J55" i="8" s="1"/>
  <c r="D55" i="8"/>
  <c r="C55" i="8"/>
  <c r="A55" i="8"/>
  <c r="K54" i="8"/>
  <c r="I54" i="8"/>
  <c r="J54" i="8" s="1"/>
  <c r="D54" i="8"/>
  <c r="C54" i="8"/>
  <c r="A54" i="8"/>
  <c r="K53" i="8"/>
  <c r="J53" i="8"/>
  <c r="I53" i="8"/>
  <c r="D53" i="8"/>
  <c r="C53" i="8"/>
  <c r="A53" i="8"/>
  <c r="K52" i="8"/>
  <c r="J52" i="8"/>
  <c r="I52" i="8"/>
  <c r="D52" i="8"/>
  <c r="C52" i="8"/>
  <c r="A52" i="8"/>
  <c r="K51" i="8"/>
  <c r="I51" i="8"/>
  <c r="J51" i="8" s="1"/>
  <c r="D51" i="8"/>
  <c r="C51" i="8"/>
  <c r="A51" i="8"/>
  <c r="K50" i="8"/>
  <c r="I50" i="8"/>
  <c r="J50" i="8" s="1"/>
  <c r="D50" i="8"/>
  <c r="C50" i="8"/>
  <c r="A50" i="8"/>
  <c r="K49" i="8"/>
  <c r="I49" i="8"/>
  <c r="J49" i="8" s="1"/>
  <c r="D49" i="8"/>
  <c r="C49" i="8"/>
  <c r="A49" i="8"/>
  <c r="K48" i="8"/>
  <c r="J48" i="8"/>
  <c r="I48" i="8"/>
  <c r="D48" i="8"/>
  <c r="C48" i="8"/>
  <c r="A48" i="8"/>
  <c r="K47" i="8"/>
  <c r="I47" i="8"/>
  <c r="J47" i="8" s="1"/>
  <c r="D47" i="8"/>
  <c r="C47" i="8"/>
  <c r="A47" i="8"/>
  <c r="K46" i="8"/>
  <c r="J46" i="8"/>
  <c r="I46" i="8"/>
  <c r="D46" i="8"/>
  <c r="C46" i="8"/>
  <c r="A46" i="8"/>
  <c r="K45" i="8"/>
  <c r="I45" i="8"/>
  <c r="J45" i="8" s="1"/>
  <c r="D45" i="8"/>
  <c r="C45" i="8"/>
  <c r="A45" i="8"/>
  <c r="K44" i="8"/>
  <c r="J44" i="8"/>
  <c r="I44" i="8"/>
  <c r="D44" i="8"/>
  <c r="C44" i="8"/>
  <c r="A44" i="8"/>
  <c r="K43" i="8"/>
  <c r="I43" i="8"/>
  <c r="J43" i="8" s="1"/>
  <c r="D43" i="8"/>
  <c r="C43" i="8"/>
  <c r="A43" i="8"/>
  <c r="K42" i="8"/>
  <c r="I42" i="8"/>
  <c r="J42" i="8" s="1"/>
  <c r="D42" i="8"/>
  <c r="C42" i="8"/>
  <c r="A42" i="8"/>
  <c r="K41" i="8"/>
  <c r="J41" i="8"/>
  <c r="I41" i="8"/>
  <c r="D41" i="8"/>
  <c r="C41" i="8"/>
  <c r="A41" i="8"/>
  <c r="K40" i="8"/>
  <c r="J40" i="8"/>
  <c r="I40" i="8"/>
  <c r="D40" i="8"/>
  <c r="C40" i="8"/>
  <c r="A40" i="8"/>
  <c r="K39" i="8"/>
  <c r="I39" i="8"/>
  <c r="J39" i="8" s="1"/>
  <c r="D39" i="8"/>
  <c r="C39" i="8"/>
  <c r="A39" i="8"/>
  <c r="K38" i="8"/>
  <c r="I38" i="8"/>
  <c r="J38" i="8" s="1"/>
  <c r="D38" i="8"/>
  <c r="C38" i="8"/>
  <c r="A38" i="8"/>
  <c r="K37" i="8"/>
  <c r="J37" i="8"/>
  <c r="I37" i="8"/>
  <c r="D37" i="8"/>
  <c r="C37" i="8"/>
  <c r="A37" i="8"/>
  <c r="K36" i="8"/>
  <c r="J36" i="8"/>
  <c r="I36" i="8"/>
  <c r="D36" i="8"/>
  <c r="C36" i="8"/>
  <c r="A36" i="8"/>
  <c r="K35" i="8"/>
  <c r="I35" i="8"/>
  <c r="J35" i="8" s="1"/>
  <c r="D35" i="8"/>
  <c r="C35" i="8"/>
  <c r="A35" i="8"/>
  <c r="K34" i="8"/>
  <c r="J34" i="8"/>
  <c r="I34" i="8"/>
  <c r="D34" i="8"/>
  <c r="C34" i="8"/>
  <c r="A34" i="8"/>
  <c r="K33" i="8"/>
  <c r="J33" i="8"/>
  <c r="I33" i="8"/>
  <c r="D33" i="8"/>
  <c r="C33" i="8"/>
  <c r="A33" i="8"/>
  <c r="K32" i="8"/>
  <c r="J32" i="8"/>
  <c r="I32" i="8"/>
  <c r="D32" i="8"/>
  <c r="C32" i="8"/>
  <c r="A32" i="8"/>
  <c r="K31" i="8"/>
  <c r="I31" i="8"/>
  <c r="J31" i="8" s="1"/>
  <c r="D31" i="8"/>
  <c r="C31" i="8"/>
  <c r="A31" i="8"/>
  <c r="K30" i="8"/>
  <c r="J30" i="8"/>
  <c r="I30" i="8"/>
  <c r="D30" i="8"/>
  <c r="C30" i="8"/>
  <c r="A30" i="8"/>
  <c r="K29" i="8"/>
  <c r="J29" i="8"/>
  <c r="I29" i="8"/>
  <c r="D29" i="8"/>
  <c r="C29" i="8"/>
  <c r="A29" i="8"/>
  <c r="K28" i="8"/>
  <c r="J28" i="8"/>
  <c r="I28" i="8"/>
  <c r="D28" i="8"/>
  <c r="C28" i="8"/>
  <c r="A28" i="8"/>
  <c r="K27" i="8"/>
  <c r="I27" i="8"/>
  <c r="J27" i="8" s="1"/>
  <c r="D27" i="8"/>
  <c r="C27" i="8"/>
  <c r="A27" i="8"/>
  <c r="K26" i="8"/>
  <c r="J26" i="8"/>
  <c r="I26" i="8"/>
  <c r="D26" i="8"/>
  <c r="C26" i="8"/>
  <c r="A26" i="8"/>
  <c r="K25" i="8"/>
  <c r="I25" i="8"/>
  <c r="J25" i="8" s="1"/>
  <c r="D25" i="8"/>
  <c r="C25" i="8"/>
  <c r="A25" i="8"/>
  <c r="K24" i="8"/>
  <c r="J24" i="8"/>
  <c r="I24" i="8"/>
  <c r="D24" i="8"/>
  <c r="C24" i="8"/>
  <c r="A24" i="8"/>
  <c r="K23" i="8"/>
  <c r="I23" i="8"/>
  <c r="J23" i="8" s="1"/>
  <c r="D23" i="8"/>
  <c r="C23" i="8"/>
  <c r="A23" i="8"/>
  <c r="K22" i="8"/>
  <c r="J22" i="8"/>
  <c r="I22" i="8"/>
  <c r="D22" i="8"/>
  <c r="C22" i="8"/>
  <c r="A22" i="8"/>
  <c r="K21" i="8"/>
  <c r="J21" i="8"/>
  <c r="I21" i="8"/>
  <c r="D21" i="8"/>
  <c r="C21" i="8"/>
  <c r="A21" i="8"/>
  <c r="K20" i="8"/>
  <c r="J20" i="8"/>
  <c r="I20" i="8"/>
  <c r="D20" i="8"/>
  <c r="C20" i="8"/>
  <c r="A20" i="8"/>
  <c r="K19" i="8"/>
  <c r="I19" i="8"/>
  <c r="J19" i="8" s="1"/>
  <c r="D19" i="8"/>
  <c r="C19" i="8"/>
  <c r="A19" i="8"/>
  <c r="K18" i="8"/>
  <c r="I18" i="8"/>
  <c r="J18" i="8" s="1"/>
  <c r="D18" i="8"/>
  <c r="C18" i="8"/>
  <c r="A18" i="8"/>
  <c r="K17" i="8"/>
  <c r="I17" i="8"/>
  <c r="J17" i="8" s="1"/>
  <c r="D17" i="8"/>
  <c r="C17" i="8"/>
  <c r="A17" i="8"/>
  <c r="K16" i="8"/>
  <c r="J16" i="8"/>
  <c r="I16" i="8"/>
  <c r="D16" i="8"/>
  <c r="C16" i="8"/>
  <c r="A16" i="8"/>
  <c r="K15" i="8"/>
  <c r="I15" i="8"/>
  <c r="J15" i="8" s="1"/>
  <c r="D15" i="8"/>
  <c r="A15" i="8" s="1"/>
  <c r="C15" i="8"/>
  <c r="K14" i="8"/>
  <c r="J14" i="8"/>
  <c r="I14" i="8"/>
  <c r="D14" i="8"/>
  <c r="C14" i="8"/>
  <c r="A14" i="8"/>
  <c r="B9" i="8"/>
  <c r="B10" i="8" s="1"/>
  <c r="B8" i="8"/>
  <c r="I208" i="7"/>
  <c r="J208" i="7" s="1"/>
  <c r="G208" i="7"/>
  <c r="D208" i="7"/>
  <c r="C208" i="7"/>
  <c r="B208" i="7"/>
  <c r="J207" i="7"/>
  <c r="I207" i="7"/>
  <c r="G207" i="7"/>
  <c r="D207" i="7"/>
  <c r="C207" i="7"/>
  <c r="B207" i="7"/>
  <c r="J206" i="7"/>
  <c r="I206" i="7"/>
  <c r="G206" i="7"/>
  <c r="D206" i="7"/>
  <c r="C206" i="7"/>
  <c r="B206" i="7"/>
  <c r="I205" i="7"/>
  <c r="J205" i="7" s="1"/>
  <c r="G205" i="7"/>
  <c r="D205" i="7"/>
  <c r="C205" i="7"/>
  <c r="B205" i="7"/>
  <c r="I204" i="7"/>
  <c r="J204" i="7" s="1"/>
  <c r="G204" i="7"/>
  <c r="D204" i="7"/>
  <c r="C204" i="7"/>
  <c r="B204" i="7"/>
  <c r="J203" i="7"/>
  <c r="I203" i="7"/>
  <c r="G203" i="7"/>
  <c r="D203" i="7"/>
  <c r="C203" i="7"/>
  <c r="B203" i="7"/>
  <c r="J202" i="7"/>
  <c r="I202" i="7"/>
  <c r="G202" i="7"/>
  <c r="D202" i="7"/>
  <c r="C202" i="7"/>
  <c r="B202" i="7"/>
  <c r="I201" i="7"/>
  <c r="J201" i="7" s="1"/>
  <c r="G201" i="7"/>
  <c r="D201" i="7"/>
  <c r="C201" i="7"/>
  <c r="B201" i="7"/>
  <c r="J200" i="7"/>
  <c r="I200" i="7"/>
  <c r="G200" i="7"/>
  <c r="D200" i="7"/>
  <c r="C200" i="7"/>
  <c r="B200" i="7"/>
  <c r="J199" i="7"/>
  <c r="I199" i="7"/>
  <c r="G199" i="7"/>
  <c r="D199" i="7"/>
  <c r="C199" i="7"/>
  <c r="B199" i="7"/>
  <c r="J198" i="7"/>
  <c r="I198" i="7"/>
  <c r="G198" i="7"/>
  <c r="D198" i="7"/>
  <c r="C198" i="7"/>
  <c r="B198" i="7"/>
  <c r="I197" i="7"/>
  <c r="J197" i="7" s="1"/>
  <c r="G197" i="7"/>
  <c r="D197" i="7"/>
  <c r="C197" i="7"/>
  <c r="B197" i="7"/>
  <c r="J196" i="7"/>
  <c r="I196" i="7"/>
  <c r="G196" i="7"/>
  <c r="D196" i="7"/>
  <c r="C196" i="7"/>
  <c r="B196" i="7"/>
  <c r="I195" i="7"/>
  <c r="J195" i="7" s="1"/>
  <c r="G195" i="7"/>
  <c r="D195" i="7"/>
  <c r="C195" i="7"/>
  <c r="B195" i="7"/>
  <c r="J194" i="7"/>
  <c r="I194" i="7"/>
  <c r="G194" i="7"/>
  <c r="D194" i="7"/>
  <c r="C194" i="7"/>
  <c r="B194" i="7"/>
  <c r="I193" i="7"/>
  <c r="J193" i="7" s="1"/>
  <c r="G193" i="7"/>
  <c r="D193" i="7"/>
  <c r="C193" i="7"/>
  <c r="B193" i="7"/>
  <c r="J192" i="7"/>
  <c r="I192" i="7"/>
  <c r="G192" i="7"/>
  <c r="D192" i="7"/>
  <c r="C192" i="7"/>
  <c r="B192" i="7"/>
  <c r="I191" i="7"/>
  <c r="J191" i="7" s="1"/>
  <c r="G191" i="7"/>
  <c r="D191" i="7"/>
  <c r="C191" i="7"/>
  <c r="B191" i="7"/>
  <c r="J190" i="7"/>
  <c r="I190" i="7"/>
  <c r="G190" i="7"/>
  <c r="D190" i="7"/>
  <c r="C190" i="7"/>
  <c r="B190" i="7"/>
  <c r="I189" i="7"/>
  <c r="J189" i="7" s="1"/>
  <c r="G189" i="7"/>
  <c r="D189" i="7"/>
  <c r="C189" i="7"/>
  <c r="B189" i="7"/>
  <c r="I188" i="7"/>
  <c r="J188" i="7" s="1"/>
  <c r="G188" i="7"/>
  <c r="D188" i="7"/>
  <c r="C188" i="7"/>
  <c r="B188" i="7"/>
  <c r="J187" i="7"/>
  <c r="I187" i="7"/>
  <c r="G187" i="7"/>
  <c r="D187" i="7"/>
  <c r="C187" i="7"/>
  <c r="B187" i="7"/>
  <c r="J186" i="7"/>
  <c r="I186" i="7"/>
  <c r="G186" i="7"/>
  <c r="D186" i="7"/>
  <c r="C186" i="7"/>
  <c r="B186" i="7"/>
  <c r="I185" i="7"/>
  <c r="J185" i="7" s="1"/>
  <c r="G185" i="7"/>
  <c r="D185" i="7"/>
  <c r="C185" i="7"/>
  <c r="B185" i="7"/>
  <c r="I184" i="7"/>
  <c r="J184" i="7" s="1"/>
  <c r="G184" i="7"/>
  <c r="D184" i="7"/>
  <c r="C184" i="7"/>
  <c r="B184" i="7"/>
  <c r="I183" i="7"/>
  <c r="J183" i="7" s="1"/>
  <c r="G183" i="7"/>
  <c r="D183" i="7"/>
  <c r="C183" i="7"/>
  <c r="B183" i="7"/>
  <c r="J182" i="7"/>
  <c r="I182" i="7"/>
  <c r="G182" i="7"/>
  <c r="D182" i="7"/>
  <c r="C182" i="7"/>
  <c r="B182" i="7"/>
  <c r="I181" i="7"/>
  <c r="J181" i="7" s="1"/>
  <c r="G181" i="7"/>
  <c r="D181" i="7"/>
  <c r="C181" i="7"/>
  <c r="B181" i="7"/>
  <c r="J180" i="7"/>
  <c r="I180" i="7"/>
  <c r="G180" i="7"/>
  <c r="D180" i="7"/>
  <c r="C180" i="7"/>
  <c r="B180" i="7"/>
  <c r="I179" i="7"/>
  <c r="J179" i="7" s="1"/>
  <c r="G179" i="7"/>
  <c r="D179" i="7"/>
  <c r="C179" i="7"/>
  <c r="B179" i="7"/>
  <c r="J178" i="7"/>
  <c r="I178" i="7"/>
  <c r="G178" i="7"/>
  <c r="D178" i="7"/>
  <c r="C178" i="7"/>
  <c r="B178" i="7"/>
  <c r="I177" i="7"/>
  <c r="J177" i="7" s="1"/>
  <c r="G177" i="7"/>
  <c r="D177" i="7"/>
  <c r="C177" i="7"/>
  <c r="B177" i="7"/>
  <c r="I176" i="7"/>
  <c r="J176" i="7" s="1"/>
  <c r="G176" i="7"/>
  <c r="D176" i="7"/>
  <c r="C176" i="7"/>
  <c r="B176" i="7"/>
  <c r="J175" i="7"/>
  <c r="I175" i="7"/>
  <c r="G175" i="7"/>
  <c r="D175" i="7"/>
  <c r="C175" i="7"/>
  <c r="B175" i="7"/>
  <c r="J174" i="7"/>
  <c r="I174" i="7"/>
  <c r="G174" i="7"/>
  <c r="D174" i="7"/>
  <c r="C174" i="7"/>
  <c r="B174" i="7"/>
  <c r="I173" i="7"/>
  <c r="J173" i="7" s="1"/>
  <c r="G173" i="7"/>
  <c r="D173" i="7"/>
  <c r="C173" i="7"/>
  <c r="B173" i="7"/>
  <c r="I172" i="7"/>
  <c r="J172" i="7" s="1"/>
  <c r="G172" i="7"/>
  <c r="D172" i="7"/>
  <c r="C172" i="7"/>
  <c r="B172" i="7"/>
  <c r="J171" i="7"/>
  <c r="I171" i="7"/>
  <c r="G171" i="7"/>
  <c r="D171" i="7"/>
  <c r="C171" i="7"/>
  <c r="B171" i="7"/>
  <c r="J170" i="7"/>
  <c r="I170" i="7"/>
  <c r="G170" i="7"/>
  <c r="D170" i="7"/>
  <c r="C170" i="7"/>
  <c r="B170" i="7"/>
  <c r="I169" i="7"/>
  <c r="J169" i="7" s="1"/>
  <c r="G169" i="7"/>
  <c r="D169" i="7"/>
  <c r="C169" i="7"/>
  <c r="B169" i="7"/>
  <c r="J168" i="7"/>
  <c r="I168" i="7"/>
  <c r="G168" i="7"/>
  <c r="D168" i="7"/>
  <c r="C168" i="7"/>
  <c r="B168" i="7"/>
  <c r="I167" i="7"/>
  <c r="J167" i="7" s="1"/>
  <c r="G167" i="7"/>
  <c r="D167" i="7"/>
  <c r="C167" i="7"/>
  <c r="B167" i="7"/>
  <c r="J166" i="7"/>
  <c r="I166" i="7"/>
  <c r="G166" i="7"/>
  <c r="D166" i="7"/>
  <c r="C166" i="7"/>
  <c r="B166" i="7"/>
  <c r="I165" i="7"/>
  <c r="J165" i="7" s="1"/>
  <c r="G165" i="7"/>
  <c r="D165" i="7"/>
  <c r="C165" i="7"/>
  <c r="B165" i="7"/>
  <c r="J164" i="7"/>
  <c r="I164" i="7"/>
  <c r="G164" i="7"/>
  <c r="D164" i="7"/>
  <c r="C164" i="7"/>
  <c r="B164" i="7"/>
  <c r="I163" i="7"/>
  <c r="J163" i="7" s="1"/>
  <c r="G163" i="7"/>
  <c r="D163" i="7"/>
  <c r="C163" i="7"/>
  <c r="B163" i="7"/>
  <c r="J162" i="7"/>
  <c r="I162" i="7"/>
  <c r="G162" i="7"/>
  <c r="D162" i="7"/>
  <c r="C162" i="7"/>
  <c r="B162" i="7"/>
  <c r="I161" i="7"/>
  <c r="J161" i="7" s="1"/>
  <c r="G161" i="7"/>
  <c r="D161" i="7"/>
  <c r="C161" i="7"/>
  <c r="B161" i="7"/>
  <c r="I160" i="7"/>
  <c r="J160" i="7" s="1"/>
  <c r="G160" i="7"/>
  <c r="D160" i="7"/>
  <c r="C160" i="7"/>
  <c r="B160" i="7"/>
  <c r="I159" i="7"/>
  <c r="J159" i="7" s="1"/>
  <c r="G159" i="7"/>
  <c r="D159" i="7"/>
  <c r="C159" i="7"/>
  <c r="B159" i="7"/>
  <c r="J158" i="7"/>
  <c r="I158" i="7"/>
  <c r="G158" i="7"/>
  <c r="D158" i="7"/>
  <c r="C158" i="7"/>
  <c r="B158" i="7"/>
  <c r="I157" i="7"/>
  <c r="J157" i="7" s="1"/>
  <c r="G157" i="7"/>
  <c r="D157" i="7"/>
  <c r="C157" i="7"/>
  <c r="B157" i="7"/>
  <c r="J156" i="7"/>
  <c r="I156" i="7"/>
  <c r="G156" i="7"/>
  <c r="D156" i="7"/>
  <c r="C156" i="7"/>
  <c r="B156" i="7"/>
  <c r="J155" i="7"/>
  <c r="I155" i="7"/>
  <c r="G155" i="7"/>
  <c r="D155" i="7"/>
  <c r="C155" i="7"/>
  <c r="B155" i="7"/>
  <c r="J154" i="7"/>
  <c r="I154" i="7"/>
  <c r="G154" i="7"/>
  <c r="D154" i="7"/>
  <c r="C154" i="7"/>
  <c r="B154" i="7"/>
  <c r="I153" i="7"/>
  <c r="J153" i="7" s="1"/>
  <c r="G153" i="7"/>
  <c r="D153" i="7"/>
  <c r="C153" i="7"/>
  <c r="B153" i="7"/>
  <c r="I152" i="7"/>
  <c r="J152" i="7" s="1"/>
  <c r="G152" i="7"/>
  <c r="D152" i="7"/>
  <c r="C152" i="7"/>
  <c r="B152" i="7"/>
  <c r="I151" i="7"/>
  <c r="J151" i="7" s="1"/>
  <c r="G151" i="7"/>
  <c r="D151" i="7"/>
  <c r="C151" i="7"/>
  <c r="B151" i="7"/>
  <c r="J150" i="7"/>
  <c r="I150" i="7"/>
  <c r="G150" i="7"/>
  <c r="D150" i="7"/>
  <c r="C150" i="7"/>
  <c r="B150" i="7"/>
  <c r="I149" i="7"/>
  <c r="J149" i="7" s="1"/>
  <c r="G149" i="7"/>
  <c r="D149" i="7"/>
  <c r="C149" i="7"/>
  <c r="B149" i="7"/>
  <c r="J148" i="7"/>
  <c r="I148" i="7"/>
  <c r="G148" i="7"/>
  <c r="D148" i="7"/>
  <c r="C148" i="7"/>
  <c r="B148" i="7"/>
  <c r="I147" i="7"/>
  <c r="J147" i="7" s="1"/>
  <c r="G147" i="7"/>
  <c r="D147" i="7"/>
  <c r="C147" i="7"/>
  <c r="B147" i="7"/>
  <c r="J146" i="7"/>
  <c r="I146" i="7"/>
  <c r="G146" i="7"/>
  <c r="D146" i="7"/>
  <c r="C146" i="7"/>
  <c r="B146" i="7"/>
  <c r="I145" i="7"/>
  <c r="J145" i="7" s="1"/>
  <c r="G145" i="7"/>
  <c r="D145" i="7"/>
  <c r="C145" i="7"/>
  <c r="B145" i="7"/>
  <c r="I144" i="7"/>
  <c r="J144" i="7" s="1"/>
  <c r="G144" i="7"/>
  <c r="D144" i="7"/>
  <c r="C144" i="7"/>
  <c r="B144" i="7"/>
  <c r="J143" i="7"/>
  <c r="I143" i="7"/>
  <c r="G143" i="7"/>
  <c r="D143" i="7"/>
  <c r="C143" i="7"/>
  <c r="B143" i="7"/>
  <c r="J142" i="7"/>
  <c r="I142" i="7"/>
  <c r="G142" i="7"/>
  <c r="D142" i="7"/>
  <c r="C142" i="7"/>
  <c r="B142" i="7"/>
  <c r="I141" i="7"/>
  <c r="J141" i="7" s="1"/>
  <c r="G141" i="7"/>
  <c r="D141" i="7"/>
  <c r="C141" i="7"/>
  <c r="B141" i="7"/>
  <c r="I140" i="7"/>
  <c r="J140" i="7" s="1"/>
  <c r="G140" i="7"/>
  <c r="D140" i="7"/>
  <c r="C140" i="7"/>
  <c r="B140" i="7"/>
  <c r="J139" i="7"/>
  <c r="I139" i="7"/>
  <c r="G139" i="7"/>
  <c r="D139" i="7"/>
  <c r="C139" i="7"/>
  <c r="B139" i="7"/>
  <c r="J138" i="7"/>
  <c r="I138" i="7"/>
  <c r="G138" i="7"/>
  <c r="D138" i="7"/>
  <c r="C138" i="7"/>
  <c r="B138" i="7"/>
  <c r="I137" i="7"/>
  <c r="J137" i="7" s="1"/>
  <c r="G137" i="7"/>
  <c r="D137" i="7"/>
  <c r="C137" i="7"/>
  <c r="B137" i="7"/>
  <c r="J136" i="7"/>
  <c r="I136" i="7"/>
  <c r="G136" i="7"/>
  <c r="D136" i="7"/>
  <c r="C136" i="7"/>
  <c r="B136" i="7"/>
  <c r="J135" i="7"/>
  <c r="I135" i="7"/>
  <c r="G135" i="7"/>
  <c r="D135" i="7"/>
  <c r="C135" i="7"/>
  <c r="B135" i="7"/>
  <c r="J134" i="7"/>
  <c r="I134" i="7"/>
  <c r="G134" i="7"/>
  <c r="D134" i="7"/>
  <c r="C134" i="7"/>
  <c r="B134" i="7"/>
  <c r="I133" i="7"/>
  <c r="J133" i="7" s="1"/>
  <c r="G133" i="7"/>
  <c r="D133" i="7"/>
  <c r="C133" i="7"/>
  <c r="B133" i="7"/>
  <c r="J132" i="7"/>
  <c r="I132" i="7"/>
  <c r="G132" i="7"/>
  <c r="D132" i="7"/>
  <c r="C132" i="7"/>
  <c r="B132" i="7"/>
  <c r="I131" i="7"/>
  <c r="J131" i="7" s="1"/>
  <c r="G131" i="7"/>
  <c r="D131" i="7"/>
  <c r="C131" i="7"/>
  <c r="B131" i="7"/>
  <c r="J130" i="7"/>
  <c r="I130" i="7"/>
  <c r="G130" i="7"/>
  <c r="D130" i="7"/>
  <c r="C130" i="7"/>
  <c r="B130" i="7"/>
  <c r="I129" i="7"/>
  <c r="J129" i="7" s="1"/>
  <c r="G129" i="7"/>
  <c r="D129" i="7"/>
  <c r="C129" i="7"/>
  <c r="B129" i="7"/>
  <c r="J128" i="7"/>
  <c r="I128" i="7"/>
  <c r="G128" i="7"/>
  <c r="D128" i="7"/>
  <c r="C128" i="7"/>
  <c r="B128" i="7"/>
  <c r="I127" i="7"/>
  <c r="J127" i="7" s="1"/>
  <c r="G127" i="7"/>
  <c r="D127" i="7"/>
  <c r="C127" i="7"/>
  <c r="B127" i="7"/>
  <c r="J126" i="7"/>
  <c r="I126" i="7"/>
  <c r="G126" i="7"/>
  <c r="D126" i="7"/>
  <c r="C126" i="7"/>
  <c r="B126" i="7"/>
  <c r="I125" i="7"/>
  <c r="J125" i="7" s="1"/>
  <c r="G125" i="7"/>
  <c r="D125" i="7"/>
  <c r="C125" i="7"/>
  <c r="B125" i="7"/>
  <c r="I124" i="7"/>
  <c r="J124" i="7" s="1"/>
  <c r="G124" i="7"/>
  <c r="D124" i="7"/>
  <c r="C124" i="7"/>
  <c r="B124" i="7"/>
  <c r="J123" i="7"/>
  <c r="I123" i="7"/>
  <c r="G123" i="7"/>
  <c r="D123" i="7"/>
  <c r="C123" i="7"/>
  <c r="B123" i="7"/>
  <c r="J122" i="7"/>
  <c r="I122" i="7"/>
  <c r="G122" i="7"/>
  <c r="D122" i="7"/>
  <c r="C122" i="7"/>
  <c r="B122" i="7"/>
  <c r="I121" i="7"/>
  <c r="J121" i="7" s="1"/>
  <c r="G121" i="7"/>
  <c r="D121" i="7"/>
  <c r="C121" i="7"/>
  <c r="B121" i="7"/>
  <c r="I120" i="7"/>
  <c r="J120" i="7" s="1"/>
  <c r="G120" i="7"/>
  <c r="D120" i="7"/>
  <c r="C120" i="7"/>
  <c r="B120" i="7"/>
  <c r="I119" i="7"/>
  <c r="J119" i="7" s="1"/>
  <c r="G119" i="7"/>
  <c r="D119" i="7"/>
  <c r="C119" i="7"/>
  <c r="B119" i="7"/>
  <c r="J118" i="7"/>
  <c r="I118" i="7"/>
  <c r="G118" i="7"/>
  <c r="D118" i="7"/>
  <c r="C118" i="7"/>
  <c r="B118" i="7"/>
  <c r="I117" i="7"/>
  <c r="J117" i="7" s="1"/>
  <c r="G117" i="7"/>
  <c r="D117" i="7"/>
  <c r="C117" i="7"/>
  <c r="B117" i="7"/>
  <c r="J116" i="7"/>
  <c r="I116" i="7"/>
  <c r="G116" i="7"/>
  <c r="D116" i="7"/>
  <c r="C116" i="7"/>
  <c r="B116" i="7"/>
  <c r="I115" i="7"/>
  <c r="J115" i="7" s="1"/>
  <c r="G115" i="7"/>
  <c r="D115" i="7"/>
  <c r="C115" i="7"/>
  <c r="B115" i="7"/>
  <c r="J114" i="7"/>
  <c r="I114" i="7"/>
  <c r="G114" i="7"/>
  <c r="D114" i="7"/>
  <c r="C114" i="7"/>
  <c r="B114" i="7"/>
  <c r="I113" i="7"/>
  <c r="J113" i="7" s="1"/>
  <c r="G113" i="7"/>
  <c r="D113" i="7"/>
  <c r="C113" i="7"/>
  <c r="B113" i="7"/>
  <c r="I112" i="7"/>
  <c r="J112" i="7" s="1"/>
  <c r="G112" i="7"/>
  <c r="D112" i="7"/>
  <c r="C112" i="7"/>
  <c r="B112" i="7"/>
  <c r="J111" i="7"/>
  <c r="I111" i="7"/>
  <c r="G111" i="7"/>
  <c r="D111" i="7"/>
  <c r="C111" i="7"/>
  <c r="B111" i="7"/>
  <c r="J110" i="7"/>
  <c r="I110" i="7"/>
  <c r="G110" i="7"/>
  <c r="D110" i="7"/>
  <c r="C110" i="7"/>
  <c r="B110" i="7"/>
  <c r="I109" i="7"/>
  <c r="J109" i="7" s="1"/>
  <c r="G109" i="7"/>
  <c r="D109" i="7"/>
  <c r="C109" i="7"/>
  <c r="B109" i="7"/>
  <c r="I108" i="7"/>
  <c r="J108" i="7" s="1"/>
  <c r="G108" i="7"/>
  <c r="D108" i="7"/>
  <c r="C108" i="7"/>
  <c r="B108" i="7"/>
  <c r="J107" i="7"/>
  <c r="I107" i="7"/>
  <c r="G107" i="7"/>
  <c r="D107" i="7"/>
  <c r="C107" i="7"/>
  <c r="B107" i="7"/>
  <c r="J106" i="7"/>
  <c r="I106" i="7"/>
  <c r="G106" i="7"/>
  <c r="D106" i="7"/>
  <c r="C106" i="7"/>
  <c r="B106" i="7"/>
  <c r="I105" i="7"/>
  <c r="J105" i="7" s="1"/>
  <c r="G105" i="7"/>
  <c r="D105" i="7"/>
  <c r="C105" i="7"/>
  <c r="B105" i="7"/>
  <c r="J104" i="7"/>
  <c r="I104" i="7"/>
  <c r="G104" i="7"/>
  <c r="D104" i="7"/>
  <c r="C104" i="7"/>
  <c r="B104" i="7"/>
  <c r="I103" i="7"/>
  <c r="J103" i="7" s="1"/>
  <c r="G103" i="7"/>
  <c r="D103" i="7"/>
  <c r="C103" i="7"/>
  <c r="B103" i="7"/>
  <c r="J102" i="7"/>
  <c r="I102" i="7"/>
  <c r="G102" i="7"/>
  <c r="D102" i="7"/>
  <c r="C102" i="7"/>
  <c r="B102" i="7"/>
  <c r="I101" i="7"/>
  <c r="J101" i="7" s="1"/>
  <c r="G101" i="7"/>
  <c r="D101" i="7"/>
  <c r="C101" i="7"/>
  <c r="B101" i="7"/>
  <c r="J100" i="7"/>
  <c r="I100" i="7"/>
  <c r="G100" i="7"/>
  <c r="D100" i="7"/>
  <c r="C100" i="7"/>
  <c r="B100" i="7"/>
  <c r="J99" i="7"/>
  <c r="I99" i="7"/>
  <c r="G99" i="7"/>
  <c r="D99" i="7"/>
  <c r="C99" i="7"/>
  <c r="B99" i="7"/>
  <c r="J98" i="7"/>
  <c r="I98" i="7"/>
  <c r="G98" i="7"/>
  <c r="D98" i="7"/>
  <c r="C98" i="7"/>
  <c r="B98" i="7"/>
  <c r="I97" i="7"/>
  <c r="J97" i="7" s="1"/>
  <c r="G97" i="7"/>
  <c r="D97" i="7"/>
  <c r="C97" i="7"/>
  <c r="B97" i="7"/>
  <c r="I96" i="7"/>
  <c r="J96" i="7" s="1"/>
  <c r="G96" i="7"/>
  <c r="D96" i="7"/>
  <c r="C96" i="7"/>
  <c r="B96" i="7"/>
  <c r="I95" i="7"/>
  <c r="J95" i="7" s="1"/>
  <c r="G95" i="7"/>
  <c r="D95" i="7"/>
  <c r="C95" i="7"/>
  <c r="B95" i="7"/>
  <c r="J94" i="7"/>
  <c r="I94" i="7"/>
  <c r="G94" i="7"/>
  <c r="D94" i="7"/>
  <c r="C94" i="7"/>
  <c r="B94" i="7"/>
  <c r="I93" i="7"/>
  <c r="J93" i="7" s="1"/>
  <c r="G93" i="7"/>
  <c r="D93" i="7"/>
  <c r="C93" i="7"/>
  <c r="B93" i="7"/>
  <c r="J92" i="7"/>
  <c r="I92" i="7"/>
  <c r="G92" i="7"/>
  <c r="D92" i="7"/>
  <c r="C92" i="7"/>
  <c r="B92" i="7"/>
  <c r="J91" i="7"/>
  <c r="I91" i="7"/>
  <c r="G91" i="7"/>
  <c r="D91" i="7"/>
  <c r="C91" i="7"/>
  <c r="B91" i="7"/>
  <c r="J90" i="7"/>
  <c r="I90" i="7"/>
  <c r="G90" i="7"/>
  <c r="D90" i="7"/>
  <c r="C90" i="7"/>
  <c r="B90" i="7"/>
  <c r="I89" i="7"/>
  <c r="J89" i="7" s="1"/>
  <c r="G89" i="7"/>
  <c r="D89" i="7"/>
  <c r="C89" i="7"/>
  <c r="B89" i="7"/>
  <c r="I88" i="7"/>
  <c r="J88" i="7" s="1"/>
  <c r="G88" i="7"/>
  <c r="D88" i="7"/>
  <c r="C88" i="7"/>
  <c r="B88" i="7"/>
  <c r="I87" i="7"/>
  <c r="J87" i="7" s="1"/>
  <c r="G87" i="7"/>
  <c r="D87" i="7"/>
  <c r="C87" i="7"/>
  <c r="B87" i="7"/>
  <c r="J86" i="7"/>
  <c r="I86" i="7"/>
  <c r="G86" i="7"/>
  <c r="D86" i="7"/>
  <c r="C86" i="7"/>
  <c r="B86" i="7"/>
  <c r="I85" i="7"/>
  <c r="J85" i="7" s="1"/>
  <c r="G85" i="7"/>
  <c r="D85" i="7"/>
  <c r="C85" i="7"/>
  <c r="B85" i="7"/>
  <c r="J84" i="7"/>
  <c r="I84" i="7"/>
  <c r="G84" i="7"/>
  <c r="D84" i="7"/>
  <c r="C84" i="7"/>
  <c r="B84" i="7"/>
  <c r="I83" i="7"/>
  <c r="J83" i="7" s="1"/>
  <c r="G83" i="7"/>
  <c r="D83" i="7"/>
  <c r="C83" i="7"/>
  <c r="B83" i="7"/>
  <c r="J82" i="7"/>
  <c r="I82" i="7"/>
  <c r="G82" i="7"/>
  <c r="D82" i="7"/>
  <c r="C82" i="7"/>
  <c r="B82" i="7"/>
  <c r="I81" i="7"/>
  <c r="J81" i="7" s="1"/>
  <c r="G81" i="7"/>
  <c r="D81" i="7"/>
  <c r="C81" i="7"/>
  <c r="B81" i="7"/>
  <c r="I80" i="7"/>
  <c r="J80" i="7" s="1"/>
  <c r="G80" i="7"/>
  <c r="D80" i="7"/>
  <c r="C80" i="7"/>
  <c r="B80" i="7"/>
  <c r="J79" i="7"/>
  <c r="I79" i="7"/>
  <c r="G79" i="7"/>
  <c r="D79" i="7"/>
  <c r="C79" i="7"/>
  <c r="B79" i="7"/>
  <c r="J78" i="7"/>
  <c r="I78" i="7"/>
  <c r="G78" i="7"/>
  <c r="D78" i="7"/>
  <c r="C78" i="7"/>
  <c r="B78" i="7"/>
  <c r="I77" i="7"/>
  <c r="J77" i="7" s="1"/>
  <c r="G77" i="7"/>
  <c r="D77" i="7"/>
  <c r="C77" i="7"/>
  <c r="B77" i="7"/>
  <c r="I76" i="7"/>
  <c r="J76" i="7" s="1"/>
  <c r="G76" i="7"/>
  <c r="D76" i="7"/>
  <c r="C76" i="7"/>
  <c r="B76" i="7"/>
  <c r="J75" i="7"/>
  <c r="I75" i="7"/>
  <c r="G75" i="7"/>
  <c r="D75" i="7"/>
  <c r="C75" i="7"/>
  <c r="B75" i="7"/>
  <c r="J74" i="7"/>
  <c r="I74" i="7"/>
  <c r="G74" i="7"/>
  <c r="D74" i="7"/>
  <c r="C74" i="7"/>
  <c r="B74" i="7"/>
  <c r="I73" i="7"/>
  <c r="J73" i="7" s="1"/>
  <c r="G73" i="7"/>
  <c r="D73" i="7"/>
  <c r="C73" i="7"/>
  <c r="B73" i="7"/>
  <c r="J72" i="7"/>
  <c r="I72" i="7"/>
  <c r="G72" i="7"/>
  <c r="D72" i="7"/>
  <c r="C72" i="7"/>
  <c r="B72" i="7"/>
  <c r="J71" i="7"/>
  <c r="I71" i="7"/>
  <c r="G71" i="7"/>
  <c r="D71" i="7"/>
  <c r="C71" i="7"/>
  <c r="B71" i="7"/>
  <c r="J70" i="7"/>
  <c r="I70" i="7"/>
  <c r="G70" i="7"/>
  <c r="D70" i="7"/>
  <c r="C70" i="7"/>
  <c r="B70" i="7"/>
  <c r="I69" i="7"/>
  <c r="J69" i="7" s="1"/>
  <c r="G69" i="7"/>
  <c r="D69" i="7"/>
  <c r="C69" i="7"/>
  <c r="B69" i="7"/>
  <c r="J68" i="7"/>
  <c r="I68" i="7"/>
  <c r="G68" i="7"/>
  <c r="D68" i="7"/>
  <c r="C68" i="7"/>
  <c r="B68" i="7"/>
  <c r="I67" i="7"/>
  <c r="J67" i="7" s="1"/>
  <c r="G67" i="7"/>
  <c r="D67" i="7"/>
  <c r="C67" i="7"/>
  <c r="B67" i="7"/>
  <c r="J66" i="7"/>
  <c r="I66" i="7"/>
  <c r="G66" i="7"/>
  <c r="D66" i="7"/>
  <c r="C66" i="7"/>
  <c r="B66" i="7"/>
  <c r="I65" i="7"/>
  <c r="J65" i="7" s="1"/>
  <c r="G65" i="7"/>
  <c r="D65" i="7"/>
  <c r="C65" i="7"/>
  <c r="B65" i="7"/>
  <c r="J64" i="7"/>
  <c r="I64" i="7"/>
  <c r="G64" i="7"/>
  <c r="D64" i="7"/>
  <c r="C64" i="7"/>
  <c r="B64" i="7"/>
  <c r="I63" i="7"/>
  <c r="J63" i="7" s="1"/>
  <c r="G63" i="7"/>
  <c r="D63" i="7"/>
  <c r="C63" i="7"/>
  <c r="B63" i="7"/>
  <c r="J62" i="7"/>
  <c r="I62" i="7"/>
  <c r="G62" i="7"/>
  <c r="D62" i="7"/>
  <c r="C62" i="7"/>
  <c r="B62" i="7"/>
  <c r="I61" i="7"/>
  <c r="J61" i="7" s="1"/>
  <c r="G61" i="7"/>
  <c r="D61" i="7"/>
  <c r="C61" i="7"/>
  <c r="B61" i="7"/>
  <c r="I60" i="7"/>
  <c r="J60" i="7" s="1"/>
  <c r="G60" i="7"/>
  <c r="D60" i="7"/>
  <c r="C60" i="7"/>
  <c r="B60" i="7"/>
  <c r="J59" i="7"/>
  <c r="I59" i="7"/>
  <c r="G59" i="7"/>
  <c r="D59" i="7"/>
  <c r="C59" i="7"/>
  <c r="B59" i="7"/>
  <c r="J58" i="7"/>
  <c r="I58" i="7"/>
  <c r="G58" i="7"/>
  <c r="D58" i="7"/>
  <c r="C58" i="7"/>
  <c r="B58" i="7"/>
  <c r="I57" i="7"/>
  <c r="J57" i="7" s="1"/>
  <c r="G57" i="7"/>
  <c r="D57" i="7"/>
  <c r="C57" i="7"/>
  <c r="B57" i="7"/>
  <c r="I56" i="7"/>
  <c r="J56" i="7" s="1"/>
  <c r="G56" i="7"/>
  <c r="D56" i="7"/>
  <c r="C56" i="7"/>
  <c r="B56" i="7"/>
  <c r="I55" i="7"/>
  <c r="J55" i="7" s="1"/>
  <c r="G55" i="7"/>
  <c r="D55" i="7"/>
  <c r="C55" i="7"/>
  <c r="B55" i="7"/>
  <c r="J54" i="7"/>
  <c r="I54" i="7"/>
  <c r="G54" i="7"/>
  <c r="D54" i="7"/>
  <c r="C54" i="7"/>
  <c r="B54" i="7"/>
  <c r="I53" i="7"/>
  <c r="J53" i="7" s="1"/>
  <c r="G53" i="7"/>
  <c r="D53" i="7"/>
  <c r="C53" i="7"/>
  <c r="B53" i="7"/>
  <c r="J52" i="7"/>
  <c r="I52" i="7"/>
  <c r="G52" i="7"/>
  <c r="D52" i="7"/>
  <c r="C52" i="7"/>
  <c r="B52" i="7"/>
  <c r="I51" i="7"/>
  <c r="J51" i="7" s="1"/>
  <c r="G51" i="7"/>
  <c r="D51" i="7"/>
  <c r="C51" i="7"/>
  <c r="B51" i="7"/>
  <c r="J50" i="7"/>
  <c r="I50" i="7"/>
  <c r="G50" i="7"/>
  <c r="D50" i="7"/>
  <c r="C50" i="7"/>
  <c r="B50" i="7"/>
  <c r="I49" i="7"/>
  <c r="J49" i="7" s="1"/>
  <c r="G49" i="7"/>
  <c r="D49" i="7"/>
  <c r="C49" i="7"/>
  <c r="B49" i="7"/>
  <c r="I48" i="7"/>
  <c r="J48" i="7" s="1"/>
  <c r="G48" i="7"/>
  <c r="D48" i="7"/>
  <c r="C48" i="7"/>
  <c r="B48" i="7"/>
  <c r="J47" i="7"/>
  <c r="I47" i="7"/>
  <c r="G47" i="7"/>
  <c r="D47" i="7"/>
  <c r="C47" i="7"/>
  <c r="B47" i="7"/>
  <c r="J46" i="7"/>
  <c r="I46" i="7"/>
  <c r="G46" i="7"/>
  <c r="D46" i="7"/>
  <c r="C46" i="7"/>
  <c r="B46" i="7"/>
  <c r="I45" i="7"/>
  <c r="J45" i="7" s="1"/>
  <c r="G45" i="7"/>
  <c r="D45" i="7"/>
  <c r="C45" i="7"/>
  <c r="B45" i="7"/>
  <c r="I44" i="7"/>
  <c r="J44" i="7" s="1"/>
  <c r="G44" i="7"/>
  <c r="D44" i="7"/>
  <c r="C44" i="7"/>
  <c r="B44" i="7"/>
  <c r="J43" i="7"/>
  <c r="I43" i="7"/>
  <c r="G43" i="7"/>
  <c r="D43" i="7"/>
  <c r="C43" i="7"/>
  <c r="B43" i="7"/>
  <c r="J42" i="7"/>
  <c r="I42" i="7"/>
  <c r="G42" i="7"/>
  <c r="D42" i="7"/>
  <c r="C42" i="7"/>
  <c r="B42" i="7"/>
  <c r="I41" i="7"/>
  <c r="J41" i="7" s="1"/>
  <c r="G41" i="7"/>
  <c r="D41" i="7"/>
  <c r="C41" i="7"/>
  <c r="B41" i="7"/>
  <c r="J40" i="7"/>
  <c r="I40" i="7"/>
  <c r="G40" i="7"/>
  <c r="D40" i="7"/>
  <c r="C40" i="7"/>
  <c r="B40" i="7"/>
  <c r="I39" i="7"/>
  <c r="J39" i="7" s="1"/>
  <c r="G39" i="7"/>
  <c r="D39" i="7"/>
  <c r="C39" i="7"/>
  <c r="B39" i="7"/>
  <c r="J38" i="7"/>
  <c r="I38" i="7"/>
  <c r="G38" i="7"/>
  <c r="D38" i="7"/>
  <c r="C38" i="7"/>
  <c r="B38" i="7"/>
  <c r="I37" i="7"/>
  <c r="J37" i="7" s="1"/>
  <c r="G37" i="7"/>
  <c r="D37" i="7"/>
  <c r="C37" i="7"/>
  <c r="B37" i="7"/>
  <c r="J36" i="7"/>
  <c r="I36" i="7"/>
  <c r="G36" i="7"/>
  <c r="D36" i="7"/>
  <c r="C36" i="7"/>
  <c r="B36" i="7"/>
  <c r="I35" i="7"/>
  <c r="J35" i="7" s="1"/>
  <c r="G35" i="7"/>
  <c r="D35" i="7"/>
  <c r="C35" i="7"/>
  <c r="B35" i="7"/>
  <c r="J34" i="7"/>
  <c r="I34" i="7"/>
  <c r="G34" i="7"/>
  <c r="D34" i="7"/>
  <c r="C34" i="7"/>
  <c r="B34" i="7"/>
  <c r="I33" i="7"/>
  <c r="J33" i="7" s="1"/>
  <c r="G33" i="7"/>
  <c r="D33" i="7"/>
  <c r="C33" i="7"/>
  <c r="B33" i="7"/>
  <c r="I32" i="7"/>
  <c r="J32" i="7" s="1"/>
  <c r="G32" i="7"/>
  <c r="D32" i="7"/>
  <c r="C32" i="7"/>
  <c r="B32" i="7"/>
  <c r="I31" i="7"/>
  <c r="J31" i="7" s="1"/>
  <c r="G31" i="7"/>
  <c r="D31" i="7"/>
  <c r="C31" i="7"/>
  <c r="B31" i="7"/>
  <c r="J30" i="7"/>
  <c r="I30" i="7"/>
  <c r="G30" i="7"/>
  <c r="D30" i="7"/>
  <c r="C30" i="7"/>
  <c r="B30" i="7"/>
  <c r="I29" i="7"/>
  <c r="J29" i="7" s="1"/>
  <c r="G29" i="7"/>
  <c r="D29" i="7"/>
  <c r="C29" i="7"/>
  <c r="B29" i="7"/>
  <c r="J28" i="7"/>
  <c r="I28" i="7"/>
  <c r="G28" i="7"/>
  <c r="D28" i="7"/>
  <c r="C28" i="7"/>
  <c r="B28" i="7"/>
  <c r="J27" i="7"/>
  <c r="I27" i="7"/>
  <c r="G27" i="7"/>
  <c r="D27" i="7"/>
  <c r="C27" i="7"/>
  <c r="B27" i="7"/>
  <c r="J26" i="7"/>
  <c r="I26" i="7"/>
  <c r="G26" i="7"/>
  <c r="D26" i="7"/>
  <c r="C26" i="7"/>
  <c r="B26" i="7"/>
  <c r="I25" i="7"/>
  <c r="J25" i="7" s="1"/>
  <c r="G25" i="7"/>
  <c r="D25" i="7"/>
  <c r="C25" i="7"/>
  <c r="B25" i="7"/>
  <c r="I24" i="7"/>
  <c r="J24" i="7" s="1"/>
  <c r="G24" i="7"/>
  <c r="D24" i="7"/>
  <c r="C24" i="7"/>
  <c r="B24" i="7"/>
  <c r="I23" i="7"/>
  <c r="J23" i="7" s="1"/>
  <c r="G23" i="7"/>
  <c r="D23" i="7"/>
  <c r="C23" i="7"/>
  <c r="B23" i="7"/>
  <c r="J22" i="7"/>
  <c r="I22" i="7"/>
  <c r="G22" i="7"/>
  <c r="D22" i="7"/>
  <c r="C22" i="7"/>
  <c r="B22" i="7"/>
  <c r="I21" i="7"/>
  <c r="J21" i="7" s="1"/>
  <c r="G21" i="7"/>
  <c r="D21" i="7"/>
  <c r="C21" i="7"/>
  <c r="B21" i="7"/>
  <c r="J20" i="7"/>
  <c r="I20" i="7"/>
  <c r="G20" i="7"/>
  <c r="D20" i="7"/>
  <c r="C20" i="7"/>
  <c r="B20" i="7"/>
  <c r="I19" i="7"/>
  <c r="J19" i="7" s="1"/>
  <c r="G19" i="7"/>
  <c r="D19" i="7"/>
  <c r="C19" i="7"/>
  <c r="B19" i="7"/>
  <c r="J18" i="7"/>
  <c r="I18" i="7"/>
  <c r="G18" i="7"/>
  <c r="D18" i="7"/>
  <c r="C18" i="7"/>
  <c r="B18" i="7"/>
  <c r="I17" i="7"/>
  <c r="J17" i="7" s="1"/>
  <c r="G17" i="7"/>
  <c r="D17" i="7"/>
  <c r="C17" i="7"/>
  <c r="B17" i="7"/>
  <c r="I16" i="7"/>
  <c r="J16" i="7" s="1"/>
  <c r="G16" i="7"/>
  <c r="D16" i="7"/>
  <c r="C16" i="7"/>
  <c r="B16" i="7"/>
  <c r="J15" i="7"/>
  <c r="I15" i="7"/>
  <c r="G15" i="7"/>
  <c r="D15" i="7"/>
  <c r="C15" i="7"/>
  <c r="B15" i="7"/>
  <c r="J14" i="7"/>
  <c r="I14" i="7"/>
  <c r="G14" i="7"/>
  <c r="D14" i="7"/>
  <c r="C14" i="7"/>
  <c r="B14" i="7"/>
  <c r="I13" i="7"/>
  <c r="J13" i="7" s="1"/>
  <c r="G13" i="7"/>
  <c r="D13" i="7"/>
  <c r="C13" i="7"/>
  <c r="B13" i="7"/>
  <c r="I12" i="7"/>
  <c r="J12" i="7" s="1"/>
  <c r="G12" i="7"/>
  <c r="D12" i="7"/>
  <c r="C12" i="7"/>
  <c r="B12" i="7"/>
  <c r="J11" i="7"/>
  <c r="I11" i="7"/>
  <c r="G11" i="7"/>
  <c r="D11" i="7"/>
  <c r="C11" i="7"/>
  <c r="B11" i="7"/>
  <c r="J10" i="7"/>
  <c r="G10" i="7"/>
  <c r="D10" i="7"/>
  <c r="C10" i="7"/>
  <c r="I10" i="7" s="1"/>
  <c r="B10" i="7"/>
  <c r="D9" i="7"/>
  <c r="C9" i="7"/>
  <c r="B9" i="7"/>
  <c r="J4" i="7"/>
  <c r="G4" i="7"/>
  <c r="D4" i="7"/>
  <c r="A4" i="7"/>
  <c r="I208" i="6"/>
  <c r="H208" i="6"/>
  <c r="F208" i="6"/>
  <c r="D208" i="6"/>
  <c r="C208" i="6"/>
  <c r="B208" i="6"/>
  <c r="H207" i="6"/>
  <c r="I207" i="6" s="1"/>
  <c r="F207" i="6"/>
  <c r="D207" i="6"/>
  <c r="C207" i="6"/>
  <c r="B207" i="6"/>
  <c r="H206" i="6"/>
  <c r="I206" i="6" s="1"/>
  <c r="F206" i="6"/>
  <c r="D206" i="6"/>
  <c r="C206" i="6"/>
  <c r="B206" i="6"/>
  <c r="I205" i="6"/>
  <c r="H205" i="6"/>
  <c r="F205" i="6"/>
  <c r="D205" i="6"/>
  <c r="C205" i="6"/>
  <c r="B205" i="6"/>
  <c r="I204" i="6"/>
  <c r="H204" i="6"/>
  <c r="F204" i="6"/>
  <c r="D204" i="6"/>
  <c r="C204" i="6"/>
  <c r="B204" i="6"/>
  <c r="H203" i="6"/>
  <c r="I203" i="6" s="1"/>
  <c r="F203" i="6"/>
  <c r="D203" i="6"/>
  <c r="C203" i="6"/>
  <c r="B203" i="6"/>
  <c r="H202" i="6"/>
  <c r="I202" i="6" s="1"/>
  <c r="F202" i="6"/>
  <c r="D202" i="6"/>
  <c r="C202" i="6"/>
  <c r="B202" i="6"/>
  <c r="H201" i="6"/>
  <c r="I201" i="6" s="1"/>
  <c r="F201" i="6"/>
  <c r="D201" i="6"/>
  <c r="C201" i="6"/>
  <c r="B201" i="6"/>
  <c r="I200" i="6"/>
  <c r="H200" i="6"/>
  <c r="F200" i="6"/>
  <c r="D200" i="6"/>
  <c r="C200" i="6"/>
  <c r="B200" i="6"/>
  <c r="H199" i="6"/>
  <c r="I199" i="6" s="1"/>
  <c r="F199" i="6"/>
  <c r="D199" i="6"/>
  <c r="C199" i="6"/>
  <c r="B199" i="6"/>
  <c r="I198" i="6"/>
  <c r="H198" i="6"/>
  <c r="F198" i="6"/>
  <c r="D198" i="6"/>
  <c r="C198" i="6"/>
  <c r="B198" i="6"/>
  <c r="H197" i="6"/>
  <c r="I197" i="6" s="1"/>
  <c r="F197" i="6"/>
  <c r="D197" i="6"/>
  <c r="C197" i="6"/>
  <c r="B197" i="6"/>
  <c r="I196" i="6"/>
  <c r="H196" i="6"/>
  <c r="F196" i="6"/>
  <c r="D196" i="6"/>
  <c r="C196" i="6"/>
  <c r="B196" i="6"/>
  <c r="H195" i="6"/>
  <c r="I195" i="6" s="1"/>
  <c r="F195" i="6"/>
  <c r="D195" i="6"/>
  <c r="C195" i="6"/>
  <c r="B195" i="6"/>
  <c r="H194" i="6"/>
  <c r="I194" i="6" s="1"/>
  <c r="F194" i="6"/>
  <c r="D194" i="6"/>
  <c r="C194" i="6"/>
  <c r="B194" i="6"/>
  <c r="I193" i="6"/>
  <c r="H193" i="6"/>
  <c r="F193" i="6"/>
  <c r="D193" i="6"/>
  <c r="C193" i="6"/>
  <c r="B193" i="6"/>
  <c r="I192" i="6"/>
  <c r="H192" i="6"/>
  <c r="F192" i="6"/>
  <c r="D192" i="6"/>
  <c r="C192" i="6"/>
  <c r="B192" i="6"/>
  <c r="H191" i="6"/>
  <c r="I191" i="6" s="1"/>
  <c r="F191" i="6"/>
  <c r="D191" i="6"/>
  <c r="C191" i="6"/>
  <c r="B191" i="6"/>
  <c r="H190" i="6"/>
  <c r="I190" i="6" s="1"/>
  <c r="F190" i="6"/>
  <c r="D190" i="6"/>
  <c r="C190" i="6"/>
  <c r="B190" i="6"/>
  <c r="I189" i="6"/>
  <c r="H189" i="6"/>
  <c r="F189" i="6"/>
  <c r="D189" i="6"/>
  <c r="C189" i="6"/>
  <c r="B189" i="6"/>
  <c r="I188" i="6"/>
  <c r="H188" i="6"/>
  <c r="F188" i="6"/>
  <c r="D188" i="6"/>
  <c r="C188" i="6"/>
  <c r="B188" i="6"/>
  <c r="H187" i="6"/>
  <c r="I187" i="6" s="1"/>
  <c r="F187" i="6"/>
  <c r="D187" i="6"/>
  <c r="C187" i="6"/>
  <c r="B187" i="6"/>
  <c r="I186" i="6"/>
  <c r="H186" i="6"/>
  <c r="F186" i="6"/>
  <c r="D186" i="6"/>
  <c r="C186" i="6"/>
  <c r="B186" i="6"/>
  <c r="H185" i="6"/>
  <c r="I185" i="6" s="1"/>
  <c r="F185" i="6"/>
  <c r="D185" i="6"/>
  <c r="C185" i="6"/>
  <c r="B185" i="6"/>
  <c r="I184" i="6"/>
  <c r="H184" i="6"/>
  <c r="F184" i="6"/>
  <c r="D184" i="6"/>
  <c r="C184" i="6"/>
  <c r="B184" i="6"/>
  <c r="H183" i="6"/>
  <c r="I183" i="6" s="1"/>
  <c r="F183" i="6"/>
  <c r="D183" i="6"/>
  <c r="C183" i="6"/>
  <c r="B183" i="6"/>
  <c r="I182" i="6"/>
  <c r="H182" i="6"/>
  <c r="F182" i="6"/>
  <c r="D182" i="6"/>
  <c r="C182" i="6"/>
  <c r="B182" i="6"/>
  <c r="H181" i="6"/>
  <c r="I181" i="6" s="1"/>
  <c r="F181" i="6"/>
  <c r="D181" i="6"/>
  <c r="C181" i="6"/>
  <c r="B181" i="6"/>
  <c r="I180" i="6"/>
  <c r="H180" i="6"/>
  <c r="F180" i="6"/>
  <c r="D180" i="6"/>
  <c r="C180" i="6"/>
  <c r="B180" i="6"/>
  <c r="H179" i="6"/>
  <c r="I179" i="6" s="1"/>
  <c r="F179" i="6"/>
  <c r="D179" i="6"/>
  <c r="C179" i="6"/>
  <c r="B179" i="6"/>
  <c r="H178" i="6"/>
  <c r="I178" i="6" s="1"/>
  <c r="F178" i="6"/>
  <c r="D178" i="6"/>
  <c r="C178" i="6"/>
  <c r="B178" i="6"/>
  <c r="H177" i="6"/>
  <c r="I177" i="6" s="1"/>
  <c r="F177" i="6"/>
  <c r="D177" i="6"/>
  <c r="C177" i="6"/>
  <c r="B177" i="6"/>
  <c r="I176" i="6"/>
  <c r="H176" i="6"/>
  <c r="F176" i="6"/>
  <c r="D176" i="6"/>
  <c r="C176" i="6"/>
  <c r="B176" i="6"/>
  <c r="H175" i="6"/>
  <c r="I175" i="6" s="1"/>
  <c r="F175" i="6"/>
  <c r="D175" i="6"/>
  <c r="C175" i="6"/>
  <c r="B175" i="6"/>
  <c r="H174" i="6"/>
  <c r="I174" i="6" s="1"/>
  <c r="F174" i="6"/>
  <c r="D174" i="6"/>
  <c r="C174" i="6"/>
  <c r="B174" i="6"/>
  <c r="I173" i="6"/>
  <c r="H173" i="6"/>
  <c r="F173" i="6"/>
  <c r="D173" i="6"/>
  <c r="C173" i="6"/>
  <c r="B173" i="6"/>
  <c r="I172" i="6"/>
  <c r="H172" i="6"/>
  <c r="F172" i="6"/>
  <c r="D172" i="6"/>
  <c r="C172" i="6"/>
  <c r="B172" i="6"/>
  <c r="H171" i="6"/>
  <c r="I171" i="6" s="1"/>
  <c r="F171" i="6"/>
  <c r="D171" i="6"/>
  <c r="C171" i="6"/>
  <c r="B171" i="6"/>
  <c r="H170" i="6"/>
  <c r="I170" i="6" s="1"/>
  <c r="F170" i="6"/>
  <c r="D170" i="6"/>
  <c r="C170" i="6"/>
  <c r="B170" i="6"/>
  <c r="H169" i="6"/>
  <c r="I169" i="6" s="1"/>
  <c r="F169" i="6"/>
  <c r="D169" i="6"/>
  <c r="C169" i="6"/>
  <c r="B169" i="6"/>
  <c r="I168" i="6"/>
  <c r="H168" i="6"/>
  <c r="F168" i="6"/>
  <c r="D168" i="6"/>
  <c r="C168" i="6"/>
  <c r="B168" i="6"/>
  <c r="H167" i="6"/>
  <c r="I167" i="6" s="1"/>
  <c r="F167" i="6"/>
  <c r="D167" i="6"/>
  <c r="C167" i="6"/>
  <c r="B167" i="6"/>
  <c r="I166" i="6"/>
  <c r="H166" i="6"/>
  <c r="F166" i="6"/>
  <c r="D166" i="6"/>
  <c r="C166" i="6"/>
  <c r="B166" i="6"/>
  <c r="H165" i="6"/>
  <c r="I165" i="6" s="1"/>
  <c r="F165" i="6"/>
  <c r="D165" i="6"/>
  <c r="C165" i="6"/>
  <c r="B165" i="6"/>
  <c r="I164" i="6"/>
  <c r="H164" i="6"/>
  <c r="F164" i="6"/>
  <c r="D164" i="6"/>
  <c r="C164" i="6"/>
  <c r="B164" i="6"/>
  <c r="H163" i="6"/>
  <c r="I163" i="6" s="1"/>
  <c r="F163" i="6"/>
  <c r="D163" i="6"/>
  <c r="C163" i="6"/>
  <c r="B163" i="6"/>
  <c r="H162" i="6"/>
  <c r="I162" i="6" s="1"/>
  <c r="F162" i="6"/>
  <c r="D162" i="6"/>
  <c r="C162" i="6"/>
  <c r="B162" i="6"/>
  <c r="I161" i="6"/>
  <c r="H161" i="6"/>
  <c r="F161" i="6"/>
  <c r="D161" i="6"/>
  <c r="C161" i="6"/>
  <c r="B161" i="6"/>
  <c r="I160" i="6"/>
  <c r="H160" i="6"/>
  <c r="F160" i="6"/>
  <c r="D160" i="6"/>
  <c r="C160" i="6"/>
  <c r="B160" i="6"/>
  <c r="H159" i="6"/>
  <c r="I159" i="6" s="1"/>
  <c r="F159" i="6"/>
  <c r="D159" i="6"/>
  <c r="C159" i="6"/>
  <c r="B159" i="6"/>
  <c r="H158" i="6"/>
  <c r="I158" i="6" s="1"/>
  <c r="F158" i="6"/>
  <c r="D158" i="6"/>
  <c r="C158" i="6"/>
  <c r="B158" i="6"/>
  <c r="I157" i="6"/>
  <c r="H157" i="6"/>
  <c r="F157" i="6"/>
  <c r="D157" i="6"/>
  <c r="C157" i="6"/>
  <c r="B157" i="6"/>
  <c r="I156" i="6"/>
  <c r="H156" i="6"/>
  <c r="F156" i="6"/>
  <c r="D156" i="6"/>
  <c r="C156" i="6"/>
  <c r="B156" i="6"/>
  <c r="H155" i="6"/>
  <c r="I155" i="6" s="1"/>
  <c r="F155" i="6"/>
  <c r="D155" i="6"/>
  <c r="C155" i="6"/>
  <c r="B155" i="6"/>
  <c r="I154" i="6"/>
  <c r="H154" i="6"/>
  <c r="F154" i="6"/>
  <c r="D154" i="6"/>
  <c r="C154" i="6"/>
  <c r="B154" i="6"/>
  <c r="H153" i="6"/>
  <c r="I153" i="6" s="1"/>
  <c r="F153" i="6"/>
  <c r="D153" i="6"/>
  <c r="C153" i="6"/>
  <c r="B153" i="6"/>
  <c r="I152" i="6"/>
  <c r="H152" i="6"/>
  <c r="F152" i="6"/>
  <c r="D152" i="6"/>
  <c r="C152" i="6"/>
  <c r="B152" i="6"/>
  <c r="H151" i="6"/>
  <c r="I151" i="6" s="1"/>
  <c r="F151" i="6"/>
  <c r="D151" i="6"/>
  <c r="C151" i="6"/>
  <c r="B151" i="6"/>
  <c r="I150" i="6"/>
  <c r="H150" i="6"/>
  <c r="F150" i="6"/>
  <c r="D150" i="6"/>
  <c r="C150" i="6"/>
  <c r="B150" i="6"/>
  <c r="H149" i="6"/>
  <c r="I149" i="6" s="1"/>
  <c r="F149" i="6"/>
  <c r="D149" i="6"/>
  <c r="C149" i="6"/>
  <c r="B149" i="6"/>
  <c r="I148" i="6"/>
  <c r="H148" i="6"/>
  <c r="F148" i="6"/>
  <c r="D148" i="6"/>
  <c r="C148" i="6"/>
  <c r="B148" i="6"/>
  <c r="H147" i="6"/>
  <c r="I147" i="6" s="1"/>
  <c r="F147" i="6"/>
  <c r="D147" i="6"/>
  <c r="C147" i="6"/>
  <c r="B147" i="6"/>
  <c r="H146" i="6"/>
  <c r="I146" i="6" s="1"/>
  <c r="F146" i="6"/>
  <c r="D146" i="6"/>
  <c r="C146" i="6"/>
  <c r="B146" i="6"/>
  <c r="H145" i="6"/>
  <c r="I145" i="6" s="1"/>
  <c r="F145" i="6"/>
  <c r="D145" i="6"/>
  <c r="C145" i="6"/>
  <c r="B145" i="6"/>
  <c r="I144" i="6"/>
  <c r="H144" i="6"/>
  <c r="F144" i="6"/>
  <c r="D144" i="6"/>
  <c r="C144" i="6"/>
  <c r="B144" i="6"/>
  <c r="H143" i="6"/>
  <c r="I143" i="6" s="1"/>
  <c r="F143" i="6"/>
  <c r="D143" i="6"/>
  <c r="C143" i="6"/>
  <c r="B143" i="6"/>
  <c r="H142" i="6"/>
  <c r="I142" i="6" s="1"/>
  <c r="F142" i="6"/>
  <c r="D142" i="6"/>
  <c r="C142" i="6"/>
  <c r="B142" i="6"/>
  <c r="I141" i="6"/>
  <c r="H141" i="6"/>
  <c r="F141" i="6"/>
  <c r="D141" i="6"/>
  <c r="C141" i="6"/>
  <c r="B141" i="6"/>
  <c r="I140" i="6"/>
  <c r="H140" i="6"/>
  <c r="F140" i="6"/>
  <c r="D140" i="6"/>
  <c r="C140" i="6"/>
  <c r="B140" i="6"/>
  <c r="H139" i="6"/>
  <c r="I139" i="6" s="1"/>
  <c r="F139" i="6"/>
  <c r="D139" i="6"/>
  <c r="C139" i="6"/>
  <c r="B139" i="6"/>
  <c r="H138" i="6"/>
  <c r="I138" i="6" s="1"/>
  <c r="F138" i="6"/>
  <c r="D138" i="6"/>
  <c r="C138" i="6"/>
  <c r="B138" i="6"/>
  <c r="H137" i="6"/>
  <c r="I137" i="6" s="1"/>
  <c r="F137" i="6"/>
  <c r="D137" i="6"/>
  <c r="C137" i="6"/>
  <c r="B137" i="6"/>
  <c r="I136" i="6"/>
  <c r="H136" i="6"/>
  <c r="F136" i="6"/>
  <c r="D136" i="6"/>
  <c r="C136" i="6"/>
  <c r="B136" i="6"/>
  <c r="H135" i="6"/>
  <c r="I135" i="6" s="1"/>
  <c r="F135" i="6"/>
  <c r="D135" i="6"/>
  <c r="C135" i="6"/>
  <c r="B135" i="6"/>
  <c r="I134" i="6"/>
  <c r="H134" i="6"/>
  <c r="F134" i="6"/>
  <c r="D134" i="6"/>
  <c r="C134" i="6"/>
  <c r="B134" i="6"/>
  <c r="H133" i="6"/>
  <c r="I133" i="6" s="1"/>
  <c r="F133" i="6"/>
  <c r="D133" i="6"/>
  <c r="C133" i="6"/>
  <c r="B133" i="6"/>
  <c r="I132" i="6"/>
  <c r="H132" i="6"/>
  <c r="F132" i="6"/>
  <c r="D132" i="6"/>
  <c r="C132" i="6"/>
  <c r="B132" i="6"/>
  <c r="H131" i="6"/>
  <c r="I131" i="6" s="1"/>
  <c r="F131" i="6"/>
  <c r="D131" i="6"/>
  <c r="C131" i="6"/>
  <c r="B131" i="6"/>
  <c r="H130" i="6"/>
  <c r="I130" i="6" s="1"/>
  <c r="F130" i="6"/>
  <c r="D130" i="6"/>
  <c r="C130" i="6"/>
  <c r="B130" i="6"/>
  <c r="I129" i="6"/>
  <c r="H129" i="6"/>
  <c r="F129" i="6"/>
  <c r="D129" i="6"/>
  <c r="C129" i="6"/>
  <c r="B129" i="6"/>
  <c r="I128" i="6"/>
  <c r="H128" i="6"/>
  <c r="F128" i="6"/>
  <c r="D128" i="6"/>
  <c r="C128" i="6"/>
  <c r="B128" i="6"/>
  <c r="H127" i="6"/>
  <c r="I127" i="6" s="1"/>
  <c r="F127" i="6"/>
  <c r="D127" i="6"/>
  <c r="C127" i="6"/>
  <c r="B127" i="6"/>
  <c r="H126" i="6"/>
  <c r="I126" i="6" s="1"/>
  <c r="F126" i="6"/>
  <c r="D126" i="6"/>
  <c r="C126" i="6"/>
  <c r="B126" i="6"/>
  <c r="I125" i="6"/>
  <c r="H125" i="6"/>
  <c r="F125" i="6"/>
  <c r="D125" i="6"/>
  <c r="C125" i="6"/>
  <c r="B125" i="6"/>
  <c r="I124" i="6"/>
  <c r="H124" i="6"/>
  <c r="F124" i="6"/>
  <c r="D124" i="6"/>
  <c r="C124" i="6"/>
  <c r="B124" i="6"/>
  <c r="H123" i="6"/>
  <c r="I123" i="6" s="1"/>
  <c r="F123" i="6"/>
  <c r="D123" i="6"/>
  <c r="C123" i="6"/>
  <c r="B123" i="6"/>
  <c r="I122" i="6"/>
  <c r="H122" i="6"/>
  <c r="F122" i="6"/>
  <c r="D122" i="6"/>
  <c r="C122" i="6"/>
  <c r="B122" i="6"/>
  <c r="H121" i="6"/>
  <c r="I121" i="6" s="1"/>
  <c r="F121" i="6"/>
  <c r="D121" i="6"/>
  <c r="C121" i="6"/>
  <c r="B121" i="6"/>
  <c r="I120" i="6"/>
  <c r="H120" i="6"/>
  <c r="F120" i="6"/>
  <c r="D120" i="6"/>
  <c r="C120" i="6"/>
  <c r="B120" i="6"/>
  <c r="H119" i="6"/>
  <c r="I119" i="6" s="1"/>
  <c r="F119" i="6"/>
  <c r="D119" i="6"/>
  <c r="C119" i="6"/>
  <c r="B119" i="6"/>
  <c r="I118" i="6"/>
  <c r="H118" i="6"/>
  <c r="F118" i="6"/>
  <c r="D118" i="6"/>
  <c r="C118" i="6"/>
  <c r="B118" i="6"/>
  <c r="H117" i="6"/>
  <c r="I117" i="6" s="1"/>
  <c r="F117" i="6"/>
  <c r="D117" i="6"/>
  <c r="C117" i="6"/>
  <c r="B117" i="6"/>
  <c r="I116" i="6"/>
  <c r="H116" i="6"/>
  <c r="F116" i="6"/>
  <c r="D116" i="6"/>
  <c r="C116" i="6"/>
  <c r="B116" i="6"/>
  <c r="H115" i="6"/>
  <c r="I115" i="6" s="1"/>
  <c r="F115" i="6"/>
  <c r="D115" i="6"/>
  <c r="C115" i="6"/>
  <c r="B115" i="6"/>
  <c r="H114" i="6"/>
  <c r="I114" i="6" s="1"/>
  <c r="F114" i="6"/>
  <c r="D114" i="6"/>
  <c r="C114" i="6"/>
  <c r="B114" i="6"/>
  <c r="H113" i="6"/>
  <c r="I113" i="6" s="1"/>
  <c r="F113" i="6"/>
  <c r="D113" i="6"/>
  <c r="C113" i="6"/>
  <c r="B113" i="6"/>
  <c r="I112" i="6"/>
  <c r="H112" i="6"/>
  <c r="F112" i="6"/>
  <c r="D112" i="6"/>
  <c r="C112" i="6"/>
  <c r="B112" i="6"/>
  <c r="H111" i="6"/>
  <c r="I111" i="6" s="1"/>
  <c r="F111" i="6"/>
  <c r="D111" i="6"/>
  <c r="C111" i="6"/>
  <c r="B111" i="6"/>
  <c r="H110" i="6"/>
  <c r="I110" i="6" s="1"/>
  <c r="F110" i="6"/>
  <c r="D110" i="6"/>
  <c r="C110" i="6"/>
  <c r="B110" i="6"/>
  <c r="I109" i="6"/>
  <c r="H109" i="6"/>
  <c r="F109" i="6"/>
  <c r="D109" i="6"/>
  <c r="C109" i="6"/>
  <c r="B109" i="6"/>
  <c r="I108" i="6"/>
  <c r="H108" i="6"/>
  <c r="F108" i="6"/>
  <c r="D108" i="6"/>
  <c r="C108" i="6"/>
  <c r="B108" i="6"/>
  <c r="H107" i="6"/>
  <c r="I107" i="6" s="1"/>
  <c r="F107" i="6"/>
  <c r="D107" i="6"/>
  <c r="C107" i="6"/>
  <c r="B107" i="6"/>
  <c r="H106" i="6"/>
  <c r="I106" i="6" s="1"/>
  <c r="F106" i="6"/>
  <c r="D106" i="6"/>
  <c r="C106" i="6"/>
  <c r="B106" i="6"/>
  <c r="H105" i="6"/>
  <c r="I105" i="6" s="1"/>
  <c r="F105" i="6"/>
  <c r="D105" i="6"/>
  <c r="C105" i="6"/>
  <c r="B105" i="6"/>
  <c r="I104" i="6"/>
  <c r="H104" i="6"/>
  <c r="F104" i="6"/>
  <c r="D104" i="6"/>
  <c r="C104" i="6"/>
  <c r="B104" i="6"/>
  <c r="H103" i="6"/>
  <c r="I103" i="6" s="1"/>
  <c r="F103" i="6"/>
  <c r="D103" i="6"/>
  <c r="C103" i="6"/>
  <c r="B103" i="6"/>
  <c r="I102" i="6"/>
  <c r="H102" i="6"/>
  <c r="F102" i="6"/>
  <c r="D102" i="6"/>
  <c r="C102" i="6"/>
  <c r="B102" i="6"/>
  <c r="H101" i="6"/>
  <c r="I101" i="6" s="1"/>
  <c r="F101" i="6"/>
  <c r="D101" i="6"/>
  <c r="C101" i="6"/>
  <c r="B101" i="6"/>
  <c r="I100" i="6"/>
  <c r="H100" i="6"/>
  <c r="F100" i="6"/>
  <c r="D100" i="6"/>
  <c r="C100" i="6"/>
  <c r="B100" i="6"/>
  <c r="H99" i="6"/>
  <c r="I99" i="6" s="1"/>
  <c r="F99" i="6"/>
  <c r="D99" i="6"/>
  <c r="C99" i="6"/>
  <c r="B99" i="6"/>
  <c r="H98" i="6"/>
  <c r="I98" i="6" s="1"/>
  <c r="F98" i="6"/>
  <c r="D98" i="6"/>
  <c r="C98" i="6"/>
  <c r="B98" i="6"/>
  <c r="I97" i="6"/>
  <c r="H97" i="6"/>
  <c r="F97" i="6"/>
  <c r="D97" i="6"/>
  <c r="C97" i="6"/>
  <c r="B97" i="6"/>
  <c r="I96" i="6"/>
  <c r="H96" i="6"/>
  <c r="F96" i="6"/>
  <c r="D96" i="6"/>
  <c r="C96" i="6"/>
  <c r="B96" i="6"/>
  <c r="H95" i="6"/>
  <c r="I95" i="6" s="1"/>
  <c r="F95" i="6"/>
  <c r="D95" i="6"/>
  <c r="C95" i="6"/>
  <c r="B95" i="6"/>
  <c r="H94" i="6"/>
  <c r="I94" i="6" s="1"/>
  <c r="F94" i="6"/>
  <c r="D94" i="6"/>
  <c r="C94" i="6"/>
  <c r="B94" i="6"/>
  <c r="I93" i="6"/>
  <c r="H93" i="6"/>
  <c r="F93" i="6"/>
  <c r="D93" i="6"/>
  <c r="C93" i="6"/>
  <c r="B93" i="6"/>
  <c r="I92" i="6"/>
  <c r="H92" i="6"/>
  <c r="F92" i="6"/>
  <c r="D92" i="6"/>
  <c r="C92" i="6"/>
  <c r="B92" i="6"/>
  <c r="H91" i="6"/>
  <c r="I91" i="6" s="1"/>
  <c r="F91" i="6"/>
  <c r="D91" i="6"/>
  <c r="C91" i="6"/>
  <c r="B91" i="6"/>
  <c r="I90" i="6"/>
  <c r="H90" i="6"/>
  <c r="F90" i="6"/>
  <c r="D90" i="6"/>
  <c r="C90" i="6"/>
  <c r="B90" i="6"/>
  <c r="H89" i="6"/>
  <c r="I89" i="6" s="1"/>
  <c r="F89" i="6"/>
  <c r="D89" i="6"/>
  <c r="C89" i="6"/>
  <c r="B89" i="6"/>
  <c r="I88" i="6"/>
  <c r="H88" i="6"/>
  <c r="F88" i="6"/>
  <c r="D88" i="6"/>
  <c r="C88" i="6"/>
  <c r="B88" i="6"/>
  <c r="H87" i="6"/>
  <c r="I87" i="6" s="1"/>
  <c r="F87" i="6"/>
  <c r="D87" i="6"/>
  <c r="C87" i="6"/>
  <c r="B87" i="6"/>
  <c r="I86" i="6"/>
  <c r="H86" i="6"/>
  <c r="F86" i="6"/>
  <c r="D86" i="6"/>
  <c r="C86" i="6"/>
  <c r="B86" i="6"/>
  <c r="H85" i="6"/>
  <c r="I85" i="6" s="1"/>
  <c r="F85" i="6"/>
  <c r="D85" i="6"/>
  <c r="C85" i="6"/>
  <c r="B85" i="6"/>
  <c r="I84" i="6"/>
  <c r="H84" i="6"/>
  <c r="F84" i="6"/>
  <c r="D84" i="6"/>
  <c r="C84" i="6"/>
  <c r="B84" i="6"/>
  <c r="H83" i="6"/>
  <c r="I83" i="6" s="1"/>
  <c r="F83" i="6"/>
  <c r="D83" i="6"/>
  <c r="C83" i="6"/>
  <c r="B83" i="6"/>
  <c r="H82" i="6"/>
  <c r="I82" i="6" s="1"/>
  <c r="F82" i="6"/>
  <c r="D82" i="6"/>
  <c r="C82" i="6"/>
  <c r="B82" i="6"/>
  <c r="H81" i="6"/>
  <c r="I81" i="6" s="1"/>
  <c r="F81" i="6"/>
  <c r="D81" i="6"/>
  <c r="C81" i="6"/>
  <c r="B81" i="6"/>
  <c r="I80" i="6"/>
  <c r="H80" i="6"/>
  <c r="F80" i="6"/>
  <c r="D80" i="6"/>
  <c r="C80" i="6"/>
  <c r="B80" i="6"/>
  <c r="H79" i="6"/>
  <c r="I79" i="6" s="1"/>
  <c r="F79" i="6"/>
  <c r="D79" i="6"/>
  <c r="C79" i="6"/>
  <c r="B79" i="6"/>
  <c r="H78" i="6"/>
  <c r="I78" i="6" s="1"/>
  <c r="F78" i="6"/>
  <c r="D78" i="6"/>
  <c r="C78" i="6"/>
  <c r="B78" i="6"/>
  <c r="I77" i="6"/>
  <c r="H77" i="6"/>
  <c r="F77" i="6"/>
  <c r="D77" i="6"/>
  <c r="C77" i="6"/>
  <c r="B77" i="6"/>
  <c r="I76" i="6"/>
  <c r="H76" i="6"/>
  <c r="F76" i="6"/>
  <c r="D76" i="6"/>
  <c r="C76" i="6"/>
  <c r="B76" i="6"/>
  <c r="H75" i="6"/>
  <c r="I75" i="6" s="1"/>
  <c r="F75" i="6"/>
  <c r="D75" i="6"/>
  <c r="C75" i="6"/>
  <c r="B75" i="6"/>
  <c r="H74" i="6"/>
  <c r="I74" i="6" s="1"/>
  <c r="F74" i="6"/>
  <c r="D74" i="6"/>
  <c r="C74" i="6"/>
  <c r="B74" i="6"/>
  <c r="H73" i="6"/>
  <c r="I73" i="6" s="1"/>
  <c r="F73" i="6"/>
  <c r="D73" i="6"/>
  <c r="C73" i="6"/>
  <c r="B73" i="6"/>
  <c r="I72" i="6"/>
  <c r="H72" i="6"/>
  <c r="F72" i="6"/>
  <c r="D72" i="6"/>
  <c r="C72" i="6"/>
  <c r="B72" i="6"/>
  <c r="H71" i="6"/>
  <c r="I71" i="6" s="1"/>
  <c r="F71" i="6"/>
  <c r="D71" i="6"/>
  <c r="C71" i="6"/>
  <c r="B71" i="6"/>
  <c r="I70" i="6"/>
  <c r="H70" i="6"/>
  <c r="F70" i="6"/>
  <c r="D70" i="6"/>
  <c r="C70" i="6"/>
  <c r="B70" i="6"/>
  <c r="H69" i="6"/>
  <c r="I69" i="6" s="1"/>
  <c r="F69" i="6"/>
  <c r="D69" i="6"/>
  <c r="C69" i="6"/>
  <c r="B69" i="6"/>
  <c r="I68" i="6"/>
  <c r="H68" i="6"/>
  <c r="F68" i="6"/>
  <c r="D68" i="6"/>
  <c r="C68" i="6"/>
  <c r="B68" i="6"/>
  <c r="H67" i="6"/>
  <c r="I67" i="6" s="1"/>
  <c r="F67" i="6"/>
  <c r="D67" i="6"/>
  <c r="C67" i="6"/>
  <c r="B67" i="6"/>
  <c r="H66" i="6"/>
  <c r="I66" i="6" s="1"/>
  <c r="F66" i="6"/>
  <c r="D66" i="6"/>
  <c r="C66" i="6"/>
  <c r="B66" i="6"/>
  <c r="I65" i="6"/>
  <c r="H65" i="6"/>
  <c r="F65" i="6"/>
  <c r="D65" i="6"/>
  <c r="C65" i="6"/>
  <c r="B65" i="6"/>
  <c r="I64" i="6"/>
  <c r="H64" i="6"/>
  <c r="F64" i="6"/>
  <c r="D64" i="6"/>
  <c r="C64" i="6"/>
  <c r="B64" i="6"/>
  <c r="H63" i="6"/>
  <c r="I63" i="6" s="1"/>
  <c r="F63" i="6"/>
  <c r="D63" i="6"/>
  <c r="C63" i="6"/>
  <c r="B63" i="6"/>
  <c r="H62" i="6"/>
  <c r="I62" i="6" s="1"/>
  <c r="F62" i="6"/>
  <c r="D62" i="6"/>
  <c r="C62" i="6"/>
  <c r="B62" i="6"/>
  <c r="I61" i="6"/>
  <c r="H61" i="6"/>
  <c r="F61" i="6"/>
  <c r="D61" i="6"/>
  <c r="C61" i="6"/>
  <c r="B61" i="6"/>
  <c r="I60" i="6"/>
  <c r="H60" i="6"/>
  <c r="F60" i="6"/>
  <c r="D60" i="6"/>
  <c r="C60" i="6"/>
  <c r="B60" i="6"/>
  <c r="H59" i="6"/>
  <c r="I59" i="6" s="1"/>
  <c r="F59" i="6"/>
  <c r="D59" i="6"/>
  <c r="C59" i="6"/>
  <c r="B59" i="6"/>
  <c r="I58" i="6"/>
  <c r="H58" i="6"/>
  <c r="F58" i="6"/>
  <c r="D58" i="6"/>
  <c r="C58" i="6"/>
  <c r="B58" i="6"/>
  <c r="H57" i="6"/>
  <c r="I57" i="6" s="1"/>
  <c r="F57" i="6"/>
  <c r="D57" i="6"/>
  <c r="C57" i="6"/>
  <c r="B57" i="6"/>
  <c r="I56" i="6"/>
  <c r="H56" i="6"/>
  <c r="F56" i="6"/>
  <c r="D56" i="6"/>
  <c r="C56" i="6"/>
  <c r="B56" i="6"/>
  <c r="H55" i="6"/>
  <c r="I55" i="6" s="1"/>
  <c r="F55" i="6"/>
  <c r="D55" i="6"/>
  <c r="C55" i="6"/>
  <c r="B55" i="6"/>
  <c r="I54" i="6"/>
  <c r="H54" i="6"/>
  <c r="F54" i="6"/>
  <c r="D54" i="6"/>
  <c r="C54" i="6"/>
  <c r="B54" i="6"/>
  <c r="H53" i="6"/>
  <c r="I53" i="6" s="1"/>
  <c r="F53" i="6"/>
  <c r="D53" i="6"/>
  <c r="C53" i="6"/>
  <c r="B53" i="6"/>
  <c r="I52" i="6"/>
  <c r="H52" i="6"/>
  <c r="F52" i="6"/>
  <c r="D52" i="6"/>
  <c r="C52" i="6"/>
  <c r="B52" i="6"/>
  <c r="H51" i="6"/>
  <c r="I51" i="6" s="1"/>
  <c r="F51" i="6"/>
  <c r="D51" i="6"/>
  <c r="C51" i="6"/>
  <c r="B51" i="6"/>
  <c r="H50" i="6"/>
  <c r="I50" i="6" s="1"/>
  <c r="F50" i="6"/>
  <c r="D50" i="6"/>
  <c r="C50" i="6"/>
  <c r="B50" i="6"/>
  <c r="H49" i="6"/>
  <c r="I49" i="6" s="1"/>
  <c r="F49" i="6"/>
  <c r="D49" i="6"/>
  <c r="C49" i="6"/>
  <c r="B49" i="6"/>
  <c r="I48" i="6"/>
  <c r="H48" i="6"/>
  <c r="F48" i="6"/>
  <c r="D48" i="6"/>
  <c r="C48" i="6"/>
  <c r="B48" i="6"/>
  <c r="H47" i="6"/>
  <c r="I47" i="6" s="1"/>
  <c r="F47" i="6"/>
  <c r="D47" i="6"/>
  <c r="C47" i="6"/>
  <c r="B47" i="6"/>
  <c r="H46" i="6"/>
  <c r="I46" i="6" s="1"/>
  <c r="F46" i="6"/>
  <c r="D46" i="6"/>
  <c r="C46" i="6"/>
  <c r="B46" i="6"/>
  <c r="I45" i="6"/>
  <c r="H45" i="6"/>
  <c r="F45" i="6"/>
  <c r="D45" i="6"/>
  <c r="C45" i="6"/>
  <c r="B45" i="6"/>
  <c r="I44" i="6"/>
  <c r="H44" i="6"/>
  <c r="F44" i="6"/>
  <c r="D44" i="6"/>
  <c r="C44" i="6"/>
  <c r="B44" i="6"/>
  <c r="H43" i="6"/>
  <c r="I43" i="6" s="1"/>
  <c r="F43" i="6"/>
  <c r="D43" i="6"/>
  <c r="C43" i="6"/>
  <c r="B43" i="6"/>
  <c r="H42" i="6"/>
  <c r="I42" i="6" s="1"/>
  <c r="F42" i="6"/>
  <c r="D42" i="6"/>
  <c r="C42" i="6"/>
  <c r="B42" i="6"/>
  <c r="H41" i="6"/>
  <c r="I41" i="6" s="1"/>
  <c r="F41" i="6"/>
  <c r="D41" i="6"/>
  <c r="C41" i="6"/>
  <c r="B41" i="6"/>
  <c r="I40" i="6"/>
  <c r="H40" i="6"/>
  <c r="F40" i="6"/>
  <c r="D40" i="6"/>
  <c r="C40" i="6"/>
  <c r="B40" i="6"/>
  <c r="H39" i="6"/>
  <c r="I39" i="6" s="1"/>
  <c r="F39" i="6"/>
  <c r="D39" i="6"/>
  <c r="C39" i="6"/>
  <c r="B39" i="6"/>
  <c r="I38" i="6"/>
  <c r="H38" i="6"/>
  <c r="F38" i="6"/>
  <c r="D38" i="6"/>
  <c r="C38" i="6"/>
  <c r="B38" i="6"/>
  <c r="H37" i="6"/>
  <c r="I37" i="6" s="1"/>
  <c r="F37" i="6"/>
  <c r="D37" i="6"/>
  <c r="C37" i="6"/>
  <c r="B37" i="6"/>
  <c r="I36" i="6"/>
  <c r="H36" i="6"/>
  <c r="F36" i="6"/>
  <c r="D36" i="6"/>
  <c r="C36" i="6"/>
  <c r="B36" i="6"/>
  <c r="H35" i="6"/>
  <c r="I35" i="6" s="1"/>
  <c r="F35" i="6"/>
  <c r="D35" i="6"/>
  <c r="C35" i="6"/>
  <c r="B35" i="6"/>
  <c r="H34" i="6"/>
  <c r="I34" i="6" s="1"/>
  <c r="F34" i="6"/>
  <c r="D34" i="6"/>
  <c r="C34" i="6"/>
  <c r="B34" i="6"/>
  <c r="I33" i="6"/>
  <c r="H33" i="6"/>
  <c r="F33" i="6"/>
  <c r="D33" i="6"/>
  <c r="C33" i="6"/>
  <c r="B33" i="6"/>
  <c r="I32" i="6"/>
  <c r="H32" i="6"/>
  <c r="F32" i="6"/>
  <c r="D32" i="6"/>
  <c r="C32" i="6"/>
  <c r="B32" i="6"/>
  <c r="H31" i="6"/>
  <c r="I31" i="6" s="1"/>
  <c r="F31" i="6"/>
  <c r="D31" i="6"/>
  <c r="C31" i="6"/>
  <c r="B31" i="6"/>
  <c r="H30" i="6"/>
  <c r="I30" i="6" s="1"/>
  <c r="F30" i="6"/>
  <c r="D30" i="6"/>
  <c r="C30" i="6"/>
  <c r="B30" i="6"/>
  <c r="I29" i="6"/>
  <c r="H29" i="6"/>
  <c r="F29" i="6"/>
  <c r="D29" i="6"/>
  <c r="C29" i="6"/>
  <c r="B29" i="6"/>
  <c r="I28" i="6"/>
  <c r="H28" i="6"/>
  <c r="F28" i="6"/>
  <c r="D28" i="6"/>
  <c r="C28" i="6"/>
  <c r="B28" i="6"/>
  <c r="H27" i="6"/>
  <c r="I27" i="6" s="1"/>
  <c r="F27" i="6"/>
  <c r="D27" i="6"/>
  <c r="C27" i="6"/>
  <c r="B27" i="6"/>
  <c r="I26" i="6"/>
  <c r="H26" i="6"/>
  <c r="F26" i="6"/>
  <c r="D26" i="6"/>
  <c r="C26" i="6"/>
  <c r="B26" i="6"/>
  <c r="H25" i="6"/>
  <c r="I25" i="6" s="1"/>
  <c r="F25" i="6"/>
  <c r="D25" i="6"/>
  <c r="C25" i="6"/>
  <c r="B25" i="6"/>
  <c r="I24" i="6"/>
  <c r="H24" i="6"/>
  <c r="F24" i="6"/>
  <c r="D24" i="6"/>
  <c r="C24" i="6"/>
  <c r="B24" i="6"/>
  <c r="H23" i="6"/>
  <c r="I23" i="6" s="1"/>
  <c r="F23" i="6"/>
  <c r="D23" i="6"/>
  <c r="C23" i="6"/>
  <c r="B23" i="6"/>
  <c r="I22" i="6"/>
  <c r="H22" i="6"/>
  <c r="F22" i="6"/>
  <c r="D22" i="6"/>
  <c r="C22" i="6"/>
  <c r="B22" i="6"/>
  <c r="H21" i="6"/>
  <c r="I21" i="6" s="1"/>
  <c r="F21" i="6"/>
  <c r="D21" i="6"/>
  <c r="C21" i="6"/>
  <c r="B21" i="6"/>
  <c r="I20" i="6"/>
  <c r="H20" i="6"/>
  <c r="F20" i="6"/>
  <c r="D20" i="6"/>
  <c r="C20" i="6"/>
  <c r="B20" i="6"/>
  <c r="H19" i="6"/>
  <c r="I19" i="6" s="1"/>
  <c r="F19" i="6"/>
  <c r="D19" i="6"/>
  <c r="C19" i="6"/>
  <c r="B19" i="6"/>
  <c r="H18" i="6"/>
  <c r="I18" i="6" s="1"/>
  <c r="F18" i="6"/>
  <c r="D18" i="6"/>
  <c r="C18" i="6"/>
  <c r="B18" i="6"/>
  <c r="H17" i="6"/>
  <c r="I17" i="6" s="1"/>
  <c r="F17" i="6"/>
  <c r="D17" i="6"/>
  <c r="C17" i="6"/>
  <c r="B17" i="6"/>
  <c r="I16" i="6"/>
  <c r="H16" i="6"/>
  <c r="F16" i="6"/>
  <c r="D16" i="6"/>
  <c r="C16" i="6"/>
  <c r="B16" i="6"/>
  <c r="H15" i="6"/>
  <c r="I15" i="6" s="1"/>
  <c r="F15" i="6"/>
  <c r="D15" i="6"/>
  <c r="C15" i="6"/>
  <c r="B15" i="6"/>
  <c r="H14" i="6"/>
  <c r="I14" i="6" s="1"/>
  <c r="F14" i="6"/>
  <c r="D14" i="6"/>
  <c r="C14" i="6"/>
  <c r="B14" i="6"/>
  <c r="I13" i="6"/>
  <c r="H13" i="6"/>
  <c r="F13" i="6"/>
  <c r="D13" i="6"/>
  <c r="C13" i="6"/>
  <c r="B13" i="6"/>
  <c r="I12" i="6"/>
  <c r="H12" i="6"/>
  <c r="F12" i="6"/>
  <c r="D12" i="6"/>
  <c r="C12" i="6"/>
  <c r="B12" i="6"/>
  <c r="H11" i="6"/>
  <c r="I11" i="6" s="1"/>
  <c r="F11" i="6"/>
  <c r="D11" i="6"/>
  <c r="C11" i="6"/>
  <c r="B11" i="6"/>
  <c r="H10" i="6"/>
  <c r="I10" i="6" s="1"/>
  <c r="D10" i="6"/>
  <c r="C10" i="6"/>
  <c r="F10" i="6" s="1"/>
  <c r="B10" i="6"/>
  <c r="H9" i="6"/>
  <c r="I9" i="6" s="1"/>
  <c r="F9" i="6"/>
  <c r="D9" i="6"/>
  <c r="C9" i="6"/>
  <c r="B9" i="6"/>
  <c r="A5" i="6"/>
  <c r="G4" i="6"/>
  <c r="D4" i="6"/>
  <c r="A4" i="6"/>
  <c r="K113" i="5"/>
  <c r="J113" i="5"/>
  <c r="I113" i="5"/>
  <c r="D113" i="5"/>
  <c r="C113" i="5"/>
  <c r="A113" i="5"/>
  <c r="K112" i="5"/>
  <c r="I112" i="5"/>
  <c r="J112" i="5" s="1"/>
  <c r="D112" i="5"/>
  <c r="C112" i="5"/>
  <c r="A112" i="5"/>
  <c r="K111" i="5"/>
  <c r="I111" i="5"/>
  <c r="J111" i="5" s="1"/>
  <c r="D111" i="5"/>
  <c r="C111" i="5"/>
  <c r="A111" i="5"/>
  <c r="K110" i="5"/>
  <c r="I110" i="5"/>
  <c r="J110" i="5" s="1"/>
  <c r="D110" i="5"/>
  <c r="C110" i="5"/>
  <c r="A110" i="5"/>
  <c r="K109" i="5"/>
  <c r="I109" i="5"/>
  <c r="J109" i="5" s="1"/>
  <c r="D109" i="5"/>
  <c r="C109" i="5"/>
  <c r="A109" i="5"/>
  <c r="K108" i="5"/>
  <c r="I108" i="5"/>
  <c r="J108" i="5" s="1"/>
  <c r="D108" i="5"/>
  <c r="C108" i="5"/>
  <c r="A108" i="5"/>
  <c r="K107" i="5"/>
  <c r="I107" i="5"/>
  <c r="J107" i="5" s="1"/>
  <c r="D107" i="5"/>
  <c r="C107" i="5"/>
  <c r="A107" i="5"/>
  <c r="K106" i="5"/>
  <c r="J106" i="5"/>
  <c r="I106" i="5"/>
  <c r="D106" i="5"/>
  <c r="C106" i="5"/>
  <c r="A106" i="5"/>
  <c r="K105" i="5"/>
  <c r="J105" i="5"/>
  <c r="I105" i="5"/>
  <c r="D105" i="5"/>
  <c r="C105" i="5"/>
  <c r="A105" i="5"/>
  <c r="K104" i="5"/>
  <c r="I104" i="5"/>
  <c r="J104" i="5" s="1"/>
  <c r="D104" i="5"/>
  <c r="C104" i="5"/>
  <c r="A104" i="5"/>
  <c r="K103" i="5"/>
  <c r="I103" i="5"/>
  <c r="J103" i="5" s="1"/>
  <c r="D103" i="5"/>
  <c r="C103" i="5"/>
  <c r="A103" i="5"/>
  <c r="K102" i="5"/>
  <c r="J102" i="5"/>
  <c r="I102" i="5"/>
  <c r="D102" i="5"/>
  <c r="C102" i="5"/>
  <c r="A102" i="5"/>
  <c r="K101" i="5"/>
  <c r="J101" i="5"/>
  <c r="I101" i="5"/>
  <c r="D101" i="5"/>
  <c r="C101" i="5"/>
  <c r="A101" i="5"/>
  <c r="K100" i="5"/>
  <c r="J100" i="5"/>
  <c r="I100" i="5"/>
  <c r="D100" i="5"/>
  <c r="C100" i="5"/>
  <c r="A100" i="5"/>
  <c r="K99" i="5"/>
  <c r="I99" i="5"/>
  <c r="J99" i="5" s="1"/>
  <c r="D99" i="5"/>
  <c r="C99" i="5"/>
  <c r="A99" i="5"/>
  <c r="K98" i="5"/>
  <c r="I98" i="5"/>
  <c r="J98" i="5" s="1"/>
  <c r="D98" i="5"/>
  <c r="C98" i="5"/>
  <c r="A98" i="5"/>
  <c r="K97" i="5"/>
  <c r="I97" i="5"/>
  <c r="J97" i="5" s="1"/>
  <c r="D97" i="5"/>
  <c r="C97" i="5"/>
  <c r="A97" i="5"/>
  <c r="K96" i="5"/>
  <c r="I96" i="5"/>
  <c r="J96" i="5" s="1"/>
  <c r="D96" i="5"/>
  <c r="C96" i="5"/>
  <c r="A96" i="5"/>
  <c r="K95" i="5"/>
  <c r="I95" i="5"/>
  <c r="J95" i="5" s="1"/>
  <c r="D95" i="5"/>
  <c r="C95" i="5"/>
  <c r="A95" i="5"/>
  <c r="K94" i="5"/>
  <c r="I94" i="5"/>
  <c r="J94" i="5" s="1"/>
  <c r="D94" i="5"/>
  <c r="C94" i="5"/>
  <c r="A94" i="5"/>
  <c r="K93" i="5"/>
  <c r="J93" i="5"/>
  <c r="I93" i="5"/>
  <c r="D93" i="5"/>
  <c r="C93" i="5"/>
  <c r="A93" i="5"/>
  <c r="K92" i="5"/>
  <c r="I92" i="5"/>
  <c r="J92" i="5" s="1"/>
  <c r="D92" i="5"/>
  <c r="C92" i="5"/>
  <c r="A92" i="5"/>
  <c r="K91" i="5"/>
  <c r="I91" i="5"/>
  <c r="J91" i="5" s="1"/>
  <c r="D91" i="5"/>
  <c r="C91" i="5"/>
  <c r="A91" i="5"/>
  <c r="K90" i="5"/>
  <c r="I90" i="5"/>
  <c r="J90" i="5" s="1"/>
  <c r="D90" i="5"/>
  <c r="C90" i="5"/>
  <c r="A90" i="5"/>
  <c r="K89" i="5"/>
  <c r="I89" i="5"/>
  <c r="J89" i="5" s="1"/>
  <c r="D89" i="5"/>
  <c r="C89" i="5"/>
  <c r="A89" i="5"/>
  <c r="K88" i="5"/>
  <c r="J88" i="5"/>
  <c r="I88" i="5"/>
  <c r="D88" i="5"/>
  <c r="C88" i="5"/>
  <c r="A88" i="5"/>
  <c r="K87" i="5"/>
  <c r="I87" i="5"/>
  <c r="J87" i="5" s="1"/>
  <c r="D87" i="5"/>
  <c r="C87" i="5"/>
  <c r="A87" i="5"/>
  <c r="K86" i="5"/>
  <c r="J86" i="5"/>
  <c r="I86" i="5"/>
  <c r="D86" i="5"/>
  <c r="C86" i="5"/>
  <c r="A86" i="5"/>
  <c r="K85" i="5"/>
  <c r="I85" i="5"/>
  <c r="J85" i="5" s="1"/>
  <c r="D85" i="5"/>
  <c r="C85" i="5"/>
  <c r="A85" i="5"/>
  <c r="K84" i="5"/>
  <c r="J84" i="5"/>
  <c r="I84" i="5"/>
  <c r="D84" i="5"/>
  <c r="C84" i="5"/>
  <c r="A84" i="5"/>
  <c r="K83" i="5"/>
  <c r="I83" i="5"/>
  <c r="J83" i="5" s="1"/>
  <c r="D83" i="5"/>
  <c r="C83" i="5"/>
  <c r="A83" i="5"/>
  <c r="K82" i="5"/>
  <c r="I82" i="5"/>
  <c r="J82" i="5" s="1"/>
  <c r="D82" i="5"/>
  <c r="C82" i="5"/>
  <c r="A82" i="5"/>
  <c r="K81" i="5"/>
  <c r="J81" i="5"/>
  <c r="I81" i="5"/>
  <c r="D81" i="5"/>
  <c r="C81" i="5"/>
  <c r="A81" i="5"/>
  <c r="K80" i="5"/>
  <c r="J80" i="5"/>
  <c r="I80" i="5"/>
  <c r="D80" i="5"/>
  <c r="C80" i="5"/>
  <c r="A80" i="5"/>
  <c r="K79" i="5"/>
  <c r="I79" i="5"/>
  <c r="J79" i="5" s="1"/>
  <c r="D79" i="5"/>
  <c r="C79" i="5"/>
  <c r="A79" i="5"/>
  <c r="K78" i="5"/>
  <c r="I78" i="5"/>
  <c r="J78" i="5" s="1"/>
  <c r="D78" i="5"/>
  <c r="C78" i="5"/>
  <c r="A78" i="5"/>
  <c r="K77" i="5"/>
  <c r="J77" i="5"/>
  <c r="I77" i="5"/>
  <c r="D77" i="5"/>
  <c r="C77" i="5"/>
  <c r="A77" i="5"/>
  <c r="K76" i="5"/>
  <c r="J76" i="5"/>
  <c r="I76" i="5"/>
  <c r="D76" i="5"/>
  <c r="C76" i="5"/>
  <c r="A76" i="5"/>
  <c r="K75" i="5"/>
  <c r="I75" i="5"/>
  <c r="J75" i="5" s="1"/>
  <c r="D75" i="5"/>
  <c r="C75" i="5"/>
  <c r="A75" i="5"/>
  <c r="K74" i="5"/>
  <c r="J74" i="5"/>
  <c r="I74" i="5"/>
  <c r="D74" i="5"/>
  <c r="C74" i="5"/>
  <c r="A74" i="5"/>
  <c r="K73" i="5"/>
  <c r="I73" i="5"/>
  <c r="J73" i="5" s="1"/>
  <c r="D73" i="5"/>
  <c r="C73" i="5"/>
  <c r="A73" i="5"/>
  <c r="K72" i="5"/>
  <c r="I72" i="5"/>
  <c r="J72" i="5" s="1"/>
  <c r="D72" i="5"/>
  <c r="C72" i="5"/>
  <c r="A72" i="5"/>
  <c r="K71" i="5"/>
  <c r="I71" i="5"/>
  <c r="J71" i="5" s="1"/>
  <c r="D71" i="5"/>
  <c r="C71" i="5"/>
  <c r="A71" i="5"/>
  <c r="K70" i="5"/>
  <c r="I70" i="5"/>
  <c r="J70" i="5" s="1"/>
  <c r="D70" i="5"/>
  <c r="C70" i="5"/>
  <c r="A70" i="5"/>
  <c r="K69" i="5"/>
  <c r="I69" i="5"/>
  <c r="J69" i="5" s="1"/>
  <c r="D69" i="5"/>
  <c r="C69" i="5"/>
  <c r="A69" i="5"/>
  <c r="K68" i="5"/>
  <c r="J68" i="5"/>
  <c r="I68" i="5"/>
  <c r="D68" i="5"/>
  <c r="C68" i="5"/>
  <c r="A68" i="5"/>
  <c r="K67" i="5"/>
  <c r="I67" i="5"/>
  <c r="J67" i="5" s="1"/>
  <c r="D67" i="5"/>
  <c r="C67" i="5"/>
  <c r="A67" i="5"/>
  <c r="K66" i="5"/>
  <c r="J66" i="5"/>
  <c r="I66" i="5"/>
  <c r="D66" i="5"/>
  <c r="C66" i="5"/>
  <c r="A66" i="5"/>
  <c r="K65" i="5"/>
  <c r="I65" i="5"/>
  <c r="J65" i="5" s="1"/>
  <c r="D65" i="5"/>
  <c r="C65" i="5"/>
  <c r="A65" i="5"/>
  <c r="K64" i="5"/>
  <c r="I64" i="5"/>
  <c r="J64" i="5" s="1"/>
  <c r="D64" i="5"/>
  <c r="C64" i="5"/>
  <c r="A64" i="5"/>
  <c r="K63" i="5"/>
  <c r="I63" i="5"/>
  <c r="J63" i="5" s="1"/>
  <c r="D63" i="5"/>
  <c r="C63" i="5"/>
  <c r="A63" i="5"/>
  <c r="K62" i="5"/>
  <c r="I62" i="5"/>
  <c r="J62" i="5" s="1"/>
  <c r="D62" i="5"/>
  <c r="C62" i="5"/>
  <c r="A62" i="5"/>
  <c r="K61" i="5"/>
  <c r="J61" i="5"/>
  <c r="I61" i="5"/>
  <c r="D61" i="5"/>
  <c r="C61" i="5"/>
  <c r="A61" i="5"/>
  <c r="K60" i="5"/>
  <c r="I60" i="5"/>
  <c r="J60" i="5" s="1"/>
  <c r="D60" i="5"/>
  <c r="C60" i="5"/>
  <c r="A60" i="5"/>
  <c r="K59" i="5"/>
  <c r="I59" i="5"/>
  <c r="J59" i="5" s="1"/>
  <c r="D59" i="5"/>
  <c r="C59" i="5"/>
  <c r="A59" i="5"/>
  <c r="K58" i="5"/>
  <c r="I58" i="5"/>
  <c r="J58" i="5" s="1"/>
  <c r="D58" i="5"/>
  <c r="C58" i="5"/>
  <c r="A58" i="5"/>
  <c r="K57" i="5"/>
  <c r="J57" i="5"/>
  <c r="I57" i="5"/>
  <c r="D57" i="5"/>
  <c r="C57" i="5"/>
  <c r="A57" i="5"/>
  <c r="K56" i="5"/>
  <c r="J56" i="5"/>
  <c r="I56" i="5"/>
  <c r="D56" i="5"/>
  <c r="C56" i="5"/>
  <c r="A56" i="5"/>
  <c r="K55" i="5"/>
  <c r="I55" i="5"/>
  <c r="J55" i="5" s="1"/>
  <c r="D55" i="5"/>
  <c r="C55" i="5"/>
  <c r="A55" i="5"/>
  <c r="K54" i="5"/>
  <c r="J54" i="5"/>
  <c r="I54" i="5"/>
  <c r="D54" i="5"/>
  <c r="C54" i="5"/>
  <c r="A54" i="5"/>
  <c r="K53" i="5"/>
  <c r="I53" i="5"/>
  <c r="J53" i="5" s="1"/>
  <c r="D53" i="5"/>
  <c r="C53" i="5"/>
  <c r="A53" i="5"/>
  <c r="K52" i="5"/>
  <c r="J52" i="5"/>
  <c r="I52" i="5"/>
  <c r="D52" i="5"/>
  <c r="C52" i="5"/>
  <c r="A52" i="5"/>
  <c r="K51" i="5"/>
  <c r="I51" i="5"/>
  <c r="J51" i="5" s="1"/>
  <c r="D51" i="5"/>
  <c r="C51" i="5"/>
  <c r="A51" i="5"/>
  <c r="K50" i="5"/>
  <c r="I50" i="5"/>
  <c r="J50" i="5" s="1"/>
  <c r="D50" i="5"/>
  <c r="C50" i="5"/>
  <c r="A50" i="5"/>
  <c r="K49" i="5"/>
  <c r="J49" i="5"/>
  <c r="I49" i="5"/>
  <c r="D49" i="5"/>
  <c r="C49" i="5"/>
  <c r="A49" i="5"/>
  <c r="K48" i="5"/>
  <c r="I48" i="5"/>
  <c r="J48" i="5" s="1"/>
  <c r="D48" i="5"/>
  <c r="C48" i="5"/>
  <c r="A48" i="5"/>
  <c r="K47" i="5"/>
  <c r="I47" i="5"/>
  <c r="J47" i="5" s="1"/>
  <c r="D47" i="5"/>
  <c r="C47" i="5"/>
  <c r="A47" i="5"/>
  <c r="K46" i="5"/>
  <c r="I46" i="5"/>
  <c r="J46" i="5" s="1"/>
  <c r="D46" i="5"/>
  <c r="C46" i="5"/>
  <c r="A46" i="5"/>
  <c r="K45" i="5"/>
  <c r="I45" i="5"/>
  <c r="J45" i="5" s="1"/>
  <c r="D45" i="5"/>
  <c r="C45" i="5"/>
  <c r="A45" i="5"/>
  <c r="K44" i="5"/>
  <c r="I44" i="5"/>
  <c r="J44" i="5" s="1"/>
  <c r="D44" i="5"/>
  <c r="C44" i="5"/>
  <c r="A44" i="5"/>
  <c r="K43" i="5"/>
  <c r="I43" i="5"/>
  <c r="J43" i="5" s="1"/>
  <c r="D43" i="5"/>
  <c r="C43" i="5"/>
  <c r="A43" i="5"/>
  <c r="K42" i="5"/>
  <c r="J42" i="5"/>
  <c r="I42" i="5"/>
  <c r="D42" i="5"/>
  <c r="C42" i="5"/>
  <c r="A42" i="5"/>
  <c r="K41" i="5"/>
  <c r="J41" i="5"/>
  <c r="I41" i="5"/>
  <c r="D41" i="5"/>
  <c r="C41" i="5"/>
  <c r="A41" i="5"/>
  <c r="K40" i="5"/>
  <c r="I40" i="5"/>
  <c r="J40" i="5" s="1"/>
  <c r="D40" i="5"/>
  <c r="C40" i="5"/>
  <c r="A40" i="5"/>
  <c r="K39" i="5"/>
  <c r="I39" i="5"/>
  <c r="J39" i="5" s="1"/>
  <c r="D39" i="5"/>
  <c r="C39" i="5"/>
  <c r="A39" i="5"/>
  <c r="K38" i="5"/>
  <c r="J38" i="5"/>
  <c r="I38" i="5"/>
  <c r="D38" i="5"/>
  <c r="C38" i="5"/>
  <c r="A38" i="5"/>
  <c r="K37" i="5"/>
  <c r="J37" i="5"/>
  <c r="I37" i="5"/>
  <c r="D37" i="5"/>
  <c r="C37" i="5"/>
  <c r="A37" i="5"/>
  <c r="K36" i="5"/>
  <c r="J36" i="5"/>
  <c r="I36" i="5"/>
  <c r="D36" i="5"/>
  <c r="C36" i="5"/>
  <c r="A36" i="5"/>
  <c r="K35" i="5"/>
  <c r="I35" i="5"/>
  <c r="J35" i="5" s="1"/>
  <c r="D35" i="5"/>
  <c r="C35" i="5"/>
  <c r="A35" i="5"/>
  <c r="K34" i="5"/>
  <c r="I34" i="5"/>
  <c r="J34" i="5" s="1"/>
  <c r="D34" i="5"/>
  <c r="C34" i="5"/>
  <c r="A34" i="5"/>
  <c r="K33" i="5"/>
  <c r="I33" i="5"/>
  <c r="J33" i="5" s="1"/>
  <c r="D33" i="5"/>
  <c r="C33" i="5"/>
  <c r="A33" i="5"/>
  <c r="K32" i="5"/>
  <c r="J32" i="5"/>
  <c r="I32" i="5"/>
  <c r="D32" i="5"/>
  <c r="C32" i="5"/>
  <c r="A32" i="5"/>
  <c r="K31" i="5"/>
  <c r="I31" i="5"/>
  <c r="J31" i="5" s="1"/>
  <c r="D31" i="5"/>
  <c r="C31" i="5"/>
  <c r="A31" i="5"/>
  <c r="K30" i="5"/>
  <c r="I30" i="5"/>
  <c r="J30" i="5" s="1"/>
  <c r="D30" i="5"/>
  <c r="C30" i="5"/>
  <c r="A30" i="5"/>
  <c r="K29" i="5"/>
  <c r="J29" i="5"/>
  <c r="I29" i="5"/>
  <c r="D29" i="5"/>
  <c r="C29" i="5"/>
  <c r="A29" i="5"/>
  <c r="K28" i="5"/>
  <c r="I28" i="5"/>
  <c r="J28" i="5" s="1"/>
  <c r="D28" i="5"/>
  <c r="C28" i="5"/>
  <c r="A28" i="5"/>
  <c r="K27" i="5"/>
  <c r="I27" i="5"/>
  <c r="J27" i="5" s="1"/>
  <c r="D27" i="5"/>
  <c r="C27" i="5"/>
  <c r="A27" i="5"/>
  <c r="K26" i="5"/>
  <c r="I26" i="5"/>
  <c r="J26" i="5" s="1"/>
  <c r="D26" i="5"/>
  <c r="C26" i="5"/>
  <c r="A26" i="5"/>
  <c r="K25" i="5"/>
  <c r="J25" i="5"/>
  <c r="I25" i="5"/>
  <c r="D25" i="5"/>
  <c r="C25" i="5"/>
  <c r="A25" i="5"/>
  <c r="K24" i="5"/>
  <c r="J24" i="5"/>
  <c r="I24" i="5"/>
  <c r="D24" i="5"/>
  <c r="C24" i="5"/>
  <c r="A24" i="5"/>
  <c r="K23" i="5"/>
  <c r="I23" i="5"/>
  <c r="J23" i="5" s="1"/>
  <c r="D23" i="5"/>
  <c r="C23" i="5"/>
  <c r="A23" i="5"/>
  <c r="K22" i="5"/>
  <c r="J22" i="5"/>
  <c r="I22" i="5"/>
  <c r="D22" i="5"/>
  <c r="C22" i="5"/>
  <c r="A22" i="5"/>
  <c r="K21" i="5"/>
  <c r="I21" i="5"/>
  <c r="J21" i="5" s="1"/>
  <c r="D21" i="5"/>
  <c r="C21" i="5"/>
  <c r="A21" i="5"/>
  <c r="K20" i="5"/>
  <c r="I20" i="5"/>
  <c r="J20" i="5" s="1"/>
  <c r="D20" i="5"/>
  <c r="C20" i="5"/>
  <c r="A20" i="5"/>
  <c r="K19" i="5"/>
  <c r="I19" i="5"/>
  <c r="J19" i="5" s="1"/>
  <c r="D19" i="5"/>
  <c r="C19" i="5"/>
  <c r="A19" i="5"/>
  <c r="K18" i="5"/>
  <c r="I18" i="5"/>
  <c r="J18" i="5" s="1"/>
  <c r="D18" i="5"/>
  <c r="C18" i="5"/>
  <c r="A18" i="5"/>
  <c r="K17" i="5"/>
  <c r="J17" i="5"/>
  <c r="I17" i="5"/>
  <c r="D17" i="5"/>
  <c r="C17" i="5"/>
  <c r="A17" i="5"/>
  <c r="K16" i="5"/>
  <c r="I16" i="5"/>
  <c r="J16" i="5" s="1"/>
  <c r="D16" i="5"/>
  <c r="C16" i="5"/>
  <c r="A16" i="5"/>
  <c r="K15" i="5"/>
  <c r="I15" i="5"/>
  <c r="J15" i="5" s="1"/>
  <c r="D15" i="5"/>
  <c r="A15" i="5" s="1"/>
  <c r="C15" i="5"/>
  <c r="K14" i="5"/>
  <c r="I14" i="5"/>
  <c r="J14" i="5" s="1"/>
  <c r="D14" i="5"/>
  <c r="A14" i="5" s="1"/>
  <c r="C14" i="5"/>
  <c r="B10" i="5"/>
  <c r="B9" i="5"/>
  <c r="B8" i="5"/>
  <c r="I208" i="4"/>
  <c r="J208" i="4" s="1"/>
  <c r="G208" i="4"/>
  <c r="D208" i="4"/>
  <c r="C208" i="4"/>
  <c r="B208" i="4"/>
  <c r="J207" i="4"/>
  <c r="I207" i="4"/>
  <c r="G207" i="4"/>
  <c r="D207" i="4"/>
  <c r="C207" i="4"/>
  <c r="B207" i="4"/>
  <c r="J206" i="4"/>
  <c r="I206" i="4"/>
  <c r="G206" i="4"/>
  <c r="D206" i="4"/>
  <c r="C206" i="4"/>
  <c r="B206" i="4"/>
  <c r="I205" i="4"/>
  <c r="J205" i="4" s="1"/>
  <c r="G205" i="4"/>
  <c r="D205" i="4"/>
  <c r="C205" i="4"/>
  <c r="B205" i="4"/>
  <c r="J204" i="4"/>
  <c r="I204" i="4"/>
  <c r="G204" i="4"/>
  <c r="D204" i="4"/>
  <c r="C204" i="4"/>
  <c r="B204" i="4"/>
  <c r="J203" i="4"/>
  <c r="I203" i="4"/>
  <c r="G203" i="4"/>
  <c r="D203" i="4"/>
  <c r="C203" i="4"/>
  <c r="B203" i="4"/>
  <c r="I202" i="4"/>
  <c r="J202" i="4" s="1"/>
  <c r="G202" i="4"/>
  <c r="D202" i="4"/>
  <c r="C202" i="4"/>
  <c r="B202" i="4"/>
  <c r="I201" i="4"/>
  <c r="J201" i="4" s="1"/>
  <c r="G201" i="4"/>
  <c r="D201" i="4"/>
  <c r="C201" i="4"/>
  <c r="B201" i="4"/>
  <c r="J200" i="4"/>
  <c r="I200" i="4"/>
  <c r="G200" i="4"/>
  <c r="D200" i="4"/>
  <c r="C200" i="4"/>
  <c r="B200" i="4"/>
  <c r="I199" i="4"/>
  <c r="J199" i="4" s="1"/>
  <c r="G199" i="4"/>
  <c r="D199" i="4"/>
  <c r="C199" i="4"/>
  <c r="B199" i="4"/>
  <c r="J198" i="4"/>
  <c r="I198" i="4"/>
  <c r="G198" i="4"/>
  <c r="D198" i="4"/>
  <c r="C198" i="4"/>
  <c r="B198" i="4"/>
  <c r="I197" i="4"/>
  <c r="J197" i="4" s="1"/>
  <c r="G197" i="4"/>
  <c r="D197" i="4"/>
  <c r="C197" i="4"/>
  <c r="B197" i="4"/>
  <c r="J196" i="4"/>
  <c r="I196" i="4"/>
  <c r="G196" i="4"/>
  <c r="D196" i="4"/>
  <c r="C196" i="4"/>
  <c r="B196" i="4"/>
  <c r="I195" i="4"/>
  <c r="J195" i="4" s="1"/>
  <c r="G195" i="4"/>
  <c r="D195" i="4"/>
  <c r="C195" i="4"/>
  <c r="B195" i="4"/>
  <c r="I194" i="4"/>
  <c r="J194" i="4" s="1"/>
  <c r="G194" i="4"/>
  <c r="D194" i="4"/>
  <c r="C194" i="4"/>
  <c r="B194" i="4"/>
  <c r="I193" i="4"/>
  <c r="J193" i="4" s="1"/>
  <c r="G193" i="4"/>
  <c r="D193" i="4"/>
  <c r="C193" i="4"/>
  <c r="B193" i="4"/>
  <c r="J192" i="4"/>
  <c r="I192" i="4"/>
  <c r="G192" i="4"/>
  <c r="D192" i="4"/>
  <c r="C192" i="4"/>
  <c r="B192" i="4"/>
  <c r="J191" i="4"/>
  <c r="I191" i="4"/>
  <c r="G191" i="4"/>
  <c r="D191" i="4"/>
  <c r="C191" i="4"/>
  <c r="B191" i="4"/>
  <c r="I190" i="4"/>
  <c r="J190" i="4" s="1"/>
  <c r="G190" i="4"/>
  <c r="D190" i="4"/>
  <c r="C190" i="4"/>
  <c r="B190" i="4"/>
  <c r="I189" i="4"/>
  <c r="J189" i="4" s="1"/>
  <c r="G189" i="4"/>
  <c r="D189" i="4"/>
  <c r="C189" i="4"/>
  <c r="B189" i="4"/>
  <c r="I188" i="4"/>
  <c r="J188" i="4" s="1"/>
  <c r="G188" i="4"/>
  <c r="D188" i="4"/>
  <c r="C188" i="4"/>
  <c r="B188" i="4"/>
  <c r="J187" i="4"/>
  <c r="I187" i="4"/>
  <c r="G187" i="4"/>
  <c r="D187" i="4"/>
  <c r="C187" i="4"/>
  <c r="B187" i="4"/>
  <c r="J186" i="4"/>
  <c r="I186" i="4"/>
  <c r="G186" i="4"/>
  <c r="D186" i="4"/>
  <c r="C186" i="4"/>
  <c r="B186" i="4"/>
  <c r="I185" i="4"/>
  <c r="J185" i="4" s="1"/>
  <c r="G185" i="4"/>
  <c r="D185" i="4"/>
  <c r="C185" i="4"/>
  <c r="B185" i="4"/>
  <c r="J184" i="4"/>
  <c r="I184" i="4"/>
  <c r="G184" i="4"/>
  <c r="D184" i="4"/>
  <c r="C184" i="4"/>
  <c r="B184" i="4"/>
  <c r="I183" i="4"/>
  <c r="J183" i="4" s="1"/>
  <c r="G183" i="4"/>
  <c r="D183" i="4"/>
  <c r="C183" i="4"/>
  <c r="B183" i="4"/>
  <c r="I182" i="4"/>
  <c r="J182" i="4" s="1"/>
  <c r="G182" i="4"/>
  <c r="D182" i="4"/>
  <c r="C182" i="4"/>
  <c r="B182" i="4"/>
  <c r="I181" i="4"/>
  <c r="J181" i="4" s="1"/>
  <c r="G181" i="4"/>
  <c r="D181" i="4"/>
  <c r="C181" i="4"/>
  <c r="B181" i="4"/>
  <c r="J180" i="4"/>
  <c r="I180" i="4"/>
  <c r="G180" i="4"/>
  <c r="D180" i="4"/>
  <c r="C180" i="4"/>
  <c r="B180" i="4"/>
  <c r="I179" i="4"/>
  <c r="J179" i="4" s="1"/>
  <c r="G179" i="4"/>
  <c r="D179" i="4"/>
  <c r="C179" i="4"/>
  <c r="B179" i="4"/>
  <c r="I178" i="4"/>
  <c r="J178" i="4" s="1"/>
  <c r="G178" i="4"/>
  <c r="D178" i="4"/>
  <c r="C178" i="4"/>
  <c r="B178" i="4"/>
  <c r="J177" i="4"/>
  <c r="I177" i="4"/>
  <c r="G177" i="4"/>
  <c r="D177" i="4"/>
  <c r="C177" i="4"/>
  <c r="B177" i="4"/>
  <c r="J176" i="4"/>
  <c r="I176" i="4"/>
  <c r="G176" i="4"/>
  <c r="D176" i="4"/>
  <c r="C176" i="4"/>
  <c r="B176" i="4"/>
  <c r="I175" i="4"/>
  <c r="J175" i="4" s="1"/>
  <c r="G175" i="4"/>
  <c r="D175" i="4"/>
  <c r="C175" i="4"/>
  <c r="B175" i="4"/>
  <c r="I174" i="4"/>
  <c r="J174" i="4" s="1"/>
  <c r="G174" i="4"/>
  <c r="D174" i="4"/>
  <c r="C174" i="4"/>
  <c r="B174" i="4"/>
  <c r="J173" i="4"/>
  <c r="I173" i="4"/>
  <c r="G173" i="4"/>
  <c r="D173" i="4"/>
  <c r="C173" i="4"/>
  <c r="B173" i="4"/>
  <c r="J172" i="4"/>
  <c r="I172" i="4"/>
  <c r="G172" i="4"/>
  <c r="D172" i="4"/>
  <c r="C172" i="4"/>
  <c r="B172" i="4"/>
  <c r="I171" i="4"/>
  <c r="J171" i="4" s="1"/>
  <c r="G171" i="4"/>
  <c r="D171" i="4"/>
  <c r="C171" i="4"/>
  <c r="B171" i="4"/>
  <c r="J170" i="4"/>
  <c r="I170" i="4"/>
  <c r="G170" i="4"/>
  <c r="D170" i="4"/>
  <c r="C170" i="4"/>
  <c r="B170" i="4"/>
  <c r="J169" i="4"/>
  <c r="I169" i="4"/>
  <c r="G169" i="4"/>
  <c r="D169" i="4"/>
  <c r="C169" i="4"/>
  <c r="B169" i="4"/>
  <c r="J168" i="4"/>
  <c r="I168" i="4"/>
  <c r="G168" i="4"/>
  <c r="D168" i="4"/>
  <c r="C168" i="4"/>
  <c r="B168" i="4"/>
  <c r="I167" i="4"/>
  <c r="J167" i="4" s="1"/>
  <c r="G167" i="4"/>
  <c r="D167" i="4"/>
  <c r="C167" i="4"/>
  <c r="B167" i="4"/>
  <c r="J166" i="4"/>
  <c r="I166" i="4"/>
  <c r="G166" i="4"/>
  <c r="D166" i="4"/>
  <c r="C166" i="4"/>
  <c r="B166" i="4"/>
  <c r="I165" i="4"/>
  <c r="J165" i="4" s="1"/>
  <c r="G165" i="4"/>
  <c r="D165" i="4"/>
  <c r="C165" i="4"/>
  <c r="B165" i="4"/>
  <c r="J164" i="4"/>
  <c r="I164" i="4"/>
  <c r="G164" i="4"/>
  <c r="D164" i="4"/>
  <c r="C164" i="4"/>
  <c r="B164" i="4"/>
  <c r="I163" i="4"/>
  <c r="J163" i="4" s="1"/>
  <c r="G163" i="4"/>
  <c r="D163" i="4"/>
  <c r="C163" i="4"/>
  <c r="B163" i="4"/>
  <c r="J162" i="4"/>
  <c r="I162" i="4"/>
  <c r="G162" i="4"/>
  <c r="D162" i="4"/>
  <c r="C162" i="4"/>
  <c r="B162" i="4"/>
  <c r="J161" i="4"/>
  <c r="I161" i="4"/>
  <c r="G161" i="4"/>
  <c r="D161" i="4"/>
  <c r="C161" i="4"/>
  <c r="B161" i="4"/>
  <c r="J160" i="4"/>
  <c r="I160" i="4"/>
  <c r="G160" i="4"/>
  <c r="D160" i="4"/>
  <c r="C160" i="4"/>
  <c r="B160" i="4"/>
  <c r="I159" i="4"/>
  <c r="J159" i="4" s="1"/>
  <c r="G159" i="4"/>
  <c r="D159" i="4"/>
  <c r="C159" i="4"/>
  <c r="B159" i="4"/>
  <c r="I158" i="4"/>
  <c r="J158" i="4" s="1"/>
  <c r="G158" i="4"/>
  <c r="D158" i="4"/>
  <c r="C158" i="4"/>
  <c r="B158" i="4"/>
  <c r="I157" i="4"/>
  <c r="J157" i="4" s="1"/>
  <c r="G157" i="4"/>
  <c r="D157" i="4"/>
  <c r="C157" i="4"/>
  <c r="B157" i="4"/>
  <c r="J156" i="4"/>
  <c r="I156" i="4"/>
  <c r="G156" i="4"/>
  <c r="D156" i="4"/>
  <c r="C156" i="4"/>
  <c r="B156" i="4"/>
  <c r="I155" i="4"/>
  <c r="J155" i="4" s="1"/>
  <c r="G155" i="4"/>
  <c r="D155" i="4"/>
  <c r="C155" i="4"/>
  <c r="B155" i="4"/>
  <c r="J154" i="4"/>
  <c r="I154" i="4"/>
  <c r="G154" i="4"/>
  <c r="D154" i="4"/>
  <c r="C154" i="4"/>
  <c r="B154" i="4"/>
  <c r="I153" i="4"/>
  <c r="J153" i="4" s="1"/>
  <c r="G153" i="4"/>
  <c r="D153" i="4"/>
  <c r="C153" i="4"/>
  <c r="B153" i="4"/>
  <c r="J152" i="4"/>
  <c r="I152" i="4"/>
  <c r="G152" i="4"/>
  <c r="D152" i="4"/>
  <c r="C152" i="4"/>
  <c r="B152" i="4"/>
  <c r="I151" i="4"/>
  <c r="J151" i="4" s="1"/>
  <c r="G151" i="4"/>
  <c r="D151" i="4"/>
  <c r="C151" i="4"/>
  <c r="B151" i="4"/>
  <c r="I150" i="4"/>
  <c r="J150" i="4" s="1"/>
  <c r="G150" i="4"/>
  <c r="D150" i="4"/>
  <c r="C150" i="4"/>
  <c r="B150" i="4"/>
  <c r="I149" i="4"/>
  <c r="J149" i="4" s="1"/>
  <c r="G149" i="4"/>
  <c r="D149" i="4"/>
  <c r="C149" i="4"/>
  <c r="B149" i="4"/>
  <c r="J148" i="4"/>
  <c r="I148" i="4"/>
  <c r="G148" i="4"/>
  <c r="D148" i="4"/>
  <c r="C148" i="4"/>
  <c r="B148" i="4"/>
  <c r="I147" i="4"/>
  <c r="J147" i="4" s="1"/>
  <c r="G147" i="4"/>
  <c r="D147" i="4"/>
  <c r="C147" i="4"/>
  <c r="B147" i="4"/>
  <c r="I146" i="4"/>
  <c r="J146" i="4" s="1"/>
  <c r="G146" i="4"/>
  <c r="D146" i="4"/>
  <c r="C146" i="4"/>
  <c r="B146" i="4"/>
  <c r="J145" i="4"/>
  <c r="I145" i="4"/>
  <c r="G145" i="4"/>
  <c r="D145" i="4"/>
  <c r="C145" i="4"/>
  <c r="B145" i="4"/>
  <c r="J144" i="4"/>
  <c r="I144" i="4"/>
  <c r="G144" i="4"/>
  <c r="D144" i="4"/>
  <c r="C144" i="4"/>
  <c r="B144" i="4"/>
  <c r="I143" i="4"/>
  <c r="J143" i="4" s="1"/>
  <c r="G143" i="4"/>
  <c r="D143" i="4"/>
  <c r="C143" i="4"/>
  <c r="B143" i="4"/>
  <c r="I142" i="4"/>
  <c r="J142" i="4" s="1"/>
  <c r="G142" i="4"/>
  <c r="D142" i="4"/>
  <c r="C142" i="4"/>
  <c r="B142" i="4"/>
  <c r="J141" i="4"/>
  <c r="I141" i="4"/>
  <c r="G141" i="4"/>
  <c r="D141" i="4"/>
  <c r="C141" i="4"/>
  <c r="B141" i="4"/>
  <c r="J140" i="4"/>
  <c r="I140" i="4"/>
  <c r="G140" i="4"/>
  <c r="D140" i="4"/>
  <c r="C140" i="4"/>
  <c r="B140" i="4"/>
  <c r="I139" i="4"/>
  <c r="J139" i="4" s="1"/>
  <c r="G139" i="4"/>
  <c r="D139" i="4"/>
  <c r="C139" i="4"/>
  <c r="B139" i="4"/>
  <c r="J138" i="4"/>
  <c r="I138" i="4"/>
  <c r="G138" i="4"/>
  <c r="D138" i="4"/>
  <c r="C138" i="4"/>
  <c r="B138" i="4"/>
  <c r="J137" i="4"/>
  <c r="I137" i="4"/>
  <c r="G137" i="4"/>
  <c r="D137" i="4"/>
  <c r="C137" i="4"/>
  <c r="B137" i="4"/>
  <c r="J136" i="4"/>
  <c r="I136" i="4"/>
  <c r="G136" i="4"/>
  <c r="D136" i="4"/>
  <c r="C136" i="4"/>
  <c r="B136" i="4"/>
  <c r="I135" i="4"/>
  <c r="J135" i="4" s="1"/>
  <c r="G135" i="4"/>
  <c r="D135" i="4"/>
  <c r="C135" i="4"/>
  <c r="B135" i="4"/>
  <c r="J134" i="4"/>
  <c r="I134" i="4"/>
  <c r="G134" i="4"/>
  <c r="D134" i="4"/>
  <c r="C134" i="4"/>
  <c r="B134" i="4"/>
  <c r="I133" i="4"/>
  <c r="J133" i="4" s="1"/>
  <c r="G133" i="4"/>
  <c r="D133" i="4"/>
  <c r="C133" i="4"/>
  <c r="B133" i="4"/>
  <c r="J132" i="4"/>
  <c r="I132" i="4"/>
  <c r="G132" i="4"/>
  <c r="D132" i="4"/>
  <c r="C132" i="4"/>
  <c r="B132" i="4"/>
  <c r="I131" i="4"/>
  <c r="J131" i="4" s="1"/>
  <c r="G131" i="4"/>
  <c r="D131" i="4"/>
  <c r="C131" i="4"/>
  <c r="B131" i="4"/>
  <c r="J130" i="4"/>
  <c r="I130" i="4"/>
  <c r="G130" i="4"/>
  <c r="D130" i="4"/>
  <c r="C130" i="4"/>
  <c r="B130" i="4"/>
  <c r="J129" i="4"/>
  <c r="I129" i="4"/>
  <c r="G129" i="4"/>
  <c r="D129" i="4"/>
  <c r="C129" i="4"/>
  <c r="B129" i="4"/>
  <c r="J128" i="4"/>
  <c r="I128" i="4"/>
  <c r="G128" i="4"/>
  <c r="D128" i="4"/>
  <c r="C128" i="4"/>
  <c r="B128" i="4"/>
  <c r="I127" i="4"/>
  <c r="J127" i="4" s="1"/>
  <c r="G127" i="4"/>
  <c r="D127" i="4"/>
  <c r="C127" i="4"/>
  <c r="B127" i="4"/>
  <c r="I126" i="4"/>
  <c r="J126" i="4" s="1"/>
  <c r="G126" i="4"/>
  <c r="D126" i="4"/>
  <c r="C126" i="4"/>
  <c r="B126" i="4"/>
  <c r="I125" i="4"/>
  <c r="J125" i="4" s="1"/>
  <c r="G125" i="4"/>
  <c r="D125" i="4"/>
  <c r="C125" i="4"/>
  <c r="B125" i="4"/>
  <c r="J124" i="4"/>
  <c r="I124" i="4"/>
  <c r="G124" i="4"/>
  <c r="D124" i="4"/>
  <c r="C124" i="4"/>
  <c r="B124" i="4"/>
  <c r="I123" i="4"/>
  <c r="J123" i="4" s="1"/>
  <c r="G123" i="4"/>
  <c r="D123" i="4"/>
  <c r="C123" i="4"/>
  <c r="B123" i="4"/>
  <c r="J122" i="4"/>
  <c r="I122" i="4"/>
  <c r="G122" i="4"/>
  <c r="D122" i="4"/>
  <c r="C122" i="4"/>
  <c r="B122" i="4"/>
  <c r="I121" i="4"/>
  <c r="J121" i="4" s="1"/>
  <c r="G121" i="4"/>
  <c r="D121" i="4"/>
  <c r="C121" i="4"/>
  <c r="B121" i="4"/>
  <c r="J120" i="4"/>
  <c r="I120" i="4"/>
  <c r="G120" i="4"/>
  <c r="D120" i="4"/>
  <c r="C120" i="4"/>
  <c r="B120" i="4"/>
  <c r="I119" i="4"/>
  <c r="J119" i="4" s="1"/>
  <c r="G119" i="4"/>
  <c r="D119" i="4"/>
  <c r="C119" i="4"/>
  <c r="B119" i="4"/>
  <c r="I118" i="4"/>
  <c r="J118" i="4" s="1"/>
  <c r="G118" i="4"/>
  <c r="D118" i="4"/>
  <c r="C118" i="4"/>
  <c r="B118" i="4"/>
  <c r="I117" i="4"/>
  <c r="J117" i="4" s="1"/>
  <c r="G117" i="4"/>
  <c r="D117" i="4"/>
  <c r="C117" i="4"/>
  <c r="B117" i="4"/>
  <c r="J116" i="4"/>
  <c r="I116" i="4"/>
  <c r="G116" i="4"/>
  <c r="D116" i="4"/>
  <c r="C116" i="4"/>
  <c r="B116" i="4"/>
  <c r="I115" i="4"/>
  <c r="J115" i="4" s="1"/>
  <c r="G115" i="4"/>
  <c r="D115" i="4"/>
  <c r="C115" i="4"/>
  <c r="B115" i="4"/>
  <c r="I114" i="4"/>
  <c r="J114" i="4" s="1"/>
  <c r="G114" i="4"/>
  <c r="D114" i="4"/>
  <c r="C114" i="4"/>
  <c r="B114" i="4"/>
  <c r="J113" i="4"/>
  <c r="I113" i="4"/>
  <c r="G113" i="4"/>
  <c r="D113" i="4"/>
  <c r="C113" i="4"/>
  <c r="B113" i="4"/>
  <c r="J112" i="4"/>
  <c r="I112" i="4"/>
  <c r="G112" i="4"/>
  <c r="D112" i="4"/>
  <c r="C112" i="4"/>
  <c r="B112" i="4"/>
  <c r="I111" i="4"/>
  <c r="J111" i="4" s="1"/>
  <c r="G111" i="4"/>
  <c r="D111" i="4"/>
  <c r="C111" i="4"/>
  <c r="B111" i="4"/>
  <c r="I110" i="4"/>
  <c r="J110" i="4" s="1"/>
  <c r="G110" i="4"/>
  <c r="D110" i="4"/>
  <c r="C110" i="4"/>
  <c r="B110" i="4"/>
  <c r="J109" i="4"/>
  <c r="I109" i="4"/>
  <c r="G109" i="4"/>
  <c r="D109" i="4"/>
  <c r="C109" i="4"/>
  <c r="B109" i="4"/>
  <c r="J108" i="4"/>
  <c r="I108" i="4"/>
  <c r="G108" i="4"/>
  <c r="D108" i="4"/>
  <c r="C108" i="4"/>
  <c r="B108" i="4"/>
  <c r="I107" i="4"/>
  <c r="J107" i="4" s="1"/>
  <c r="G107" i="4"/>
  <c r="D107" i="4"/>
  <c r="C107" i="4"/>
  <c r="B107" i="4"/>
  <c r="J106" i="4"/>
  <c r="I106" i="4"/>
  <c r="G106" i="4"/>
  <c r="D106" i="4"/>
  <c r="C106" i="4"/>
  <c r="B106" i="4"/>
  <c r="J105" i="4"/>
  <c r="I105" i="4"/>
  <c r="G105" i="4"/>
  <c r="D105" i="4"/>
  <c r="C105" i="4"/>
  <c r="B105" i="4"/>
  <c r="J104" i="4"/>
  <c r="I104" i="4"/>
  <c r="G104" i="4"/>
  <c r="D104" i="4"/>
  <c r="C104" i="4"/>
  <c r="B104" i="4"/>
  <c r="I103" i="4"/>
  <c r="J103" i="4" s="1"/>
  <c r="G103" i="4"/>
  <c r="D103" i="4"/>
  <c r="C103" i="4"/>
  <c r="B103" i="4"/>
  <c r="J102" i="4"/>
  <c r="I102" i="4"/>
  <c r="G102" i="4"/>
  <c r="D102" i="4"/>
  <c r="C102" i="4"/>
  <c r="B102" i="4"/>
  <c r="I101" i="4"/>
  <c r="J101" i="4" s="1"/>
  <c r="G101" i="4"/>
  <c r="D101" i="4"/>
  <c r="C101" i="4"/>
  <c r="B101" i="4"/>
  <c r="J100" i="4"/>
  <c r="I100" i="4"/>
  <c r="G100" i="4"/>
  <c r="D100" i="4"/>
  <c r="C100" i="4"/>
  <c r="B100" i="4"/>
  <c r="I99" i="4"/>
  <c r="J99" i="4" s="1"/>
  <c r="G99" i="4"/>
  <c r="D99" i="4"/>
  <c r="C99" i="4"/>
  <c r="B99" i="4"/>
  <c r="J98" i="4"/>
  <c r="I98" i="4"/>
  <c r="G98" i="4"/>
  <c r="D98" i="4"/>
  <c r="C98" i="4"/>
  <c r="B98" i="4"/>
  <c r="J97" i="4"/>
  <c r="I97" i="4"/>
  <c r="G97" i="4"/>
  <c r="D97" i="4"/>
  <c r="C97" i="4"/>
  <c r="B97" i="4"/>
  <c r="J96" i="4"/>
  <c r="I96" i="4"/>
  <c r="G96" i="4"/>
  <c r="D96" i="4"/>
  <c r="C96" i="4"/>
  <c r="B96" i="4"/>
  <c r="I95" i="4"/>
  <c r="J95" i="4" s="1"/>
  <c r="G95" i="4"/>
  <c r="D95" i="4"/>
  <c r="C95" i="4"/>
  <c r="B95" i="4"/>
  <c r="I94" i="4"/>
  <c r="J94" i="4" s="1"/>
  <c r="G94" i="4"/>
  <c r="D94" i="4"/>
  <c r="C94" i="4"/>
  <c r="B94" i="4"/>
  <c r="I93" i="4"/>
  <c r="J93" i="4" s="1"/>
  <c r="G93" i="4"/>
  <c r="D93" i="4"/>
  <c r="C93" i="4"/>
  <c r="B93" i="4"/>
  <c r="J92" i="4"/>
  <c r="I92" i="4"/>
  <c r="G92" i="4"/>
  <c r="D92" i="4"/>
  <c r="C92" i="4"/>
  <c r="B92" i="4"/>
  <c r="I91" i="4"/>
  <c r="J91" i="4" s="1"/>
  <c r="G91" i="4"/>
  <c r="D91" i="4"/>
  <c r="C91" i="4"/>
  <c r="B91" i="4"/>
  <c r="J90" i="4"/>
  <c r="I90" i="4"/>
  <c r="G90" i="4"/>
  <c r="D90" i="4"/>
  <c r="C90" i="4"/>
  <c r="B90" i="4"/>
  <c r="I89" i="4"/>
  <c r="J89" i="4" s="1"/>
  <c r="G89" i="4"/>
  <c r="D89" i="4"/>
  <c r="C89" i="4"/>
  <c r="B89" i="4"/>
  <c r="J88" i="4"/>
  <c r="I88" i="4"/>
  <c r="G88" i="4"/>
  <c r="D88" i="4"/>
  <c r="C88" i="4"/>
  <c r="B88" i="4"/>
  <c r="I87" i="4"/>
  <c r="J87" i="4" s="1"/>
  <c r="G87" i="4"/>
  <c r="D87" i="4"/>
  <c r="C87" i="4"/>
  <c r="B87" i="4"/>
  <c r="I86" i="4"/>
  <c r="J86" i="4" s="1"/>
  <c r="G86" i="4"/>
  <c r="D86" i="4"/>
  <c r="C86" i="4"/>
  <c r="B86" i="4"/>
  <c r="I85" i="4"/>
  <c r="J85" i="4" s="1"/>
  <c r="G85" i="4"/>
  <c r="D85" i="4"/>
  <c r="C85" i="4"/>
  <c r="B85" i="4"/>
  <c r="J84" i="4"/>
  <c r="I84" i="4"/>
  <c r="G84" i="4"/>
  <c r="D84" i="4"/>
  <c r="C84" i="4"/>
  <c r="B84" i="4"/>
  <c r="I83" i="4"/>
  <c r="J83" i="4" s="1"/>
  <c r="G83" i="4"/>
  <c r="D83" i="4"/>
  <c r="C83" i="4"/>
  <c r="B83" i="4"/>
  <c r="I82" i="4"/>
  <c r="J82" i="4" s="1"/>
  <c r="G82" i="4"/>
  <c r="D82" i="4"/>
  <c r="C82" i="4"/>
  <c r="B82" i="4"/>
  <c r="J81" i="4"/>
  <c r="I81" i="4"/>
  <c r="G81" i="4"/>
  <c r="D81" i="4"/>
  <c r="C81" i="4"/>
  <c r="B81" i="4"/>
  <c r="J80" i="4"/>
  <c r="I80" i="4"/>
  <c r="G80" i="4"/>
  <c r="D80" i="4"/>
  <c r="C80" i="4"/>
  <c r="B80" i="4"/>
  <c r="I79" i="4"/>
  <c r="J79" i="4" s="1"/>
  <c r="G79" i="4"/>
  <c r="D79" i="4"/>
  <c r="C79" i="4"/>
  <c r="B79" i="4"/>
  <c r="I78" i="4"/>
  <c r="J78" i="4" s="1"/>
  <c r="G78" i="4"/>
  <c r="D78" i="4"/>
  <c r="C78" i="4"/>
  <c r="B78" i="4"/>
  <c r="J77" i="4"/>
  <c r="I77" i="4"/>
  <c r="G77" i="4"/>
  <c r="D77" i="4"/>
  <c r="C77" i="4"/>
  <c r="B77" i="4"/>
  <c r="J76" i="4"/>
  <c r="I76" i="4"/>
  <c r="G76" i="4"/>
  <c r="D76" i="4"/>
  <c r="C76" i="4"/>
  <c r="B76" i="4"/>
  <c r="I75" i="4"/>
  <c r="J75" i="4" s="1"/>
  <c r="G75" i="4"/>
  <c r="D75" i="4"/>
  <c r="C75" i="4"/>
  <c r="B75" i="4"/>
  <c r="J74" i="4"/>
  <c r="I74" i="4"/>
  <c r="G74" i="4"/>
  <c r="D74" i="4"/>
  <c r="C74" i="4"/>
  <c r="B74" i="4"/>
  <c r="J73" i="4"/>
  <c r="I73" i="4"/>
  <c r="G73" i="4"/>
  <c r="D73" i="4"/>
  <c r="C73" i="4"/>
  <c r="B73" i="4"/>
  <c r="J72" i="4"/>
  <c r="I72" i="4"/>
  <c r="G72" i="4"/>
  <c r="D72" i="4"/>
  <c r="C72" i="4"/>
  <c r="B72" i="4"/>
  <c r="I71" i="4"/>
  <c r="J71" i="4" s="1"/>
  <c r="G71" i="4"/>
  <c r="D71" i="4"/>
  <c r="C71" i="4"/>
  <c r="B71" i="4"/>
  <c r="J70" i="4"/>
  <c r="I70" i="4"/>
  <c r="G70" i="4"/>
  <c r="D70" i="4"/>
  <c r="C70" i="4"/>
  <c r="B70" i="4"/>
  <c r="I69" i="4"/>
  <c r="J69" i="4" s="1"/>
  <c r="G69" i="4"/>
  <c r="D69" i="4"/>
  <c r="C69" i="4"/>
  <c r="B69" i="4"/>
  <c r="J68" i="4"/>
  <c r="I68" i="4"/>
  <c r="G68" i="4"/>
  <c r="D68" i="4"/>
  <c r="C68" i="4"/>
  <c r="B68" i="4"/>
  <c r="I67" i="4"/>
  <c r="J67" i="4" s="1"/>
  <c r="G67" i="4"/>
  <c r="D67" i="4"/>
  <c r="C67" i="4"/>
  <c r="B67" i="4"/>
  <c r="J66" i="4"/>
  <c r="I66" i="4"/>
  <c r="G66" i="4"/>
  <c r="D66" i="4"/>
  <c r="C66" i="4"/>
  <c r="B66" i="4"/>
  <c r="J65" i="4"/>
  <c r="I65" i="4"/>
  <c r="G65" i="4"/>
  <c r="D65" i="4"/>
  <c r="C65" i="4"/>
  <c r="B65" i="4"/>
  <c r="J64" i="4"/>
  <c r="I64" i="4"/>
  <c r="G64" i="4"/>
  <c r="D64" i="4"/>
  <c r="C64" i="4"/>
  <c r="B64" i="4"/>
  <c r="I63" i="4"/>
  <c r="J63" i="4" s="1"/>
  <c r="G63" i="4"/>
  <c r="D63" i="4"/>
  <c r="C63" i="4"/>
  <c r="B63" i="4"/>
  <c r="I62" i="4"/>
  <c r="J62" i="4" s="1"/>
  <c r="G62" i="4"/>
  <c r="D62" i="4"/>
  <c r="C62" i="4"/>
  <c r="B62" i="4"/>
  <c r="I61" i="4"/>
  <c r="J61" i="4" s="1"/>
  <c r="G61" i="4"/>
  <c r="D61" i="4"/>
  <c r="C61" i="4"/>
  <c r="B61" i="4"/>
  <c r="J60" i="4"/>
  <c r="I60" i="4"/>
  <c r="G60" i="4"/>
  <c r="D60" i="4"/>
  <c r="C60" i="4"/>
  <c r="B60" i="4"/>
  <c r="I59" i="4"/>
  <c r="J59" i="4" s="1"/>
  <c r="G59" i="4"/>
  <c r="D59" i="4"/>
  <c r="C59" i="4"/>
  <c r="B59" i="4"/>
  <c r="J58" i="4"/>
  <c r="I58" i="4"/>
  <c r="G58" i="4"/>
  <c r="D58" i="4"/>
  <c r="C58" i="4"/>
  <c r="B58" i="4"/>
  <c r="I57" i="4"/>
  <c r="J57" i="4" s="1"/>
  <c r="G57" i="4"/>
  <c r="D57" i="4"/>
  <c r="C57" i="4"/>
  <c r="B57" i="4"/>
  <c r="J56" i="4"/>
  <c r="I56" i="4"/>
  <c r="G56" i="4"/>
  <c r="D56" i="4"/>
  <c r="C56" i="4"/>
  <c r="B56" i="4"/>
  <c r="I55" i="4"/>
  <c r="J55" i="4" s="1"/>
  <c r="G55" i="4"/>
  <c r="D55" i="4"/>
  <c r="C55" i="4"/>
  <c r="B55" i="4"/>
  <c r="I54" i="4"/>
  <c r="J54" i="4" s="1"/>
  <c r="G54" i="4"/>
  <c r="D54" i="4"/>
  <c r="C54" i="4"/>
  <c r="B54" i="4"/>
  <c r="I53" i="4"/>
  <c r="J53" i="4" s="1"/>
  <c r="G53" i="4"/>
  <c r="D53" i="4"/>
  <c r="C53" i="4"/>
  <c r="B53" i="4"/>
  <c r="J52" i="4"/>
  <c r="I52" i="4"/>
  <c r="G52" i="4"/>
  <c r="D52" i="4"/>
  <c r="C52" i="4"/>
  <c r="B52" i="4"/>
  <c r="I51" i="4"/>
  <c r="J51" i="4" s="1"/>
  <c r="G51" i="4"/>
  <c r="D51" i="4"/>
  <c r="C51" i="4"/>
  <c r="B51" i="4"/>
  <c r="I50" i="4"/>
  <c r="J50" i="4" s="1"/>
  <c r="G50" i="4"/>
  <c r="D50" i="4"/>
  <c r="C50" i="4"/>
  <c r="B50" i="4"/>
  <c r="J49" i="4"/>
  <c r="I49" i="4"/>
  <c r="G49" i="4"/>
  <c r="D49" i="4"/>
  <c r="C49" i="4"/>
  <c r="B49" i="4"/>
  <c r="J48" i="4"/>
  <c r="I48" i="4"/>
  <c r="G48" i="4"/>
  <c r="D48" i="4"/>
  <c r="C48" i="4"/>
  <c r="B48" i="4"/>
  <c r="I47" i="4"/>
  <c r="J47" i="4" s="1"/>
  <c r="G47" i="4"/>
  <c r="D47" i="4"/>
  <c r="C47" i="4"/>
  <c r="B47" i="4"/>
  <c r="I46" i="4"/>
  <c r="J46" i="4" s="1"/>
  <c r="G46" i="4"/>
  <c r="D46" i="4"/>
  <c r="C46" i="4"/>
  <c r="B46" i="4"/>
  <c r="J45" i="4"/>
  <c r="I45" i="4"/>
  <c r="G45" i="4"/>
  <c r="D45" i="4"/>
  <c r="C45" i="4"/>
  <c r="B45" i="4"/>
  <c r="J44" i="4"/>
  <c r="I44" i="4"/>
  <c r="G44" i="4"/>
  <c r="D44" i="4"/>
  <c r="C44" i="4"/>
  <c r="B44" i="4"/>
  <c r="I43" i="4"/>
  <c r="J43" i="4" s="1"/>
  <c r="G43" i="4"/>
  <c r="D43" i="4"/>
  <c r="C43" i="4"/>
  <c r="B43" i="4"/>
  <c r="J42" i="4"/>
  <c r="I42" i="4"/>
  <c r="G42" i="4"/>
  <c r="D42" i="4"/>
  <c r="C42" i="4"/>
  <c r="B42" i="4"/>
  <c r="J41" i="4"/>
  <c r="I41" i="4"/>
  <c r="G41" i="4"/>
  <c r="D41" i="4"/>
  <c r="C41" i="4"/>
  <c r="B41" i="4"/>
  <c r="J40" i="4"/>
  <c r="I40" i="4"/>
  <c r="G40" i="4"/>
  <c r="D40" i="4"/>
  <c r="C40" i="4"/>
  <c r="B40" i="4"/>
  <c r="I39" i="4"/>
  <c r="J39" i="4" s="1"/>
  <c r="G39" i="4"/>
  <c r="D39" i="4"/>
  <c r="C39" i="4"/>
  <c r="B39" i="4"/>
  <c r="J38" i="4"/>
  <c r="I38" i="4"/>
  <c r="G38" i="4"/>
  <c r="D38" i="4"/>
  <c r="C38" i="4"/>
  <c r="B38" i="4"/>
  <c r="I37" i="4"/>
  <c r="J37" i="4" s="1"/>
  <c r="G37" i="4"/>
  <c r="D37" i="4"/>
  <c r="C37" i="4"/>
  <c r="B37" i="4"/>
  <c r="J36" i="4"/>
  <c r="I36" i="4"/>
  <c r="G36" i="4"/>
  <c r="D36" i="4"/>
  <c r="C36" i="4"/>
  <c r="B36" i="4"/>
  <c r="I35" i="4"/>
  <c r="J35" i="4" s="1"/>
  <c r="G35" i="4"/>
  <c r="D35" i="4"/>
  <c r="C35" i="4"/>
  <c r="B35" i="4"/>
  <c r="J34" i="4"/>
  <c r="I34" i="4"/>
  <c r="G34" i="4"/>
  <c r="D34" i="4"/>
  <c r="C34" i="4"/>
  <c r="B34" i="4"/>
  <c r="J33" i="4"/>
  <c r="I33" i="4"/>
  <c r="G33" i="4"/>
  <c r="D33" i="4"/>
  <c r="C33" i="4"/>
  <c r="B33" i="4"/>
  <c r="J32" i="4"/>
  <c r="I32" i="4"/>
  <c r="G32" i="4"/>
  <c r="D32" i="4"/>
  <c r="C32" i="4"/>
  <c r="B32" i="4"/>
  <c r="I31" i="4"/>
  <c r="J31" i="4" s="1"/>
  <c r="G31" i="4"/>
  <c r="D31" i="4"/>
  <c r="C31" i="4"/>
  <c r="B31" i="4"/>
  <c r="I30" i="4"/>
  <c r="J30" i="4" s="1"/>
  <c r="G30" i="4"/>
  <c r="D30" i="4"/>
  <c r="C30" i="4"/>
  <c r="B30" i="4"/>
  <c r="I29" i="4"/>
  <c r="J29" i="4" s="1"/>
  <c r="G29" i="4"/>
  <c r="D29" i="4"/>
  <c r="C29" i="4"/>
  <c r="B29" i="4"/>
  <c r="J28" i="4"/>
  <c r="I28" i="4"/>
  <c r="G28" i="4"/>
  <c r="D28" i="4"/>
  <c r="C28" i="4"/>
  <c r="B28" i="4"/>
  <c r="I27" i="4"/>
  <c r="J27" i="4" s="1"/>
  <c r="G27" i="4"/>
  <c r="D27" i="4"/>
  <c r="C27" i="4"/>
  <c r="B27" i="4"/>
  <c r="J26" i="4"/>
  <c r="I26" i="4"/>
  <c r="G26" i="4"/>
  <c r="D26" i="4"/>
  <c r="C26" i="4"/>
  <c r="B26" i="4"/>
  <c r="I25" i="4"/>
  <c r="J25" i="4" s="1"/>
  <c r="G25" i="4"/>
  <c r="D25" i="4"/>
  <c r="C25" i="4"/>
  <c r="B25" i="4"/>
  <c r="J24" i="4"/>
  <c r="I24" i="4"/>
  <c r="G24" i="4"/>
  <c r="D24" i="4"/>
  <c r="C24" i="4"/>
  <c r="B24" i="4"/>
  <c r="I23" i="4"/>
  <c r="J23" i="4" s="1"/>
  <c r="G23" i="4"/>
  <c r="D23" i="4"/>
  <c r="C23" i="4"/>
  <c r="B23" i="4"/>
  <c r="I22" i="4"/>
  <c r="J22" i="4" s="1"/>
  <c r="G22" i="4"/>
  <c r="D22" i="4"/>
  <c r="C22" i="4"/>
  <c r="B22" i="4"/>
  <c r="I21" i="4"/>
  <c r="J21" i="4" s="1"/>
  <c r="G21" i="4"/>
  <c r="D21" i="4"/>
  <c r="C21" i="4"/>
  <c r="B21" i="4"/>
  <c r="J20" i="4"/>
  <c r="I20" i="4"/>
  <c r="G20" i="4"/>
  <c r="D20" i="4"/>
  <c r="C20" i="4"/>
  <c r="B20" i="4"/>
  <c r="I19" i="4"/>
  <c r="J19" i="4" s="1"/>
  <c r="G19" i="4"/>
  <c r="D19" i="4"/>
  <c r="C19" i="4"/>
  <c r="B19" i="4"/>
  <c r="I18" i="4"/>
  <c r="J18" i="4" s="1"/>
  <c r="G18" i="4"/>
  <c r="D18" i="4"/>
  <c r="C18" i="4"/>
  <c r="B18" i="4"/>
  <c r="J17" i="4"/>
  <c r="I17" i="4"/>
  <c r="G17" i="4"/>
  <c r="D17" i="4"/>
  <c r="C17" i="4"/>
  <c r="B17" i="4"/>
  <c r="J16" i="4"/>
  <c r="I16" i="4"/>
  <c r="G16" i="4"/>
  <c r="D16" i="4"/>
  <c r="C16" i="4"/>
  <c r="B16" i="4"/>
  <c r="I15" i="4"/>
  <c r="J15" i="4" s="1"/>
  <c r="G15" i="4"/>
  <c r="D15" i="4"/>
  <c r="C15" i="4"/>
  <c r="B15" i="4"/>
  <c r="I14" i="4"/>
  <c r="J14" i="4" s="1"/>
  <c r="G14" i="4"/>
  <c r="D14" i="4"/>
  <c r="C14" i="4"/>
  <c r="B14" i="4"/>
  <c r="J13" i="4"/>
  <c r="I13" i="4"/>
  <c r="G13" i="4"/>
  <c r="D13" i="4"/>
  <c r="C13" i="4"/>
  <c r="B13" i="4"/>
  <c r="J12" i="4"/>
  <c r="I12" i="4"/>
  <c r="G12" i="4"/>
  <c r="D12" i="4"/>
  <c r="C12" i="4"/>
  <c r="B12" i="4"/>
  <c r="I11" i="4"/>
  <c r="J11" i="4" s="1"/>
  <c r="G11" i="4"/>
  <c r="D11" i="4"/>
  <c r="C11" i="4"/>
  <c r="B11" i="4"/>
  <c r="D10" i="4"/>
  <c r="C10" i="4"/>
  <c r="I10" i="4" s="1"/>
  <c r="J10" i="4" s="1"/>
  <c r="B10" i="4"/>
  <c r="D9" i="4"/>
  <c r="C9" i="4"/>
  <c r="G9" i="4" s="1"/>
  <c r="B9" i="4"/>
  <c r="J4" i="4"/>
  <c r="G4" i="4"/>
  <c r="D4" i="4"/>
  <c r="A4" i="4"/>
  <c r="H208" i="3"/>
  <c r="I208" i="3" s="1"/>
  <c r="F208" i="3"/>
  <c r="D208" i="3"/>
  <c r="C208" i="3"/>
  <c r="B208" i="3"/>
  <c r="I207" i="3"/>
  <c r="H207" i="3"/>
  <c r="F207" i="3"/>
  <c r="D207" i="3"/>
  <c r="C207" i="3"/>
  <c r="B207" i="3"/>
  <c r="H206" i="3"/>
  <c r="I206" i="3" s="1"/>
  <c r="F206" i="3"/>
  <c r="D206" i="3"/>
  <c r="C206" i="3"/>
  <c r="B206" i="3"/>
  <c r="H205" i="3"/>
  <c r="I205" i="3" s="1"/>
  <c r="F205" i="3"/>
  <c r="D205" i="3"/>
  <c r="C205" i="3"/>
  <c r="B205" i="3"/>
  <c r="H204" i="3"/>
  <c r="I204" i="3" s="1"/>
  <c r="F204" i="3"/>
  <c r="D204" i="3"/>
  <c r="C204" i="3"/>
  <c r="B204" i="3"/>
  <c r="I203" i="3"/>
  <c r="H203" i="3"/>
  <c r="F203" i="3"/>
  <c r="D203" i="3"/>
  <c r="C203" i="3"/>
  <c r="B203" i="3"/>
  <c r="H202" i="3"/>
  <c r="I202" i="3" s="1"/>
  <c r="F202" i="3"/>
  <c r="D202" i="3"/>
  <c r="C202" i="3"/>
  <c r="B202" i="3"/>
  <c r="H201" i="3"/>
  <c r="I201" i="3" s="1"/>
  <c r="F201" i="3"/>
  <c r="D201" i="3"/>
  <c r="C201" i="3"/>
  <c r="B201" i="3"/>
  <c r="H200" i="3"/>
  <c r="I200" i="3" s="1"/>
  <c r="F200" i="3"/>
  <c r="D200" i="3"/>
  <c r="C200" i="3"/>
  <c r="B200" i="3"/>
  <c r="I199" i="3"/>
  <c r="H199" i="3"/>
  <c r="F199" i="3"/>
  <c r="D199" i="3"/>
  <c r="C199" i="3"/>
  <c r="B199" i="3"/>
  <c r="H198" i="3"/>
  <c r="I198" i="3" s="1"/>
  <c r="F198" i="3"/>
  <c r="D198" i="3"/>
  <c r="C198" i="3"/>
  <c r="B198" i="3"/>
  <c r="H197" i="3"/>
  <c r="I197" i="3" s="1"/>
  <c r="F197" i="3"/>
  <c r="D197" i="3"/>
  <c r="C197" i="3"/>
  <c r="B197" i="3"/>
  <c r="H196" i="3"/>
  <c r="I196" i="3" s="1"/>
  <c r="F196" i="3"/>
  <c r="D196" i="3"/>
  <c r="C196" i="3"/>
  <c r="B196" i="3"/>
  <c r="I195" i="3"/>
  <c r="H195" i="3"/>
  <c r="F195" i="3"/>
  <c r="D195" i="3"/>
  <c r="C195" i="3"/>
  <c r="B195" i="3"/>
  <c r="H194" i="3"/>
  <c r="I194" i="3" s="1"/>
  <c r="F194" i="3"/>
  <c r="D194" i="3"/>
  <c r="C194" i="3"/>
  <c r="B194" i="3"/>
  <c r="H193" i="3"/>
  <c r="I193" i="3" s="1"/>
  <c r="F193" i="3"/>
  <c r="D193" i="3"/>
  <c r="C193" i="3"/>
  <c r="B193" i="3"/>
  <c r="H192" i="3"/>
  <c r="I192" i="3" s="1"/>
  <c r="F192" i="3"/>
  <c r="D192" i="3"/>
  <c r="C192" i="3"/>
  <c r="B192" i="3"/>
  <c r="I191" i="3"/>
  <c r="H191" i="3"/>
  <c r="F191" i="3"/>
  <c r="D191" i="3"/>
  <c r="C191" i="3"/>
  <c r="B191" i="3"/>
  <c r="H190" i="3"/>
  <c r="I190" i="3" s="1"/>
  <c r="F190" i="3"/>
  <c r="D190" i="3"/>
  <c r="C190" i="3"/>
  <c r="B190" i="3"/>
  <c r="H189" i="3"/>
  <c r="I189" i="3" s="1"/>
  <c r="F189" i="3"/>
  <c r="D189" i="3"/>
  <c r="C189" i="3"/>
  <c r="B189" i="3"/>
  <c r="H188" i="3"/>
  <c r="I188" i="3" s="1"/>
  <c r="F188" i="3"/>
  <c r="D188" i="3"/>
  <c r="C188" i="3"/>
  <c r="B188" i="3"/>
  <c r="I187" i="3"/>
  <c r="H187" i="3"/>
  <c r="F187" i="3"/>
  <c r="D187" i="3"/>
  <c r="C187" i="3"/>
  <c r="B187" i="3"/>
  <c r="H186" i="3"/>
  <c r="I186" i="3" s="1"/>
  <c r="F186" i="3"/>
  <c r="D186" i="3"/>
  <c r="C186" i="3"/>
  <c r="B186" i="3"/>
  <c r="H185" i="3"/>
  <c r="I185" i="3" s="1"/>
  <c r="F185" i="3"/>
  <c r="D185" i="3"/>
  <c r="C185" i="3"/>
  <c r="B185" i="3"/>
  <c r="H184" i="3"/>
  <c r="I184" i="3" s="1"/>
  <c r="F184" i="3"/>
  <c r="D184" i="3"/>
  <c r="C184" i="3"/>
  <c r="B184" i="3"/>
  <c r="I183" i="3"/>
  <c r="H183" i="3"/>
  <c r="F183" i="3"/>
  <c r="D183" i="3"/>
  <c r="C183" i="3"/>
  <c r="B183" i="3"/>
  <c r="H182" i="3"/>
  <c r="I182" i="3" s="1"/>
  <c r="F182" i="3"/>
  <c r="D182" i="3"/>
  <c r="C182" i="3"/>
  <c r="B182" i="3"/>
  <c r="H181" i="3"/>
  <c r="I181" i="3" s="1"/>
  <c r="F181" i="3"/>
  <c r="D181" i="3"/>
  <c r="C181" i="3"/>
  <c r="B181" i="3"/>
  <c r="H180" i="3"/>
  <c r="I180" i="3" s="1"/>
  <c r="F180" i="3"/>
  <c r="D180" i="3"/>
  <c r="C180" i="3"/>
  <c r="B180" i="3"/>
  <c r="I179" i="3"/>
  <c r="H179" i="3"/>
  <c r="F179" i="3"/>
  <c r="D179" i="3"/>
  <c r="C179" i="3"/>
  <c r="B179" i="3"/>
  <c r="H178" i="3"/>
  <c r="I178" i="3" s="1"/>
  <c r="F178" i="3"/>
  <c r="D178" i="3"/>
  <c r="C178" i="3"/>
  <c r="B178" i="3"/>
  <c r="H177" i="3"/>
  <c r="I177" i="3" s="1"/>
  <c r="F177" i="3"/>
  <c r="D177" i="3"/>
  <c r="C177" i="3"/>
  <c r="B177" i="3"/>
  <c r="H176" i="3"/>
  <c r="I176" i="3" s="1"/>
  <c r="F176" i="3"/>
  <c r="D176" i="3"/>
  <c r="C176" i="3"/>
  <c r="B176" i="3"/>
  <c r="I175" i="3"/>
  <c r="H175" i="3"/>
  <c r="F175" i="3"/>
  <c r="D175" i="3"/>
  <c r="C175" i="3"/>
  <c r="B175" i="3"/>
  <c r="H174" i="3"/>
  <c r="I174" i="3" s="1"/>
  <c r="F174" i="3"/>
  <c r="D174" i="3"/>
  <c r="C174" i="3"/>
  <c r="B174" i="3"/>
  <c r="H173" i="3"/>
  <c r="I173" i="3" s="1"/>
  <c r="F173" i="3"/>
  <c r="D173" i="3"/>
  <c r="C173" i="3"/>
  <c r="B173" i="3"/>
  <c r="H172" i="3"/>
  <c r="I172" i="3" s="1"/>
  <c r="F172" i="3"/>
  <c r="D172" i="3"/>
  <c r="C172" i="3"/>
  <c r="B172" i="3"/>
  <c r="I171" i="3"/>
  <c r="H171" i="3"/>
  <c r="F171" i="3"/>
  <c r="D171" i="3"/>
  <c r="C171" i="3"/>
  <c r="B171" i="3"/>
  <c r="H170" i="3"/>
  <c r="I170" i="3" s="1"/>
  <c r="F170" i="3"/>
  <c r="D170" i="3"/>
  <c r="C170" i="3"/>
  <c r="B170" i="3"/>
  <c r="H169" i="3"/>
  <c r="I169" i="3" s="1"/>
  <c r="F169" i="3"/>
  <c r="D169" i="3"/>
  <c r="C169" i="3"/>
  <c r="B169" i="3"/>
  <c r="H168" i="3"/>
  <c r="I168" i="3" s="1"/>
  <c r="F168" i="3"/>
  <c r="D168" i="3"/>
  <c r="C168" i="3"/>
  <c r="B168" i="3"/>
  <c r="I167" i="3"/>
  <c r="H167" i="3"/>
  <c r="F167" i="3"/>
  <c r="D167" i="3"/>
  <c r="C167" i="3"/>
  <c r="B167" i="3"/>
  <c r="H166" i="3"/>
  <c r="I166" i="3" s="1"/>
  <c r="F166" i="3"/>
  <c r="D166" i="3"/>
  <c r="C166" i="3"/>
  <c r="B166" i="3"/>
  <c r="H165" i="3"/>
  <c r="I165" i="3" s="1"/>
  <c r="F165" i="3"/>
  <c r="D165" i="3"/>
  <c r="C165" i="3"/>
  <c r="B165" i="3"/>
  <c r="H164" i="3"/>
  <c r="I164" i="3" s="1"/>
  <c r="F164" i="3"/>
  <c r="D164" i="3"/>
  <c r="C164" i="3"/>
  <c r="B164" i="3"/>
  <c r="I163" i="3"/>
  <c r="H163" i="3"/>
  <c r="F163" i="3"/>
  <c r="D163" i="3"/>
  <c r="C163" i="3"/>
  <c r="B163" i="3"/>
  <c r="H162" i="3"/>
  <c r="I162" i="3" s="1"/>
  <c r="F162" i="3"/>
  <c r="D162" i="3"/>
  <c r="C162" i="3"/>
  <c r="B162" i="3"/>
  <c r="H161" i="3"/>
  <c r="I161" i="3" s="1"/>
  <c r="F161" i="3"/>
  <c r="D161" i="3"/>
  <c r="C161" i="3"/>
  <c r="B161" i="3"/>
  <c r="H160" i="3"/>
  <c r="I160" i="3" s="1"/>
  <c r="F160" i="3"/>
  <c r="D160" i="3"/>
  <c r="C160" i="3"/>
  <c r="B160" i="3"/>
  <c r="I159" i="3"/>
  <c r="H159" i="3"/>
  <c r="F159" i="3"/>
  <c r="D159" i="3"/>
  <c r="C159" i="3"/>
  <c r="B159" i="3"/>
  <c r="H158" i="3"/>
  <c r="I158" i="3" s="1"/>
  <c r="F158" i="3"/>
  <c r="D158" i="3"/>
  <c r="C158" i="3"/>
  <c r="B158" i="3"/>
  <c r="H157" i="3"/>
  <c r="I157" i="3" s="1"/>
  <c r="F157" i="3"/>
  <c r="D157" i="3"/>
  <c r="C157" i="3"/>
  <c r="B157" i="3"/>
  <c r="H156" i="3"/>
  <c r="I156" i="3" s="1"/>
  <c r="F156" i="3"/>
  <c r="D156" i="3"/>
  <c r="C156" i="3"/>
  <c r="B156" i="3"/>
  <c r="I155" i="3"/>
  <c r="H155" i="3"/>
  <c r="F155" i="3"/>
  <c r="D155" i="3"/>
  <c r="C155" i="3"/>
  <c r="B155" i="3"/>
  <c r="H154" i="3"/>
  <c r="I154" i="3" s="1"/>
  <c r="F154" i="3"/>
  <c r="D154" i="3"/>
  <c r="C154" i="3"/>
  <c r="B154" i="3"/>
  <c r="H153" i="3"/>
  <c r="I153" i="3" s="1"/>
  <c r="F153" i="3"/>
  <c r="D153" i="3"/>
  <c r="C153" i="3"/>
  <c r="B153" i="3"/>
  <c r="H152" i="3"/>
  <c r="I152" i="3" s="1"/>
  <c r="F152" i="3"/>
  <c r="D152" i="3"/>
  <c r="C152" i="3"/>
  <c r="B152" i="3"/>
  <c r="I151" i="3"/>
  <c r="H151" i="3"/>
  <c r="F151" i="3"/>
  <c r="D151" i="3"/>
  <c r="C151" i="3"/>
  <c r="B151" i="3"/>
  <c r="H150" i="3"/>
  <c r="I150" i="3" s="1"/>
  <c r="F150" i="3"/>
  <c r="D150" i="3"/>
  <c r="C150" i="3"/>
  <c r="B150" i="3"/>
  <c r="H149" i="3"/>
  <c r="I149" i="3" s="1"/>
  <c r="F149" i="3"/>
  <c r="D149" i="3"/>
  <c r="C149" i="3"/>
  <c r="B149" i="3"/>
  <c r="H148" i="3"/>
  <c r="I148" i="3" s="1"/>
  <c r="F148" i="3"/>
  <c r="D148" i="3"/>
  <c r="C148" i="3"/>
  <c r="B148" i="3"/>
  <c r="I147" i="3"/>
  <c r="H147" i="3"/>
  <c r="F147" i="3"/>
  <c r="D147" i="3"/>
  <c r="C147" i="3"/>
  <c r="B147" i="3"/>
  <c r="H146" i="3"/>
  <c r="I146" i="3" s="1"/>
  <c r="F146" i="3"/>
  <c r="D146" i="3"/>
  <c r="C146" i="3"/>
  <c r="B146" i="3"/>
  <c r="H145" i="3"/>
  <c r="I145" i="3" s="1"/>
  <c r="F145" i="3"/>
  <c r="D145" i="3"/>
  <c r="C145" i="3"/>
  <c r="B145" i="3"/>
  <c r="H144" i="3"/>
  <c r="I144" i="3" s="1"/>
  <c r="F144" i="3"/>
  <c r="D144" i="3"/>
  <c r="C144" i="3"/>
  <c r="B144" i="3"/>
  <c r="I143" i="3"/>
  <c r="H143" i="3"/>
  <c r="F143" i="3"/>
  <c r="D143" i="3"/>
  <c r="C143" i="3"/>
  <c r="B143" i="3"/>
  <c r="H142" i="3"/>
  <c r="I142" i="3" s="1"/>
  <c r="F142" i="3"/>
  <c r="D142" i="3"/>
  <c r="C142" i="3"/>
  <c r="B142" i="3"/>
  <c r="H141" i="3"/>
  <c r="I141" i="3" s="1"/>
  <c r="F141" i="3"/>
  <c r="D141" i="3"/>
  <c r="C141" i="3"/>
  <c r="B141" i="3"/>
  <c r="H140" i="3"/>
  <c r="I140" i="3" s="1"/>
  <c r="F140" i="3"/>
  <c r="D140" i="3"/>
  <c r="C140" i="3"/>
  <c r="B140" i="3"/>
  <c r="I139" i="3"/>
  <c r="H139" i="3"/>
  <c r="F139" i="3"/>
  <c r="D139" i="3"/>
  <c r="C139" i="3"/>
  <c r="B139" i="3"/>
  <c r="H138" i="3"/>
  <c r="I138" i="3" s="1"/>
  <c r="F138" i="3"/>
  <c r="D138" i="3"/>
  <c r="C138" i="3"/>
  <c r="B138" i="3"/>
  <c r="H137" i="3"/>
  <c r="I137" i="3" s="1"/>
  <c r="F137" i="3"/>
  <c r="D137" i="3"/>
  <c r="C137" i="3"/>
  <c r="B137" i="3"/>
  <c r="H136" i="3"/>
  <c r="I136" i="3" s="1"/>
  <c r="F136" i="3"/>
  <c r="D136" i="3"/>
  <c r="C136" i="3"/>
  <c r="B136" i="3"/>
  <c r="I135" i="3"/>
  <c r="H135" i="3"/>
  <c r="F135" i="3"/>
  <c r="D135" i="3"/>
  <c r="C135" i="3"/>
  <c r="B135" i="3"/>
  <c r="H134" i="3"/>
  <c r="I134" i="3" s="1"/>
  <c r="F134" i="3"/>
  <c r="D134" i="3"/>
  <c r="C134" i="3"/>
  <c r="B134" i="3"/>
  <c r="H133" i="3"/>
  <c r="I133" i="3" s="1"/>
  <c r="F133" i="3"/>
  <c r="D133" i="3"/>
  <c r="C133" i="3"/>
  <c r="B133" i="3"/>
  <c r="H132" i="3"/>
  <c r="I132" i="3" s="1"/>
  <c r="F132" i="3"/>
  <c r="D132" i="3"/>
  <c r="C132" i="3"/>
  <c r="B132" i="3"/>
  <c r="I131" i="3"/>
  <c r="H131" i="3"/>
  <c r="F131" i="3"/>
  <c r="D131" i="3"/>
  <c r="C131" i="3"/>
  <c r="B131" i="3"/>
  <c r="H130" i="3"/>
  <c r="I130" i="3" s="1"/>
  <c r="F130" i="3"/>
  <c r="D130" i="3"/>
  <c r="C130" i="3"/>
  <c r="B130" i="3"/>
  <c r="H129" i="3"/>
  <c r="I129" i="3" s="1"/>
  <c r="F129" i="3"/>
  <c r="D129" i="3"/>
  <c r="C129" i="3"/>
  <c r="B129" i="3"/>
  <c r="H128" i="3"/>
  <c r="I128" i="3" s="1"/>
  <c r="F128" i="3"/>
  <c r="D128" i="3"/>
  <c r="C128" i="3"/>
  <c r="B128" i="3"/>
  <c r="I127" i="3"/>
  <c r="H127" i="3"/>
  <c r="F127" i="3"/>
  <c r="D127" i="3"/>
  <c r="C127" i="3"/>
  <c r="B127" i="3"/>
  <c r="H126" i="3"/>
  <c r="I126" i="3" s="1"/>
  <c r="F126" i="3"/>
  <c r="D126" i="3"/>
  <c r="C126" i="3"/>
  <c r="B126" i="3"/>
  <c r="H125" i="3"/>
  <c r="I125" i="3" s="1"/>
  <c r="F125" i="3"/>
  <c r="D125" i="3"/>
  <c r="C125" i="3"/>
  <c r="B125" i="3"/>
  <c r="H124" i="3"/>
  <c r="I124" i="3" s="1"/>
  <c r="F124" i="3"/>
  <c r="D124" i="3"/>
  <c r="C124" i="3"/>
  <c r="B124" i="3"/>
  <c r="I123" i="3"/>
  <c r="H123" i="3"/>
  <c r="F123" i="3"/>
  <c r="D123" i="3"/>
  <c r="C123" i="3"/>
  <c r="B123" i="3"/>
  <c r="H122" i="3"/>
  <c r="I122" i="3" s="1"/>
  <c r="F122" i="3"/>
  <c r="D122" i="3"/>
  <c r="C122" i="3"/>
  <c r="B122" i="3"/>
  <c r="H121" i="3"/>
  <c r="I121" i="3" s="1"/>
  <c r="F121" i="3"/>
  <c r="D121" i="3"/>
  <c r="C121" i="3"/>
  <c r="B121" i="3"/>
  <c r="H120" i="3"/>
  <c r="I120" i="3" s="1"/>
  <c r="F120" i="3"/>
  <c r="D120" i="3"/>
  <c r="C120" i="3"/>
  <c r="B120" i="3"/>
  <c r="I119" i="3"/>
  <c r="H119" i="3"/>
  <c r="F119" i="3"/>
  <c r="D119" i="3"/>
  <c r="C119" i="3"/>
  <c r="B119" i="3"/>
  <c r="H118" i="3"/>
  <c r="I118" i="3" s="1"/>
  <c r="F118" i="3"/>
  <c r="D118" i="3"/>
  <c r="C118" i="3"/>
  <c r="B118" i="3"/>
  <c r="H117" i="3"/>
  <c r="I117" i="3" s="1"/>
  <c r="F117" i="3"/>
  <c r="D117" i="3"/>
  <c r="C117" i="3"/>
  <c r="B117" i="3"/>
  <c r="H116" i="3"/>
  <c r="I116" i="3" s="1"/>
  <c r="F116" i="3"/>
  <c r="D116" i="3"/>
  <c r="C116" i="3"/>
  <c r="B116" i="3"/>
  <c r="I115" i="3"/>
  <c r="H115" i="3"/>
  <c r="F115" i="3"/>
  <c r="D115" i="3"/>
  <c r="C115" i="3"/>
  <c r="B115" i="3"/>
  <c r="H114" i="3"/>
  <c r="I114" i="3" s="1"/>
  <c r="F114" i="3"/>
  <c r="D114" i="3"/>
  <c r="C114" i="3"/>
  <c r="B114" i="3"/>
  <c r="H113" i="3"/>
  <c r="I113" i="3" s="1"/>
  <c r="F113" i="3"/>
  <c r="D113" i="3"/>
  <c r="C113" i="3"/>
  <c r="B113" i="3"/>
  <c r="H112" i="3"/>
  <c r="I112" i="3" s="1"/>
  <c r="F112" i="3"/>
  <c r="D112" i="3"/>
  <c r="C112" i="3"/>
  <c r="B112" i="3"/>
  <c r="I111" i="3"/>
  <c r="H111" i="3"/>
  <c r="F111" i="3"/>
  <c r="D111" i="3"/>
  <c r="C111" i="3"/>
  <c r="B111" i="3"/>
  <c r="H110" i="3"/>
  <c r="I110" i="3" s="1"/>
  <c r="F110" i="3"/>
  <c r="D110" i="3"/>
  <c r="C110" i="3"/>
  <c r="B110" i="3"/>
  <c r="H109" i="3"/>
  <c r="I109" i="3" s="1"/>
  <c r="F109" i="3"/>
  <c r="D109" i="3"/>
  <c r="C109" i="3"/>
  <c r="B109" i="3"/>
  <c r="H108" i="3"/>
  <c r="I108" i="3" s="1"/>
  <c r="F108" i="3"/>
  <c r="D108" i="3"/>
  <c r="C108" i="3"/>
  <c r="B108" i="3"/>
  <c r="I107" i="3"/>
  <c r="H107" i="3"/>
  <c r="F107" i="3"/>
  <c r="D107" i="3"/>
  <c r="C107" i="3"/>
  <c r="B107" i="3"/>
  <c r="H106" i="3"/>
  <c r="I106" i="3" s="1"/>
  <c r="F106" i="3"/>
  <c r="D106" i="3"/>
  <c r="C106" i="3"/>
  <c r="B106" i="3"/>
  <c r="H105" i="3"/>
  <c r="I105" i="3" s="1"/>
  <c r="F105" i="3"/>
  <c r="D105" i="3"/>
  <c r="C105" i="3"/>
  <c r="B105" i="3"/>
  <c r="H104" i="3"/>
  <c r="I104" i="3" s="1"/>
  <c r="F104" i="3"/>
  <c r="D104" i="3"/>
  <c r="C104" i="3"/>
  <c r="B104" i="3"/>
  <c r="I103" i="3"/>
  <c r="H103" i="3"/>
  <c r="F103" i="3"/>
  <c r="D103" i="3"/>
  <c r="C103" i="3"/>
  <c r="B103" i="3"/>
  <c r="H102" i="3"/>
  <c r="I102" i="3" s="1"/>
  <c r="F102" i="3"/>
  <c r="D102" i="3"/>
  <c r="C102" i="3"/>
  <c r="B102" i="3"/>
  <c r="H101" i="3"/>
  <c r="I101" i="3" s="1"/>
  <c r="F101" i="3"/>
  <c r="D101" i="3"/>
  <c r="C101" i="3"/>
  <c r="B101" i="3"/>
  <c r="H100" i="3"/>
  <c r="I100" i="3" s="1"/>
  <c r="F100" i="3"/>
  <c r="D100" i="3"/>
  <c r="C100" i="3"/>
  <c r="B100" i="3"/>
  <c r="I99" i="3"/>
  <c r="H99" i="3"/>
  <c r="F99" i="3"/>
  <c r="D99" i="3"/>
  <c r="C99" i="3"/>
  <c r="B99" i="3"/>
  <c r="H98" i="3"/>
  <c r="I98" i="3" s="1"/>
  <c r="F98" i="3"/>
  <c r="D98" i="3"/>
  <c r="C98" i="3"/>
  <c r="B98" i="3"/>
  <c r="H97" i="3"/>
  <c r="I97" i="3" s="1"/>
  <c r="F97" i="3"/>
  <c r="D97" i="3"/>
  <c r="C97" i="3"/>
  <c r="B97" i="3"/>
  <c r="H96" i="3"/>
  <c r="I96" i="3" s="1"/>
  <c r="F96" i="3"/>
  <c r="D96" i="3"/>
  <c r="C96" i="3"/>
  <c r="B96" i="3"/>
  <c r="I95" i="3"/>
  <c r="H95" i="3"/>
  <c r="F95" i="3"/>
  <c r="D95" i="3"/>
  <c r="C95" i="3"/>
  <c r="B95" i="3"/>
  <c r="H94" i="3"/>
  <c r="I94" i="3" s="1"/>
  <c r="F94" i="3"/>
  <c r="D94" i="3"/>
  <c r="C94" i="3"/>
  <c r="B94" i="3"/>
  <c r="H93" i="3"/>
  <c r="I93" i="3" s="1"/>
  <c r="F93" i="3"/>
  <c r="D93" i="3"/>
  <c r="C93" i="3"/>
  <c r="B93" i="3"/>
  <c r="H92" i="3"/>
  <c r="I92" i="3" s="1"/>
  <c r="F92" i="3"/>
  <c r="D92" i="3"/>
  <c r="C92" i="3"/>
  <c r="B92" i="3"/>
  <c r="I91" i="3"/>
  <c r="H91" i="3"/>
  <c r="F91" i="3"/>
  <c r="D91" i="3"/>
  <c r="C91" i="3"/>
  <c r="B91" i="3"/>
  <c r="H90" i="3"/>
  <c r="I90" i="3" s="1"/>
  <c r="F90" i="3"/>
  <c r="D90" i="3"/>
  <c r="C90" i="3"/>
  <c r="B90" i="3"/>
  <c r="H89" i="3"/>
  <c r="I89" i="3" s="1"/>
  <c r="F89" i="3"/>
  <c r="D89" i="3"/>
  <c r="C89" i="3"/>
  <c r="B89" i="3"/>
  <c r="H88" i="3"/>
  <c r="I88" i="3" s="1"/>
  <c r="F88" i="3"/>
  <c r="D88" i="3"/>
  <c r="C88" i="3"/>
  <c r="B88" i="3"/>
  <c r="I87" i="3"/>
  <c r="H87" i="3"/>
  <c r="F87" i="3"/>
  <c r="D87" i="3"/>
  <c r="C87" i="3"/>
  <c r="B87" i="3"/>
  <c r="H86" i="3"/>
  <c r="I86" i="3" s="1"/>
  <c r="F86" i="3"/>
  <c r="D86" i="3"/>
  <c r="C86" i="3"/>
  <c r="B86" i="3"/>
  <c r="H85" i="3"/>
  <c r="I85" i="3" s="1"/>
  <c r="F85" i="3"/>
  <c r="D85" i="3"/>
  <c r="C85" i="3"/>
  <c r="B85" i="3"/>
  <c r="H84" i="3"/>
  <c r="I84" i="3" s="1"/>
  <c r="F84" i="3"/>
  <c r="D84" i="3"/>
  <c r="C84" i="3"/>
  <c r="B84" i="3"/>
  <c r="I83" i="3"/>
  <c r="H83" i="3"/>
  <c r="F83" i="3"/>
  <c r="D83" i="3"/>
  <c r="C83" i="3"/>
  <c r="B83" i="3"/>
  <c r="H82" i="3"/>
  <c r="I82" i="3" s="1"/>
  <c r="F82" i="3"/>
  <c r="D82" i="3"/>
  <c r="C82" i="3"/>
  <c r="B82" i="3"/>
  <c r="H81" i="3"/>
  <c r="I81" i="3" s="1"/>
  <c r="F81" i="3"/>
  <c r="D81" i="3"/>
  <c r="C81" i="3"/>
  <c r="B81" i="3"/>
  <c r="H80" i="3"/>
  <c r="I80" i="3" s="1"/>
  <c r="F80" i="3"/>
  <c r="D80" i="3"/>
  <c r="C80" i="3"/>
  <c r="B80" i="3"/>
  <c r="I79" i="3"/>
  <c r="H79" i="3"/>
  <c r="F79" i="3"/>
  <c r="D79" i="3"/>
  <c r="C79" i="3"/>
  <c r="B79" i="3"/>
  <c r="H78" i="3"/>
  <c r="I78" i="3" s="1"/>
  <c r="F78" i="3"/>
  <c r="D78" i="3"/>
  <c r="C78" i="3"/>
  <c r="B78" i="3"/>
  <c r="H77" i="3"/>
  <c r="I77" i="3" s="1"/>
  <c r="F77" i="3"/>
  <c r="D77" i="3"/>
  <c r="C77" i="3"/>
  <c r="B77" i="3"/>
  <c r="H76" i="3"/>
  <c r="I76" i="3" s="1"/>
  <c r="F76" i="3"/>
  <c r="D76" i="3"/>
  <c r="C76" i="3"/>
  <c r="B76" i="3"/>
  <c r="I75" i="3"/>
  <c r="H75" i="3"/>
  <c r="F75" i="3"/>
  <c r="D75" i="3"/>
  <c r="C75" i="3"/>
  <c r="B75" i="3"/>
  <c r="H74" i="3"/>
  <c r="I74" i="3" s="1"/>
  <c r="F74" i="3"/>
  <c r="D74" i="3"/>
  <c r="C74" i="3"/>
  <c r="B74" i="3"/>
  <c r="H73" i="3"/>
  <c r="I73" i="3" s="1"/>
  <c r="F73" i="3"/>
  <c r="D73" i="3"/>
  <c r="C73" i="3"/>
  <c r="B73" i="3"/>
  <c r="H72" i="3"/>
  <c r="I72" i="3" s="1"/>
  <c r="F72" i="3"/>
  <c r="D72" i="3"/>
  <c r="C72" i="3"/>
  <c r="B72" i="3"/>
  <c r="I71" i="3"/>
  <c r="H71" i="3"/>
  <c r="F71" i="3"/>
  <c r="D71" i="3"/>
  <c r="C71" i="3"/>
  <c r="B71" i="3"/>
  <c r="H70" i="3"/>
  <c r="I70" i="3" s="1"/>
  <c r="F70" i="3"/>
  <c r="D70" i="3"/>
  <c r="C70" i="3"/>
  <c r="B70" i="3"/>
  <c r="H69" i="3"/>
  <c r="I69" i="3" s="1"/>
  <c r="F69" i="3"/>
  <c r="D69" i="3"/>
  <c r="C69" i="3"/>
  <c r="B69" i="3"/>
  <c r="H68" i="3"/>
  <c r="I68" i="3" s="1"/>
  <c r="F68" i="3"/>
  <c r="D68" i="3"/>
  <c r="C68" i="3"/>
  <c r="B68" i="3"/>
  <c r="I67" i="3"/>
  <c r="H67" i="3"/>
  <c r="F67" i="3"/>
  <c r="D67" i="3"/>
  <c r="C67" i="3"/>
  <c r="B67" i="3"/>
  <c r="H66" i="3"/>
  <c r="I66" i="3" s="1"/>
  <c r="F66" i="3"/>
  <c r="D66" i="3"/>
  <c r="C66" i="3"/>
  <c r="B66" i="3"/>
  <c r="H65" i="3"/>
  <c r="I65" i="3" s="1"/>
  <c r="F65" i="3"/>
  <c r="D65" i="3"/>
  <c r="C65" i="3"/>
  <c r="B65" i="3"/>
  <c r="H64" i="3"/>
  <c r="I64" i="3" s="1"/>
  <c r="F64" i="3"/>
  <c r="D64" i="3"/>
  <c r="C64" i="3"/>
  <c r="B64" i="3"/>
  <c r="I63" i="3"/>
  <c r="H63" i="3"/>
  <c r="F63" i="3"/>
  <c r="D63" i="3"/>
  <c r="C63" i="3"/>
  <c r="B63" i="3"/>
  <c r="H62" i="3"/>
  <c r="I62" i="3" s="1"/>
  <c r="F62" i="3"/>
  <c r="D62" i="3"/>
  <c r="C62" i="3"/>
  <c r="B62" i="3"/>
  <c r="H61" i="3"/>
  <c r="I61" i="3" s="1"/>
  <c r="F61" i="3"/>
  <c r="D61" i="3"/>
  <c r="C61" i="3"/>
  <c r="B61" i="3"/>
  <c r="H60" i="3"/>
  <c r="I60" i="3" s="1"/>
  <c r="F60" i="3"/>
  <c r="D60" i="3"/>
  <c r="C60" i="3"/>
  <c r="B60" i="3"/>
  <c r="I59" i="3"/>
  <c r="H59" i="3"/>
  <c r="F59" i="3"/>
  <c r="D59" i="3"/>
  <c r="C59" i="3"/>
  <c r="B59" i="3"/>
  <c r="H58" i="3"/>
  <c r="I58" i="3" s="1"/>
  <c r="F58" i="3"/>
  <c r="D58" i="3"/>
  <c r="C58" i="3"/>
  <c r="B58" i="3"/>
  <c r="H57" i="3"/>
  <c r="I57" i="3" s="1"/>
  <c r="F57" i="3"/>
  <c r="D57" i="3"/>
  <c r="C57" i="3"/>
  <c r="B57" i="3"/>
  <c r="H56" i="3"/>
  <c r="I56" i="3" s="1"/>
  <c r="F56" i="3"/>
  <c r="D56" i="3"/>
  <c r="C56" i="3"/>
  <c r="B56" i="3"/>
  <c r="I55" i="3"/>
  <c r="H55" i="3"/>
  <c r="F55" i="3"/>
  <c r="D55" i="3"/>
  <c r="C55" i="3"/>
  <c r="B55" i="3"/>
  <c r="H54" i="3"/>
  <c r="I54" i="3" s="1"/>
  <c r="F54" i="3"/>
  <c r="D54" i="3"/>
  <c r="C54" i="3"/>
  <c r="B54" i="3"/>
  <c r="H53" i="3"/>
  <c r="I53" i="3" s="1"/>
  <c r="F53" i="3"/>
  <c r="D53" i="3"/>
  <c r="C53" i="3"/>
  <c r="B53" i="3"/>
  <c r="H52" i="3"/>
  <c r="I52" i="3" s="1"/>
  <c r="F52" i="3"/>
  <c r="D52" i="3"/>
  <c r="C52" i="3"/>
  <c r="B52" i="3"/>
  <c r="I51" i="3"/>
  <c r="H51" i="3"/>
  <c r="F51" i="3"/>
  <c r="D51" i="3"/>
  <c r="C51" i="3"/>
  <c r="B51" i="3"/>
  <c r="H50" i="3"/>
  <c r="I50" i="3" s="1"/>
  <c r="F50" i="3"/>
  <c r="D50" i="3"/>
  <c r="C50" i="3"/>
  <c r="B50" i="3"/>
  <c r="H49" i="3"/>
  <c r="I49" i="3" s="1"/>
  <c r="F49" i="3"/>
  <c r="D49" i="3"/>
  <c r="C49" i="3"/>
  <c r="B49" i="3"/>
  <c r="H48" i="3"/>
  <c r="I48" i="3" s="1"/>
  <c r="F48" i="3"/>
  <c r="D48" i="3"/>
  <c r="C48" i="3"/>
  <c r="B48" i="3"/>
  <c r="I47" i="3"/>
  <c r="H47" i="3"/>
  <c r="F47" i="3"/>
  <c r="D47" i="3"/>
  <c r="C47" i="3"/>
  <c r="B47" i="3"/>
  <c r="H46" i="3"/>
  <c r="I46" i="3" s="1"/>
  <c r="F46" i="3"/>
  <c r="D46" i="3"/>
  <c r="C46" i="3"/>
  <c r="B46" i="3"/>
  <c r="H45" i="3"/>
  <c r="I45" i="3" s="1"/>
  <c r="F45" i="3"/>
  <c r="D45" i="3"/>
  <c r="C45" i="3"/>
  <c r="B45" i="3"/>
  <c r="H44" i="3"/>
  <c r="I44" i="3" s="1"/>
  <c r="F44" i="3"/>
  <c r="D44" i="3"/>
  <c r="C44" i="3"/>
  <c r="B44" i="3"/>
  <c r="I43" i="3"/>
  <c r="H43" i="3"/>
  <c r="F43" i="3"/>
  <c r="D43" i="3"/>
  <c r="C43" i="3"/>
  <c r="B43" i="3"/>
  <c r="H42" i="3"/>
  <c r="I42" i="3" s="1"/>
  <c r="F42" i="3"/>
  <c r="D42" i="3"/>
  <c r="C42" i="3"/>
  <c r="B42" i="3"/>
  <c r="H41" i="3"/>
  <c r="I41" i="3" s="1"/>
  <c r="F41" i="3"/>
  <c r="D41" i="3"/>
  <c r="C41" i="3"/>
  <c r="B41" i="3"/>
  <c r="H40" i="3"/>
  <c r="I40" i="3" s="1"/>
  <c r="F40" i="3"/>
  <c r="D40" i="3"/>
  <c r="C40" i="3"/>
  <c r="B40" i="3"/>
  <c r="I39" i="3"/>
  <c r="H39" i="3"/>
  <c r="F39" i="3"/>
  <c r="D39" i="3"/>
  <c r="C39" i="3"/>
  <c r="B39" i="3"/>
  <c r="H38" i="3"/>
  <c r="I38" i="3" s="1"/>
  <c r="F38" i="3"/>
  <c r="D38" i="3"/>
  <c r="C38" i="3"/>
  <c r="B38" i="3"/>
  <c r="H37" i="3"/>
  <c r="I37" i="3" s="1"/>
  <c r="F37" i="3"/>
  <c r="D37" i="3"/>
  <c r="C37" i="3"/>
  <c r="B37" i="3"/>
  <c r="H36" i="3"/>
  <c r="I36" i="3" s="1"/>
  <c r="F36" i="3"/>
  <c r="D36" i="3"/>
  <c r="C36" i="3"/>
  <c r="B36" i="3"/>
  <c r="I35" i="3"/>
  <c r="H35" i="3"/>
  <c r="F35" i="3"/>
  <c r="D35" i="3"/>
  <c r="C35" i="3"/>
  <c r="B35" i="3"/>
  <c r="H34" i="3"/>
  <c r="I34" i="3" s="1"/>
  <c r="F34" i="3"/>
  <c r="D34" i="3"/>
  <c r="C34" i="3"/>
  <c r="B34" i="3"/>
  <c r="H33" i="3"/>
  <c r="I33" i="3" s="1"/>
  <c r="F33" i="3"/>
  <c r="D33" i="3"/>
  <c r="C33" i="3"/>
  <c r="B33" i="3"/>
  <c r="H32" i="3"/>
  <c r="I32" i="3" s="1"/>
  <c r="F32" i="3"/>
  <c r="D32" i="3"/>
  <c r="C32" i="3"/>
  <c r="B32" i="3"/>
  <c r="I31" i="3"/>
  <c r="H31" i="3"/>
  <c r="F31" i="3"/>
  <c r="D31" i="3"/>
  <c r="C31" i="3"/>
  <c r="B31" i="3"/>
  <c r="H30" i="3"/>
  <c r="I30" i="3" s="1"/>
  <c r="F30" i="3"/>
  <c r="D30" i="3"/>
  <c r="C30" i="3"/>
  <c r="B30" i="3"/>
  <c r="H29" i="3"/>
  <c r="I29" i="3" s="1"/>
  <c r="F29" i="3"/>
  <c r="D29" i="3"/>
  <c r="C29" i="3"/>
  <c r="B29" i="3"/>
  <c r="H28" i="3"/>
  <c r="I28" i="3" s="1"/>
  <c r="F28" i="3"/>
  <c r="D28" i="3"/>
  <c r="C28" i="3"/>
  <c r="B28" i="3"/>
  <c r="I27" i="3"/>
  <c r="H27" i="3"/>
  <c r="F27" i="3"/>
  <c r="D27" i="3"/>
  <c r="C27" i="3"/>
  <c r="B27" i="3"/>
  <c r="H26" i="3"/>
  <c r="I26" i="3" s="1"/>
  <c r="F26" i="3"/>
  <c r="D26" i="3"/>
  <c r="C26" i="3"/>
  <c r="B26" i="3"/>
  <c r="H25" i="3"/>
  <c r="I25" i="3" s="1"/>
  <c r="F25" i="3"/>
  <c r="D25" i="3"/>
  <c r="C25" i="3"/>
  <c r="B25" i="3"/>
  <c r="H24" i="3"/>
  <c r="I24" i="3" s="1"/>
  <c r="F24" i="3"/>
  <c r="D24" i="3"/>
  <c r="C24" i="3"/>
  <c r="B24" i="3"/>
  <c r="I23" i="3"/>
  <c r="H23" i="3"/>
  <c r="F23" i="3"/>
  <c r="D23" i="3"/>
  <c r="C23" i="3"/>
  <c r="B23" i="3"/>
  <c r="H22" i="3"/>
  <c r="I22" i="3" s="1"/>
  <c r="F22" i="3"/>
  <c r="D22" i="3"/>
  <c r="C22" i="3"/>
  <c r="B22" i="3"/>
  <c r="H21" i="3"/>
  <c r="I21" i="3" s="1"/>
  <c r="F21" i="3"/>
  <c r="D21" i="3"/>
  <c r="C21" i="3"/>
  <c r="B21" i="3"/>
  <c r="H20" i="3"/>
  <c r="I20" i="3" s="1"/>
  <c r="F20" i="3"/>
  <c r="D20" i="3"/>
  <c r="C20" i="3"/>
  <c r="B20" i="3"/>
  <c r="I19" i="3"/>
  <c r="H19" i="3"/>
  <c r="F19" i="3"/>
  <c r="D19" i="3"/>
  <c r="C19" i="3"/>
  <c r="B19" i="3"/>
  <c r="H18" i="3"/>
  <c r="I18" i="3" s="1"/>
  <c r="F18" i="3"/>
  <c r="D18" i="3"/>
  <c r="C18" i="3"/>
  <c r="B18" i="3"/>
  <c r="H17" i="3"/>
  <c r="I17" i="3" s="1"/>
  <c r="F17" i="3"/>
  <c r="D17" i="3"/>
  <c r="C17" i="3"/>
  <c r="B17" i="3"/>
  <c r="H16" i="3"/>
  <c r="I16" i="3" s="1"/>
  <c r="F16" i="3"/>
  <c r="D16" i="3"/>
  <c r="C16" i="3"/>
  <c r="B16" i="3"/>
  <c r="I15" i="3"/>
  <c r="H15" i="3"/>
  <c r="F15" i="3"/>
  <c r="D15" i="3"/>
  <c r="C15" i="3"/>
  <c r="B15" i="3"/>
  <c r="H14" i="3"/>
  <c r="I14" i="3" s="1"/>
  <c r="F14" i="3"/>
  <c r="D14" i="3"/>
  <c r="C14" i="3"/>
  <c r="B14" i="3"/>
  <c r="H13" i="3"/>
  <c r="I13" i="3" s="1"/>
  <c r="F13" i="3"/>
  <c r="D13" i="3"/>
  <c r="C13" i="3"/>
  <c r="B13" i="3"/>
  <c r="H12" i="3"/>
  <c r="I12" i="3" s="1"/>
  <c r="F12" i="3"/>
  <c r="D12" i="3"/>
  <c r="C12" i="3"/>
  <c r="B12" i="3"/>
  <c r="I11" i="3"/>
  <c r="H11" i="3"/>
  <c r="F11" i="3"/>
  <c r="D11" i="3"/>
  <c r="C11" i="3"/>
  <c r="B11" i="3"/>
  <c r="H10" i="3"/>
  <c r="I10" i="3" s="1"/>
  <c r="F10" i="3"/>
  <c r="D10" i="3"/>
  <c r="C10" i="3"/>
  <c r="B10" i="3"/>
  <c r="H9" i="3"/>
  <c r="I9" i="3" s="1"/>
  <c r="D9" i="3"/>
  <c r="C9" i="3"/>
  <c r="F9" i="3" s="1"/>
  <c r="B9" i="3"/>
  <c r="A5" i="3"/>
  <c r="G4" i="3"/>
  <c r="D4" i="3"/>
  <c r="A14" i="2"/>
  <c r="D27" i="1"/>
  <c r="D26" i="1"/>
  <c r="D25" i="1"/>
  <c r="D24" i="1"/>
  <c r="D23" i="1"/>
  <c r="D22" i="1"/>
  <c r="F19" i="1"/>
  <c r="I18" i="1"/>
  <c r="H18" i="1"/>
  <c r="E18" i="1"/>
  <c r="C18" i="1"/>
  <c r="B18" i="1"/>
  <c r="I17" i="1"/>
  <c r="H17" i="1"/>
  <c r="E17" i="1"/>
  <c r="C17" i="1"/>
  <c r="B17" i="1"/>
  <c r="G17" i="1" s="1"/>
  <c r="I16" i="1"/>
  <c r="H16" i="1"/>
  <c r="E16" i="1"/>
  <c r="C16" i="1"/>
  <c r="I15" i="1"/>
  <c r="H15" i="1"/>
  <c r="C15" i="1"/>
  <c r="I14" i="1"/>
  <c r="H14" i="1"/>
  <c r="E14" i="1"/>
  <c r="C14" i="1"/>
  <c r="B14" i="1"/>
  <c r="G14" i="1" s="1"/>
  <c r="I13" i="1"/>
  <c r="H13" i="1"/>
  <c r="E13" i="1"/>
  <c r="B13" i="1"/>
  <c r="G13" i="1" s="1"/>
  <c r="I12" i="1"/>
  <c r="H12" i="1"/>
  <c r="E12" i="1"/>
  <c r="C12" i="1"/>
  <c r="B12" i="1"/>
  <c r="I11" i="1"/>
  <c r="H11" i="1"/>
  <c r="E11" i="1"/>
  <c r="C11" i="1"/>
  <c r="B11" i="1"/>
  <c r="I10" i="1"/>
  <c r="I19" i="1" s="1"/>
  <c r="H10" i="1"/>
  <c r="I9" i="1"/>
  <c r="H9" i="1"/>
  <c r="H19" i="1" s="1"/>
  <c r="C9" i="1"/>
  <c r="B9" i="1"/>
  <c r="G9" i="1" s="1"/>
  <c r="K5" i="1"/>
  <c r="I5" i="1"/>
  <c r="G5" i="1"/>
  <c r="A2" i="1"/>
  <c r="D17" i="1" l="1"/>
  <c r="D12" i="1"/>
  <c r="D18" i="1"/>
  <c r="G18" i="1"/>
  <c r="D11" i="1"/>
  <c r="D8" i="33"/>
  <c r="C13" i="1"/>
  <c r="C19" i="1" s="1"/>
  <c r="G11" i="1"/>
  <c r="D16" i="1"/>
  <c r="A14" i="20"/>
  <c r="B10" i="1"/>
  <c r="A15" i="29"/>
  <c r="A14" i="17"/>
  <c r="D4" i="33"/>
  <c r="A15" i="26"/>
  <c r="A14" i="29"/>
  <c r="E14" i="33"/>
  <c r="G4" i="34" s="1"/>
  <c r="D9" i="33"/>
  <c r="D5" i="33"/>
  <c r="D9" i="1"/>
  <c r="E19" i="1"/>
  <c r="G12" i="1"/>
  <c r="I9" i="4"/>
  <c r="J9" i="4" s="1"/>
  <c r="D15" i="1"/>
  <c r="G10" i="4"/>
  <c r="D14" i="1"/>
  <c r="B19" i="1"/>
  <c r="G19" i="1" s="1"/>
  <c r="I9" i="7"/>
  <c r="J9" i="7" s="1"/>
  <c r="G9" i="7"/>
  <c r="G9" i="16"/>
  <c r="A15" i="23"/>
  <c r="I10" i="25"/>
  <c r="J10" i="25" s="1"/>
  <c r="F15" i="34"/>
  <c r="E15" i="34"/>
  <c r="G11" i="33"/>
  <c r="D15" i="34"/>
  <c r="C15" i="34"/>
  <c r="D11" i="33"/>
  <c r="B15" i="34"/>
  <c r="G15" i="34"/>
  <c r="B11" i="34"/>
  <c r="G11" i="34"/>
  <c r="F11" i="34"/>
  <c r="E11" i="34"/>
  <c r="D11" i="34"/>
  <c r="C11" i="34"/>
  <c r="D7" i="33"/>
  <c r="G8" i="34"/>
  <c r="F8" i="34"/>
  <c r="E8" i="34"/>
  <c r="D8" i="34"/>
  <c r="C8" i="34"/>
  <c r="B8" i="34"/>
  <c r="B14" i="33"/>
  <c r="G9" i="31"/>
  <c r="C14" i="33"/>
  <c r="G10" i="34"/>
  <c r="F10" i="34"/>
  <c r="E10" i="34"/>
  <c r="D10" i="34"/>
  <c r="C10" i="34"/>
  <c r="B10" i="34"/>
  <c r="G7" i="33"/>
  <c r="E14" i="34"/>
  <c r="D10" i="33"/>
  <c r="D14" i="34"/>
  <c r="C14" i="34"/>
  <c r="B14" i="34"/>
  <c r="G14" i="34"/>
  <c r="G10" i="33"/>
  <c r="F14" i="34"/>
  <c r="D6" i="33"/>
  <c r="G5" i="33"/>
  <c r="G13" i="33"/>
  <c r="D12" i="34"/>
  <c r="E13" i="34"/>
  <c r="D12" i="33"/>
  <c r="B9" i="34"/>
  <c r="E12" i="34"/>
  <c r="F13" i="34"/>
  <c r="B17" i="34"/>
  <c r="C9" i="34"/>
  <c r="F12" i="34"/>
  <c r="G13" i="34"/>
  <c r="B16" i="34"/>
  <c r="C17" i="34"/>
  <c r="G12" i="33"/>
  <c r="D9" i="34"/>
  <c r="G12" i="34"/>
  <c r="C16" i="34"/>
  <c r="D17" i="34"/>
  <c r="G9" i="33"/>
  <c r="E9" i="34"/>
  <c r="D16" i="34"/>
  <c r="E17" i="34"/>
  <c r="F9" i="34"/>
  <c r="B13" i="34"/>
  <c r="E16" i="34"/>
  <c r="F17" i="34"/>
  <c r="D13" i="33"/>
  <c r="B12" i="34"/>
  <c r="C13" i="34"/>
  <c r="F16" i="34"/>
  <c r="G8" i="33"/>
  <c r="D13" i="1" l="1"/>
  <c r="H10" i="34"/>
  <c r="D10" i="1"/>
  <c r="G10" i="1"/>
  <c r="G18" i="34"/>
  <c r="H14" i="34"/>
  <c r="D18" i="34"/>
  <c r="C18" i="34"/>
  <c r="E18" i="34"/>
  <c r="H13" i="34"/>
  <c r="H17" i="34"/>
  <c r="F18" i="34"/>
  <c r="H11" i="34"/>
  <c r="C4" i="34"/>
  <c r="B4" i="35"/>
  <c r="C5" i="1"/>
  <c r="H15" i="34"/>
  <c r="H9" i="34"/>
  <c r="A4" i="35"/>
  <c r="A4" i="34"/>
  <c r="D14" i="33"/>
  <c r="A5" i="1"/>
  <c r="H12" i="34"/>
  <c r="H16" i="34"/>
  <c r="B18" i="34"/>
  <c r="H8" i="34"/>
  <c r="D19" i="1" l="1"/>
  <c r="C4" i="35"/>
  <c r="E4" i="34"/>
  <c r="E5" i="1"/>
  <c r="H18" i="34"/>
</calcChain>
</file>

<file path=xl/sharedStrings.xml><?xml version="1.0" encoding="utf-8"?>
<sst xmlns="http://schemas.openxmlformats.org/spreadsheetml/2006/main" count="2653" uniqueCount="877">
  <si>
    <t>🏦  SAMICIOUS MICROFINANCE — MANAGER COMMAND CENTER</t>
  </si>
  <si>
    <t>💰 Today Savings</t>
  </si>
  <si>
    <t>🏧 Today Withdrawals</t>
  </si>
  <si>
    <t>📈 Net Today</t>
  </si>
  <si>
    <t>👥 Active Customers</t>
  </si>
  <si>
    <t>🔔 Pending Loans</t>
  </si>
  <si>
    <t>🏦 Loan Portfolio</t>
  </si>
  <si>
    <t>📊  REAL-TIME AGENT PERFORMANCE — Linked to Centralized DB</t>
  </si>
  <si>
    <t>Agent</t>
  </si>
  <si>
    <t>Today Savings</t>
  </si>
  <si>
    <t>Today Withdrawals</t>
  </si>
  <si>
    <t>Net</t>
  </si>
  <si>
    <t>Transactions</t>
  </si>
  <si>
    <t>Target</t>
  </si>
  <si>
    <t>% of Target</t>
  </si>
  <si>
    <t>MTD Savings</t>
  </si>
  <si>
    <t>Active Cust.</t>
  </si>
  <si>
    <t>Agent 01</t>
  </si>
  <si>
    <t>Agent 02</t>
  </si>
  <si>
    <t>Agent 03</t>
  </si>
  <si>
    <t>Agent 04</t>
  </si>
  <si>
    <t>Agent 05</t>
  </si>
  <si>
    <t>Agent 06</t>
  </si>
  <si>
    <t>Agent 07</t>
  </si>
  <si>
    <t>Agent 08</t>
  </si>
  <si>
    <t>Agent 09</t>
  </si>
  <si>
    <t>Agent 10</t>
  </si>
  <si>
    <t>TOTALS</t>
  </si>
  <si>
    <t>📋  CUSTOMER &amp; LOAN SUMMARY</t>
  </si>
  <si>
    <t>🔗  NAVIGATION GUIDE
• Account_Opening → Create new customers
• Agent01-10_Savings → Record savings
• Agent01-10_Withdrawals → Process withdrawals
• Agent01-10_Loans → Submit loan requests
• DB_Customers → Master customer database
• DB_Savings / DB_Withdrawals / DB_Loans → Central records
• Daily/Weekly/Monthly_Balancing → Reports</t>
  </si>
  <si>
    <t>Total Customers</t>
  </si>
  <si>
    <t>Total Savings Portfolio</t>
  </si>
  <si>
    <t>Total Withdrawals</t>
  </si>
  <si>
    <t>Pending KYC</t>
  </si>
  <si>
    <t>Pending Loan Requests</t>
  </si>
  <si>
    <t>Approved Loans</t>
  </si>
  <si>
    <t>👤  NEW CUSTOMER ACCOUNT OPENING</t>
  </si>
  <si>
    <t>SAMICIOUS MICROFINANCE  |  Fill all fields → Click GENERATE ACCOUNT</t>
  </si>
  <si>
    <t>⚡ Account Number is auto-generated by the system. No manual entry required.</t>
  </si>
  <si>
    <t>* First Name:</t>
  </si>
  <si>
    <t>* Last Name:</t>
  </si>
  <si>
    <t>* ID Card Type:</t>
  </si>
  <si>
    <t>Ghana Card</t>
  </si>
  <si>
    <t>* ID Number:</t>
  </si>
  <si>
    <t>718982195-0</t>
  </si>
  <si>
    <t>* Occupation:</t>
  </si>
  <si>
    <t>* Assign Agent:</t>
  </si>
  <si>
    <t>Opening Balance (GHC):</t>
  </si>
  <si>
    <t>✅  GENERATED ACCOUNT NUMBER</t>
  </si>
  <si>
    <t>📌  HOW TO CREATE AN ACCOUNT:</t>
  </si>
  <si>
    <t>Step 1:</t>
  </si>
  <si>
    <t>Enter First Name, Last Name, ID Card Type, ID Number, Occupation, Agent</t>
  </si>
  <si>
    <t>Step 2:</t>
  </si>
  <si>
    <t>Click GENERATE ACCOUNT button (VBA macro: CreateNewAccount)</t>
  </si>
  <si>
    <t>Step 3:</t>
  </si>
  <si>
    <t>System auto-generates Account Number and saves to DB_Customers</t>
  </si>
  <si>
    <t>Step 4:</t>
  </si>
  <si>
    <t>Account is immediately available for Savings / Withdrawal / Loans</t>
  </si>
  <si>
    <t>📋  RECENTLY CREATED ACCOUNTS (from DB_Customers)</t>
  </si>
  <si>
    <t>Account No</t>
  </si>
  <si>
    <t>Customer Name</t>
  </si>
  <si>
    <t>ID Type</t>
  </si>
  <si>
    <t>Date Created</t>
  </si>
  <si>
    <t>SAM20240600020</t>
  </si>
  <si>
    <t>Kwame Baffour</t>
  </si>
  <si>
    <t>Voter's ID</t>
  </si>
  <si>
    <t>2024-06-20</t>
  </si>
  <si>
    <t>SAM20240600019</t>
  </si>
  <si>
    <t>Yaa Opoku</t>
  </si>
  <si>
    <t>2024-06-15</t>
  </si>
  <si>
    <t>SAM20240600018</t>
  </si>
  <si>
    <t>Esi Quaye</t>
  </si>
  <si>
    <t>2024-06-08</t>
  </si>
  <si>
    <t>SAM20240600017</t>
  </si>
  <si>
    <t>Kwasi Adusei</t>
  </si>
  <si>
    <t>2024-06-01</t>
  </si>
  <si>
    <t>SAM20240500016</t>
  </si>
  <si>
    <t>Akua Bonsu</t>
  </si>
  <si>
    <t>2024-05-25</t>
  </si>
  <si>
    <t>💰  SAMICIOUS MICROFINANCE — AGENT01 SAVINGS</t>
  </si>
  <si>
    <t>Agent: Agent 01  |  Enter Account # → All fields auto-populate  |  Status auto-sets to "Saved"</t>
  </si>
  <si>
    <t>💰 Total Collected Today</t>
  </si>
  <si>
    <t>📊 Transactions Today</t>
  </si>
  <si>
    <t>📅 Date</t>
  </si>
  <si>
    <t>🎯 Daily Target</t>
  </si>
  <si>
    <t>📝  ENTRY FORM — Enter Account Number in column A. All other fields auto-populate. Enter Savings Amount in column E then Tab to complete.</t>
  </si>
  <si>
    <t>Account #</t>
  </si>
  <si>
    <t>Current Balance</t>
  </si>
  <si>
    <t>Date</t>
  </si>
  <si>
    <t>Savings Amount</t>
  </si>
  <si>
    <t>New Balance</t>
  </si>
  <si>
    <t>Status</t>
  </si>
  <si>
    <t>Saved At</t>
  </si>
  <si>
    <t>Notes</t>
  </si>
  <si>
    <t>SAM20240100001</t>
  </si>
  <si>
    <t>SAM20240100002</t>
  </si>
  <si>
    <t>🏧  SAMICIOUS MICROFINANCE — AGENT01 WITHDRAWALS</t>
  </si>
  <si>
    <t>Agent: Agent 01  |  Status auto: "Successful" or "Unsuccessful" based on balance check</t>
  </si>
  <si>
    <t>🏧 Total Withdrawn Today</t>
  </si>
  <si>
    <t>✅ Successful</t>
  </si>
  <si>
    <t>❌ Unsuccessful</t>
  </si>
  <si>
    <t>⚠️  WITHDRAWALS — System auto-validates balance. Insufficient funds will show "Unsuccessful" status.</t>
  </si>
  <si>
    <t>📝  ENTRY FORM — Enter Account # → Name, Balance, Date auto-populate. Enter Withdrawal Amount &amp; Authorized By.</t>
  </si>
  <si>
    <t>Available Balance</t>
  </si>
  <si>
    <t>Withdrawal Amt</t>
  </si>
  <si>
    <t>Authorized By</t>
  </si>
  <si>
    <t>Manager</t>
  </si>
  <si>
    <t>🏦  SAMICIOUS MICROFINANCE — AGENT01 LOAN REQUESTS</t>
  </si>
  <si>
    <t>Total Repayable = Loan Amount + (Loan Amount × Rate% × Months) | Status: Pending → Approved when credited</t>
  </si>
  <si>
    <t>🔢  INSTANT LOAN CALCULATOR</t>
  </si>
  <si>
    <t>Loan Amount (GHC):</t>
  </si>
  <si>
    <t>Duration (Months):</t>
  </si>
  <si>
    <t>Interest Rate (%/m):</t>
  </si>
  <si>
    <t>━ Total Interest:</t>
  </si>
  <si>
    <t>━ Total Repayable:</t>
  </si>
  <si>
    <t>━ Monthly Payment:</t>
  </si>
  <si>
    <t>📋  LOAN REQUEST ENTRIES — Loan ID &amp; Request Date auto-generate | Total Repayable auto-calculated</t>
  </si>
  <si>
    <t>Loan ID</t>
  </si>
  <si>
    <t>Request Date</t>
  </si>
  <si>
    <t>Loan Amount</t>
  </si>
  <si>
    <t>Purpose</t>
  </si>
  <si>
    <t>Months</t>
  </si>
  <si>
    <t>Rate %</t>
  </si>
  <si>
    <t>Total Repayable</t>
  </si>
  <si>
    <t>Monthly Install</t>
  </si>
  <si>
    <t>Note</t>
  </si>
  <si>
    <t>Business expansion</t>
  </si>
  <si>
    <t>💰  SAMICIOUS MICROFINANCE — AGENT02 SAVINGS</t>
  </si>
  <si>
    <t>Agent: Agent 02  |  Enter Account # → All fields auto-populate  |  Status auto-sets to "Saved"</t>
  </si>
  <si>
    <t>SAM20240200003</t>
  </si>
  <si>
    <t>SAM20240200004</t>
  </si>
  <si>
    <t>🏧  SAMICIOUS MICROFINANCE — AGENT02 WITHDRAWALS</t>
  </si>
  <si>
    <t>Agent: Agent 02  |  Status auto: "Successful" or "Unsuccessful" based on balance check</t>
  </si>
  <si>
    <t>🏦  SAMICIOUS MICROFINANCE — AGENT02 LOAN REQUESTS</t>
  </si>
  <si>
    <t>School fees</t>
  </si>
  <si>
    <t>💰  SAMICIOUS MICROFINANCE — AGENT03 SAVINGS</t>
  </si>
  <si>
    <t>Agent: Agent 03  |  Enter Account # → All fields auto-populate  |  Status auto-sets to "Saved"</t>
  </si>
  <si>
    <t>SAM20240200005</t>
  </si>
  <si>
    <t>SAM20240300006</t>
  </si>
  <si>
    <t>🏧  SAMICIOUS MICROFINANCE — AGENT03 WITHDRAWALS</t>
  </si>
  <si>
    <t>Agent: Agent 03  |  Status auto: "Successful" or "Unsuccessful" based on balance check</t>
  </si>
  <si>
    <t>🏦  SAMICIOUS MICROFINANCE — AGENT03 LOAN REQUESTS</t>
  </si>
  <si>
    <t>Home improvement</t>
  </si>
  <si>
    <t>💰  SAMICIOUS MICROFINANCE — AGENT04 SAVINGS</t>
  </si>
  <si>
    <t>Agent: Agent 04  |  Enter Account # → All fields auto-populate  |  Status auto-sets to "Saved"</t>
  </si>
  <si>
    <t>SAM20240300007</t>
  </si>
  <si>
    <t>SAM20240300008</t>
  </si>
  <si>
    <t>🏧  SAMICIOUS MICROFINANCE — AGENT04 WITHDRAWALS</t>
  </si>
  <si>
    <t>Agent: Agent 04  |  Status auto: "Successful" or "Unsuccessful" based on balance check</t>
  </si>
  <si>
    <t>🏦  SAMICIOUS MICROFINANCE — AGENT04 LOAN REQUESTS</t>
  </si>
  <si>
    <t>Equipment</t>
  </si>
  <si>
    <t>💰  SAMICIOUS MICROFINANCE — AGENT05 SAVINGS</t>
  </si>
  <si>
    <t>Agent: Agent 05  |  Enter Account # → All fields auto-populate  |  Status auto-sets to "Saved"</t>
  </si>
  <si>
    <t>SAM20240400009</t>
  </si>
  <si>
    <t>SAM20240400010</t>
  </si>
  <si>
    <t>🏧  SAMICIOUS MICROFINANCE — AGENT05 WITHDRAWALS</t>
  </si>
  <si>
    <t>Agent: Agent 05  |  Status auto: "Successful" or "Unsuccessful" based on balance check</t>
  </si>
  <si>
    <t>🏦  SAMICIOUS MICROFINANCE — AGENT05 LOAN REQUESTS</t>
  </si>
  <si>
    <t>💰  SAMICIOUS MICROFINANCE — AGENT06 SAVINGS</t>
  </si>
  <si>
    <t>Agent: Agent 06  |  Enter Account # → All fields auto-populate  |  Status auto-sets to "Saved"</t>
  </si>
  <si>
    <t>SAM20240400011</t>
  </si>
  <si>
    <t>SAM20240400012</t>
  </si>
  <si>
    <t>🏧  SAMICIOUS MICROFINANCE — AGENT06 WITHDRAWALS</t>
  </si>
  <si>
    <t>Agent: Agent 06  |  Status auto: "Successful" or "Unsuccessful" based on balance check</t>
  </si>
  <si>
    <t>🏦  SAMICIOUS MICROFINANCE — AGENT06 LOAN REQUESTS</t>
  </si>
  <si>
    <t>💰  SAMICIOUS MICROFINANCE — AGENT07 SAVINGS</t>
  </si>
  <si>
    <t>Agent: Agent 07  |  Enter Account # → All fields auto-populate  |  Status auto-sets to "Saved"</t>
  </si>
  <si>
    <t>SAM20240500013</t>
  </si>
  <si>
    <t>SAM20240500014</t>
  </si>
  <si>
    <t>🏧  SAMICIOUS MICROFINANCE — AGENT07 WITHDRAWALS</t>
  </si>
  <si>
    <t>Agent: Agent 07  |  Status auto: "Successful" or "Unsuccessful" based on balance check</t>
  </si>
  <si>
    <t>🏦  SAMICIOUS MICROFINANCE — AGENT07 LOAN REQUESTS</t>
  </si>
  <si>
    <t>💰  SAMICIOUS MICROFINANCE — AGENT08 SAVINGS</t>
  </si>
  <si>
    <t>Agent: Agent 08  |  Enter Account # → All fields auto-populate  |  Status auto-sets to "Saved"</t>
  </si>
  <si>
    <t>SAM20240500015</t>
  </si>
  <si>
    <t>🏧  SAMICIOUS MICROFINANCE — AGENT08 WITHDRAWALS</t>
  </si>
  <si>
    <t>Agent: Agent 08  |  Status auto: "Successful" or "Unsuccessful" based on balance check</t>
  </si>
  <si>
    <t>🏦  SAMICIOUS MICROFINANCE — AGENT08 LOAN REQUESTS</t>
  </si>
  <si>
    <t>💰  SAMICIOUS MICROFINANCE — AGENT09 SAVINGS</t>
  </si>
  <si>
    <t>Agent: Agent 09  |  Enter Account # → All fields auto-populate  |  Status auto-sets to "Saved"</t>
  </si>
  <si>
    <t>🏧  SAMICIOUS MICROFINANCE — AGENT09 WITHDRAWALS</t>
  </si>
  <si>
    <t>Agent: Agent 09  |  Status auto: "Successful" or "Unsuccessful" based on balance check</t>
  </si>
  <si>
    <t>🏦  SAMICIOUS MICROFINANCE — AGENT09 LOAN REQUESTS</t>
  </si>
  <si>
    <t>💰  SAMICIOUS MICROFINANCE — AGENT10 SAVINGS</t>
  </si>
  <si>
    <t>Agent: Agent 10  |  Enter Account # → All fields auto-populate  |  Status auto-sets to "Saved"</t>
  </si>
  <si>
    <t>🏧  SAMICIOUS MICROFINANCE — AGENT10 WITHDRAWALS</t>
  </si>
  <si>
    <t>Agent: Agent 10  |  Status auto: "Successful" or "Unsuccessful" based on balance check</t>
  </si>
  <si>
    <t>🏦  SAMICIOUS MICROFINANCE — AGENT10 LOAN REQUESTS</t>
  </si>
  <si>
    <t>📊  DAILY BALANCING — Monday, 13 April 2026 | All values from centralized DB</t>
  </si>
  <si>
    <t>Formulas link to DB_Savings and DB_Withdrawals directly — auto-refreshed on open</t>
  </si>
  <si>
    <t>Savings (GHC)</t>
  </si>
  <si>
    <t>Withdrawals (GHC)</t>
  </si>
  <si>
    <t>Net (GHC)</t>
  </si>
  <si>
    <t>Daily Target</t>
  </si>
  <si>
    <t>GRAND TOTAL</t>
  </si>
  <si>
    <t>📅  WEEKLY BALANCING REPORT — Linked to Daily Totals</t>
  </si>
  <si>
    <t>Total Savings (Week)</t>
  </si>
  <si>
    <t>Net Movement</t>
  </si>
  <si>
    <t>📋  AGENT WEEKLY SUMMARY</t>
  </si>
  <si>
    <t>Mon</t>
  </si>
  <si>
    <t>Tue</t>
  </si>
  <si>
    <t>Wed</t>
  </si>
  <si>
    <t>Thu</t>
  </si>
  <si>
    <t>Fri</t>
  </si>
  <si>
    <t>Sat</t>
  </si>
  <si>
    <t>Weekly Total</t>
  </si>
  <si>
    <t>WEEKLY TOTAL</t>
  </si>
  <si>
    <t>📆  MONTHLY BALANCING — April 2026 | Trend Analysis</t>
  </si>
  <si>
    <t>Year-to-date performance | New accounts &amp; loan portfolio tracking</t>
  </si>
  <si>
    <t>MTD Withdrawals</t>
  </si>
  <si>
    <t>MTD Net</t>
  </si>
  <si>
    <t>New Accounts</t>
  </si>
  <si>
    <t>Active Loans</t>
  </si>
  <si>
    <t>📊  MONTH-BY-MONTH TRACKER</t>
  </si>
  <si>
    <t>Month</t>
  </si>
  <si>
    <t>Savings</t>
  </si>
  <si>
    <t>Withdrawals</t>
  </si>
  <si>
    <t>New Accts</t>
  </si>
  <si>
    <t>Loans</t>
  </si>
  <si>
    <t>Interest</t>
  </si>
  <si>
    <t>Growth%</t>
  </si>
  <si>
    <t>Target?</t>
  </si>
  <si>
    <t>Jan</t>
  </si>
  <si>
    <t>-4.6%</t>
  </si>
  <si>
    <t>YES</t>
  </si>
  <si>
    <t>Feb</t>
  </si>
  <si>
    <t>6.6%</t>
  </si>
  <si>
    <t>Mar</t>
  </si>
  <si>
    <t>-0.7%</t>
  </si>
  <si>
    <t>NO</t>
  </si>
  <si>
    <t>Apr</t>
  </si>
  <si>
    <t>-0.9%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</si>
  <si>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</si>
  <si>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</si>
  <si>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</si>
  <si>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</si>
  <si>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</si>
  <si>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</si>
  <si>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</si>
  <si>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</si>
  <si>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</si>
  <si>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👥  AGENTS DATABASE — Pre-loaded | All 10 Agents</t>
  </si>
  <si>
    <t>System pre-configured — Do NOT modify agent codes</t>
  </si>
  <si>
    <t>Agent_Code</t>
  </si>
  <si>
    <t>Agent_Name</t>
  </si>
  <si>
    <t>Email</t>
  </si>
  <si>
    <t>Agent01</t>
  </si>
  <si>
    <t>Active</t>
  </si>
  <si>
    <t>agent01@samicious.com</t>
  </si>
  <si>
    <t>Agent02</t>
  </si>
  <si>
    <t>agent02@samicious.com</t>
  </si>
  <si>
    <t>Agent03</t>
  </si>
  <si>
    <t>agent03@samicious.com</t>
  </si>
  <si>
    <t>Agent04</t>
  </si>
  <si>
    <t>agent04@samicious.com</t>
  </si>
  <si>
    <t>Agent05</t>
  </si>
  <si>
    <t>agent05@samicious.com</t>
  </si>
  <si>
    <t>Agent06</t>
  </si>
  <si>
    <t>agent06@samicious.com</t>
  </si>
  <si>
    <t>Agent07</t>
  </si>
  <si>
    <t>agent07@samicious.com</t>
  </si>
  <si>
    <t>Agent08</t>
  </si>
  <si>
    <t>agent08@samicious.com</t>
  </si>
  <si>
    <t>Agent09</t>
  </si>
  <si>
    <t>agent09@samicious.com</t>
  </si>
  <si>
    <t>Agent10</t>
  </si>
  <si>
    <t>agent10@samicious.com</t>
  </si>
  <si>
    <t>🗄️  CUSTOMERS DATABASE — Centralized Master Table</t>
  </si>
  <si>
    <t>20 customers pre-loaded | Current Balance auto-calculated from transactions</t>
  </si>
  <si>
    <t>Account_No</t>
  </si>
  <si>
    <t>First_Name</t>
  </si>
  <si>
    <t>Last_Name</t>
  </si>
  <si>
    <t>Full_Name</t>
  </si>
  <si>
    <t>ID_Card_Type</t>
  </si>
  <si>
    <t>ID_Number</t>
  </si>
  <si>
    <t>Occupation</t>
  </si>
  <si>
    <t>Agent_Assigned</t>
  </si>
  <si>
    <t>Opening_Balance</t>
  </si>
  <si>
    <t>Account_Date</t>
  </si>
  <si>
    <t>Total_Savings</t>
  </si>
  <si>
    <t>Total_Withdrawals</t>
  </si>
  <si>
    <t>Current_Balance</t>
  </si>
  <si>
    <t>Kwame</t>
  </si>
  <si>
    <t>Asare</t>
  </si>
  <si>
    <t>Kwame Asare</t>
  </si>
  <si>
    <t>GHA-123456789-0</t>
  </si>
  <si>
    <t>Trader</t>
  </si>
  <si>
    <t>2024-01-15</t>
  </si>
  <si>
    <t>Ama</t>
  </si>
  <si>
    <t>Mensah</t>
  </si>
  <si>
    <t>Ama Mensah</t>
  </si>
  <si>
    <t>Nurse</t>
  </si>
  <si>
    <t>2024-01-20</t>
  </si>
  <si>
    <t>Kofi</t>
  </si>
  <si>
    <t>Boateng</t>
  </si>
  <si>
    <t>Kofi Boateng</t>
  </si>
  <si>
    <t>GHA-345678901-2</t>
  </si>
  <si>
    <t>Carpenter</t>
  </si>
  <si>
    <t>2024-02-01</t>
  </si>
  <si>
    <t>Abena</t>
  </si>
  <si>
    <t>Owusu</t>
  </si>
  <si>
    <t>Abena Owusu</t>
  </si>
  <si>
    <t>Seamstress</t>
  </si>
  <si>
    <t>2024-02-10</t>
  </si>
  <si>
    <t>Yaw</t>
  </si>
  <si>
    <t>Darko</t>
  </si>
  <si>
    <t>Yaw Darko</t>
  </si>
  <si>
    <t>GHA-567890123-4</t>
  </si>
  <si>
    <t>Driver</t>
  </si>
  <si>
    <t>2024-02-14</t>
  </si>
  <si>
    <t>Efua</t>
  </si>
  <si>
    <t>Kumi</t>
  </si>
  <si>
    <t>Efua Kumi</t>
  </si>
  <si>
    <t>Farmer</t>
  </si>
  <si>
    <t>2024-03-05</t>
  </si>
  <si>
    <t>Kojo</t>
  </si>
  <si>
    <t>Amponsah</t>
  </si>
  <si>
    <t>Kojo Amponsah</t>
  </si>
  <si>
    <t>GHA-789012345-6</t>
  </si>
  <si>
    <t>Mechanic</t>
  </si>
  <si>
    <t>2024-03-12</t>
  </si>
  <si>
    <t>Akosua</t>
  </si>
  <si>
    <t>Frimpong</t>
  </si>
  <si>
    <t>Akosua Frimpong</t>
  </si>
  <si>
    <t>Teacher</t>
  </si>
  <si>
    <t>2024-03-20</t>
  </si>
  <si>
    <t>Kwabena</t>
  </si>
  <si>
    <t>Asante</t>
  </si>
  <si>
    <t>Kwabena Asante</t>
  </si>
  <si>
    <t>GHA-901234567-8</t>
  </si>
  <si>
    <t>Pharmacist</t>
  </si>
  <si>
    <t>2024-04-01</t>
  </si>
  <si>
    <t>Adjoa</t>
  </si>
  <si>
    <t>Tetteh</t>
  </si>
  <si>
    <t>Adjoa Tetteh</t>
  </si>
  <si>
    <t>Caterer</t>
  </si>
  <si>
    <t>2024-04-08</t>
  </si>
  <si>
    <t>Nana</t>
  </si>
  <si>
    <t>Osei</t>
  </si>
  <si>
    <t>Nana Osei</t>
  </si>
  <si>
    <t>GHA-111222333-0</t>
  </si>
  <si>
    <t>Electrician</t>
  </si>
  <si>
    <t>2024-04-15</t>
  </si>
  <si>
    <t>Adwoa</t>
  </si>
  <si>
    <t>Amoah</t>
  </si>
  <si>
    <t>Adwoa Amoah</t>
  </si>
  <si>
    <t>Hairdresser</t>
  </si>
  <si>
    <t>2024-04-22</t>
  </si>
  <si>
    <t>Kweku</t>
  </si>
  <si>
    <t>Nyarko</t>
  </si>
  <si>
    <t>Kweku Nyarko</t>
  </si>
  <si>
    <t>GHA-333444555-2</t>
  </si>
  <si>
    <t>2024-05-01</t>
  </si>
  <si>
    <t>Abiba</t>
  </si>
  <si>
    <t>Seidu</t>
  </si>
  <si>
    <t>Abiba Seidu</t>
  </si>
  <si>
    <t>2024-05-10</t>
  </si>
  <si>
    <t>Fiifi</t>
  </si>
  <si>
    <t>Ghartey</t>
  </si>
  <si>
    <t>Fiifi Ghartey</t>
  </si>
  <si>
    <t>GHA-555666777-4</t>
  </si>
  <si>
    <t>Engineer</t>
  </si>
  <si>
    <t>2024-05-18</t>
  </si>
  <si>
    <t>Akua</t>
  </si>
  <si>
    <t>Bonsu</t>
  </si>
  <si>
    <t>Banker</t>
  </si>
  <si>
    <t>Kwasi</t>
  </si>
  <si>
    <t>Adusei</t>
  </si>
  <si>
    <t>GHA-777888999-6</t>
  </si>
  <si>
    <t>Contractor</t>
  </si>
  <si>
    <t>Esi</t>
  </si>
  <si>
    <t>Quaye</t>
  </si>
  <si>
    <t>Accountant</t>
  </si>
  <si>
    <t>Yaa</t>
  </si>
  <si>
    <t>Opoku</t>
  </si>
  <si>
    <t>GHA-999000111-8</t>
  </si>
  <si>
    <t>Baffour</t>
  </si>
  <si>
    <t>💰  SAVINGS TRANSACTIONS DATABASE — All Agents Combined</t>
  </si>
  <si>
    <t>All savings from all 10 agents are stored here | Balances auto-update in DB_Customers</t>
  </si>
  <si>
    <t>#</t>
  </si>
  <si>
    <t>Transaction_ID</t>
  </si>
  <si>
    <t>Customer_Name</t>
  </si>
  <si>
    <t>Amount_GHC</t>
  </si>
  <si>
    <t>Saved_At</t>
  </si>
  <si>
    <t>SAV202402250001</t>
  </si>
  <si>
    <t>2024-02-25</t>
  </si>
  <si>
    <t>Saved</t>
  </si>
  <si>
    <t>SAV202401030002</t>
  </si>
  <si>
    <t>2024-01-03</t>
  </si>
  <si>
    <t>SAV202403040003</t>
  </si>
  <si>
    <t>2024-03-04</t>
  </si>
  <si>
    <t>SAV202401090004</t>
  </si>
  <si>
    <t>2024-01-09</t>
  </si>
  <si>
    <t>SAV202402150005</t>
  </si>
  <si>
    <t>2024-02-15</t>
  </si>
  <si>
    <t>SAV202402200006</t>
  </si>
  <si>
    <t>2024-02-20</t>
  </si>
  <si>
    <t>SAV202401220007</t>
  </si>
  <si>
    <t>2024-01-22</t>
  </si>
  <si>
    <t>SAV202403010008</t>
  </si>
  <si>
    <t>2024-03-01</t>
  </si>
  <si>
    <t>SAV202404030009</t>
  </si>
  <si>
    <t>2024-04-03</t>
  </si>
  <si>
    <t>SAV202401300010</t>
  </si>
  <si>
    <t>2024-01-30</t>
  </si>
  <si>
    <t>SAV202404010011</t>
  </si>
  <si>
    <t>SAV202403060012</t>
  </si>
  <si>
    <t>2024-03-06</t>
  </si>
  <si>
    <t>SAV202402070013</t>
  </si>
  <si>
    <t>2024-02-07</t>
  </si>
  <si>
    <t>SAV202401160014</t>
  </si>
  <si>
    <t>2024-01-16</t>
  </si>
  <si>
    <t>SAV202402100015</t>
  </si>
  <si>
    <t>SAV202402180016</t>
  </si>
  <si>
    <t>2024-02-18</t>
  </si>
  <si>
    <t>SAV202402100017</t>
  </si>
  <si>
    <t>SAV202403210018</t>
  </si>
  <si>
    <t>2024-03-21</t>
  </si>
  <si>
    <t>SAV202403110019</t>
  </si>
  <si>
    <t>2024-03-11</t>
  </si>
  <si>
    <t>SAV202403180020</t>
  </si>
  <si>
    <t>2024-03-18</t>
  </si>
  <si>
    <t>SAV202402110021</t>
  </si>
  <si>
    <t>2024-02-11</t>
  </si>
  <si>
    <t>SAV202402130022</t>
  </si>
  <si>
    <t>2024-02-13</t>
  </si>
  <si>
    <t>SAV202403170023</t>
  </si>
  <si>
    <t>2024-03-17</t>
  </si>
  <si>
    <t>SAV202403310024</t>
  </si>
  <si>
    <t>2024-03-31</t>
  </si>
  <si>
    <t>SAV202402050025</t>
  </si>
  <si>
    <t>2024-02-05</t>
  </si>
  <si>
    <t>SAV202403040026</t>
  </si>
  <si>
    <t>SAV202402050027</t>
  </si>
  <si>
    <t>SAV202403160028</t>
  </si>
  <si>
    <t>2024-03-16</t>
  </si>
  <si>
    <t>SAV202402130029</t>
  </si>
  <si>
    <t>SAV202403150030</t>
  </si>
  <si>
    <t>2024-03-15</t>
  </si>
  <si>
    <t>SAV202402230031</t>
  </si>
  <si>
    <t>2024-02-23</t>
  </si>
  <si>
    <t>SAV202402100032</t>
  </si>
  <si>
    <t>SAV202402140033</t>
  </si>
  <si>
    <t>SAV202402260034</t>
  </si>
  <si>
    <t>2024-02-26</t>
  </si>
  <si>
    <t>SAV202402130035</t>
  </si>
  <si>
    <t>SAV202402140036</t>
  </si>
  <si>
    <t>SAV202403100037</t>
  </si>
  <si>
    <t>2024-03-10</t>
  </si>
  <si>
    <t>SAV202402230038</t>
  </si>
  <si>
    <t>SAV202401310039</t>
  </si>
  <si>
    <t>2024-01-31</t>
  </si>
  <si>
    <t>SAV202403060040</t>
  </si>
  <si>
    <t>SAV202402280041</t>
  </si>
  <si>
    <t>2024-02-28</t>
  </si>
  <si>
    <t>SAV202404090042</t>
  </si>
  <si>
    <t>2024-04-09</t>
  </si>
  <si>
    <t>SAV202404240043</t>
  </si>
  <si>
    <t>2024-04-24</t>
  </si>
  <si>
    <t>SAV202404050044</t>
  </si>
  <si>
    <t>2024-04-05</t>
  </si>
  <si>
    <t>SAV202403030045</t>
  </si>
  <si>
    <t>2024-03-03</t>
  </si>
  <si>
    <t>SAV202404150046</t>
  </si>
  <si>
    <t>SAV202402190047</t>
  </si>
  <si>
    <t>2024-02-19</t>
  </si>
  <si>
    <t>SAV202403280048</t>
  </si>
  <si>
    <t>2024-03-28</t>
  </si>
  <si>
    <t>SAV202403250049</t>
  </si>
  <si>
    <t>2024-03-25</t>
  </si>
  <si>
    <t>SAV202403160050</t>
  </si>
  <si>
    <t>SAV202404030051</t>
  </si>
  <si>
    <t>SAV202404120052</t>
  </si>
  <si>
    <t>2024-04-12</t>
  </si>
  <si>
    <t>SAV202402080053</t>
  </si>
  <si>
    <t>2024-02-08</t>
  </si>
  <si>
    <t>SAV202403310054</t>
  </si>
  <si>
    <t>SAV202402100055</t>
  </si>
  <si>
    <t>SAV202402230056</t>
  </si>
  <si>
    <t>SAV202404020057</t>
  </si>
  <si>
    <t>2024-04-02</t>
  </si>
  <si>
    <t>SAV202404060058</t>
  </si>
  <si>
    <t>2024-04-06</t>
  </si>
  <si>
    <t>SAV202404110059</t>
  </si>
  <si>
    <t>2024-04-11</t>
  </si>
  <si>
    <t>SAV202403210060</t>
  </si>
  <si>
    <t>SAV202405060061</t>
  </si>
  <si>
    <t>2024-05-06</t>
  </si>
  <si>
    <t>SAV202403200062</t>
  </si>
  <si>
    <t>SAV202404130063</t>
  </si>
  <si>
    <t>2024-04-13</t>
  </si>
  <si>
    <t>SAV202403080064</t>
  </si>
  <si>
    <t>2024-03-08</t>
  </si>
  <si>
    <t>SAV202405070065</t>
  </si>
  <si>
    <t>2024-05-07</t>
  </si>
  <si>
    <t>SAV202404250066</t>
  </si>
  <si>
    <t>2024-04-25</t>
  </si>
  <si>
    <t>SAV202404300067</t>
  </si>
  <si>
    <t>2024-04-30</t>
  </si>
  <si>
    <t>SAV202403210068</t>
  </si>
  <si>
    <t>SAV202403150069</t>
  </si>
  <si>
    <t>SAV202402240070</t>
  </si>
  <si>
    <t>2024-02-24</t>
  </si>
  <si>
    <t>SAV202403230071</t>
  </si>
  <si>
    <t>2024-03-23</t>
  </si>
  <si>
    <t>SAV202404170072</t>
  </si>
  <si>
    <t>2024-04-17</t>
  </si>
  <si>
    <t>SAV202405020073</t>
  </si>
  <si>
    <t>2024-05-02</t>
  </si>
  <si>
    <t>SAV202404030074</t>
  </si>
  <si>
    <t>SAV202405040075</t>
  </si>
  <si>
    <t>2024-05-04</t>
  </si>
  <si>
    <t>SAV202403160076</t>
  </si>
  <si>
    <t>SAV202405160077</t>
  </si>
  <si>
    <t>2024-05-16</t>
  </si>
  <si>
    <t>SAV202405200078</t>
  </si>
  <si>
    <t>2024-05-20</t>
  </si>
  <si>
    <t>SAV202404160079</t>
  </si>
  <si>
    <t>2024-04-16</t>
  </si>
  <si>
    <t>SAV202405030080</t>
  </si>
  <si>
    <t>2024-05-03</t>
  </si>
  <si>
    <t>SAV202405080081</t>
  </si>
  <si>
    <t>2024-05-08</t>
  </si>
  <si>
    <t>SAV202405120082</t>
  </si>
  <si>
    <t>2024-05-12</t>
  </si>
  <si>
    <t>SAV202402220083</t>
  </si>
  <si>
    <t>2024-02-22</t>
  </si>
  <si>
    <t>SAV202404130084</t>
  </si>
  <si>
    <t>SAV202405180085</t>
  </si>
  <si>
    <t>SAV202404190086</t>
  </si>
  <si>
    <t>2024-04-19</t>
  </si>
  <si>
    <t>SAV202403030087</t>
  </si>
  <si>
    <t>SAV202404110088</t>
  </si>
  <si>
    <t>SAV202403200089</t>
  </si>
  <si>
    <t>SAV202404270090</t>
  </si>
  <si>
    <t>2024-04-27</t>
  </si>
  <si>
    <t>SAV202405020091</t>
  </si>
  <si>
    <t>SAV202404010092</t>
  </si>
  <si>
    <t>SAV202405190093</t>
  </si>
  <si>
    <t>2024-05-19</t>
  </si>
  <si>
    <t>SAV202404030094</t>
  </si>
  <si>
    <t>🏧  WITHDRAWALS TRANSACTIONS DATABASE — All Agents Combined</t>
  </si>
  <si>
    <t>All withdrawals stored here | Status auto: Successful / Unsuccessful</t>
  </si>
  <si>
    <t>Balance_Before</t>
  </si>
  <si>
    <t>Withdrawal_Amt_GHC</t>
  </si>
  <si>
    <t>Authorized_By</t>
  </si>
  <si>
    <t>New_Balance_GHC</t>
  </si>
  <si>
    <t>WDR202403010001</t>
  </si>
  <si>
    <t>Successful</t>
  </si>
  <si>
    <t>WDR202402230002</t>
  </si>
  <si>
    <t>WDR202403030003</t>
  </si>
  <si>
    <t>WDR202402220004</t>
  </si>
  <si>
    <t>WDR202403240005</t>
  </si>
  <si>
    <t>2024-03-24</t>
  </si>
  <si>
    <t>WDR202404120006</t>
  </si>
  <si>
    <t>WDR202403110007</t>
  </si>
  <si>
    <t>WDR202403280008</t>
  </si>
  <si>
    <t>WDR202404230009</t>
  </si>
  <si>
    <t>2024-04-23</t>
  </si>
  <si>
    <t>WDR202404100010</t>
  </si>
  <si>
    <t>2024-04-10</t>
  </si>
  <si>
    <t>WDR202403210011</t>
  </si>
  <si>
    <t>WDR202403020012</t>
  </si>
  <si>
    <t>2024-03-02</t>
  </si>
  <si>
    <t>WDR202403300013</t>
  </si>
  <si>
    <t>2024-03-30</t>
  </si>
  <si>
    <t>WDR202403260014</t>
  </si>
  <si>
    <t>2024-03-26</t>
  </si>
  <si>
    <t>WDR202403090015</t>
  </si>
  <si>
    <t>2024-03-09</t>
  </si>
  <si>
    <t>WDR202403250016</t>
  </si>
  <si>
    <t>WDR202403240017</t>
  </si>
  <si>
    <t>WDR202402280018</t>
  </si>
  <si>
    <t>WDR202404070019</t>
  </si>
  <si>
    <t>2024-04-07</t>
  </si>
  <si>
    <t>WDR202404110020</t>
  </si>
  <si>
    <t>WDR202404260021</t>
  </si>
  <si>
    <t>2024-04-26</t>
  </si>
  <si>
    <t>WDR202404060022</t>
  </si>
  <si>
    <t>WDR202404260023</t>
  </si>
  <si>
    <t>WDR202404220024</t>
  </si>
  <si>
    <t>WDR202403200025</t>
  </si>
  <si>
    <t>WDR202404290026</t>
  </si>
  <si>
    <t>2024-04-29</t>
  </si>
  <si>
    <t>WDR202403200027</t>
  </si>
  <si>
    <t>WDR202403120028</t>
  </si>
  <si>
    <t>WDR202403300029</t>
  </si>
  <si>
    <t>WDR202403180030</t>
  </si>
  <si>
    <t>WDR202403100031</t>
  </si>
  <si>
    <t>WDR202404190032</t>
  </si>
  <si>
    <t>WDR202405090033</t>
  </si>
  <si>
    <t>2024-05-09</t>
  </si>
  <si>
    <t>WDR202403180034</t>
  </si>
  <si>
    <t>WDR202403290035</t>
  </si>
  <si>
    <t>2024-03-29</t>
  </si>
  <si>
    <t>WDR202404270036</t>
  </si>
  <si>
    <t>WDR202403290037</t>
  </si>
  <si>
    <t>WDR202404170038</t>
  </si>
  <si>
    <t>WDR202404250039</t>
  </si>
  <si>
    <t>WDR202403210040</t>
  </si>
  <si>
    <t>WDR202405220041</t>
  </si>
  <si>
    <t>2024-05-22</t>
  </si>
  <si>
    <t>WDR202404090042</t>
  </si>
  <si>
    <t>🏦  LOANS DATABASE — All Agents Combined</t>
  </si>
  <si>
    <t>Total Repayable = Loan Amount + (Loan Amount × Rate% × Months) | Status: Pending → Approved</t>
  </si>
  <si>
    <t>Loan_ID</t>
  </si>
  <si>
    <t>Request_Date</t>
  </si>
  <si>
    <t>Loan_Amount</t>
  </si>
  <si>
    <t>Rate_%</t>
  </si>
  <si>
    <t>Total_Repayable</t>
  </si>
  <si>
    <t>Monthly_Installment</t>
  </si>
  <si>
    <t>LN202604130001</t>
  </si>
  <si>
    <t>2026-04-13</t>
  </si>
  <si>
    <t>Approved</t>
  </si>
  <si>
    <t>LN202604130002</t>
  </si>
  <si>
    <t>LN202604130003</t>
  </si>
  <si>
    <t>Equipment purchase</t>
  </si>
  <si>
    <t>Pending</t>
  </si>
  <si>
    <t>LN202604130004</t>
  </si>
  <si>
    <t>Medical expenses</t>
  </si>
  <si>
    <t>LN202604130005</t>
  </si>
  <si>
    <t>Home renovation</t>
  </si>
  <si>
    <t>⚙️  SYSTEM CONFIG</t>
  </si>
  <si>
    <t>Company</t>
  </si>
  <si>
    <t>SAMICIOUS MICROFINANCE</t>
  </si>
  <si>
    <t>Currency</t>
  </si>
  <si>
    <t>GHC</t>
  </si>
  <si>
    <t>Interest Rate</t>
  </si>
  <si>
    <t>2.5% per month flat</t>
  </si>
  <si>
    <t>Max Loan</t>
  </si>
  <si>
    <t>GHC 50,000</t>
  </si>
  <si>
    <t>Min Loan</t>
  </si>
  <si>
    <t>GHC 100</t>
  </si>
  <si>
    <t>Agents</t>
  </si>
  <si>
    <t>Version</t>
  </si>
  <si>
    <t>2.0.0</t>
  </si>
  <si>
    <t>Built</t>
  </si>
  <si>
    <t>Architecture</t>
  </si>
  <si>
    <t>Centralized DB (DB_Customers/Savings/Withdrawals/Loans)</t>
  </si>
  <si>
    <t>Customers Preloaded</t>
  </si>
  <si>
    <t>Sample Savings Txns</t>
  </si>
  <si>
    <t>Sample Withdrawal Txns</t>
  </si>
  <si>
    <t>🔒  AUDIT LOG</t>
  </si>
  <si>
    <t>Timestamp</t>
  </si>
  <si>
    <t>User</t>
  </si>
  <si>
    <t>Action</t>
  </si>
  <si>
    <t>Details</t>
  </si>
  <si>
    <t>2026-04-13 03:15:36.204236</t>
  </si>
  <si>
    <t>System</t>
  </si>
  <si>
    <t>INIT</t>
  </si>
  <si>
    <t>SAMICIOUS V2 workbook initialized with centralized DB architecture</t>
  </si>
  <si>
    <t>2026-04-13 03:15:36.204245</t>
  </si>
  <si>
    <t>DATA_LOAD</t>
  </si>
  <si>
    <t>20 customers, 94 savings txns, 42 withdrawal txns loaded</t>
  </si>
  <si>
    <t>2026-04-13 03:15:36.204248</t>
  </si>
  <si>
    <t>CONFIG</t>
  </si>
  <si>
    <t>Interest: 2.5%/m, Max loan: GHC50k, Agents: 10 pre-configured</t>
  </si>
  <si>
    <t>💻  VBA MACROS — Alt+F11 → Insert Module → Paste all code below</t>
  </si>
  <si>
    <t>🚀 QUICK SETUP: (1) Open VBA Editor (Alt+F11)  (2) Insert &gt; Module  (3) Paste all code below  (4) File &gt; Save As .xlsm  (5) Enable macros on open</t>
  </si>
  <si>
    <t>' ══════════════════════════════════════════════════════════</t>
  </si>
  <si>
    <t>' SAMICIOUS MICROFINANCE V2 — VBA AUTOMATION LAYER</t>
  </si>
  <si>
    <t>' HOW TO USE:</t>
  </si>
  <si>
    <t>'   1. Press Alt+F11 to open VBA Editor</t>
  </si>
  <si>
    <t>'   2. Insert &gt; Module</t>
  </si>
  <si>
    <t>'   3. Paste ALL code below</t>
  </si>
  <si>
    <t>'   4. Save workbook as .xlsm</t>
  </si>
  <si>
    <t>'   5. Enable macros when prompted</t>
  </si>
  <si>
    <t>' ─── ACCOUNT CREATION ─────────────────────────────────────</t>
  </si>
  <si>
    <t>Function GenAcctNo() As String</t>
  </si>
  <si>
    <t xml:space="preserve">    Dim yp As String: yp = Format(Date, "YYYY")</t>
  </si>
  <si>
    <t xml:space="preserve">    Dim mp As String: mp = Format(Date, "MM")</t>
  </si>
  <si>
    <t xml:space="preserve">    Dim dbWS As Worksheet: Set dbWS = ThisWorkbook.Sheets("DB_Customers")</t>
  </si>
  <si>
    <t xml:space="preserve">    Dim lr As Long: lr = dbWS.Cells(Rows.Count, 1).End(xlUp).Row</t>
  </si>
  <si>
    <t xml:space="preserve">    Dim maxSeq As Long: maxSeq = 0</t>
  </si>
  <si>
    <t xml:space="preserve">    Dim i As Long</t>
  </si>
  <si>
    <t xml:space="preserve">    For i = 2 To lr</t>
  </si>
  <si>
    <t xml:space="preserve">        Dim acct As String: acct = CStr(dbWS.Cells(i, 1).Value)</t>
  </si>
  <si>
    <t xml:space="preserve">        If Left(acct, 9) = "SAM" &amp; yp &amp; mp Then</t>
  </si>
  <si>
    <t xml:space="preserve">            Dim s As Long: s = CLng(Right(acct, 5))</t>
  </si>
  <si>
    <t xml:space="preserve">            If s &gt; maxSeq Then maxSeq = s</t>
  </si>
  <si>
    <t xml:space="preserve">        End If</t>
  </si>
  <si>
    <t xml:space="preserve">    Next i</t>
  </si>
  <si>
    <t xml:space="preserve">    GenAcctNo = "SAM" &amp; yp &amp; mp &amp; Format(maxSeq + 1, "00000")</t>
  </si>
  <si>
    <t>End Function</t>
  </si>
  <si>
    <t>Sub CreateNewAccount()</t>
  </si>
  <si>
    <t xml:space="preserve">    Dim aoWS As Worksheet: Set aoWS = ThisWorkbook.Sheets("Account_Opening")</t>
  </si>
  <si>
    <t xml:space="preserve">    Dim fn As String:  fn  = Trim(aoWS.Range("C5").Value)</t>
  </si>
  <si>
    <t xml:space="preserve">    Dim ln As String:  ln  = Trim(aoWS.Range("C6").Value)</t>
  </si>
  <si>
    <t xml:space="preserve">    Dim idt As String: idt = Trim(aoWS.Range("C7").Value)</t>
  </si>
  <si>
    <t xml:space="preserve">    Dim idn As String: idn = Trim(aoWS.Range("C8").Value)</t>
  </si>
  <si>
    <t xml:space="preserve">    Dim occ As String: occ = Trim(aoWS.Range("C9").Value)</t>
  </si>
  <si>
    <t xml:space="preserve">    Dim agt As String: agt = Trim(aoWS.Range("C10").Value)</t>
  </si>
  <si>
    <t xml:space="preserve">    Dim opb As Double: opb = aoWS.Range("C11").Value</t>
  </si>
  <si>
    <t xml:space="preserve">    If fn = "" Or ln = "" Then MsgBox "First Name and Last Name are required!", vbExclamation: Exit Sub</t>
  </si>
  <si>
    <t xml:space="preserve">    If idt = "" Then MsgBox "Please select ID Card Type!", vbExclamation: Exit Sub</t>
  </si>
  <si>
    <t xml:space="preserve">    If idn = "" Or idn = "718982195-0" Then</t>
  </si>
  <si>
    <t xml:space="preserve">        If MsgBox("ID Number shows default placeholder. Continue?", vbYesNo + vbQuestion) = vbNo Then Exit Sub</t>
  </si>
  <si>
    <t xml:space="preserve">    End If</t>
  </si>
  <si>
    <t xml:space="preserve">    If agt = "" Then MsgBox "Please assign an Agent!", vbExclamation: Exit Sub</t>
  </si>
  <si>
    <t xml:space="preserve">    Dim newAcct As String: newAcct = GenAcctNo()</t>
  </si>
  <si>
    <t xml:space="preserve">    Dim lr As Long: lr = dbWS.Cells(Rows.Count, 1).End(xlUp).Row + 1</t>
  </si>
  <si>
    <t xml:space="preserve">    dbWS.Cells(lr, 1).Value  = newAcct</t>
  </si>
  <si>
    <t xml:space="preserve">    dbWS.Cells(lr, 2).Value  = fn</t>
  </si>
  <si>
    <t xml:space="preserve">    dbWS.Cells(lr, 3).Value  = ln</t>
  </si>
  <si>
    <t xml:space="preserve">    dbWS.Cells(lr, 4).Value  = fn &amp; " " &amp; ln</t>
  </si>
  <si>
    <t xml:space="preserve">    dbWS.Cells(lr, 5).Value  = idt</t>
  </si>
  <si>
    <t xml:space="preserve">    dbWS.Cells(lr, 6).Value  = idn</t>
  </si>
  <si>
    <t xml:space="preserve">    dbWS.Cells(lr, 7).Value  = occ</t>
  </si>
  <si>
    <t xml:space="preserve">    dbWS.Cells(lr, 8).Value  = agt</t>
  </si>
  <si>
    <t xml:space="preserve">    dbWS.Cells(lr, 9).Value  = opb</t>
  </si>
  <si>
    <t xml:space="preserve">    dbWS.Cells(lr, 10).Value = Date</t>
  </si>
  <si>
    <t xml:space="preserve">    dbWS.Cells(lr, 11).Value = "Active"</t>
  </si>
  <si>
    <t xml:space="preserve">    dbWS.Cells(lr, 12).Formula = "=SUMIF(DB_Savings!$C:$C,A" &amp; lr &amp; ",DB_Savings!$F:$F)"</t>
  </si>
  <si>
    <t xml:space="preserve">    dbWS.Cells(lr, 13).Formula = "=SUMIF(DB_Withdrawals!$C:$C,A" &amp; lr &amp; ",DB_Withdrawals!$G:$G)"</t>
  </si>
  <si>
    <t xml:space="preserve">    dbWS.Cells(lr, 14).Formula = "=I" &amp; lr &amp; "+L" &amp; lr &amp; "-M" &amp; lr</t>
  </si>
  <si>
    <t xml:space="preserve">    ' Show result</t>
  </si>
  <si>
    <t xml:space="preserve">    aoWS.Range("A14").Value = "✅ Account Created: " &amp; newAcct &amp; " | " &amp; fn &amp; " " &amp; ln</t>
  </si>
  <si>
    <t xml:space="preserve">    ' Log audit</t>
  </si>
  <si>
    <t xml:space="preserve">    LogAudit "ACCOUNT_CREATED", "New: " &amp; newAcct &amp; " for " &amp; fn &amp; " " &amp; ln &amp; " | Agent: " &amp; agt</t>
  </si>
  <si>
    <t xml:space="preserve">    MsgBox "✅ Account Created Successfully!" &amp; vbCrLf &amp; vbCrLf _</t>
  </si>
  <si>
    <t xml:space="preserve">         &amp; "Account Number: " &amp; newAcct &amp; vbCrLf _</t>
  </si>
  <si>
    <t xml:space="preserve">         &amp; "Customer: " &amp; fn &amp; " " &amp; ln &amp; vbCrLf _</t>
  </si>
  <si>
    <t xml:space="preserve">         &amp; "Agent: " &amp; agt &amp; vbCrLf _</t>
  </si>
  <si>
    <t xml:space="preserve">         &amp; "Status: Active", vbInformation, "Account Created"</t>
  </si>
  <si>
    <t xml:space="preserve">    ' Clear form for next entry</t>
  </si>
  <si>
    <t xml:space="preserve">    aoWS.Range("C5:C11").ClearContents</t>
  </si>
  <si>
    <t xml:space="preserve">    aoWS.Range("C7").Value = "Ghana Card"</t>
  </si>
  <si>
    <t xml:space="preserve">    aoWS.Range("C8").Value = "718982195-0"</t>
  </si>
  <si>
    <t xml:space="preserve">    aoWS.Range("C11").Value = 0</t>
  </si>
  <si>
    <t>End Sub</t>
  </si>
  <si>
    <t>' ─── SAVE SAVINGS TO DB ───────────────────────────────────</t>
  </si>
  <si>
    <t>Sub SaveSavingsRow()</t>
  </si>
  <si>
    <t xml:space="preserve">    Dim ws As Worksheet: Set ws = ActiveSheet</t>
  </si>
  <si>
    <t xml:space="preserve">    Dim dbS As Worksheet: Set dbS = ThisWorkbook.Sheets("DB_Savings")</t>
  </si>
  <si>
    <t xml:space="preserve">    Dim dbC As Worksheet: Set dbC = ThisWorkbook.Sheets("DB_Customers")</t>
  </si>
  <si>
    <t xml:space="preserve">    ' Find first unsaved row with data</t>
  </si>
  <si>
    <t xml:space="preserve">    Dim entryRow As Long: entryRow = 0</t>
  </si>
  <si>
    <t xml:space="preserve">    Dim r As Long</t>
  </si>
  <si>
    <t xml:space="preserve">    For r = 9 To 208</t>
  </si>
  <si>
    <t xml:space="preserve">        Dim acct As String: acct = CStr(ws.Cells(r, 1).Value)</t>
  </si>
  <si>
    <t xml:space="preserve">        Dim amt As Variant: amt = ws.Cells(r, 5).Value</t>
  </si>
  <si>
    <t xml:space="preserve">        Dim agt As String: agt = CStr(ws.Cells(r, 7).Value)</t>
  </si>
  <si>
    <t xml:space="preserve">        If acct &lt;&gt; "" And amt &lt;&gt; "" And amt &gt; 0 And agt &lt;&gt; "" Then</t>
  </si>
  <si>
    <t xml:space="preserve">            entryRow = r: Exit For</t>
  </si>
  <si>
    <t xml:space="preserve">    Next r</t>
  </si>
  <si>
    <t xml:space="preserve">    If entryRow = 0 Then MsgBox "No complete entry found. Fill Account #, Amount and Agent.", vbExclamation: Exit Sub</t>
  </si>
  <si>
    <t xml:space="preserve">    acct = CStr(ws.Cells(entryRow, 1).Value)</t>
  </si>
  <si>
    <t xml:space="preserve">    amt  = ws.Cells(entryRow, 5).Value</t>
  </si>
  <si>
    <t xml:space="preserve">    agt  = CStr(ws.Cells(entryRow, 7).Value)</t>
  </si>
  <si>
    <t xml:space="preserve">    ' Validate account</t>
  </si>
  <si>
    <t xml:space="preserve">    Dim custRow As Variant</t>
  </si>
  <si>
    <t xml:space="preserve">    custRow = Application.Match(acct, dbC.Columns(1), 0)</t>
  </si>
  <si>
    <t xml:space="preserve">    If IsError(custRow) Then MsgBox "Account " &amp; acct &amp; " not found!", vbCritical: Exit Sub</t>
  </si>
  <si>
    <t xml:space="preserve">    ' Write to DB_Savings</t>
  </si>
  <si>
    <t xml:space="preserve">    Dim lr As Long: lr = dbS.Cells(Rows.Count, 1).End(xlUp).Row + 1</t>
  </si>
  <si>
    <t xml:space="preserve">    Dim txnID As String: txnID = "SAV" &amp; Format(Now, "YYYYMMDDHHMMSS")</t>
  </si>
  <si>
    <t xml:space="preserve">    dbS.Cells(lr, 1).Value = lr - 3</t>
  </si>
  <si>
    <t xml:space="preserve">    dbS.Cells(lr, 2).Value = txnID</t>
  </si>
  <si>
    <t xml:space="preserve">    dbS.Cells(lr, 3).Value = acct</t>
  </si>
  <si>
    <t xml:space="preserve">    dbS.Cells(lr, 4).Value = dbC.Cells(custRow, 4).Value</t>
  </si>
  <si>
    <t xml:space="preserve">    dbS.Cells(lr, 5).Value = Date</t>
  </si>
  <si>
    <t xml:space="preserve">    dbS.Cells(lr, 6).Value = amt</t>
  </si>
  <si>
    <t xml:space="preserve">    dbS.Cells(lr, 7).Value = agt</t>
  </si>
  <si>
    <t xml:space="preserve">    dbS.Cells(lr, 8).Value = "Saved"</t>
  </si>
  <si>
    <t xml:space="preserve">    dbS.Cells(lr, 9).Value = Format(Now, "YYYY-MM-DD HH:MM:SS")</t>
  </si>
  <si>
    <t xml:space="preserve">    ' Clear entry row</t>
  </si>
  <si>
    <t xml:space="preserve">    ws.Cells(entryRow, 1).ClearContents</t>
  </si>
  <si>
    <t xml:space="preserve">    ws.Cells(entryRow, 5).ClearContents</t>
  </si>
  <si>
    <t xml:space="preserve">    LogAudit "SAVINGS_SAVED", "Account: " &amp; acct &amp; " Amount: GHC " &amp; amt &amp; " Agent: " &amp; agt</t>
  </si>
  <si>
    <t xml:space="preserve">    MsgBox "✅ Savings saved to DB!" &amp; vbCrLf &amp; "Account: " &amp; acct &amp; vbCrLf &amp; "Amount: GHC " &amp; Format(amt, "#,##0.00"), vbInformation, "Saved"</t>
  </si>
  <si>
    <t>' ─── SAVE WITHDRAWAL TO DB ────────────────────────────────</t>
  </si>
  <si>
    <t>Sub SaveWithdrawalRow()</t>
  </si>
  <si>
    <t xml:space="preserve">    Dim dbW As Worksheet: Set dbW = ThisWorkbook.Sheets("DB_Withdrawals")</t>
  </si>
  <si>
    <t xml:space="preserve">        If ws.Cells(r, 1).Value &lt;&gt; "" And ws.Cells(r, 5).Value &lt;&gt; "" And ws.Cells(r, 5).Value &gt; 0 Then</t>
  </si>
  <si>
    <t xml:space="preserve">    If entryRow = 0 Then MsgBox "No entry found.", vbExclamation: Exit Sub</t>
  </si>
  <si>
    <t xml:space="preserve">    Dim acct As String:  acct  = CStr(ws.Cells(entryRow, 1).Value)</t>
  </si>
  <si>
    <t xml:space="preserve">    Dim wamt As Double:  wamt  = ws.Cells(entryRow, 5).Value</t>
  </si>
  <si>
    <t xml:space="preserve">    Dim authBy As String: authBy = CStr(ws.Cells(entryRow, 6).Value)</t>
  </si>
  <si>
    <t xml:space="preserve">    Dim agt As String:   agt   = CStr(ws.Cells(entryRow, 8).Value)</t>
  </si>
  <si>
    <t xml:space="preserve">    If IsError(custRow) Then MsgBox "Account not found!", vbCritical: Exit Sub</t>
  </si>
  <si>
    <t xml:space="preserve">    Dim curBal As Double: curBal = dbC.Cells(custRow, 14).Value</t>
  </si>
  <si>
    <t xml:space="preserve">    Dim status As String</t>
  </si>
  <si>
    <t xml:space="preserve">    Dim newBal As Double</t>
  </si>
  <si>
    <t xml:space="preserve">    If curBal &gt;= wamt Then</t>
  </si>
  <si>
    <t xml:space="preserve">        status = "Successful": newBal = curBal - wamt</t>
  </si>
  <si>
    <t xml:space="preserve">    Else</t>
  </si>
  <si>
    <t xml:space="preserve">        If MsgBox("INSUFFICIENT FUNDS!" &amp; vbCrLf &amp; "Balance: GHC " &amp; Format(curBal, "#,##0.00") &amp; vbCrLf &amp; "Requested: GHC " &amp; Format(wamt, "#,##0.00") &amp; vbCrLf &amp; "Proceed to log as Unsuccessful?", vbYesNo + vbExclamation) = vbNo Then Exit Sub</t>
  </si>
  <si>
    <t xml:space="preserve">        status = "Unsuccessful": newBal = curBal</t>
  </si>
  <si>
    <t xml:space="preserve">    Dim lr As Long: lr = dbW.Cells(Rows.Count, 1).End(xlUp).Row + 1</t>
  </si>
  <si>
    <t xml:space="preserve">    dbW.Cells(lr, 1).Value  = lr - 3</t>
  </si>
  <si>
    <t xml:space="preserve">    dbW.Cells(lr, 2).Value  = "WDR" &amp; Format(Now, "YYYYMMDDHHMMSS")</t>
  </si>
  <si>
    <t xml:space="preserve">    dbW.Cells(lr, 3).Value  = acct</t>
  </si>
  <si>
    <t xml:space="preserve">    dbW.Cells(lr, 4).Value  = dbC.Cells(custRow, 4).Value</t>
  </si>
  <si>
    <t xml:space="preserve">    dbW.Cells(lr, 5).Value  = curBal</t>
  </si>
  <si>
    <t xml:space="preserve">    dbW.Cells(lr, 6).Value  = Date</t>
  </si>
  <si>
    <t xml:space="preserve">    dbW.Cells(lr, 7).Value  = wamt</t>
  </si>
  <si>
    <t xml:space="preserve">    dbW.Cells(lr, 8).Value  = authBy</t>
  </si>
  <si>
    <t xml:space="preserve">    dbW.Cells(lr, 9).Value  = newBal</t>
  </si>
  <si>
    <t xml:space="preserve">    dbW.Cells(lr, 10).Value = agt</t>
  </si>
  <si>
    <t xml:space="preserve">    dbW.Cells(lr, 11).Value = status</t>
  </si>
  <si>
    <t xml:space="preserve">    dbW.Cells(lr, 12).Value = Format(Now, "YYYY-MM-DD HH:MM:SS")</t>
  </si>
  <si>
    <t xml:space="preserve">    LogAudit "WITHDRAWAL_" &amp; UCase(status), "Account: " &amp; acct &amp; " Amount: GHC " &amp; wamt</t>
  </si>
  <si>
    <t xml:space="preserve">    MsgBox IIf(status = "Successful", "✅ Withdrawal SUCCESSFUL!", "❌ Withdrawal UNSUCCESSFUL — Insufficient Funds") &amp; vbCrLf &amp; "Amount: GHC " &amp; Format(wamt, "#,##0.00") &amp; vbCrLf &amp; "New Balance: GHC " &amp; Format(newBal, "#,##0.00"), IIf(status = "Successful", vbInformation, vbExclamation), "Withdrawal " &amp; status</t>
  </si>
  <si>
    <t>' ─── SUBMIT LOAN TO DB ────────────────────────────────────</t>
  </si>
  <si>
    <t>Sub SubmitLoanRequest()</t>
  </si>
  <si>
    <t xml:space="preserve">    Dim dbL As Worksheet: Set dbL = ThisWorkbook.Sheets("DB_Loans")</t>
  </si>
  <si>
    <t xml:space="preserve">    For r = 14 To 113</t>
  </si>
  <si>
    <t xml:space="preserve">        If ws.Cells(r, 2).Value &lt;&gt; "" And ws.Cells(r, 5).Value &lt;&gt; "" And ws.Cells(r, 7).Value &lt;&gt; "" Then</t>
  </si>
  <si>
    <t xml:space="preserve">    If entryRow = 0 Then MsgBox "No complete loan entry found.", vbExclamation: Exit Sub</t>
  </si>
  <si>
    <t xml:space="preserve">    Dim acct As String: acct = CStr(ws.Cells(entryRow, 2).Value)</t>
  </si>
  <si>
    <t xml:space="preserve">    Dim lamt As Double: lamt = ws.Cells(entryRow, 5).Value</t>
  </si>
  <si>
    <t xml:space="preserve">    Dim purp As String: purp = CStr(ws.Cells(entryRow, 6).Value)</t>
  </si>
  <si>
    <t xml:space="preserve">    Dim mos  As Integer: mos = CInt(ws.Cells(entryRow, 7).Value)</t>
  </si>
  <si>
    <t xml:space="preserve">    Dim rate As Double: rate = ws.Cells(entryRow, 8).Value</t>
  </si>
  <si>
    <t xml:space="preserve">    Dim note As String: note = CStr(ws.Cells(entryRow, 13).Value)</t>
  </si>
  <si>
    <t xml:space="preserve">    Dim agt  As String: agt  = CStr(ws.Cells(entryRow, 12).Value)</t>
  </si>
  <si>
    <t xml:space="preserve">    If lamt &lt; 100 Or lamt &gt; 50000 Then MsgBox "Loan must be GHC 100 – 50,000!", vbExclamation: Exit Sub</t>
  </si>
  <si>
    <t xml:space="preserve">    If mos &lt; 1 Or mos &gt; 36 Then MsgBox "Duration must be 1–36 months!", vbExclamation: Exit Sub</t>
  </si>
  <si>
    <t xml:space="preserve">    Dim total As Double: total = lamt + (lamt * rate / 100 * mos)</t>
  </si>
  <si>
    <t xml:space="preserve">    Dim monthly As Double: monthly = total / mos</t>
  </si>
  <si>
    <t xml:space="preserve">    Dim loanID As String: loanID = "LN" &amp; Format(Date, "YYYYMMDD") &amp; Format(dbL.Cells(Rows.Count, 1).End(xlUp).Row - 2, "0000")</t>
  </si>
  <si>
    <t xml:space="preserve">    Dim lr As Long: lr = dbL.Cells(Rows.Count, 1).End(xlUp).Row + 1</t>
  </si>
  <si>
    <t xml:space="preserve">    dbL.Cells(lr, 1).Value  = loanID</t>
  </si>
  <si>
    <t xml:space="preserve">    dbL.Cells(lr, 2).Value  = acct</t>
  </si>
  <si>
    <t xml:space="preserve">    dbL.Cells(lr, 3).Value  = dbC.Cells(custRow, 4).Value</t>
  </si>
  <si>
    <t xml:space="preserve">    dbL.Cells(lr, 4).Value  = Date</t>
  </si>
  <si>
    <t xml:space="preserve">    dbL.Cells(lr, 5).Value  = lamt</t>
  </si>
  <si>
    <t xml:space="preserve">    dbL.Cells(lr, 6).Value  = purp</t>
  </si>
  <si>
    <t xml:space="preserve">    dbL.Cells(lr, 7).Value  = mos</t>
  </si>
  <si>
    <t xml:space="preserve">    dbL.Cells(lr, 8).Value  = rate</t>
  </si>
  <si>
    <t xml:space="preserve">    dbL.Cells(lr, 9).Value  = total</t>
  </si>
  <si>
    <t xml:space="preserve">    dbL.Cells(lr, 10).Value = monthly</t>
  </si>
  <si>
    <t xml:space="preserve">    dbL.Cells(lr, 11).Value = "Pending"</t>
  </si>
  <si>
    <t xml:space="preserve">    dbL.Cells(lr, 12).Value = agt</t>
  </si>
  <si>
    <t xml:space="preserve">    dbL.Cells(lr, 13).Value = note</t>
  </si>
  <si>
    <t xml:space="preserve">    LogAudit "LOAN_SUBMITTED", "Loan " &amp; loanID &amp; " Account: " &amp; acct &amp; " GHC " &amp; lamt</t>
  </si>
  <si>
    <t xml:space="preserve">    MsgBox "✅ Loan Request Submitted!" &amp; vbCrLf &amp; vbCrLf &amp; "Loan ID: " &amp; loanID &amp; vbCrLf &amp; "Amount: GHC " &amp; Format(lamt, "#,##0.00") &amp; vbCrLf &amp; "Total Repayable: GHC " &amp; Format(total, "#,##0.00") &amp; vbCrLf &amp; "Monthly: GHC " &amp; Format(monthly, "#,##0.00") &amp; vbCrLf &amp; "Status: Pending Manager Approval", vbInformation, "Loan Submitted"</t>
  </si>
  <si>
    <t>' ─── APPROVE LOAN ─────────────────────────────────────────</t>
  </si>
  <si>
    <t>Sub ApproveLoan()</t>
  </si>
  <si>
    <t xml:space="preserve">    Dim loanID As String</t>
  </si>
  <si>
    <t xml:space="preserve">    loanID = InputBox("Enter Loan ID to approve:", "Approve Loan")</t>
  </si>
  <si>
    <t xml:space="preserve">    If loanID = "" Then Exit Sub</t>
  </si>
  <si>
    <t xml:space="preserve">    Dim loanRow As Variant</t>
  </si>
  <si>
    <t xml:space="preserve">    loanRow = Application.Match(loanID, dbL.Columns(1), 0)</t>
  </si>
  <si>
    <t xml:space="preserve">    If IsError(loanRow) Then MsgBox "Loan ID not found!", vbCritical: Exit Sub</t>
  </si>
  <si>
    <t xml:space="preserve">    If dbL.Cells(loanRow, 11).Value &lt;&gt; "Pending" Then</t>
  </si>
  <si>
    <t xml:space="preserve">        MsgBox "Loan is already: " &amp; dbL.Cells(loanRow, 11).Value, vbInformation: Exit Sub</t>
  </si>
  <si>
    <t xml:space="preserve">    dbL.Cells(loanRow, 11).Value = "Approved"</t>
  </si>
  <si>
    <t xml:space="preserve">    ' Credit loan amount to customer savings as special entry</t>
  </si>
  <si>
    <t xml:space="preserve">    Dim acct As String: acct = CStr(dbL.Cells(loanRow, 2).Value)</t>
  </si>
  <si>
    <t xml:space="preserve">    Dim lamt As Double: lamt = dbL.Cells(loanRow, 5).Value</t>
  </si>
  <si>
    <t xml:space="preserve">    dbS.Cells(lr, 2).Value = "LN_CREDIT_" &amp; loanID</t>
  </si>
  <si>
    <t xml:space="preserve">    Dim custRow As Variant: custRow = Application.Match(acct, dbC.Columns(1), 0)</t>
  </si>
  <si>
    <t xml:space="preserve">    If Not IsError(custRow) Then dbS.Cells(lr, 4).Value = dbC.Cells(custRow, 4).Value</t>
  </si>
  <si>
    <t xml:space="preserve">    dbS.Cells(lr, 6).Value = lamt</t>
  </si>
  <si>
    <t xml:space="preserve">    dbS.Cells(lr, 7).Value = "Manager"</t>
  </si>
  <si>
    <t xml:space="preserve">    dbS.Cells(lr, 8).Value = "Loan Credit"</t>
  </si>
  <si>
    <t xml:space="preserve">    LogAudit "LOAN_APPROVED", "Loan " &amp; loanID &amp; " approved. GHC " &amp; lamt &amp; " credited to " &amp; acct</t>
  </si>
  <si>
    <t xml:space="preserve">    MsgBox "✅ Loan " &amp; loanID &amp; " APPROVED!" &amp; vbCrLf &amp; "GHC " &amp; Format(lamt, "#,##0.00") &amp; " has been credited to account " &amp; acct, vbInformation, "Loan Approved"</t>
  </si>
  <si>
    <t>' ─── BACKUP ───────────────────────────────────────────────</t>
  </si>
  <si>
    <t>Sub BackupDB()</t>
  </si>
  <si>
    <t xml:space="preserve">    Dim path As String</t>
  </si>
  <si>
    <t xml:space="preserve">    path = Environ("USERPROFILE") &amp; "\Desktop\SAMICIOUS_Backup_" &amp; Format(Now, "YYYYMMDD_HHMMSS") &amp; ".xlsm"</t>
  </si>
  <si>
    <t xml:space="preserve">    ThisWorkbook.SaveCopyAs path</t>
  </si>
  <si>
    <t xml:space="preserve">    LogAudit "BACKUP", "Saved to: " &amp; path</t>
  </si>
  <si>
    <t xml:space="preserve">    MsgBox "Backup saved to: " &amp; path, vbInformation</t>
  </si>
  <si>
    <t>' ─── AUDIT HELPER ─────────────────────────────────────────</t>
  </si>
  <si>
    <t>Sub LogAudit(action As String, detail As String)</t>
  </si>
  <si>
    <t xml:space="preserve">    On Error Resume Next</t>
  </si>
  <si>
    <t xml:space="preserve">    Dim aWS As Worksheet: Set aWS = ThisWorkbook.Sheets("Audit_Log")</t>
  </si>
  <si>
    <t xml:space="preserve">    If aWS Is Nothing Then Exit Sub</t>
  </si>
  <si>
    <t xml:space="preserve">    Dim lr As Long: lr = aWS.Cells(Rows.Count, 1).End(xlUp).Row + 1</t>
  </si>
  <si>
    <t xml:space="preserve">    aWS.Cells(lr, 1).Value = Now()</t>
  </si>
  <si>
    <t xml:space="preserve">    aWS.Cells(lr, 2).Value = Environ("USERNAME")</t>
  </si>
  <si>
    <t xml:space="preserve">    aWS.Cells(lr, 3).Value = action</t>
  </si>
  <si>
    <t xml:space="preserve">    aWS.Cells(lr, 4).Value = detail</t>
  </si>
  <si>
    <t xml:space="preserve">    On Error GoTo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</si>
</sst>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GHC &quot;#,##0.00;&quot;(GHC &quot;#,##0.00\);\-"/>
    <numFmt numFmtId="165" formatCode="0.0%"/>
    <numFmt numFmtId="166" formatCode="yyyy\-mm\-dd"/>
  </numFmts>
  <fonts count="46" x14ac:knownFonts="1">
    <font>
      <sz val="11"/>
      <color theme="1"/>
      <name val="Calibri"/>
      <family val="2"/>
      <charset val="1"/>
    </font>
    <font>
      <b/>
      <sz val="18"/>
      <color rgb="FFF6AE2D"/>
      <name val="Arial"/>
      <family val="2"/>
    </font>
    <font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27AE60"/>
      <name val="Arial"/>
      <family val="2"/>
    </font>
    <font>
      <b/>
      <sz val="16"/>
      <color rgb="FFC0392B"/>
      <name val="Arial"/>
      <family val="2"/>
    </font>
    <font>
      <b/>
      <sz val="16"/>
      <color rgb="FF1ABC9C"/>
      <name val="Arial"/>
      <family val="2"/>
    </font>
    <font>
      <b/>
      <sz val="16"/>
      <color rgb="FF2E86AB"/>
      <name val="Arial"/>
      <family val="2"/>
    </font>
    <font>
      <b/>
      <sz val="16"/>
      <color rgb="FFE67E22"/>
      <name val="Arial"/>
      <family val="2"/>
    </font>
    <font>
      <b/>
      <sz val="16"/>
      <color rgb="FF8E44AD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A252F"/>
      <name val="Arial"/>
      <family val="2"/>
    </font>
    <font>
      <sz val="10"/>
      <color rgb="FF1A252F"/>
      <name val="Arial"/>
      <family val="2"/>
    </font>
    <font>
      <b/>
      <sz val="10"/>
      <color rgb="FF1E3A5F"/>
      <name val="Arial"/>
      <family val="2"/>
    </font>
    <font>
      <b/>
      <sz val="16"/>
      <color rgb="FFF6AE2D"/>
      <name val="Arial"/>
      <family val="2"/>
    </font>
    <font>
      <sz val="10"/>
      <color rgb="FFFFFFFF"/>
      <name val="Arial"/>
      <family val="2"/>
    </font>
    <font>
      <i/>
      <sz val="9"/>
      <color rgb="FF7F8C8D"/>
      <name val="Arial"/>
      <family val="2"/>
    </font>
    <font>
      <b/>
      <sz val="11"/>
      <color rgb="FF1E3A5F"/>
      <name val="Arial"/>
      <family val="2"/>
    </font>
    <font>
      <sz val="11"/>
      <color rgb="FF000000"/>
      <name val="Arial"/>
      <family val="2"/>
    </font>
    <font>
      <b/>
      <sz val="14"/>
      <color rgb="FF1A252F"/>
      <name val="Arial"/>
      <family val="2"/>
    </font>
    <font>
      <b/>
      <sz val="11"/>
      <color rgb="FFFFFFFF"/>
      <name val="Arial"/>
      <family val="2"/>
    </font>
    <font>
      <b/>
      <sz val="14"/>
      <color rgb="FFF6AE2D"/>
      <name val="Arial"/>
      <family val="2"/>
    </font>
    <font>
      <b/>
      <sz val="13"/>
      <color rgb="FF27AE60"/>
      <name val="Arial"/>
      <family val="2"/>
    </font>
    <font>
      <b/>
      <sz val="13"/>
      <color rgb="FF2E86AB"/>
      <name val="Arial"/>
      <family val="2"/>
    </font>
    <font>
      <b/>
      <sz val="13"/>
      <color rgb="FF1E3A5F"/>
      <name val="Arial"/>
      <family val="2"/>
    </font>
    <font>
      <b/>
      <sz val="13"/>
      <color rgb="FFE67E22"/>
      <name val="Arial"/>
      <family val="2"/>
    </font>
    <font>
      <sz val="10"/>
      <color rgb="FF0000FF"/>
      <name val="Arial"/>
      <family val="2"/>
    </font>
    <font>
      <sz val="10"/>
      <color rgb="FF7F8C8D"/>
      <name val="Arial"/>
      <family val="2"/>
    </font>
    <font>
      <b/>
      <sz val="10"/>
      <color rgb="FF0000FF"/>
      <name val="Arial"/>
      <family val="2"/>
    </font>
    <font>
      <b/>
      <sz val="10"/>
      <color rgb="FF27AE60"/>
      <name val="Arial"/>
      <family val="2"/>
    </font>
    <font>
      <b/>
      <sz val="10"/>
      <color rgb="FF000000"/>
      <name val="Arial"/>
      <family val="2"/>
    </font>
    <font>
      <b/>
      <sz val="13"/>
      <color rgb="FFC0392B"/>
      <name val="Arial"/>
      <family val="2"/>
    </font>
    <font>
      <b/>
      <sz val="14"/>
      <color rgb="FFFFFFFF"/>
      <name val="Arial"/>
      <family val="2"/>
    </font>
    <font>
      <sz val="10"/>
      <color rgb="FFF6AE2D"/>
      <name val="Arial"/>
      <family val="2"/>
    </font>
    <font>
      <b/>
      <sz val="11"/>
      <color rgb="FF1A252F"/>
      <name val="Arial"/>
      <family val="2"/>
    </font>
    <font>
      <sz val="9"/>
      <color rgb="FF1A252F"/>
      <name val="Arial"/>
      <family val="2"/>
    </font>
    <font>
      <sz val="10"/>
      <color rgb="FF1ABC9C"/>
      <name val="Arial"/>
      <family val="2"/>
    </font>
    <font>
      <b/>
      <sz val="10"/>
      <color rgb="FFE67E22"/>
      <name val="Arial"/>
      <family val="2"/>
    </font>
    <font>
      <b/>
      <sz val="14"/>
      <color rgb="FF27AE60"/>
      <name val="Arial"/>
      <family val="2"/>
    </font>
    <font>
      <b/>
      <sz val="14"/>
      <color rgb="FFC0392B"/>
      <name val="Arial"/>
      <family val="2"/>
    </font>
    <font>
      <b/>
      <sz val="14"/>
      <color rgb="FF1ABC9C"/>
      <name val="Arial"/>
      <family val="2"/>
    </font>
    <font>
      <b/>
      <sz val="14"/>
      <color rgb="FF1E3A5F"/>
      <name val="Arial"/>
      <family val="2"/>
    </font>
    <font>
      <b/>
      <sz val="12"/>
      <color rgb="FFF6AE2D"/>
      <name val="Arial"/>
      <family val="2"/>
    </font>
    <font>
      <sz val="9"/>
      <name val="Courier New"/>
      <family val="3"/>
    </font>
  </fonts>
  <fills count="16">
    <fill>
      <patternFill patternType="none"/>
    </fill>
    <fill>
      <patternFill patternType="gray125"/>
    </fill>
    <fill>
      <patternFill patternType="solid">
        <fgColor rgb="FF1E3A5F"/>
        <bgColor rgb="FF1A252F"/>
      </patternFill>
    </fill>
    <fill>
      <patternFill patternType="solid">
        <fgColor rgb="FF2E86AB"/>
        <bgColor rgb="FF008080"/>
      </patternFill>
    </fill>
    <fill>
      <patternFill patternType="solid">
        <fgColor rgb="FF27AE60"/>
        <bgColor rgb="FF1ABC9C"/>
      </patternFill>
    </fill>
    <fill>
      <patternFill patternType="solid">
        <fgColor rgb="FFC0392B"/>
        <bgColor rgb="FF993366"/>
      </patternFill>
    </fill>
    <fill>
      <patternFill patternType="solid">
        <fgColor rgb="FF1ABC9C"/>
        <bgColor rgb="FF27AE60"/>
      </patternFill>
    </fill>
    <fill>
      <patternFill patternType="solid">
        <fgColor rgb="FFE67E22"/>
        <bgColor rgb="FFFF8080"/>
      </patternFill>
    </fill>
    <fill>
      <patternFill patternType="solid">
        <fgColor rgb="FF8E44AD"/>
        <bgColor rgb="FF993366"/>
      </patternFill>
    </fill>
    <fill>
      <patternFill patternType="solid">
        <fgColor rgb="FFEBF5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6AE2D"/>
        <bgColor rgb="FFFFCC00"/>
      </patternFill>
    </fill>
    <fill>
      <patternFill patternType="solid">
        <fgColor rgb="FF1A252F"/>
        <bgColor rgb="FF1E3A5F"/>
      </patternFill>
    </fill>
    <fill>
      <patternFill patternType="solid">
        <fgColor rgb="FFFDEDEC"/>
        <bgColor rgb="FFFDF2F2"/>
      </patternFill>
    </fill>
    <fill>
      <patternFill patternType="solid">
        <fgColor rgb="FFFEF9E7"/>
        <bgColor rgb="FFFDF2F2"/>
      </patternFill>
    </fill>
    <fill>
      <patternFill patternType="solid">
        <fgColor rgb="FFD5F5E3"/>
        <bgColor rgb="FFEBF5FB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164" fontId="12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164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164" fontId="13" fillId="11" borderId="2" xfId="0" applyNumberFormat="1" applyFont="1" applyFill="1" applyBorder="1" applyAlignment="1">
      <alignment horizontal="center" vertical="center"/>
    </xf>
    <xf numFmtId="165" fontId="13" fillId="11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28" fillId="10" borderId="1" xfId="0" applyNumberFormat="1" applyFont="1" applyFill="1" applyBorder="1" applyAlignment="1">
      <alignment horizontal="center" vertical="center"/>
    </xf>
    <xf numFmtId="166" fontId="29" fillId="10" borderId="1" xfId="0" applyNumberFormat="1" applyFont="1" applyFill="1" applyBorder="1" applyAlignment="1">
      <alignment horizontal="center" vertical="center"/>
    </xf>
    <xf numFmtId="164" fontId="30" fillId="9" borderId="1" xfId="0" applyNumberFormat="1" applyFont="1" applyFill="1" applyBorder="1" applyAlignment="1">
      <alignment horizontal="left" vertical="center"/>
    </xf>
    <xf numFmtId="164" fontId="31" fillId="10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4" fontId="28" fillId="9" borderId="1" xfId="0" applyNumberFormat="1" applyFont="1" applyFill="1" applyBorder="1" applyAlignment="1">
      <alignment horizontal="center" vertical="center"/>
    </xf>
    <xf numFmtId="166" fontId="29" fillId="9" borderId="1" xfId="0" applyNumberFormat="1" applyFont="1" applyFill="1" applyBorder="1" applyAlignment="1">
      <alignment horizontal="center" vertical="center"/>
    </xf>
    <xf numFmtId="164" fontId="31" fillId="9" borderId="1" xfId="0" applyNumberFormat="1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164" fontId="30" fillId="13" borderId="1" xfId="0" applyNumberFormat="1" applyFont="1" applyFill="1" applyBorder="1" applyAlignment="1">
      <alignment horizontal="left" vertical="center"/>
    </xf>
    <xf numFmtId="164" fontId="32" fillId="10" borderId="1" xfId="0" applyNumberFormat="1" applyFont="1" applyFill="1" applyBorder="1" applyAlignment="1">
      <alignment horizontal="center" vertical="center"/>
    </xf>
    <xf numFmtId="164" fontId="32" fillId="9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164" fontId="30" fillId="14" borderId="1" xfId="0" applyNumberFormat="1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 vertical="center"/>
    </xf>
    <xf numFmtId="164" fontId="38" fillId="9" borderId="1" xfId="0" applyNumberFormat="1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164" fontId="38" fillId="10" borderId="1" xfId="0" applyNumberFormat="1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21" fillId="11" borderId="0" xfId="0" applyNumberFormat="1" applyFont="1" applyFill="1" applyAlignment="1">
      <alignment horizontal="center" vertical="center"/>
    </xf>
    <xf numFmtId="3" fontId="21" fillId="11" borderId="0" xfId="0" applyNumberFormat="1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0" fillId="9" borderId="1" xfId="0" applyFont="1" applyFill="1" applyBorder="1" applyAlignment="1">
      <alignment horizontal="left" vertical="center"/>
    </xf>
    <xf numFmtId="0" fontId="44" fillId="1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 wrapText="1"/>
    </xf>
    <xf numFmtId="0" fontId="45" fillId="0" borderId="0" xfId="0" applyFont="1" applyAlignment="1">
      <alignment horizontal="left" vertical="top"/>
    </xf>
    <xf numFmtId="164" fontId="12" fillId="9" borderId="1" xfId="0" applyNumberFormat="1" applyFont="1" applyFill="1" applyBorder="1" applyAlignment="1">
      <alignment horizontal="left" vertical="center"/>
    </xf>
    <xf numFmtId="164" fontId="36" fillId="11" borderId="1" xfId="0" applyNumberFormat="1" applyFont="1" applyFill="1" applyBorder="1" applyAlignment="1">
      <alignment horizontal="left" vertical="center"/>
    </xf>
    <xf numFmtId="0" fontId="22" fillId="3" borderId="0" xfId="0" applyFont="1" applyFill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30" fillId="9" borderId="2" xfId="0" applyFont="1" applyFill="1" applyBorder="1" applyAlignment="1">
      <alignment horizontal="left" vertical="center"/>
    </xf>
    <xf numFmtId="164" fontId="9" fillId="9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4" fillId="9" borderId="3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/>
    </xf>
    <xf numFmtId="164" fontId="15" fillId="9" borderId="4" xfId="0" applyNumberFormat="1" applyFont="1" applyFill="1" applyBorder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3" fontId="7" fillId="9" borderId="0" xfId="0" applyNumberFormat="1" applyFont="1" applyFill="1" applyAlignment="1">
      <alignment horizontal="center" vertical="center"/>
    </xf>
    <xf numFmtId="3" fontId="8" fillId="9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4" fillId="9" borderId="4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0" fillId="9" borderId="2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4" fontId="24" fillId="9" borderId="0" xfId="0" applyNumberFormat="1" applyFont="1" applyFill="1" applyAlignment="1">
      <alignment horizontal="center" vertical="center"/>
    </xf>
    <xf numFmtId="3" fontId="25" fillId="9" borderId="0" xfId="0" applyNumberFormat="1" applyFont="1" applyFill="1" applyAlignment="1">
      <alignment horizontal="center" vertical="center"/>
    </xf>
    <xf numFmtId="49" fontId="26" fillId="9" borderId="0" xfId="0" applyNumberFormat="1" applyFont="1" applyFill="1" applyAlignment="1">
      <alignment horizontal="center" vertical="center"/>
    </xf>
    <xf numFmtId="164" fontId="27" fillId="9" borderId="0" xfId="0" applyNumberFormat="1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4" fontId="33" fillId="9" borderId="0" xfId="0" applyNumberFormat="1" applyFont="1" applyFill="1" applyAlignment="1">
      <alignment horizontal="center" vertical="center"/>
    </xf>
    <xf numFmtId="3" fontId="24" fillId="9" borderId="0" xfId="0" applyNumberFormat="1" applyFont="1" applyFill="1" applyAlignment="1">
      <alignment horizontal="center" vertical="center"/>
    </xf>
    <xf numFmtId="3" fontId="27" fillId="9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64" fontId="40" fillId="9" borderId="0" xfId="0" applyNumberFormat="1" applyFont="1" applyFill="1" applyAlignment="1">
      <alignment horizontal="center" vertical="center"/>
    </xf>
    <xf numFmtId="164" fontId="41" fillId="9" borderId="0" xfId="0" applyNumberFormat="1" applyFont="1" applyFill="1" applyAlignment="1">
      <alignment horizontal="center" vertical="center"/>
    </xf>
    <xf numFmtId="164" fontId="42" fillId="9" borderId="0" xfId="0" applyNumberFormat="1" applyFont="1" applyFill="1" applyAlignment="1">
      <alignment horizontal="center" vertical="center"/>
    </xf>
    <xf numFmtId="3" fontId="43" fillId="9" borderId="0" xfId="0" applyNumberFormat="1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</cellXfs>
  <cellStyles count="1">
    <cellStyle name="Normal" xfId="0" builtinId="0"/>
  </cellStyles>
  <dxfs count="105"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FDF2F2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ill>
        <patternFill>
          <bgColor rgb="FFF0FFF4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DC3C7"/>
      <rgbColor rgb="FF878787"/>
      <rgbColor rgb="FF9999FF"/>
      <rgbColor rgb="FF8E44AD"/>
      <rgbColor rgb="FFFEF9E7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D5F5E3"/>
      <rgbColor rgb="FFFDEDEC"/>
      <rgbColor rgb="FFFDF2F2"/>
      <rgbColor rgb="FFF9F9F9"/>
      <rgbColor rgb="FFCC99FF"/>
      <rgbColor rgb="FFFADBD8"/>
      <rgbColor rgb="FF3366FF"/>
      <rgbColor rgb="FF1ABC9C"/>
      <rgbColor rgb="FF99CC00"/>
      <rgbColor rgb="FFFFCC00"/>
      <rgbColor rgb="FFF6AE2D"/>
      <rgbColor rgb="FFE67E22"/>
      <rgbColor rgb="FF666699"/>
      <rgbColor rgb="FF7F8C8D"/>
      <rgbColor rgb="FF1E3A5F"/>
      <rgbColor rgb="FF27AE60"/>
      <rgbColor rgb="FF003300"/>
      <rgbColor rgb="FF333300"/>
      <rgbColor rgb="FFC0392B"/>
      <rgbColor rgb="FF993366"/>
      <rgbColor rgb="FF333399"/>
      <rgbColor rgb="FF1A2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Agent Savings vs Withdrawals Today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Daily_Balancing!$B$3</c:f>
              <c:strCache>
                <c:ptCount val="1"/>
                <c:pt idx="0">
                  <c:v>Savings (GHC)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Daily_Balancing!$A$4:$A$13</c:f>
              <c:strCache>
                <c:ptCount val="10"/>
                <c:pt idx="0">
                  <c:v>Agent 01</c:v>
                </c:pt>
                <c:pt idx="1">
                  <c:v>Agent 02</c:v>
                </c:pt>
                <c:pt idx="2">
                  <c:v>Agent 03</c:v>
                </c:pt>
                <c:pt idx="3">
                  <c:v>Agent 04</c:v>
                </c:pt>
                <c:pt idx="4">
                  <c:v>Agent 05</c:v>
                </c:pt>
                <c:pt idx="5">
                  <c:v>Agent 06</c:v>
                </c:pt>
                <c:pt idx="6">
                  <c:v>Agent 07</c:v>
                </c:pt>
                <c:pt idx="7">
                  <c:v>Agent 08</c:v>
                </c:pt>
                <c:pt idx="8">
                  <c:v>Agent 09</c:v>
                </c:pt>
                <c:pt idx="9">
                  <c:v>Agent 10</c:v>
                </c:pt>
              </c:strCache>
            </c:strRef>
          </c:cat>
          <c:val>
            <c:numRef>
              <c:f>Daily_Balancing!$B$4:$B$13</c:f>
              <c:numCache>
                <c:formatCode>"GHC "#,##0.00;"(GHC "#,##0.00\);\-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7-4794-8149-C9EA3D7E971E}"/>
            </c:ext>
          </c:extLst>
        </c:ser>
        <c:ser>
          <c:idx val="1"/>
          <c:order val="1"/>
          <c:tx>
            <c:strRef>
              <c:f>Daily_Balancing!$C$3</c:f>
              <c:strCache>
                <c:ptCount val="1"/>
                <c:pt idx="0">
                  <c:v>Withdrawals (GHC)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Daily_Balancing!$A$4:$A$13</c:f>
              <c:strCache>
                <c:ptCount val="10"/>
                <c:pt idx="0">
                  <c:v>Agent 01</c:v>
                </c:pt>
                <c:pt idx="1">
                  <c:v>Agent 02</c:v>
                </c:pt>
                <c:pt idx="2">
                  <c:v>Agent 03</c:v>
                </c:pt>
                <c:pt idx="3">
                  <c:v>Agent 04</c:v>
                </c:pt>
                <c:pt idx="4">
                  <c:v>Agent 05</c:v>
                </c:pt>
                <c:pt idx="5">
                  <c:v>Agent 06</c:v>
                </c:pt>
                <c:pt idx="6">
                  <c:v>Agent 07</c:v>
                </c:pt>
                <c:pt idx="7">
                  <c:v>Agent 08</c:v>
                </c:pt>
                <c:pt idx="8">
                  <c:v>Agent 09</c:v>
                </c:pt>
                <c:pt idx="9">
                  <c:v>Agent 10</c:v>
                </c:pt>
              </c:strCache>
            </c:strRef>
          </c:cat>
          <c:val>
            <c:numRef>
              <c:f>Daily_Balancing!$C$4:$C$13</c:f>
              <c:numCache>
                <c:formatCode>"GHC "#,##0.00;"(GHC "#,##0.00\);\-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7-4794-8149-C9EA3D7E9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85184"/>
        <c:axId val="72328543"/>
      </c:barChart>
      <c:catAx>
        <c:axId val="795851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Agent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2328543"/>
        <c:crosses val="autoZero"/>
        <c:auto val="1"/>
        <c:lblAlgn val="ctr"/>
        <c:lblOffset val="100"/>
        <c:noMultiLvlLbl val="0"/>
      </c:catAx>
      <c:valAx>
        <c:axId val="723285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(GHC)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GHC &quot;#,##0.00;&quot;(GHC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95851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Savings vs Withdrawals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Monthly_Balancing!$B$7</c:f>
              <c:strCache>
                <c:ptCount val="1"/>
                <c:pt idx="0">
                  <c:v>Savings</c:v>
                </c:pt>
              </c:strCache>
            </c:strRef>
          </c:tx>
          <c:spPr>
            <a:ln w="4752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Monthly_Balancing!$A$8:$A$19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Monthly_Balancing!$B$8:$B$19</c:f>
              <c:numCache>
                <c:formatCode>"GHC "#,##0.00;"(GHC "#,##0.00\);\-</c:formatCode>
                <c:ptCount val="12"/>
                <c:pt idx="0">
                  <c:v>107824.22</c:v>
                </c:pt>
                <c:pt idx="1">
                  <c:v>133790.85</c:v>
                </c:pt>
                <c:pt idx="2">
                  <c:v>95687.1</c:v>
                </c:pt>
                <c:pt idx="3">
                  <c:v>108714.02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63-427D-827D-96C41CA0D2AD}"/>
            </c:ext>
          </c:extLst>
        </c:ser>
        <c:ser>
          <c:idx val="1"/>
          <c:order val="1"/>
          <c:tx>
            <c:strRef>
              <c:f>Monthly_Balancing!$C$7</c:f>
              <c:strCache>
                <c:ptCount val="1"/>
                <c:pt idx="0">
                  <c:v>Withdrawals</c:v>
                </c:pt>
              </c:strCache>
            </c:strRef>
          </c:tx>
          <c:spPr>
            <a:ln w="4752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Monthly_Balancing!$A$8:$A$19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Monthly_Balancing!$C$8:$C$19</c:f>
              <c:numCache>
                <c:formatCode>"GHC "#,##0.00;"(GHC "#,##0.00\);\-</c:formatCode>
                <c:ptCount val="12"/>
                <c:pt idx="0">
                  <c:v>37455.75</c:v>
                </c:pt>
                <c:pt idx="1">
                  <c:v>40398.620000000003</c:v>
                </c:pt>
                <c:pt idx="2">
                  <c:v>51481.08</c:v>
                </c:pt>
                <c:pt idx="3">
                  <c:v>50819.15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63-427D-827D-96C41CA0D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223004"/>
        <c:axId val="2013713"/>
      </c:lineChart>
      <c:catAx>
        <c:axId val="14223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013713"/>
        <c:crosses val="autoZero"/>
        <c:auto val="1"/>
        <c:lblAlgn val="ctr"/>
        <c:lblOffset val="100"/>
        <c:noMultiLvlLbl val="0"/>
      </c:catAx>
      <c:valAx>
        <c:axId val="2013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GHC &quot;#,##0.00;&quot;(GHC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42230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10</xdr:col>
      <xdr:colOff>421200</xdr:colOff>
      <xdr:row>41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12</xdr:col>
      <xdr:colOff>577440</xdr:colOff>
      <xdr:row>49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6AE2D"/>
  </sheetPr>
  <dimension ref="A1:M27"/>
  <sheetViews>
    <sheetView zoomScaleNormal="100" workbookViewId="0">
      <pane ySplit="7" topLeftCell="A8" activePane="bottomLeft" state="frozen"/>
      <selection pane="bottomLeft" sqref="A1:M1"/>
    </sheetView>
  </sheetViews>
  <sheetFormatPr defaultColWidth="8.7109375" defaultRowHeight="15" x14ac:dyDescent="0.25"/>
  <cols>
    <col min="1" max="1" width="13" customWidth="1"/>
    <col min="2" max="2" width="15" customWidth="1"/>
    <col min="3" max="3" width="18" customWidth="1"/>
    <col min="4" max="4" width="14" customWidth="1"/>
    <col min="5" max="5" width="13" customWidth="1"/>
    <col min="6" max="7" width="12" customWidth="1"/>
    <col min="8" max="8" width="14" customWidth="1"/>
    <col min="9" max="9" width="12" customWidth="1"/>
    <col min="10" max="13" width="10" customWidth="1"/>
  </cols>
  <sheetData>
    <row r="1" spans="1:13" ht="45" customHeight="1" x14ac:dyDescent="0.2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21.75" customHeight="1" x14ac:dyDescent="0.25">
      <c r="A2" s="81" t="str">
        <f ca="1">UPPER(TEXT(TODAY(),"DDDD, DD MMMM YYYY"))&amp;"  |  Live data from centralized DB — All 10 agents unified"</f>
        <v>TUESDAY, 14 APRIL 2026  |  Live data from centralized DB — All 10 agents unified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ht="7.5" customHeight="1" x14ac:dyDescent="0.25"/>
    <row r="4" spans="1:13" ht="19.5" customHeight="1" x14ac:dyDescent="0.25">
      <c r="A4" s="82" t="s">
        <v>1</v>
      </c>
      <c r="B4" s="82"/>
      <c r="C4" s="83" t="s">
        <v>2</v>
      </c>
      <c r="D4" s="83"/>
      <c r="E4" s="84" t="s">
        <v>3</v>
      </c>
      <c r="F4" s="84"/>
      <c r="G4" s="85" t="s">
        <v>4</v>
      </c>
      <c r="H4" s="85"/>
      <c r="I4" s="86" t="s">
        <v>5</v>
      </c>
      <c r="J4" s="86"/>
      <c r="K4" s="87" t="s">
        <v>6</v>
      </c>
      <c r="L4" s="87"/>
      <c r="M4" s="87"/>
    </row>
    <row r="5" spans="1:13" ht="31.5" customHeight="1" x14ac:dyDescent="0.25">
      <c r="A5" s="75">
        <f ca="1">Daily_Balancing!B14</f>
        <v>0</v>
      </c>
      <c r="B5" s="75"/>
      <c r="C5" s="76">
        <f ca="1">Daily_Balancing!C14</f>
        <v>0</v>
      </c>
      <c r="D5" s="76"/>
      <c r="E5" s="77">
        <f ca="1">Daily_Balancing!D14</f>
        <v>0</v>
      </c>
      <c r="F5" s="77"/>
      <c r="G5" s="78">
        <f>COUNTIF(DB_Customers!K2:K500,"Active")</f>
        <v>20</v>
      </c>
      <c r="H5" s="78"/>
      <c r="I5" s="79">
        <f>COUNTIF(DB_Loans!K2:K500,"Pending")</f>
        <v>3</v>
      </c>
      <c r="J5" s="79"/>
      <c r="K5" s="68">
        <f>SUMIF(DB_Loans!K2:K500,"Approved",DB_Loans!E2:E500)</f>
        <v>7000</v>
      </c>
      <c r="L5" s="68"/>
      <c r="M5" s="68"/>
    </row>
    <row r="6" spans="1:13" ht="7.5" customHeight="1" x14ac:dyDescent="0.25"/>
    <row r="7" spans="1:13" ht="21.75" customHeight="1" x14ac:dyDescent="0.25">
      <c r="A7" s="69" t="s">
        <v>7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ht="19.5" customHeight="1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</row>
    <row r="9" spans="1:13" x14ac:dyDescent="0.25">
      <c r="A9" s="2" t="s">
        <v>17</v>
      </c>
      <c r="B9" s="3">
        <f ca="1">Daily_Balancing!B4</f>
        <v>0</v>
      </c>
      <c r="C9" s="3">
        <f ca="1">Daily_Balancing!C4</f>
        <v>0</v>
      </c>
      <c r="D9" s="3">
        <f t="shared" ref="D9:D18" ca="1" si="0">B9-C9</f>
        <v>0</v>
      </c>
      <c r="E9" s="4">
        <f ca="1">Daily_Balancing!E4</f>
        <v>0</v>
      </c>
      <c r="F9" s="3">
        <v>5000</v>
      </c>
      <c r="G9" s="5">
        <f t="shared" ref="G9:G19" ca="1" si="1">IFERROR(B9/F9,0)</f>
        <v>0</v>
      </c>
      <c r="H9" s="3">
        <f>SUMIF(DB_Savings!$G:$G,"Agent 01",DB_Savings!$F:$F)</f>
        <v>1866.2099999999998</v>
      </c>
      <c r="I9" s="4">
        <f>COUNTIF(DB_Customers!$H:$H,"Agent 01")</f>
        <v>2</v>
      </c>
    </row>
    <row r="10" spans="1:13" x14ac:dyDescent="0.25">
      <c r="A10" s="6" t="s">
        <v>18</v>
      </c>
      <c r="B10" s="7">
        <f ca="1">Daily_Balancing!B5</f>
        <v>0</v>
      </c>
      <c r="C10" s="7">
        <f ca="1">Daily_Balancing!C5</f>
        <v>0</v>
      </c>
      <c r="D10" s="7">
        <f t="shared" ca="1" si="0"/>
        <v>0</v>
      </c>
      <c r="E10" s="8">
        <f ca="1">Daily_Balancing!E5</f>
        <v>0</v>
      </c>
      <c r="F10" s="7">
        <v>5000</v>
      </c>
      <c r="G10" s="9">
        <f t="shared" ca="1" si="1"/>
        <v>0</v>
      </c>
      <c r="H10" s="7">
        <f>SUMIF(DB_Savings!$G:$G,"Agent 02",DB_Savings!$F:$F)</f>
        <v>3578.15</v>
      </c>
      <c r="I10" s="8">
        <f>COUNTIF(DB_Customers!$H:$H,"Agent 02")</f>
        <v>2</v>
      </c>
    </row>
    <row r="11" spans="1:13" x14ac:dyDescent="0.25">
      <c r="A11" s="2" t="s">
        <v>19</v>
      </c>
      <c r="B11" s="3">
        <f ca="1">Daily_Balancing!B6</f>
        <v>0</v>
      </c>
      <c r="C11" s="3">
        <f ca="1">Daily_Balancing!C6</f>
        <v>0</v>
      </c>
      <c r="D11" s="3">
        <f t="shared" ca="1" si="0"/>
        <v>0</v>
      </c>
      <c r="E11" s="4">
        <f ca="1">Daily_Balancing!E6</f>
        <v>0</v>
      </c>
      <c r="F11" s="3">
        <v>5000</v>
      </c>
      <c r="G11" s="5">
        <f t="shared" ca="1" si="1"/>
        <v>0</v>
      </c>
      <c r="H11" s="3">
        <f>SUMIF(DB_Savings!$G:$G,"Agent 03",DB_Savings!$F:$F)</f>
        <v>2342.86</v>
      </c>
      <c r="I11" s="4">
        <f>COUNTIF(DB_Customers!$H:$H,"Agent 03")</f>
        <v>2</v>
      </c>
    </row>
    <row r="12" spans="1:13" x14ac:dyDescent="0.25">
      <c r="A12" s="6" t="s">
        <v>20</v>
      </c>
      <c r="B12" s="7">
        <f ca="1">Daily_Balancing!B7</f>
        <v>0</v>
      </c>
      <c r="C12" s="7">
        <f ca="1">Daily_Balancing!C7</f>
        <v>0</v>
      </c>
      <c r="D12" s="7">
        <f t="shared" ca="1" si="0"/>
        <v>0</v>
      </c>
      <c r="E12" s="8">
        <f ca="1">Daily_Balancing!E7</f>
        <v>0</v>
      </c>
      <c r="F12" s="7">
        <v>5000</v>
      </c>
      <c r="G12" s="9">
        <f t="shared" ca="1" si="1"/>
        <v>0</v>
      </c>
      <c r="H12" s="7">
        <f>SUMIF(DB_Savings!$G:$G,"Agent 04",DB_Savings!$F:$F)</f>
        <v>3827.6200000000003</v>
      </c>
      <c r="I12" s="8">
        <f>COUNTIF(DB_Customers!$H:$H,"Agent 04")</f>
        <v>2</v>
      </c>
    </row>
    <row r="13" spans="1:13" x14ac:dyDescent="0.25">
      <c r="A13" s="2" t="s">
        <v>21</v>
      </c>
      <c r="B13" s="3">
        <f ca="1">Daily_Balancing!B8</f>
        <v>0</v>
      </c>
      <c r="C13" s="3">
        <f ca="1">Daily_Balancing!C8</f>
        <v>0</v>
      </c>
      <c r="D13" s="3">
        <f t="shared" ca="1" si="0"/>
        <v>0</v>
      </c>
      <c r="E13" s="4">
        <f ca="1">Daily_Balancing!E8</f>
        <v>0</v>
      </c>
      <c r="F13" s="3">
        <v>5000</v>
      </c>
      <c r="G13" s="5">
        <f t="shared" ca="1" si="1"/>
        <v>0</v>
      </c>
      <c r="H13" s="3">
        <f>SUMIF(DB_Savings!$G:$G,"Agent 05",DB_Savings!$F:$F)</f>
        <v>3793.6999999999994</v>
      </c>
      <c r="I13" s="4">
        <f>COUNTIF(DB_Customers!$H:$H,"Agent 05")</f>
        <v>2</v>
      </c>
    </row>
    <row r="14" spans="1:13" x14ac:dyDescent="0.25">
      <c r="A14" s="6" t="s">
        <v>22</v>
      </c>
      <c r="B14" s="7">
        <f ca="1">Daily_Balancing!B9</f>
        <v>0</v>
      </c>
      <c r="C14" s="7">
        <f ca="1">Daily_Balancing!C9</f>
        <v>0</v>
      </c>
      <c r="D14" s="7">
        <f t="shared" ca="1" si="0"/>
        <v>0</v>
      </c>
      <c r="E14" s="8">
        <f ca="1">Daily_Balancing!E9</f>
        <v>0</v>
      </c>
      <c r="F14" s="7">
        <v>5000</v>
      </c>
      <c r="G14" s="9">
        <f t="shared" ca="1" si="1"/>
        <v>0</v>
      </c>
      <c r="H14" s="7">
        <f>SUMIF(DB_Savings!$G:$G,"Agent 06",DB_Savings!$F:$F)</f>
        <v>3283.9100000000008</v>
      </c>
      <c r="I14" s="8">
        <f>COUNTIF(DB_Customers!$H:$H,"Agent 06")</f>
        <v>2</v>
      </c>
    </row>
    <row r="15" spans="1:13" x14ac:dyDescent="0.25">
      <c r="A15" s="2" t="s">
        <v>23</v>
      </c>
      <c r="B15" s="3">
        <f ca="1">Daily_Balancing!B10</f>
        <v>0</v>
      </c>
      <c r="C15" s="3">
        <f ca="1">Daily_Balancing!C10</f>
        <v>0</v>
      </c>
      <c r="D15" s="3">
        <f t="shared" ca="1" si="0"/>
        <v>0</v>
      </c>
      <c r="E15" s="4">
        <f ca="1">Daily_Balancing!E10</f>
        <v>0</v>
      </c>
      <c r="F15" s="3">
        <v>5000</v>
      </c>
      <c r="G15" s="5">
        <f t="shared" ca="1" si="1"/>
        <v>0</v>
      </c>
      <c r="H15" s="3">
        <f>SUMIF(DB_Savings!$G:$G,"Agent 07",DB_Savings!$F:$F)</f>
        <v>2915.75</v>
      </c>
      <c r="I15" s="4">
        <f>COUNTIF(DB_Customers!$H:$H,"Agent 07")</f>
        <v>2</v>
      </c>
    </row>
    <row r="16" spans="1:13" x14ac:dyDescent="0.25">
      <c r="A16" s="6" t="s">
        <v>24</v>
      </c>
      <c r="B16" s="7">
        <f ca="1">Daily_Balancing!B11</f>
        <v>0</v>
      </c>
      <c r="C16" s="7">
        <f ca="1">Daily_Balancing!C11</f>
        <v>0</v>
      </c>
      <c r="D16" s="7">
        <f t="shared" ca="1" si="0"/>
        <v>0</v>
      </c>
      <c r="E16" s="8">
        <f ca="1">Daily_Balancing!E11</f>
        <v>0</v>
      </c>
      <c r="F16" s="7">
        <v>5000</v>
      </c>
      <c r="G16" s="9">
        <f t="shared" ca="1" si="1"/>
        <v>0</v>
      </c>
      <c r="H16" s="7">
        <f>SUMIF(DB_Savings!$G:$G,"Agent 08",DB_Savings!$F:$F)</f>
        <v>1347.4300000000003</v>
      </c>
      <c r="I16" s="8">
        <f>COUNTIF(DB_Customers!$H:$H,"Agent 08")</f>
        <v>2</v>
      </c>
    </row>
    <row r="17" spans="1:13" x14ac:dyDescent="0.25">
      <c r="A17" s="2" t="s">
        <v>25</v>
      </c>
      <c r="B17" s="3">
        <f ca="1">Daily_Balancing!B12</f>
        <v>0</v>
      </c>
      <c r="C17" s="3">
        <f ca="1">Daily_Balancing!C12</f>
        <v>0</v>
      </c>
      <c r="D17" s="3">
        <f t="shared" ca="1" si="0"/>
        <v>0</v>
      </c>
      <c r="E17" s="4">
        <f ca="1">Daily_Balancing!E12</f>
        <v>0</v>
      </c>
      <c r="F17" s="3">
        <v>5000</v>
      </c>
      <c r="G17" s="5">
        <f t="shared" ca="1" si="1"/>
        <v>0</v>
      </c>
      <c r="H17" s="3">
        <f>SUMIF(DB_Savings!$G:$G,"Agent 09",DB_Savings!$F:$F)</f>
        <v>3361.8300000000004</v>
      </c>
      <c r="I17" s="4">
        <f>COUNTIF(DB_Customers!$H:$H,"Agent 09")</f>
        <v>2</v>
      </c>
    </row>
    <row r="18" spans="1:13" x14ac:dyDescent="0.25">
      <c r="A18" s="6" t="s">
        <v>26</v>
      </c>
      <c r="B18" s="7">
        <f ca="1">Daily_Balancing!B13</f>
        <v>0</v>
      </c>
      <c r="C18" s="7">
        <f ca="1">Daily_Balancing!C13</f>
        <v>0</v>
      </c>
      <c r="D18" s="7">
        <f t="shared" ca="1" si="0"/>
        <v>0</v>
      </c>
      <c r="E18" s="8">
        <f ca="1">Daily_Balancing!E13</f>
        <v>0</v>
      </c>
      <c r="F18" s="7">
        <v>5000</v>
      </c>
      <c r="G18" s="9">
        <f t="shared" ca="1" si="1"/>
        <v>0</v>
      </c>
      <c r="H18" s="7">
        <f>SUMIF(DB_Savings!$G:$G,"Agent 10",DB_Savings!$F:$F)</f>
        <v>3698.7999999999997</v>
      </c>
      <c r="I18" s="8">
        <f>COUNTIF(DB_Customers!$H:$H,"Agent 10")</f>
        <v>2</v>
      </c>
    </row>
    <row r="19" spans="1:13" x14ac:dyDescent="0.25">
      <c r="A19" s="10" t="s">
        <v>27</v>
      </c>
      <c r="B19" s="11">
        <f ca="1">SUM(B9:B18)</f>
        <v>0</v>
      </c>
      <c r="C19" s="11">
        <f ca="1">SUM(C9:C18)</f>
        <v>0</v>
      </c>
      <c r="D19" s="11">
        <f ca="1">SUM(D9:D18)</f>
        <v>0</v>
      </c>
      <c r="E19" s="11">
        <f ca="1">SUM(E9:E18)</f>
        <v>0</v>
      </c>
      <c r="F19" s="11">
        <f>SUM(F9:F18)</f>
        <v>50000</v>
      </c>
      <c r="G19" s="12">
        <f t="shared" ca="1" si="1"/>
        <v>0</v>
      </c>
      <c r="H19" s="11">
        <f>SUM(H9:H18)</f>
        <v>30016.260000000002</v>
      </c>
      <c r="I19" s="10">
        <f>SUM(I9:I18)</f>
        <v>20</v>
      </c>
    </row>
    <row r="20" spans="1:13" ht="7.5" customHeight="1" x14ac:dyDescent="0.25"/>
    <row r="21" spans="1:13" ht="21.75" customHeight="1" x14ac:dyDescent="0.25">
      <c r="A21" s="70" t="s">
        <v>28</v>
      </c>
      <c r="B21" s="70"/>
      <c r="C21" s="70"/>
      <c r="D21" s="70"/>
      <c r="E21" s="70"/>
      <c r="F21" s="70"/>
      <c r="G21" s="71" t="s">
        <v>29</v>
      </c>
      <c r="H21" s="71"/>
      <c r="I21" s="71"/>
      <c r="J21" s="71"/>
      <c r="K21" s="71"/>
      <c r="L21" s="71"/>
      <c r="M21" s="71"/>
    </row>
    <row r="22" spans="1:13" ht="21.75" customHeight="1" x14ac:dyDescent="0.25">
      <c r="A22" s="72" t="s">
        <v>30</v>
      </c>
      <c r="B22" s="72"/>
      <c r="C22" s="72"/>
      <c r="D22" s="73">
        <f>COUNTA(DB_Customers!A2:A500)</f>
        <v>22</v>
      </c>
      <c r="E22" s="73"/>
      <c r="F22" s="73"/>
      <c r="G22" s="71"/>
      <c r="H22" s="71"/>
      <c r="I22" s="71"/>
      <c r="J22" s="71"/>
      <c r="K22" s="71"/>
      <c r="L22" s="71"/>
      <c r="M22" s="71"/>
    </row>
    <row r="23" spans="1:13" ht="21.75" customHeight="1" x14ac:dyDescent="0.25">
      <c r="A23" s="72" t="s">
        <v>31</v>
      </c>
      <c r="B23" s="72"/>
      <c r="C23" s="72"/>
      <c r="D23" s="74">
        <f>SUM(DB_Customers!L2:L500)</f>
        <v>30016.260000000002</v>
      </c>
      <c r="E23" s="74"/>
      <c r="F23" s="74"/>
      <c r="G23" s="71"/>
      <c r="H23" s="71"/>
      <c r="I23" s="71"/>
      <c r="J23" s="71"/>
      <c r="K23" s="71"/>
      <c r="L23" s="71"/>
      <c r="M23" s="71"/>
    </row>
    <row r="24" spans="1:13" ht="21.75" customHeight="1" x14ac:dyDescent="0.25">
      <c r="A24" s="72" t="s">
        <v>32</v>
      </c>
      <c r="B24" s="72"/>
      <c r="C24" s="72"/>
      <c r="D24" s="74">
        <f>SUM(DB_Customers!M2:M500)</f>
        <v>6859.27</v>
      </c>
      <c r="E24" s="74"/>
      <c r="F24" s="74"/>
      <c r="G24" s="71"/>
      <c r="H24" s="71"/>
      <c r="I24" s="71"/>
      <c r="J24" s="71"/>
      <c r="K24" s="71"/>
      <c r="L24" s="71"/>
      <c r="M24" s="71"/>
    </row>
    <row r="25" spans="1:13" ht="21.75" customHeight="1" x14ac:dyDescent="0.25">
      <c r="A25" s="72" t="s">
        <v>33</v>
      </c>
      <c r="B25" s="72"/>
      <c r="C25" s="72"/>
      <c r="D25" s="73">
        <f>COUNTIF(DB_Customers!K2:K500,"Pending")</f>
        <v>0</v>
      </c>
      <c r="E25" s="73"/>
      <c r="F25" s="73"/>
      <c r="G25" s="71"/>
      <c r="H25" s="71"/>
      <c r="I25" s="71"/>
      <c r="J25" s="71"/>
      <c r="K25" s="71"/>
      <c r="L25" s="71"/>
      <c r="M25" s="71"/>
    </row>
    <row r="26" spans="1:13" ht="21.75" customHeight="1" x14ac:dyDescent="0.25">
      <c r="A26" s="72" t="s">
        <v>34</v>
      </c>
      <c r="B26" s="72"/>
      <c r="C26" s="72"/>
      <c r="D26" s="73">
        <f>COUNTIF(DB_Loans!K2:K500,"Pending")</f>
        <v>3</v>
      </c>
      <c r="E26" s="73"/>
      <c r="F26" s="73"/>
      <c r="G26" s="71"/>
      <c r="H26" s="71"/>
      <c r="I26" s="71"/>
      <c r="J26" s="71"/>
      <c r="K26" s="71"/>
      <c r="L26" s="71"/>
      <c r="M26" s="71"/>
    </row>
    <row r="27" spans="1:13" ht="21.75" customHeight="1" x14ac:dyDescent="0.25">
      <c r="A27" s="72" t="s">
        <v>35</v>
      </c>
      <c r="B27" s="72"/>
      <c r="C27" s="72"/>
      <c r="D27" s="73">
        <f>COUNTIF(DB_Loans!K2:K500,"Approved")</f>
        <v>2</v>
      </c>
      <c r="E27" s="73"/>
      <c r="F27" s="73"/>
      <c r="G27" s="71"/>
      <c r="H27" s="71"/>
      <c r="I27" s="71"/>
      <c r="J27" s="71"/>
      <c r="K27" s="71"/>
      <c r="L27" s="71"/>
      <c r="M27" s="71"/>
    </row>
  </sheetData>
  <mergeCells count="29">
    <mergeCell ref="A1:M1"/>
    <mergeCell ref="A2:M2"/>
    <mergeCell ref="A4:B4"/>
    <mergeCell ref="C4:D4"/>
    <mergeCell ref="E4:F4"/>
    <mergeCell ref="G4:H4"/>
    <mergeCell ref="I4:J4"/>
    <mergeCell ref="K4:M4"/>
    <mergeCell ref="A5:B5"/>
    <mergeCell ref="C5:D5"/>
    <mergeCell ref="E5:F5"/>
    <mergeCell ref="G5:H5"/>
    <mergeCell ref="I5:J5"/>
    <mergeCell ref="K5:M5"/>
    <mergeCell ref="A7:M7"/>
    <mergeCell ref="A21:F21"/>
    <mergeCell ref="G21:M27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</mergeCells>
  <conditionalFormatting sqref="G9:G18">
    <cfRule type="cellIs" dxfId="104" priority="2" operator="greaterThanOrEqual">
      <formula>1</formula>
    </cfRule>
    <cfRule type="cellIs" dxfId="103" priority="3" operator="lessThan">
      <formula>0.5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BC9C"/>
  </sheetPr>
  <dimension ref="A1:E28"/>
  <sheetViews>
    <sheetView topLeftCell="A4" zoomScaleNormal="100" workbookViewId="0">
      <selection sqref="A1:E1"/>
    </sheetView>
  </sheetViews>
  <sheetFormatPr defaultColWidth="8.7109375" defaultRowHeight="15" x14ac:dyDescent="0.25"/>
  <cols>
    <col min="1" max="1" width="18" customWidth="1"/>
    <col min="2" max="2" width="3" customWidth="1"/>
    <col min="3" max="3" width="26" customWidth="1"/>
    <col min="4" max="4" width="3" customWidth="1"/>
    <col min="5" max="5" width="18" customWidth="1"/>
  </cols>
  <sheetData>
    <row r="1" spans="1:5" ht="39.75" customHeight="1" x14ac:dyDescent="0.25">
      <c r="A1" s="92" t="s">
        <v>36</v>
      </c>
      <c r="B1" s="92"/>
      <c r="C1" s="92"/>
      <c r="D1" s="92"/>
      <c r="E1" s="92"/>
    </row>
    <row r="2" spans="1:5" ht="19.5" customHeight="1" x14ac:dyDescent="0.25">
      <c r="A2" s="93" t="s">
        <v>37</v>
      </c>
      <c r="B2" s="93"/>
      <c r="C2" s="93"/>
      <c r="D2" s="93"/>
      <c r="E2" s="93"/>
    </row>
    <row r="3" spans="1:5" ht="18" customHeight="1" x14ac:dyDescent="0.25">
      <c r="A3" s="94" t="s">
        <v>38</v>
      </c>
      <c r="B3" s="94"/>
      <c r="C3" s="94"/>
      <c r="D3" s="94"/>
      <c r="E3" s="94"/>
    </row>
    <row r="5" spans="1:5" ht="24" customHeight="1" x14ac:dyDescent="0.25">
      <c r="A5" s="13" t="s">
        <v>39</v>
      </c>
      <c r="C5" s="91"/>
      <c r="D5" s="91"/>
    </row>
    <row r="6" spans="1:5" ht="24" customHeight="1" x14ac:dyDescent="0.25">
      <c r="A6" s="13" t="s">
        <v>40</v>
      </c>
      <c r="C6" s="91"/>
      <c r="D6" s="91"/>
    </row>
    <row r="7" spans="1:5" ht="24" customHeight="1" x14ac:dyDescent="0.25">
      <c r="A7" s="13" t="s">
        <v>41</v>
      </c>
      <c r="C7" s="91" t="s">
        <v>42</v>
      </c>
      <c r="D7" s="91"/>
    </row>
    <row r="8" spans="1:5" ht="24" customHeight="1" x14ac:dyDescent="0.25">
      <c r="A8" s="13" t="s">
        <v>43</v>
      </c>
      <c r="C8" s="91" t="s">
        <v>44</v>
      </c>
      <c r="D8" s="91"/>
    </row>
    <row r="9" spans="1:5" ht="24" customHeight="1" x14ac:dyDescent="0.25">
      <c r="A9" s="13" t="s">
        <v>45</v>
      </c>
      <c r="C9" s="91"/>
      <c r="D9" s="91"/>
    </row>
    <row r="10" spans="1:5" ht="24" customHeight="1" x14ac:dyDescent="0.25">
      <c r="A10" s="13" t="s">
        <v>46</v>
      </c>
      <c r="C10" s="91"/>
      <c r="D10" s="91"/>
    </row>
    <row r="11" spans="1:5" ht="24" customHeight="1" x14ac:dyDescent="0.25">
      <c r="A11" s="13" t="s">
        <v>47</v>
      </c>
      <c r="C11" s="91">
        <v>0</v>
      </c>
      <c r="D11" s="91"/>
    </row>
    <row r="13" spans="1:5" ht="21.75" customHeight="1" x14ac:dyDescent="0.25">
      <c r="A13" s="89" t="s">
        <v>48</v>
      </c>
      <c r="B13" s="89"/>
      <c r="C13" s="89"/>
      <c r="D13" s="89"/>
      <c r="E13" s="89"/>
    </row>
    <row r="14" spans="1:5" ht="31.5" customHeight="1" x14ac:dyDescent="0.25">
      <c r="A14" s="90" t="str">
        <f ca="1">IF(C5="","⬆ Complete the form above, then click GENERATE ACCOUNT","Account will be: SAM"&amp;TEXT(TODAY(),"YYYY")&amp;TEXT(TODAY(),"MM")&amp;"XXXXX (click Generate)")</f>
        <v>⬆ Complete the form above, then click GENERATE ACCOUNT</v>
      </c>
      <c r="B14" s="90"/>
      <c r="C14" s="90"/>
      <c r="D14" s="90"/>
      <c r="E14" s="90"/>
    </row>
    <row r="16" spans="1:5" ht="21.75" customHeight="1" x14ac:dyDescent="0.25">
      <c r="A16" s="66" t="s">
        <v>49</v>
      </c>
      <c r="B16" s="66"/>
      <c r="C16" s="66"/>
      <c r="D16" s="66"/>
      <c r="E16" s="66"/>
    </row>
    <row r="17" spans="1:5" ht="19.5" customHeight="1" x14ac:dyDescent="0.25">
      <c r="A17" s="14" t="s">
        <v>50</v>
      </c>
      <c r="B17" s="88" t="s">
        <v>51</v>
      </c>
      <c r="C17" s="88"/>
      <c r="D17" s="88"/>
      <c r="E17" s="88"/>
    </row>
    <row r="18" spans="1:5" ht="19.5" customHeight="1" x14ac:dyDescent="0.25">
      <c r="A18" s="14" t="s">
        <v>52</v>
      </c>
      <c r="B18" s="88" t="s">
        <v>53</v>
      </c>
      <c r="C18" s="88"/>
      <c r="D18" s="88"/>
      <c r="E18" s="88"/>
    </row>
    <row r="19" spans="1:5" ht="19.5" customHeight="1" x14ac:dyDescent="0.25">
      <c r="A19" s="14" t="s">
        <v>54</v>
      </c>
      <c r="B19" s="88" t="s">
        <v>55</v>
      </c>
      <c r="C19" s="88"/>
      <c r="D19" s="88"/>
      <c r="E19" s="88"/>
    </row>
    <row r="20" spans="1:5" ht="19.5" customHeight="1" x14ac:dyDescent="0.25">
      <c r="A20" s="14" t="s">
        <v>56</v>
      </c>
      <c r="B20" s="88" t="s">
        <v>57</v>
      </c>
      <c r="C20" s="88"/>
      <c r="D20" s="88"/>
      <c r="E20" s="88"/>
    </row>
    <row r="22" spans="1:5" ht="21.75" customHeight="1" x14ac:dyDescent="0.25">
      <c r="A22" s="66" t="s">
        <v>58</v>
      </c>
      <c r="B22" s="66"/>
      <c r="C22" s="66"/>
      <c r="D22" s="66"/>
      <c r="E22" s="66"/>
    </row>
    <row r="23" spans="1:5" x14ac:dyDescent="0.25">
      <c r="A23" s="1" t="s">
        <v>59</v>
      </c>
      <c r="B23" s="1" t="s">
        <v>60</v>
      </c>
      <c r="C23" s="1" t="s">
        <v>61</v>
      </c>
      <c r="D23" s="1" t="s">
        <v>8</v>
      </c>
      <c r="E23" s="1" t="s">
        <v>62</v>
      </c>
    </row>
    <row r="24" spans="1:5" x14ac:dyDescent="0.25">
      <c r="A24" s="8" t="s">
        <v>63</v>
      </c>
      <c r="B24" s="8" t="s">
        <v>64</v>
      </c>
      <c r="C24" s="8" t="s">
        <v>65</v>
      </c>
      <c r="D24" s="8" t="s">
        <v>26</v>
      </c>
      <c r="E24" s="8" t="s">
        <v>66</v>
      </c>
    </row>
    <row r="25" spans="1:5" x14ac:dyDescent="0.25">
      <c r="A25" s="4" t="s">
        <v>67</v>
      </c>
      <c r="B25" s="4" t="s">
        <v>68</v>
      </c>
      <c r="C25" s="4" t="s">
        <v>42</v>
      </c>
      <c r="D25" s="4" t="s">
        <v>26</v>
      </c>
      <c r="E25" s="4" t="s">
        <v>69</v>
      </c>
    </row>
    <row r="26" spans="1:5" x14ac:dyDescent="0.25">
      <c r="A26" s="8" t="s">
        <v>70</v>
      </c>
      <c r="B26" s="8" t="s">
        <v>71</v>
      </c>
      <c r="C26" s="8" t="s">
        <v>65</v>
      </c>
      <c r="D26" s="8" t="s">
        <v>25</v>
      </c>
      <c r="E26" s="8" t="s">
        <v>72</v>
      </c>
    </row>
    <row r="27" spans="1:5" x14ac:dyDescent="0.25">
      <c r="A27" s="4" t="s">
        <v>73</v>
      </c>
      <c r="B27" s="4" t="s">
        <v>74</v>
      </c>
      <c r="C27" s="4" t="s">
        <v>42</v>
      </c>
      <c r="D27" s="4" t="s">
        <v>25</v>
      </c>
      <c r="E27" s="4" t="s">
        <v>75</v>
      </c>
    </row>
    <row r="28" spans="1:5" x14ac:dyDescent="0.25">
      <c r="A28" s="8" t="s">
        <v>76</v>
      </c>
      <c r="B28" s="8" t="s">
        <v>77</v>
      </c>
      <c r="C28" s="8" t="s">
        <v>65</v>
      </c>
      <c r="D28" s="8" t="s">
        <v>24</v>
      </c>
      <c r="E28" s="8" t="s">
        <v>78</v>
      </c>
    </row>
  </sheetData>
  <mergeCells count="18">
    <mergeCell ref="A1:E1"/>
    <mergeCell ref="A2:E2"/>
    <mergeCell ref="A3:E3"/>
    <mergeCell ref="C5:D5"/>
    <mergeCell ref="C6:D6"/>
    <mergeCell ref="C7:D7"/>
    <mergeCell ref="C8:D8"/>
    <mergeCell ref="C9:D9"/>
    <mergeCell ref="C10:D10"/>
    <mergeCell ref="C11:D11"/>
    <mergeCell ref="B19:E19"/>
    <mergeCell ref="B20:E20"/>
    <mergeCell ref="A22:E22"/>
    <mergeCell ref="A13:E13"/>
    <mergeCell ref="A14:E14"/>
    <mergeCell ref="A16:E16"/>
    <mergeCell ref="B17:E17"/>
    <mergeCell ref="B18:E18"/>
  </mergeCells>
  <dataValidations count="2">
    <dataValidation type="list" showErrorMessage="1" errorTitle="Invalid" error="Please select from the dropdown list" sqref="C7" xr:uid="{00000000-0002-0000-0100-000000000000}">
      <formula1>"Ghana Card,Voter's ID"</formula1>
      <formula2>0</formula2>
    </dataValidation>
    <dataValidation type="list" showErrorMessage="1" errorTitle="Invalid" error="Please select from the dropdown list" sqref="C10" xr:uid="{00000000-0002-0000-01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 activeCell="F13" sqref="F13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79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80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v>4000</v>
      </c>
      <c r="B4" s="96"/>
      <c r="C4" s="96"/>
      <c r="D4" s="97">
        <f ca="1">COUNTIFS(DB_Savings!$G:$G,"Agent 01",DB_Savings!$E:$E,TODAY())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01",DB_Savings!$E:$E,TODAY())&gt;=J4,"✅ DAILY TARGET ACHIEVED! Well done Agent 01!","⏳ Collection in progress — Keep going! Remaining: GHC "&amp;TEXT(J4-SUMIFS(DB_Savings!$F:$F,DB_Savings!$G:$G,"Agent 01",DB_Savings!$E:$E,TODAY()),"#,##0.00"))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94</v>
      </c>
      <c r="B9" s="2" t="str">
        <f>IF(A9="","",IFERROR(VLOOKUP(A9,DB_Customers!$A:$D,4,0),"❌ Account Not Found"))</f>
        <v>Kwame Asare</v>
      </c>
      <c r="C9" s="16">
        <f>IF(A9="","",IFERROR(VLOOKUP(A9,DB_Customers!$A:$N,14,0),""))</f>
        <v>1078.8200000000002</v>
      </c>
      <c r="D9" s="17">
        <f t="shared" ref="D9:D40" ca="1" si="0">IF(A9="","",TODAY())</f>
        <v>46126</v>
      </c>
      <c r="E9" s="18">
        <v>283.3</v>
      </c>
      <c r="F9" s="19">
        <f t="shared" ref="F9:F40" si="1">IF(OR(A9="",E9=""),"",IF(C9="","",C9+E9))</f>
        <v>1362.1200000000001</v>
      </c>
      <c r="G9" s="4" t="s">
        <v>17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95</v>
      </c>
      <c r="B10" s="6" t="str">
        <f>IF(A10="","",IFERROR(VLOOKUP(A10,DB_Customers!$A:$D,4,0),"❌ Account Not Found"))</f>
        <v>Ama Mensah</v>
      </c>
      <c r="C10" s="24">
        <f>IF(A10="","",IFERROR(VLOOKUP(A10,DB_Customers!$A:$N,14,0),""))</f>
        <v>1868.51</v>
      </c>
      <c r="D10" s="25">
        <f t="shared" ca="1" si="0"/>
        <v>46126</v>
      </c>
      <c r="E10" s="18">
        <v>234.55</v>
      </c>
      <c r="F10" s="26">
        <f t="shared" si="1"/>
        <v>2103.06</v>
      </c>
      <c r="G10" s="8" t="s">
        <v>17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17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17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17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102" priority="4">
      <formula>$H9="Saved"</formula>
    </cfRule>
  </conditionalFormatting>
  <conditionalFormatting sqref="H9:H208">
    <cfRule type="cellIs" dxfId="101" priority="2" operator="equal">
      <formula>"Saved"</formula>
    </cfRule>
    <cfRule type="cellIs" dxfId="100" priority="3" operator="equal">
      <formula>"Pending"</formula>
    </cfRule>
  </conditionalFormatting>
  <dataValidations count="2">
    <dataValidation type="list" sqref="G9:G208" xr:uid="{00000000-0002-0000-0200-000000000000}">
      <formula1>"Agent 01,Agent 02,Agent 03,Agent 04,Agent 05,Agent 06,Agent 07,Agent 08,Agent 09,Agent 10"</formula1>
      <formula2>0</formula2>
    </dataValidation>
    <dataValidation type="decimal" operator="greaterThan" showErrorMessage="1" error="Must be &gt; 0" sqref="E9:E208" xr:uid="{00000000-0002-0000-02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 sqref="A1:K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97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01",DB_Withdrawals!$F:$F,TODAY())</f>
        <v>0</v>
      </c>
      <c r="B4" s="105"/>
      <c r="C4" s="105"/>
      <c r="D4" s="106">
        <f ca="1">COUNTIFS(DB_Withdrawals!$J:$J,"Agent 01",DB_Withdrawals!$K:$K,"Successful",DB_Withdrawals!$F:$F,TODAY())</f>
        <v>0</v>
      </c>
      <c r="E4" s="106"/>
      <c r="F4" s="106"/>
      <c r="G4" s="107">
        <f ca="1">COUNTIFS(DB_Withdrawals!$J:$J,"Agent 01",DB_Withdrawals!$K:$K,"Unsuccessful",DB_Withdrawals!$F:$F,TODAY())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94</v>
      </c>
      <c r="B9" s="2" t="str">
        <f>IF(A9="","",IFERROR(VLOOKUP(A9,DB_Customers!$A:$D,4,0),"❌ Account Not Found"))</f>
        <v>Kwame Asare</v>
      </c>
      <c r="C9" s="16">
        <f>IF(A9="","",IFERROR(VLOOKUP(A9,DB_Customers!$A:$N,14,0),""))</f>
        <v>1078.8200000000002</v>
      </c>
      <c r="D9" s="17">
        <f t="shared" ref="D9:D40" ca="1" si="0">IF(A9="","",TODAY())</f>
        <v>46126</v>
      </c>
      <c r="E9" s="31">
        <v>52.97</v>
      </c>
      <c r="F9" s="2" t="s">
        <v>106</v>
      </c>
      <c r="G9" s="32">
        <f t="shared" ref="G9:G40" si="1">IF(OR(A9="",E9=""),"",IF(C9="","",C9-E9))</f>
        <v>1025.8500000000001</v>
      </c>
      <c r="H9" s="4" t="s">
        <v>17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95</v>
      </c>
      <c r="B10" s="6" t="str">
        <f>IF(A10="","",IFERROR(VLOOKUP(A10,DB_Customers!$A:$D,4,0),"❌ Account Not Found"))</f>
        <v>Ama Mensah</v>
      </c>
      <c r="C10" s="24">
        <f>IF(A10="","",IFERROR(VLOOKUP(A10,DB_Customers!$A:$N,14,0),""))</f>
        <v>1868.51</v>
      </c>
      <c r="D10" s="25">
        <f t="shared" ca="1" si="0"/>
        <v>46126</v>
      </c>
      <c r="E10" s="31">
        <v>83.06</v>
      </c>
      <c r="F10" s="6" t="s">
        <v>106</v>
      </c>
      <c r="G10" s="33">
        <f t="shared" si="1"/>
        <v>1785.45</v>
      </c>
      <c r="H10" s="8" t="s">
        <v>17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17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17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17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99" priority="4">
      <formula>$I9="Unsuccessful"</formula>
    </cfRule>
  </conditionalFormatting>
  <conditionalFormatting sqref="G9:G208">
    <cfRule type="cellIs" dxfId="98" priority="5" operator="lessThan">
      <formula>0</formula>
    </cfRule>
  </conditionalFormatting>
  <conditionalFormatting sqref="I9:I208">
    <cfRule type="cellIs" dxfId="97" priority="2" operator="equal">
      <formula>"Successful"</formula>
    </cfRule>
    <cfRule type="cellIs" dxfId="96" priority="3" operator="equal">
      <formula>"Unsuccessful"</formula>
    </cfRule>
  </conditionalFormatting>
  <dataValidations count="1">
    <dataValidation type="list" sqref="H9:H208" xr:uid="{00000000-0002-0000-03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N113"/>
  <sheetViews>
    <sheetView tabSelected="1" zoomScaleNormal="100" workbookViewId="0">
      <pane ySplit="13" topLeftCell="A14" activePane="bottomLeft" state="frozen"/>
      <selection pane="bottomLeft" activeCell="B8" sqref="B8:D8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107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>
        <v>10000</v>
      </c>
      <c r="C5" s="67"/>
      <c r="D5" s="67"/>
    </row>
    <row r="6" spans="1:14" ht="19.5" customHeight="1" x14ac:dyDescent="0.25">
      <c r="A6" s="34" t="s">
        <v>111</v>
      </c>
      <c r="B6" s="67">
        <v>4</v>
      </c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>
        <f>IF(B5="","",B5*B7/100*B6)</f>
        <v>1000</v>
      </c>
      <c r="C8" s="61"/>
      <c r="D8" s="61"/>
    </row>
    <row r="9" spans="1:14" ht="19.5" customHeight="1" x14ac:dyDescent="0.25">
      <c r="A9" s="35" t="s">
        <v>114</v>
      </c>
      <c r="B9" s="62">
        <f>IF(B5="","",B5+(B5*B7/100*B6))</f>
        <v>11000</v>
      </c>
      <c r="C9" s="62"/>
      <c r="D9" s="62"/>
    </row>
    <row r="10" spans="1:14" ht="19.5" customHeight="1" x14ac:dyDescent="0.25">
      <c r="A10" s="35" t="s">
        <v>115</v>
      </c>
      <c r="B10" s="62">
        <f>IFERROR(B9/B6,"")</f>
        <v>2750</v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94</v>
      </c>
      <c r="C14" s="6" t="str">
        <f>IF(B14="","",IFERROR(VLOOKUP(B14,DB_Customers!$A:$D,4,0),"❌ Account Not Found"))</f>
        <v>Kwame Asare</v>
      </c>
      <c r="D14" s="25">
        <f t="shared" ref="D14:D45" ca="1" si="1">IF(B14="","",TODAY())</f>
        <v>46126</v>
      </c>
      <c r="E14" s="38">
        <v>1085.95</v>
      </c>
      <c r="F14" s="6" t="s">
        <v>126</v>
      </c>
      <c r="G14" s="39">
        <v>18</v>
      </c>
      <c r="H14" s="8">
        <v>2.5</v>
      </c>
      <c r="I14" s="40">
        <f t="shared" ref="I14:I45" si="2">IF(E14="","",E14+(E14*H14/100*G14))</f>
        <v>1574.6275000000001</v>
      </c>
      <c r="J14" s="41">
        <f t="shared" ref="J14:J45" si="3">IFERROR(I14/G14,"")</f>
        <v>87.479305555555555</v>
      </c>
      <c r="K14" s="42" t="str">
        <f t="shared" ref="K14:K45" si="4">IF(B14="","","Pending")</f>
        <v>Pending</v>
      </c>
      <c r="L14" s="8" t="s">
        <v>17</v>
      </c>
      <c r="M14" s="29"/>
    </row>
    <row r="15" spans="1:14" x14ac:dyDescent="0.25">
      <c r="A15" s="43" t="str">
        <f t="shared" ca="1" si="0"/>
        <v>LN202604140002</v>
      </c>
      <c r="B15" s="15" t="s">
        <v>95</v>
      </c>
      <c r="C15" s="2" t="str">
        <f>IF(B15="","",IFERROR(VLOOKUP(B15,DB_Customers!$A:$D,4,0),"❌ Account Not Found"))</f>
        <v>Ama Mensah</v>
      </c>
      <c r="D15" s="17">
        <f t="shared" ca="1" si="1"/>
        <v>46126</v>
      </c>
      <c r="E15" s="38">
        <v>1985.99</v>
      </c>
      <c r="F15" s="2" t="s">
        <v>126</v>
      </c>
      <c r="G15" s="44">
        <v>9</v>
      </c>
      <c r="H15" s="4">
        <v>2.5</v>
      </c>
      <c r="I15" s="40">
        <f t="shared" si="2"/>
        <v>2432.8377500000001</v>
      </c>
      <c r="J15" s="45">
        <f t="shared" si="3"/>
        <v>270.3153055555556</v>
      </c>
      <c r="K15" s="46" t="str">
        <f t="shared" si="4"/>
        <v>Pending</v>
      </c>
      <c r="L15" s="4" t="s">
        <v>17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17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17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17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95" priority="2" operator="equal">
      <formula>"Approved"</formula>
    </cfRule>
    <cfRule type="cellIs" dxfId="94" priority="3" operator="equal">
      <formula>"Pending"</formula>
    </cfRule>
    <cfRule type="cellIs" dxfId="93" priority="4" operator="equal">
      <formula>"Rejected"</formula>
    </cfRule>
  </conditionalFormatting>
  <dataValidations count="2">
    <dataValidation type="whole" showErrorMessage="1" error="Enter 1-36 months" sqref="G14:G113" xr:uid="{00000000-0002-0000-0400-000000000000}">
      <formula1>1</formula1>
      <formula2>36</formula2>
    </dataValidation>
    <dataValidation type="list" sqref="L14:L113" xr:uid="{00000000-0002-0000-04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127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128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02",DB_Savings!$E:$E,TODAY())</f>
        <v>0</v>
      </c>
      <c r="B4" s="96"/>
      <c r="C4" s="96"/>
      <c r="D4" s="97">
        <f ca="1">COUNTIFS(DB_Savings!$G:$G,"Agent 02",DB_Savings!$E:$E,TODAY())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02",DB_Savings!$E:$E,TODAY())&gt;=J4,"✅ DAILY TARGET ACHIEVED! Well done Agent 02!","⏳ Collection in progress — Keep going! Remaining: GHC "&amp;TEXT(J4-SUMIFS(DB_Savings!$F:$F,DB_Savings!$G:$G,"Agent 02",DB_Savings!$E:$E,TODAY()),"#,##0.00"))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129</v>
      </c>
      <c r="B9" s="2" t="str">
        <f>IF(A9="","",IFERROR(VLOOKUP(A9,DB_Customers!$A:$D,4,0),"❌ Account Not Found"))</f>
        <v>Kofi Boateng</v>
      </c>
      <c r="C9" s="16">
        <f>IF(A9="","",IFERROR(VLOOKUP(A9,DB_Customers!$A:$N,14,0),""))</f>
        <v>2556.8200000000002</v>
      </c>
      <c r="D9" s="17">
        <f t="shared" ref="D9:D40" ca="1" si="0">IF(A9="","",TODAY())</f>
        <v>46126</v>
      </c>
      <c r="E9" s="18">
        <v>382.59</v>
      </c>
      <c r="F9" s="19">
        <f t="shared" ref="F9:F40" si="1">IF(OR(A9="",E9=""),"",IF(C9="","",C9+E9))</f>
        <v>2939.4100000000003</v>
      </c>
      <c r="G9" s="4" t="s">
        <v>18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130</v>
      </c>
      <c r="B10" s="6" t="str">
        <f>IF(A10="","",IFERROR(VLOOKUP(A10,DB_Customers!$A:$D,4,0),"❌ Account Not Found"))</f>
        <v>Abena Owusu</v>
      </c>
      <c r="C10" s="24">
        <f>IF(A10="","",IFERROR(VLOOKUP(A10,DB_Customers!$A:$N,14,0),""))</f>
        <v>1498.26</v>
      </c>
      <c r="D10" s="25">
        <f t="shared" ca="1" si="0"/>
        <v>46126</v>
      </c>
      <c r="E10" s="18">
        <v>237.32</v>
      </c>
      <c r="F10" s="26">
        <f t="shared" si="1"/>
        <v>1735.58</v>
      </c>
      <c r="G10" s="8" t="s">
        <v>18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18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18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18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92" priority="4">
      <formula>$H9="Saved"</formula>
    </cfRule>
  </conditionalFormatting>
  <conditionalFormatting sqref="H9:H208">
    <cfRule type="cellIs" dxfId="91" priority="2" operator="equal">
      <formula>"Saved"</formula>
    </cfRule>
    <cfRule type="cellIs" dxfId="9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0500-000000000000}">
      <formula1>0</formula1>
      <formula2>0</formula2>
    </dataValidation>
    <dataValidation type="list" sqref="G9:G208" xr:uid="{00000000-0002-0000-05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131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132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02",DB_Withdrawals!$F:$F,TODAY())</f>
        <v>0</v>
      </c>
      <c r="B4" s="105"/>
      <c r="C4" s="105"/>
      <c r="D4" s="106">
        <f ca="1">COUNTIFS(DB_Withdrawals!$J:$J,"Agent 02",DB_Withdrawals!$K:$K,"Successful",DB_Withdrawals!$F:$F,TODAY())</f>
        <v>0</v>
      </c>
      <c r="E4" s="106"/>
      <c r="F4" s="106"/>
      <c r="G4" s="107">
        <f ca="1">COUNTIFS(DB_Withdrawals!$J:$J,"Agent 02",DB_Withdrawals!$K:$K,"Unsuccessful",DB_Withdrawals!$F:$F,TODAY())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129</v>
      </c>
      <c r="B9" s="2" t="str">
        <f>IF(A9="","",IFERROR(VLOOKUP(A9,DB_Customers!$A:$D,4,0),"❌ Account Not Found"))</f>
        <v>Kofi Boateng</v>
      </c>
      <c r="C9" s="16">
        <f>IF(A9="","",IFERROR(VLOOKUP(A9,DB_Customers!$A:$N,14,0),""))</f>
        <v>2556.8200000000002</v>
      </c>
      <c r="D9" s="17">
        <f t="shared" ref="D9:D40" ca="1" si="0">IF(A9="","",TODAY())</f>
        <v>46126</v>
      </c>
      <c r="E9" s="31">
        <v>150.96</v>
      </c>
      <c r="F9" s="2" t="s">
        <v>106</v>
      </c>
      <c r="G9" s="32">
        <f t="shared" ref="G9:G40" si="1">IF(OR(A9="",E9=""),"",IF(C9="","",C9-E9))</f>
        <v>2405.86</v>
      </c>
      <c r="H9" s="4" t="s">
        <v>18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130</v>
      </c>
      <c r="B10" s="6" t="str">
        <f>IF(A10="","",IFERROR(VLOOKUP(A10,DB_Customers!$A:$D,4,0),"❌ Account Not Found"))</f>
        <v>Abena Owusu</v>
      </c>
      <c r="C10" s="24">
        <f>IF(A10="","",IFERROR(VLOOKUP(A10,DB_Customers!$A:$N,14,0),""))</f>
        <v>1498.26</v>
      </c>
      <c r="D10" s="25">
        <f t="shared" ca="1" si="0"/>
        <v>46126</v>
      </c>
      <c r="E10" s="31">
        <v>53.73</v>
      </c>
      <c r="F10" s="6" t="s">
        <v>106</v>
      </c>
      <c r="G10" s="33">
        <f t="shared" si="1"/>
        <v>1444.53</v>
      </c>
      <c r="H10" s="8" t="s">
        <v>18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18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18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18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89" priority="4">
      <formula>$I9="Unsuccessful"</formula>
    </cfRule>
  </conditionalFormatting>
  <conditionalFormatting sqref="G9:G208">
    <cfRule type="cellIs" dxfId="88" priority="5" operator="lessThan">
      <formula>0</formula>
    </cfRule>
  </conditionalFormatting>
  <conditionalFormatting sqref="I9:I208">
    <cfRule type="cellIs" dxfId="87" priority="2" operator="equal">
      <formula>"Successful"</formula>
    </cfRule>
    <cfRule type="cellIs" dxfId="86" priority="3" operator="equal">
      <formula>"Unsuccessful"</formula>
    </cfRule>
  </conditionalFormatting>
  <dataValidations count="1">
    <dataValidation type="list" sqref="H9:H208" xr:uid="{00000000-0002-0000-06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133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129</v>
      </c>
      <c r="C14" s="6" t="str">
        <f>IF(B14="","",IFERROR(VLOOKUP(B14,DB_Customers!$A:$D,4,0),"❌ Account Not Found"))</f>
        <v>Kofi Boateng</v>
      </c>
      <c r="D14" s="25">
        <f t="shared" ref="D14:D45" ca="1" si="1">IF(B14="","",TODAY())</f>
        <v>46126</v>
      </c>
      <c r="E14" s="38">
        <v>7495.94</v>
      </c>
      <c r="F14" s="6" t="s">
        <v>134</v>
      </c>
      <c r="G14" s="39">
        <v>6</v>
      </c>
      <c r="H14" s="8">
        <v>2.5</v>
      </c>
      <c r="I14" s="40">
        <f t="shared" ref="I14:I45" si="2">IF(E14="","",E14+(E14*H14/100*G14))</f>
        <v>8620.3310000000001</v>
      </c>
      <c r="J14" s="41">
        <f t="shared" ref="J14:J45" si="3">IFERROR(I14/G14,"")</f>
        <v>1436.7218333333333</v>
      </c>
      <c r="K14" s="42" t="str">
        <f t="shared" ref="K14:K45" si="4">IF(B14="","","Pending")</f>
        <v>Pending</v>
      </c>
      <c r="L14" s="8" t="s">
        <v>18</v>
      </c>
      <c r="M14" s="29"/>
    </row>
    <row r="15" spans="1:14" x14ac:dyDescent="0.25">
      <c r="A15" s="43" t="str">
        <f t="shared" ca="1" si="0"/>
        <v>LN202604140002</v>
      </c>
      <c r="B15" s="15" t="s">
        <v>130</v>
      </c>
      <c r="C15" s="2" t="str">
        <f>IF(B15="","",IFERROR(VLOOKUP(B15,DB_Customers!$A:$D,4,0),"❌ Account Not Found"))</f>
        <v>Abena Owusu</v>
      </c>
      <c r="D15" s="17">
        <f t="shared" ca="1" si="1"/>
        <v>46126</v>
      </c>
      <c r="E15" s="38">
        <v>7794.4</v>
      </c>
      <c r="F15" s="2" t="s">
        <v>134</v>
      </c>
      <c r="G15" s="44">
        <v>18</v>
      </c>
      <c r="H15" s="4">
        <v>2.5</v>
      </c>
      <c r="I15" s="40">
        <f t="shared" si="2"/>
        <v>11301.880000000001</v>
      </c>
      <c r="J15" s="45">
        <f t="shared" si="3"/>
        <v>627.88222222222225</v>
      </c>
      <c r="K15" s="46" t="str">
        <f t="shared" si="4"/>
        <v>Pending</v>
      </c>
      <c r="L15" s="4" t="s">
        <v>18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18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18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18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85" priority="2" operator="equal">
      <formula>"Approved"</formula>
    </cfRule>
    <cfRule type="cellIs" dxfId="84" priority="3" operator="equal">
      <formula>"Pending"</formula>
    </cfRule>
    <cfRule type="cellIs" dxfId="83" priority="4" operator="equal">
      <formula>"Rejected"</formula>
    </cfRule>
  </conditionalFormatting>
  <dataValidations count="2">
    <dataValidation type="whole" showErrorMessage="1" error="Enter 1-36 months" sqref="G14:G113" xr:uid="{00000000-0002-0000-0700-000000000000}">
      <formula1>1</formula1>
      <formula2>36</formula2>
    </dataValidation>
    <dataValidation type="list" sqref="L14:L113" xr:uid="{00000000-0002-0000-07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135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136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03",DB_Savings!$E:$E,TODAY())</f>
        <v>0</v>
      </c>
      <c r="B4" s="96"/>
      <c r="C4" s="96"/>
      <c r="D4" s="97">
        <f ca="1">COUNTIFS(DB_Savings!$G:$G,"Agent 03",DB_Savings!$E:$E,TODAY())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03",DB_Savings!$E:$E,TODAY())&gt;=J4,"✅ DAILY TARGET ACHIEVED! Well done Agent 03!","⏳ Collection in progress — Keep going! Remaining: GHC "&amp;TEXT(J4-SUMIFS(DB_Savings!$F:$F,DB_Savings!$G:$G,"Agent 03",DB_Savings!$E:$E,TODAY()),"#,##0.00"))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137</v>
      </c>
      <c r="B9" s="2" t="str">
        <f>IF(A9="","",IFERROR(VLOOKUP(A9,DB_Customers!$A:$D,4,0),"❌ Account Not Found"))</f>
        <v>Yaw Darko</v>
      </c>
      <c r="C9" s="16">
        <f>IF(A9="","",IFERROR(VLOOKUP(A9,DB_Customers!$A:$N,14,0),""))</f>
        <v>3825.72</v>
      </c>
      <c r="D9" s="17">
        <f t="shared" ref="D9:D40" ca="1" si="0">IF(A9="","",TODAY())</f>
        <v>46126</v>
      </c>
      <c r="E9" s="18">
        <v>158.46</v>
      </c>
      <c r="F9" s="19">
        <f t="shared" ref="F9:F40" si="1">IF(OR(A9="",E9=""),"",IF(C9="","",C9+E9))</f>
        <v>3984.18</v>
      </c>
      <c r="G9" s="4" t="s">
        <v>19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138</v>
      </c>
      <c r="B10" s="6" t="str">
        <f>IF(A10="","",IFERROR(VLOOKUP(A10,DB_Customers!$A:$D,4,0),"❌ Account Not Found"))</f>
        <v>Efua Kumi</v>
      </c>
      <c r="C10" s="24">
        <f>IF(A10="","",IFERROR(VLOOKUP(A10,DB_Customers!$A:$N,14,0),""))</f>
        <v>1244.2699999999998</v>
      </c>
      <c r="D10" s="25">
        <f t="shared" ca="1" si="0"/>
        <v>46126</v>
      </c>
      <c r="E10" s="18">
        <v>284.79000000000002</v>
      </c>
      <c r="F10" s="26">
        <f t="shared" si="1"/>
        <v>1529.0599999999997</v>
      </c>
      <c r="G10" s="8" t="s">
        <v>19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19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19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19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82" priority="4">
      <formula>$H9="Saved"</formula>
    </cfRule>
  </conditionalFormatting>
  <conditionalFormatting sqref="H9:H208">
    <cfRule type="cellIs" dxfId="81" priority="2" operator="equal">
      <formula>"Saved"</formula>
    </cfRule>
    <cfRule type="cellIs" dxfId="8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0800-000000000000}">
      <formula1>0</formula1>
      <formula2>0</formula2>
    </dataValidation>
    <dataValidation type="list" sqref="G9:G208" xr:uid="{00000000-0002-0000-08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139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140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03",DB_Withdrawals!$F:$F,TODAY())</f>
        <v>0</v>
      </c>
      <c r="B4" s="105"/>
      <c r="C4" s="105"/>
      <c r="D4" s="106">
        <f ca="1">COUNTIFS(DB_Withdrawals!$J:$J,"Agent 03",DB_Withdrawals!$K:$K,"Successful",DB_Withdrawals!$F:$F,TODAY())</f>
        <v>0</v>
      </c>
      <c r="E4" s="106"/>
      <c r="F4" s="106"/>
      <c r="G4" s="107">
        <f ca="1">COUNTIFS(DB_Withdrawals!$J:$J,"Agent 03",DB_Withdrawals!$K:$K,"Unsuccessful",DB_Withdrawals!$F:$F,TODAY())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137</v>
      </c>
      <c r="B9" s="2" t="str">
        <f>IF(A9="","",IFERROR(VLOOKUP(A9,DB_Customers!$A:$D,4,0),"❌ Account Not Found"))</f>
        <v>Yaw Darko</v>
      </c>
      <c r="C9" s="16">
        <f>IF(A9="","",IFERROR(VLOOKUP(A9,DB_Customers!$A:$N,14,0),""))</f>
        <v>3825.72</v>
      </c>
      <c r="D9" s="17">
        <f t="shared" ref="D9:D40" ca="1" si="0">IF(A9="","",TODAY())</f>
        <v>46126</v>
      </c>
      <c r="E9" s="31">
        <v>59.09</v>
      </c>
      <c r="F9" s="2" t="s">
        <v>106</v>
      </c>
      <c r="G9" s="32">
        <f t="shared" ref="G9:G40" si="1">IF(OR(A9="",E9=""),"",IF(C9="","",C9-E9))</f>
        <v>3766.6299999999997</v>
      </c>
      <c r="H9" s="4" t="s">
        <v>19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138</v>
      </c>
      <c r="B10" s="6" t="str">
        <f>IF(A10="","",IFERROR(VLOOKUP(A10,DB_Customers!$A:$D,4,0),"❌ Account Not Found"))</f>
        <v>Efua Kumi</v>
      </c>
      <c r="C10" s="24">
        <f>IF(A10="","",IFERROR(VLOOKUP(A10,DB_Customers!$A:$N,14,0),""))</f>
        <v>1244.2699999999998</v>
      </c>
      <c r="D10" s="25">
        <f t="shared" ca="1" si="0"/>
        <v>46126</v>
      </c>
      <c r="E10" s="31">
        <v>61.8</v>
      </c>
      <c r="F10" s="6" t="s">
        <v>106</v>
      </c>
      <c r="G10" s="33">
        <f t="shared" si="1"/>
        <v>1182.4699999999998</v>
      </c>
      <c r="H10" s="8" t="s">
        <v>19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19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19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19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79" priority="4">
      <formula>$I9="Unsuccessful"</formula>
    </cfRule>
  </conditionalFormatting>
  <conditionalFormatting sqref="G9:G208">
    <cfRule type="cellIs" dxfId="78" priority="5" operator="lessThan">
      <formula>0</formula>
    </cfRule>
  </conditionalFormatting>
  <conditionalFormatting sqref="I9:I208">
    <cfRule type="cellIs" dxfId="77" priority="2" operator="equal">
      <formula>"Successful"</formula>
    </cfRule>
    <cfRule type="cellIs" dxfId="76" priority="3" operator="equal">
      <formula>"Unsuccessful"</formula>
    </cfRule>
  </conditionalFormatting>
  <dataValidations count="1">
    <dataValidation type="list" sqref="H9:H208" xr:uid="{00000000-0002-0000-09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141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137</v>
      </c>
      <c r="C14" s="6" t="str">
        <f>IF(B14="","",IFERROR(VLOOKUP(B14,DB_Customers!$A:$D,4,0),"❌ Account Not Found"))</f>
        <v>Yaw Darko</v>
      </c>
      <c r="D14" s="25">
        <f t="shared" ref="D14:D45" ca="1" si="1">IF(B14="","",TODAY())</f>
        <v>46126</v>
      </c>
      <c r="E14" s="38">
        <v>7386.4</v>
      </c>
      <c r="F14" s="6" t="s">
        <v>142</v>
      </c>
      <c r="G14" s="39">
        <v>12</v>
      </c>
      <c r="H14" s="8">
        <v>2.5</v>
      </c>
      <c r="I14" s="40">
        <f t="shared" ref="I14:I45" si="2">IF(E14="","",E14+(E14*H14/100*G14))</f>
        <v>9602.32</v>
      </c>
      <c r="J14" s="41">
        <f t="shared" ref="J14:J45" si="3">IFERROR(I14/G14,"")</f>
        <v>800.19333333333327</v>
      </c>
      <c r="K14" s="42" t="str">
        <f t="shared" ref="K14:K45" si="4">IF(B14="","","Pending")</f>
        <v>Pending</v>
      </c>
      <c r="L14" s="8" t="s">
        <v>19</v>
      </c>
      <c r="M14" s="29"/>
    </row>
    <row r="15" spans="1:14" x14ac:dyDescent="0.25">
      <c r="A15" s="43" t="str">
        <f t="shared" ca="1" si="0"/>
        <v>LN202604140002</v>
      </c>
      <c r="B15" s="15" t="s">
        <v>138</v>
      </c>
      <c r="C15" s="2" t="str">
        <f>IF(B15="","",IFERROR(VLOOKUP(B15,DB_Customers!$A:$D,4,0),"❌ Account Not Found"))</f>
        <v>Efua Kumi</v>
      </c>
      <c r="D15" s="17">
        <f t="shared" ca="1" si="1"/>
        <v>46126</v>
      </c>
      <c r="E15" s="38">
        <v>7181.94</v>
      </c>
      <c r="F15" s="2" t="s">
        <v>126</v>
      </c>
      <c r="G15" s="44">
        <v>12</v>
      </c>
      <c r="H15" s="4">
        <v>2.5</v>
      </c>
      <c r="I15" s="40">
        <f t="shared" si="2"/>
        <v>9336.521999999999</v>
      </c>
      <c r="J15" s="45">
        <f t="shared" si="3"/>
        <v>778.04349999999988</v>
      </c>
      <c r="K15" s="46" t="str">
        <f t="shared" si="4"/>
        <v>Pending</v>
      </c>
      <c r="L15" s="4" t="s">
        <v>19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19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19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19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75" priority="2" operator="equal">
      <formula>"Approved"</formula>
    </cfRule>
    <cfRule type="cellIs" dxfId="74" priority="3" operator="equal">
      <formula>"Pending"</formula>
    </cfRule>
    <cfRule type="cellIs" dxfId="73" priority="4" operator="equal">
      <formula>"Rejected"</formula>
    </cfRule>
  </conditionalFormatting>
  <dataValidations count="2">
    <dataValidation type="whole" showErrorMessage="1" error="Enter 1-36 months" sqref="G14:G113" xr:uid="{00000000-0002-0000-0A00-000000000000}">
      <formula1>1</formula1>
      <formula2>36</formula2>
    </dataValidation>
    <dataValidation type="list" sqref="L14:L113" xr:uid="{00000000-0002-0000-0A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143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144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04",DB_Savings!$E:$E,TODAY())</f>
        <v>0</v>
      </c>
      <c r="B4" s="96"/>
      <c r="C4" s="96"/>
      <c r="D4" s="97">
        <f ca="1">COUNTIFS(DB_Savings!$G:$G,"Agent 04",DB_Savings!$E:$E,TODAY())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04",DB_Savings!$E:$E,TODAY())&gt;=J4,"✅ DAILY TARGET ACHIEVED! Well done Agent 04!","⏳ Collection in progress — Keep going! Remaining: GHC "&amp;TEXT(J4-SUMIFS(DB_Savings!$F:$F,DB_Savings!$G:$G,"Agent 04",DB_Savings!$E:$E,TODAY()),"#,##0.00"))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145</v>
      </c>
      <c r="B9" s="2" t="str">
        <f>IF(A9="","",IFERROR(VLOOKUP(A9,DB_Customers!$A:$D,4,0),"❌ Account Not Found"))</f>
        <v>Kojo Amponsah</v>
      </c>
      <c r="C9" s="16">
        <f>IF(A9="","",IFERROR(VLOOKUP(A9,DB_Customers!$A:$N,14,0),""))</f>
        <v>2335.4899999999998</v>
      </c>
      <c r="D9" s="17">
        <f t="shared" ref="D9:D40" ca="1" si="0">IF(A9="","",TODAY())</f>
        <v>46126</v>
      </c>
      <c r="E9" s="18">
        <v>101.74</v>
      </c>
      <c r="F9" s="19">
        <f t="shared" ref="F9:F40" si="1">IF(OR(A9="",E9=""),"",IF(C9="","",C9+E9))</f>
        <v>2437.2299999999996</v>
      </c>
      <c r="G9" s="4" t="s">
        <v>20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146</v>
      </c>
      <c r="B10" s="6" t="str">
        <f>IF(A10="","",IFERROR(VLOOKUP(A10,DB_Customers!$A:$D,4,0),"❌ Account Not Found"))</f>
        <v>Akosua Frimpong</v>
      </c>
      <c r="C10" s="24">
        <f>IF(A10="","",IFERROR(VLOOKUP(A10,DB_Customers!$A:$N,14,0),""))</f>
        <v>3034.2000000000003</v>
      </c>
      <c r="D10" s="25">
        <f t="shared" ca="1" si="0"/>
        <v>46126</v>
      </c>
      <c r="E10" s="18">
        <v>187</v>
      </c>
      <c r="F10" s="26">
        <f t="shared" si="1"/>
        <v>3221.2000000000003</v>
      </c>
      <c r="G10" s="8" t="s">
        <v>20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20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20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20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72" priority="4">
      <formula>$H9="Saved"</formula>
    </cfRule>
  </conditionalFormatting>
  <conditionalFormatting sqref="H9:H208">
    <cfRule type="cellIs" dxfId="71" priority="2" operator="equal">
      <formula>"Saved"</formula>
    </cfRule>
    <cfRule type="cellIs" dxfId="7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0B00-000000000000}">
      <formula1>0</formula1>
      <formula2>0</formula2>
    </dataValidation>
    <dataValidation type="list" sqref="G9:G208" xr:uid="{00000000-0002-0000-0B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147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148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04",DB_Withdrawals!$F:$F,TODAY())</f>
        <v>0</v>
      </c>
      <c r="B4" s="105"/>
      <c r="C4" s="105"/>
      <c r="D4" s="106">
        <f ca="1">COUNTIFS(DB_Withdrawals!$J:$J,"Agent 04",DB_Withdrawals!$K:$K,"Successful",DB_Withdrawals!$F:$F,TODAY())</f>
        <v>0</v>
      </c>
      <c r="E4" s="106"/>
      <c r="F4" s="106"/>
      <c r="G4" s="107">
        <f ca="1">COUNTIFS(DB_Withdrawals!$J:$J,"Agent 04",DB_Withdrawals!$K:$K,"Unsuccessful",DB_Withdrawals!$F:$F,TODAY())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145</v>
      </c>
      <c r="B9" s="2" t="str">
        <f>IF(A9="","",IFERROR(VLOOKUP(A9,DB_Customers!$A:$D,4,0),"❌ Account Not Found"))</f>
        <v>Kojo Amponsah</v>
      </c>
      <c r="C9" s="16">
        <f>IF(A9="","",IFERROR(VLOOKUP(A9,DB_Customers!$A:$N,14,0),""))</f>
        <v>2335.4899999999998</v>
      </c>
      <c r="D9" s="17">
        <f t="shared" ref="D9:D40" ca="1" si="0">IF(A9="","",TODAY())</f>
        <v>46126</v>
      </c>
      <c r="E9" s="31">
        <v>163.93</v>
      </c>
      <c r="F9" s="2" t="s">
        <v>106</v>
      </c>
      <c r="G9" s="32">
        <f t="shared" ref="G9:G40" si="1">IF(OR(A9="",E9=""),"",IF(C9="","",C9-E9))</f>
        <v>2171.56</v>
      </c>
      <c r="H9" s="4" t="s">
        <v>20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146</v>
      </c>
      <c r="B10" s="6" t="str">
        <f>IF(A10="","",IFERROR(VLOOKUP(A10,DB_Customers!$A:$D,4,0),"❌ Account Not Found"))</f>
        <v>Akosua Frimpong</v>
      </c>
      <c r="C10" s="24">
        <f>IF(A10="","",IFERROR(VLOOKUP(A10,DB_Customers!$A:$N,14,0),""))</f>
        <v>3034.2000000000003</v>
      </c>
      <c r="D10" s="25">
        <f t="shared" ca="1" si="0"/>
        <v>46126</v>
      </c>
      <c r="E10" s="31">
        <v>128.88</v>
      </c>
      <c r="F10" s="6" t="s">
        <v>106</v>
      </c>
      <c r="G10" s="33">
        <f t="shared" si="1"/>
        <v>2905.32</v>
      </c>
      <c r="H10" s="8" t="s">
        <v>20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20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20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20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69" priority="4">
      <formula>$I9="Unsuccessful"</formula>
    </cfRule>
  </conditionalFormatting>
  <conditionalFormatting sqref="G9:G208">
    <cfRule type="cellIs" dxfId="68" priority="5" operator="lessThan">
      <formula>0</formula>
    </cfRule>
  </conditionalFormatting>
  <conditionalFormatting sqref="I9:I208">
    <cfRule type="cellIs" dxfId="67" priority="2" operator="equal">
      <formula>"Successful"</formula>
    </cfRule>
    <cfRule type="cellIs" dxfId="66" priority="3" operator="equal">
      <formula>"Unsuccessful"</formula>
    </cfRule>
  </conditionalFormatting>
  <dataValidations count="1">
    <dataValidation type="list" sqref="H9:H208" xr:uid="{00000000-0002-0000-0C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149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145</v>
      </c>
      <c r="C14" s="6" t="str">
        <f>IF(B14="","",IFERROR(VLOOKUP(B14,DB_Customers!$A:$D,4,0),"❌ Account Not Found"))</f>
        <v>Kojo Amponsah</v>
      </c>
      <c r="D14" s="25">
        <f t="shared" ref="D14:D45" ca="1" si="1">IF(B14="","",TODAY())</f>
        <v>46126</v>
      </c>
      <c r="E14" s="38">
        <v>7725.47</v>
      </c>
      <c r="F14" s="6" t="s">
        <v>150</v>
      </c>
      <c r="G14" s="39">
        <v>6</v>
      </c>
      <c r="H14" s="8">
        <v>2.5</v>
      </c>
      <c r="I14" s="40">
        <f t="shared" ref="I14:I45" si="2">IF(E14="","",E14+(E14*H14/100*G14))</f>
        <v>8884.290500000001</v>
      </c>
      <c r="J14" s="41">
        <f t="shared" ref="J14:J45" si="3">IFERROR(I14/G14,"")</f>
        <v>1480.7150833333335</v>
      </c>
      <c r="K14" s="42" t="str">
        <f t="shared" ref="K14:K45" si="4">IF(B14="","","Pending")</f>
        <v>Pending</v>
      </c>
      <c r="L14" s="8" t="s">
        <v>20</v>
      </c>
      <c r="M14" s="29"/>
    </row>
    <row r="15" spans="1:14" x14ac:dyDescent="0.25">
      <c r="A15" s="43" t="str">
        <f t="shared" ca="1" si="0"/>
        <v>LN202604140002</v>
      </c>
      <c r="B15" s="15" t="s">
        <v>146</v>
      </c>
      <c r="C15" s="2" t="str">
        <f>IF(B15="","",IFERROR(VLOOKUP(B15,DB_Customers!$A:$D,4,0),"❌ Account Not Found"))</f>
        <v>Akosua Frimpong</v>
      </c>
      <c r="D15" s="17">
        <f t="shared" ca="1" si="1"/>
        <v>46126</v>
      </c>
      <c r="E15" s="38">
        <v>2239.56</v>
      </c>
      <c r="F15" s="2" t="s">
        <v>126</v>
      </c>
      <c r="G15" s="44">
        <v>18</v>
      </c>
      <c r="H15" s="4">
        <v>2.5</v>
      </c>
      <c r="I15" s="40">
        <f t="shared" si="2"/>
        <v>3247.3620000000001</v>
      </c>
      <c r="J15" s="45">
        <f t="shared" si="3"/>
        <v>180.40899999999999</v>
      </c>
      <c r="K15" s="46" t="str">
        <f t="shared" si="4"/>
        <v>Pending</v>
      </c>
      <c r="L15" s="4" t="s">
        <v>20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20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20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20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65" priority="2" operator="equal">
      <formula>"Approved"</formula>
    </cfRule>
    <cfRule type="cellIs" dxfId="64" priority="3" operator="equal">
      <formula>"Pending"</formula>
    </cfRule>
    <cfRule type="cellIs" dxfId="63" priority="4" operator="equal">
      <formula>"Rejected"</formula>
    </cfRule>
  </conditionalFormatting>
  <dataValidations count="2">
    <dataValidation type="whole" showErrorMessage="1" error="Enter 1-36 months" sqref="G14:G113" xr:uid="{00000000-0002-0000-0D00-000000000000}">
      <formula1>1</formula1>
      <formula2>36</formula2>
    </dataValidation>
    <dataValidation type="list" sqref="L14:L113" xr:uid="{00000000-0002-0000-0D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151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152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05",DB_Savings!$E:$E,TODAY())</f>
        <v>0</v>
      </c>
      <c r="B4" s="96"/>
      <c r="C4" s="96"/>
      <c r="D4" s="97">
        <f ca="1">COUNTIFS(DB_Savings!$G:$G,"Agent 05",DB_Savings!$E:$E,TODAY())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05",DB_Savings!$E:$E,TODAY())&gt;=J4,"✅ DAILY TARGET ACHIEVED! Well done Agent 05!","⏳ Collection in progress — Keep going! Remaining: GHC "&amp;TEXT(J4-SUMIFS(DB_Savings!$F:$F,DB_Savings!$G:$G,"Agent 05",DB_Savings!$E:$E,TODAY()),"#,##0.00"))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153</v>
      </c>
      <c r="B9" s="2" t="str">
        <f>IF(A9="","",IFERROR(VLOOKUP(A9,DB_Customers!$A:$D,4,0),"❌ Account Not Found"))</f>
        <v>Kwabena Asante</v>
      </c>
      <c r="C9" s="16">
        <f>IF(A9="","",IFERROR(VLOOKUP(A9,DB_Customers!$A:$N,14,0),""))</f>
        <v>3886.75</v>
      </c>
      <c r="D9" s="17">
        <f t="shared" ref="D9:D40" ca="1" si="0">IF(A9="","",TODAY())</f>
        <v>46126</v>
      </c>
      <c r="E9" s="18">
        <v>147.81</v>
      </c>
      <c r="F9" s="19">
        <f t="shared" ref="F9:F40" si="1">IF(OR(A9="",E9=""),"",IF(C9="","",C9+E9))</f>
        <v>4034.56</v>
      </c>
      <c r="G9" s="4" t="s">
        <v>21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154</v>
      </c>
      <c r="B10" s="6" t="str">
        <f>IF(A10="","",IFERROR(VLOOKUP(A10,DB_Customers!$A:$D,4,0),"❌ Account Not Found"))</f>
        <v>Adjoa Tetteh</v>
      </c>
      <c r="C10" s="24">
        <f>IF(A10="","",IFERROR(VLOOKUP(A10,DB_Customers!$A:$N,14,0),""))</f>
        <v>2839.0699999999997</v>
      </c>
      <c r="D10" s="25">
        <f t="shared" ca="1" si="0"/>
        <v>46126</v>
      </c>
      <c r="E10" s="18">
        <v>177.46</v>
      </c>
      <c r="F10" s="26">
        <f t="shared" si="1"/>
        <v>3016.5299999999997</v>
      </c>
      <c r="G10" s="8" t="s">
        <v>21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21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21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21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62" priority="4">
      <formula>$H9="Saved"</formula>
    </cfRule>
  </conditionalFormatting>
  <conditionalFormatting sqref="H9:H208">
    <cfRule type="cellIs" dxfId="61" priority="2" operator="equal">
      <formula>"Saved"</formula>
    </cfRule>
    <cfRule type="cellIs" dxfId="6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0E00-000000000000}">
      <formula1>0</formula1>
      <formula2>0</formula2>
    </dataValidation>
    <dataValidation type="list" sqref="G9:G208" xr:uid="{00000000-0002-0000-0E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155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156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05",DB_Withdrawals!$F:$F,TODAY())</f>
        <v>0</v>
      </c>
      <c r="B4" s="105"/>
      <c r="C4" s="105"/>
      <c r="D4" s="106">
        <f ca="1">COUNTIFS(DB_Withdrawals!$J:$J,"Agent 05",DB_Withdrawals!$K:$K,"Successful",DB_Withdrawals!$F:$F,TODAY())</f>
        <v>0</v>
      </c>
      <c r="E4" s="106"/>
      <c r="F4" s="106"/>
      <c r="G4" s="107">
        <f ca="1">COUNTIFS(DB_Withdrawals!$J:$J,"Agent 05",DB_Withdrawals!$K:$K,"Unsuccessful",DB_Withdrawals!$F:$F,TODAY())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153</v>
      </c>
      <c r="B9" s="2" t="str">
        <f>IF(A9="","",IFERROR(VLOOKUP(A9,DB_Customers!$A:$D,4,0),"❌ Account Not Found"))</f>
        <v>Kwabena Asante</v>
      </c>
      <c r="C9" s="16">
        <f>IF(A9="","",IFERROR(VLOOKUP(A9,DB_Customers!$A:$N,14,0),""))</f>
        <v>3886.75</v>
      </c>
      <c r="D9" s="17">
        <f t="shared" ref="D9:D40" ca="1" si="0">IF(A9="","",TODAY())</f>
        <v>46126</v>
      </c>
      <c r="E9" s="31">
        <v>83.85</v>
      </c>
      <c r="F9" s="2" t="s">
        <v>106</v>
      </c>
      <c r="G9" s="32">
        <f t="shared" ref="G9:G40" si="1">IF(OR(A9="",E9=""),"",IF(C9="","",C9-E9))</f>
        <v>3802.9</v>
      </c>
      <c r="H9" s="4" t="s">
        <v>21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154</v>
      </c>
      <c r="B10" s="6" t="str">
        <f>IF(A10="","",IFERROR(VLOOKUP(A10,DB_Customers!$A:$D,4,0),"❌ Account Not Found"))</f>
        <v>Adjoa Tetteh</v>
      </c>
      <c r="C10" s="24">
        <f>IF(A10="","",IFERROR(VLOOKUP(A10,DB_Customers!$A:$N,14,0),""))</f>
        <v>2839.0699999999997</v>
      </c>
      <c r="D10" s="25">
        <f t="shared" ca="1" si="0"/>
        <v>46126</v>
      </c>
      <c r="E10" s="31">
        <v>97.57</v>
      </c>
      <c r="F10" s="6" t="s">
        <v>106</v>
      </c>
      <c r="G10" s="33">
        <f t="shared" si="1"/>
        <v>2741.4999999999995</v>
      </c>
      <c r="H10" s="8" t="s">
        <v>21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21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21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21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59" priority="4">
      <formula>$I9="Unsuccessful"</formula>
    </cfRule>
  </conditionalFormatting>
  <conditionalFormatting sqref="G9:G208">
    <cfRule type="cellIs" dxfId="58" priority="5" operator="lessThan">
      <formula>0</formula>
    </cfRule>
  </conditionalFormatting>
  <conditionalFormatting sqref="I9:I208">
    <cfRule type="cellIs" dxfId="57" priority="2" operator="equal">
      <formula>"Successful"</formula>
    </cfRule>
    <cfRule type="cellIs" dxfId="56" priority="3" operator="equal">
      <formula>"Unsuccessful"</formula>
    </cfRule>
  </conditionalFormatting>
  <dataValidations count="1">
    <dataValidation type="list" sqref="H9:H208" xr:uid="{00000000-0002-0000-0F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157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153</v>
      </c>
      <c r="C14" s="6" t="str">
        <f>IF(B14="","",IFERROR(VLOOKUP(B14,DB_Customers!$A:$D,4,0),"❌ Account Not Found"))</f>
        <v>Kwabena Asante</v>
      </c>
      <c r="D14" s="25">
        <f t="shared" ref="D14:D45" ca="1" si="1">IF(B14="","",TODAY())</f>
        <v>46126</v>
      </c>
      <c r="E14" s="38">
        <v>5066.2</v>
      </c>
      <c r="F14" s="6" t="s">
        <v>150</v>
      </c>
      <c r="G14" s="39">
        <v>12</v>
      </c>
      <c r="H14" s="8">
        <v>2.5</v>
      </c>
      <c r="I14" s="40">
        <f t="shared" ref="I14:I45" si="2">IF(E14="","",E14+(E14*H14/100*G14))</f>
        <v>6586.0599999999995</v>
      </c>
      <c r="J14" s="41">
        <f t="shared" ref="J14:J45" si="3">IFERROR(I14/G14,"")</f>
        <v>548.83833333333325</v>
      </c>
      <c r="K14" s="42" t="str">
        <f t="shared" ref="K14:K45" si="4">IF(B14="","","Pending")</f>
        <v>Pending</v>
      </c>
      <c r="L14" s="8" t="s">
        <v>21</v>
      </c>
      <c r="M14" s="29"/>
    </row>
    <row r="15" spans="1:14" x14ac:dyDescent="0.25">
      <c r="A15" s="43" t="str">
        <f t="shared" ca="1" si="0"/>
        <v>LN202604140002</v>
      </c>
      <c r="B15" s="15" t="s">
        <v>154</v>
      </c>
      <c r="C15" s="2" t="str">
        <f>IF(B15="","",IFERROR(VLOOKUP(B15,DB_Customers!$A:$D,4,0),"❌ Account Not Found"))</f>
        <v>Adjoa Tetteh</v>
      </c>
      <c r="D15" s="17">
        <f t="shared" ca="1" si="1"/>
        <v>46126</v>
      </c>
      <c r="E15" s="38">
        <v>7881.15</v>
      </c>
      <c r="F15" s="2" t="s">
        <v>142</v>
      </c>
      <c r="G15" s="44">
        <v>18</v>
      </c>
      <c r="H15" s="4">
        <v>2.5</v>
      </c>
      <c r="I15" s="40">
        <f t="shared" si="2"/>
        <v>11427.6675</v>
      </c>
      <c r="J15" s="45">
        <f t="shared" si="3"/>
        <v>634.87041666666664</v>
      </c>
      <c r="K15" s="46" t="str">
        <f t="shared" si="4"/>
        <v>Pending</v>
      </c>
      <c r="L15" s="4" t="s">
        <v>21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21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21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21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55" priority="2" operator="equal">
      <formula>"Approved"</formula>
    </cfRule>
    <cfRule type="cellIs" dxfId="54" priority="3" operator="equal">
      <formula>"Pending"</formula>
    </cfRule>
    <cfRule type="cellIs" dxfId="53" priority="4" operator="equal">
      <formula>"Rejected"</formula>
    </cfRule>
  </conditionalFormatting>
  <dataValidations count="2">
    <dataValidation type="whole" showErrorMessage="1" error="Enter 1-36 months" sqref="G14:G113" xr:uid="{00000000-0002-0000-1000-000000000000}">
      <formula1>1</formula1>
      <formula2>36</formula2>
    </dataValidation>
    <dataValidation type="list" sqref="L14:L113" xr:uid="{00000000-0002-0000-10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158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159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06",DB_Savings!$E:$E,TODAY())</f>
        <v>0</v>
      </c>
      <c r="B4" s="96"/>
      <c r="C4" s="96"/>
      <c r="D4" s="97">
        <f ca="1">COUNTIFS(DB_Savings!$G:$G,"Agent 06",DB_Savings!$E:$E,TODAY())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06",DB_Savings!$E:$E,TODAY())&gt;=J4,"✅ DAILY TARGET ACHIEVED! Well done Agent 06!","⏳ Collection in progress — Keep going! Remaining: GHC "&amp;TEXT(J4-SUMIFS(DB_Savings!$F:$F,DB_Savings!$G:$G,"Agent 06",DB_Savings!$E:$E,TODAY()),"#,##0.00"))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160</v>
      </c>
      <c r="B9" s="2" t="str">
        <f>IF(A9="","",IFERROR(VLOOKUP(A9,DB_Customers!$A:$D,4,0),"❌ Account Not Found"))</f>
        <v>Nana Osei</v>
      </c>
      <c r="C9" s="16">
        <f>IF(A9="","",IFERROR(VLOOKUP(A9,DB_Customers!$A:$N,14,0),""))</f>
        <v>1989.54</v>
      </c>
      <c r="D9" s="17">
        <f t="shared" ref="D9:D40" ca="1" si="0">IF(A9="","",TODAY())</f>
        <v>46126</v>
      </c>
      <c r="E9" s="18">
        <v>333.58</v>
      </c>
      <c r="F9" s="19">
        <f t="shared" ref="F9:F40" si="1">IF(OR(A9="",E9=""),"",IF(C9="","",C9+E9))</f>
        <v>2323.12</v>
      </c>
      <c r="G9" s="4" t="s">
        <v>22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161</v>
      </c>
      <c r="B10" s="6" t="str">
        <f>IF(A10="","",IFERROR(VLOOKUP(A10,DB_Customers!$A:$D,4,0),"❌ Account Not Found"))</f>
        <v>Adwoa Amoah</v>
      </c>
      <c r="C10" s="24">
        <f>IF(A10="","",IFERROR(VLOOKUP(A10,DB_Customers!$A:$N,14,0),""))</f>
        <v>2162.3000000000002</v>
      </c>
      <c r="D10" s="25">
        <f t="shared" ca="1" si="0"/>
        <v>46126</v>
      </c>
      <c r="E10" s="18">
        <v>252.73</v>
      </c>
      <c r="F10" s="26">
        <f t="shared" si="1"/>
        <v>2415.0300000000002</v>
      </c>
      <c r="G10" s="8" t="s">
        <v>22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22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22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22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52" priority="4">
      <formula>$H9="Saved"</formula>
    </cfRule>
  </conditionalFormatting>
  <conditionalFormatting sqref="H9:H208">
    <cfRule type="cellIs" dxfId="51" priority="2" operator="equal">
      <formula>"Saved"</formula>
    </cfRule>
    <cfRule type="cellIs" dxfId="5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100-000000000000}">
      <formula1>0</formula1>
      <formula2>0</formula2>
    </dataValidation>
    <dataValidation type="list" sqref="G9:G208" xr:uid="{00000000-0002-0000-11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163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06",DB_Withdrawals!$F:$F,TODAY())</f>
        <v>0</v>
      </c>
      <c r="B4" s="105"/>
      <c r="C4" s="105"/>
      <c r="D4" s="106">
        <f ca="1">COUNTIFS(DB_Withdrawals!$J:$J,"Agent 06",DB_Withdrawals!$K:$K,"Successful",DB_Withdrawals!$F:$F,TODAY())</f>
        <v>0</v>
      </c>
      <c r="E4" s="106"/>
      <c r="F4" s="106"/>
      <c r="G4" s="107">
        <f ca="1">COUNTIFS(DB_Withdrawals!$J:$J,"Agent 06",DB_Withdrawals!$K:$K,"Unsuccessful",DB_Withdrawals!$F:$F,TODAY())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160</v>
      </c>
      <c r="B9" s="2" t="str">
        <f>IF(A9="","",IFERROR(VLOOKUP(A9,DB_Customers!$A:$D,4,0),"❌ Account Not Found"))</f>
        <v>Nana Osei</v>
      </c>
      <c r="C9" s="16">
        <f>IF(A9="","",IFERROR(VLOOKUP(A9,DB_Customers!$A:$N,14,0),""))</f>
        <v>1989.54</v>
      </c>
      <c r="D9" s="17">
        <f t="shared" ref="D9:D40" ca="1" si="0">IF(A9="","",TODAY())</f>
        <v>46126</v>
      </c>
      <c r="E9" s="31">
        <v>76.77</v>
      </c>
      <c r="F9" s="2" t="s">
        <v>106</v>
      </c>
      <c r="G9" s="32">
        <f t="shared" ref="G9:G40" si="1">IF(OR(A9="",E9=""),"",IF(C9="","",C9-E9))</f>
        <v>1912.77</v>
      </c>
      <c r="H9" s="4" t="s">
        <v>22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161</v>
      </c>
      <c r="B10" s="6" t="str">
        <f>IF(A10="","",IFERROR(VLOOKUP(A10,DB_Customers!$A:$D,4,0),"❌ Account Not Found"))</f>
        <v>Adwoa Amoah</v>
      </c>
      <c r="C10" s="24">
        <f>IF(A10="","",IFERROR(VLOOKUP(A10,DB_Customers!$A:$N,14,0),""))</f>
        <v>2162.3000000000002</v>
      </c>
      <c r="D10" s="25">
        <f t="shared" ca="1" si="0"/>
        <v>46126</v>
      </c>
      <c r="E10" s="31">
        <v>62.66</v>
      </c>
      <c r="F10" s="6" t="s">
        <v>106</v>
      </c>
      <c r="G10" s="33">
        <f t="shared" si="1"/>
        <v>2099.6400000000003</v>
      </c>
      <c r="H10" s="8" t="s">
        <v>22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22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22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22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49" priority="4">
      <formula>$I9="Unsuccessful"</formula>
    </cfRule>
  </conditionalFormatting>
  <conditionalFormatting sqref="G9:G208">
    <cfRule type="cellIs" dxfId="48" priority="5" operator="lessThan">
      <formula>0</formula>
    </cfRule>
  </conditionalFormatting>
  <conditionalFormatting sqref="I9:I208">
    <cfRule type="cellIs" dxfId="47" priority="2" operator="equal">
      <formula>"Successful"</formula>
    </cfRule>
    <cfRule type="cellIs" dxfId="46" priority="3" operator="equal">
      <formula>"Unsuccessful"</formula>
    </cfRule>
  </conditionalFormatting>
  <dataValidations count="1">
    <dataValidation type="list" sqref="H9:H208" xr:uid="{00000000-0002-0000-12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164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160</v>
      </c>
      <c r="C14" s="6" t="str">
        <f>IF(B14="","",IFERROR(VLOOKUP(B14,DB_Customers!$A:$D,4,0),"❌ Account Not Found"))</f>
        <v>Nana Osei</v>
      </c>
      <c r="D14" s="25">
        <f t="shared" ref="D14:D45" ca="1" si="1">IF(B14="","",TODAY())</f>
        <v>46126</v>
      </c>
      <c r="E14" s="38">
        <v>3396.1</v>
      </c>
      <c r="F14" s="6" t="s">
        <v>142</v>
      </c>
      <c r="G14" s="39">
        <v>18</v>
      </c>
      <c r="H14" s="8">
        <v>2.5</v>
      </c>
      <c r="I14" s="40">
        <f t="shared" ref="I14:I45" si="2">IF(E14="","",E14+(E14*H14/100*G14))</f>
        <v>4924.3450000000003</v>
      </c>
      <c r="J14" s="41">
        <f t="shared" ref="J14:J45" si="3">IFERROR(I14/G14,"")</f>
        <v>273.57472222222225</v>
      </c>
      <c r="K14" s="42" t="str">
        <f t="shared" ref="K14:K45" si="4">IF(B14="","","Pending")</f>
        <v>Pending</v>
      </c>
      <c r="L14" s="8" t="s">
        <v>22</v>
      </c>
      <c r="M14" s="29"/>
    </row>
    <row r="15" spans="1:14" x14ac:dyDescent="0.25">
      <c r="A15" s="43" t="str">
        <f t="shared" ca="1" si="0"/>
        <v>LN202604140002</v>
      </c>
      <c r="B15" s="15" t="s">
        <v>161</v>
      </c>
      <c r="C15" s="2" t="str">
        <f>IF(B15="","",IFERROR(VLOOKUP(B15,DB_Customers!$A:$D,4,0),"❌ Account Not Found"))</f>
        <v>Adwoa Amoah</v>
      </c>
      <c r="D15" s="17">
        <f t="shared" ca="1" si="1"/>
        <v>46126</v>
      </c>
      <c r="E15" s="38">
        <v>7971.5</v>
      </c>
      <c r="F15" s="2" t="s">
        <v>142</v>
      </c>
      <c r="G15" s="44">
        <v>6</v>
      </c>
      <c r="H15" s="4">
        <v>2.5</v>
      </c>
      <c r="I15" s="40">
        <f t="shared" si="2"/>
        <v>9167.2250000000004</v>
      </c>
      <c r="J15" s="45">
        <f t="shared" si="3"/>
        <v>1527.8708333333334</v>
      </c>
      <c r="K15" s="46" t="str">
        <f t="shared" si="4"/>
        <v>Pending</v>
      </c>
      <c r="L15" s="4" t="s">
        <v>22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22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22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22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45" priority="2" operator="equal">
      <formula>"Approved"</formula>
    </cfRule>
    <cfRule type="cellIs" dxfId="44" priority="3" operator="equal">
      <formula>"Pending"</formula>
    </cfRule>
    <cfRule type="cellIs" dxfId="43" priority="4" operator="equal">
      <formula>"Rejected"</formula>
    </cfRule>
  </conditionalFormatting>
  <dataValidations count="2">
    <dataValidation type="whole" showErrorMessage="1" error="Enter 1-36 months" sqref="G14:G113" xr:uid="{00000000-0002-0000-1300-000000000000}">
      <formula1>1</formula1>
      <formula2>36</formula2>
    </dataValidation>
    <dataValidation type="list" sqref="L14:L113" xr:uid="{00000000-0002-0000-13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165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166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07",DB_Savings!$E:$E,TODAY())</f>
        <v>0</v>
      </c>
      <c r="B4" s="96"/>
      <c r="C4" s="96"/>
      <c r="D4" s="97">
        <f ca="1">COUNTIFS(DB_Savings!$G:$G,"Agent 07",DB_Savings!$E:$E,TODAY())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07",DB_Savings!$E:$E,TODAY())&gt;=J4,"✅ DAILY TARGET ACHIEVED! Well done Agent 07!","⏳ Collection in progress — Keep going! Remaining: GHC "&amp;TEXT(J4-SUMIFS(DB_Savings!$F:$F,DB_Savings!$G:$G,"Agent 07",DB_Savings!$E:$E,TODAY()),"#,##0.00"))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167</v>
      </c>
      <c r="B9" s="2" t="str">
        <f>IF(A9="","",IFERROR(VLOOKUP(A9,DB_Customers!$A:$D,4,0),"❌ Account Not Found"))</f>
        <v>Kweku Nyarko</v>
      </c>
      <c r="C9" s="16">
        <f>IF(A9="","",IFERROR(VLOOKUP(A9,DB_Customers!$A:$N,14,0),""))</f>
        <v>2360.14</v>
      </c>
      <c r="D9" s="17">
        <f t="shared" ref="D9:D40" ca="1" si="0">IF(A9="","",TODAY())</f>
        <v>46126</v>
      </c>
      <c r="E9" s="18">
        <v>389.5</v>
      </c>
      <c r="F9" s="19">
        <f t="shared" ref="F9:F40" si="1">IF(OR(A9="",E9=""),"",IF(C9="","",C9+E9))</f>
        <v>2749.64</v>
      </c>
      <c r="G9" s="4" t="s">
        <v>23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168</v>
      </c>
      <c r="B10" s="6" t="str">
        <f>IF(A10="","",IFERROR(VLOOKUP(A10,DB_Customers!$A:$D,4,0),"❌ Account Not Found"))</f>
        <v>Abiba Seidu</v>
      </c>
      <c r="C10" s="24">
        <f>IF(A10="","",IFERROR(VLOOKUP(A10,DB_Customers!$A:$N,14,0),""))</f>
        <v>2678.41</v>
      </c>
      <c r="D10" s="25">
        <f t="shared" ca="1" si="0"/>
        <v>46126</v>
      </c>
      <c r="E10" s="18">
        <v>119.06</v>
      </c>
      <c r="F10" s="26">
        <f t="shared" si="1"/>
        <v>2797.47</v>
      </c>
      <c r="G10" s="8" t="s">
        <v>23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23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23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23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42" priority="4">
      <formula>$H9="Saved"</formula>
    </cfRule>
  </conditionalFormatting>
  <conditionalFormatting sqref="H9:H208">
    <cfRule type="cellIs" dxfId="41" priority="2" operator="equal">
      <formula>"Saved"</formula>
    </cfRule>
    <cfRule type="cellIs" dxfId="4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400-000000000000}">
      <formula1>0</formula1>
      <formula2>0</formula2>
    </dataValidation>
    <dataValidation type="list" sqref="G9:G208" xr:uid="{00000000-0002-0000-14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169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170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07",DB_Withdrawals!$F:$F,TODAY())</f>
        <v>0</v>
      </c>
      <c r="B4" s="105"/>
      <c r="C4" s="105"/>
      <c r="D4" s="106">
        <f ca="1">COUNTIFS(DB_Withdrawals!$J:$J,"Agent 07",DB_Withdrawals!$K:$K,"Successful",DB_Withdrawals!$F:$F,TODAY())</f>
        <v>0</v>
      </c>
      <c r="E4" s="106"/>
      <c r="F4" s="106"/>
      <c r="G4" s="107">
        <f ca="1">COUNTIFS(DB_Withdrawals!$J:$J,"Agent 07",DB_Withdrawals!$K:$K,"Unsuccessful",DB_Withdrawals!$F:$F,TODAY())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167</v>
      </c>
      <c r="B9" s="2" t="str">
        <f>IF(A9="","",IFERROR(VLOOKUP(A9,DB_Customers!$A:$D,4,0),"❌ Account Not Found"))</f>
        <v>Kweku Nyarko</v>
      </c>
      <c r="C9" s="16">
        <f>IF(A9="","",IFERROR(VLOOKUP(A9,DB_Customers!$A:$N,14,0),""))</f>
        <v>2360.14</v>
      </c>
      <c r="D9" s="17">
        <f t="shared" ref="D9:D40" ca="1" si="0">IF(A9="","",TODAY())</f>
        <v>46126</v>
      </c>
      <c r="E9" s="31">
        <v>87.54</v>
      </c>
      <c r="F9" s="2" t="s">
        <v>106</v>
      </c>
      <c r="G9" s="32">
        <f t="shared" ref="G9:G40" si="1">IF(OR(A9="",E9=""),"",IF(C9="","",C9-E9))</f>
        <v>2272.6</v>
      </c>
      <c r="H9" s="4" t="s">
        <v>23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168</v>
      </c>
      <c r="B10" s="6" t="str">
        <f>IF(A10="","",IFERROR(VLOOKUP(A10,DB_Customers!$A:$D,4,0),"❌ Account Not Found"))</f>
        <v>Abiba Seidu</v>
      </c>
      <c r="C10" s="24">
        <f>IF(A10="","",IFERROR(VLOOKUP(A10,DB_Customers!$A:$N,14,0),""))</f>
        <v>2678.41</v>
      </c>
      <c r="D10" s="25">
        <f t="shared" ca="1" si="0"/>
        <v>46126</v>
      </c>
      <c r="E10" s="31">
        <v>51.09</v>
      </c>
      <c r="F10" s="6" t="s">
        <v>106</v>
      </c>
      <c r="G10" s="33">
        <f t="shared" si="1"/>
        <v>2627.3199999999997</v>
      </c>
      <c r="H10" s="8" t="s">
        <v>23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23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23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23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39" priority="4">
      <formula>$I9="Unsuccessful"</formula>
    </cfRule>
  </conditionalFormatting>
  <conditionalFormatting sqref="G9:G208">
    <cfRule type="cellIs" dxfId="38" priority="5" operator="lessThan">
      <formula>0</formula>
    </cfRule>
  </conditionalFormatting>
  <conditionalFormatting sqref="I9:I208">
    <cfRule type="cellIs" dxfId="37" priority="2" operator="equal">
      <formula>"Successful"</formula>
    </cfRule>
    <cfRule type="cellIs" dxfId="36" priority="3" operator="equal">
      <formula>"Unsuccessful"</formula>
    </cfRule>
  </conditionalFormatting>
  <dataValidations count="1">
    <dataValidation type="list" sqref="H9:H208" xr:uid="{00000000-0002-0000-15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167</v>
      </c>
      <c r="C14" s="6" t="str">
        <f>IF(B14="","",IFERROR(VLOOKUP(B14,DB_Customers!$A:$D,4,0),"❌ Account Not Found"))</f>
        <v>Kweku Nyarko</v>
      </c>
      <c r="D14" s="25">
        <f t="shared" ref="D14:D45" ca="1" si="1">IF(B14="","",TODAY())</f>
        <v>46126</v>
      </c>
      <c r="E14" s="38">
        <v>7722.28</v>
      </c>
      <c r="F14" s="6" t="s">
        <v>134</v>
      </c>
      <c r="G14" s="39">
        <v>9</v>
      </c>
      <c r="H14" s="8">
        <v>2.5</v>
      </c>
      <c r="I14" s="40">
        <f t="shared" ref="I14:I45" si="2">IF(E14="","",E14+(E14*H14/100*G14))</f>
        <v>9459.7929999999997</v>
      </c>
      <c r="J14" s="41">
        <f t="shared" ref="J14:J45" si="3">IFERROR(I14/G14,"")</f>
        <v>1051.0881111111112</v>
      </c>
      <c r="K14" s="42" t="str">
        <f t="shared" ref="K14:K45" si="4">IF(B14="","","Pending")</f>
        <v>Pending</v>
      </c>
      <c r="L14" s="8" t="s">
        <v>23</v>
      </c>
      <c r="M14" s="29"/>
    </row>
    <row r="15" spans="1:14" x14ac:dyDescent="0.25">
      <c r="A15" s="43" t="str">
        <f t="shared" ca="1" si="0"/>
        <v>LN202604140002</v>
      </c>
      <c r="B15" s="15" t="s">
        <v>168</v>
      </c>
      <c r="C15" s="2" t="str">
        <f>IF(B15="","",IFERROR(VLOOKUP(B15,DB_Customers!$A:$D,4,0),"❌ Account Not Found"))</f>
        <v>Abiba Seidu</v>
      </c>
      <c r="D15" s="17">
        <f t="shared" ca="1" si="1"/>
        <v>46126</v>
      </c>
      <c r="E15" s="38">
        <v>2761.27</v>
      </c>
      <c r="F15" s="2" t="s">
        <v>134</v>
      </c>
      <c r="G15" s="44">
        <v>6</v>
      </c>
      <c r="H15" s="4">
        <v>2.5</v>
      </c>
      <c r="I15" s="40">
        <f t="shared" si="2"/>
        <v>3175.4605000000001</v>
      </c>
      <c r="J15" s="45">
        <f t="shared" si="3"/>
        <v>529.24341666666669</v>
      </c>
      <c r="K15" s="46" t="str">
        <f t="shared" si="4"/>
        <v>Pending</v>
      </c>
      <c r="L15" s="4" t="s">
        <v>23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23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23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23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35" priority="2" operator="equal">
      <formula>"Approved"</formula>
    </cfRule>
    <cfRule type="cellIs" dxfId="34" priority="3" operator="equal">
      <formula>"Pending"</formula>
    </cfRule>
    <cfRule type="cellIs" dxfId="33" priority="4" operator="equal">
      <formula>"Rejected"</formula>
    </cfRule>
  </conditionalFormatting>
  <dataValidations count="2">
    <dataValidation type="whole" showErrorMessage="1" error="Enter 1-36 months" sqref="G14:G113" xr:uid="{00000000-0002-0000-1600-000000000000}">
      <formula1>1</formula1>
      <formula2>36</formula2>
    </dataValidation>
    <dataValidation type="list" sqref="L14:L113" xr:uid="{00000000-0002-0000-16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172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173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08",DB_Savings!$E:$E,TODAY())</f>
        <v>0</v>
      </c>
      <c r="B4" s="96"/>
      <c r="C4" s="96"/>
      <c r="D4" s="97">
        <f ca="1">COUNTIFS(DB_Savings!$G:$G,"Agent 08",DB_Savings!$E:$E,TODAY())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08",DB_Savings!$E:$E,TODAY())&gt;=J4,"✅ DAILY TARGET ACHIEVED! Well done Agent 08!","⏳ Collection in progress — Keep going! Remaining: GHC "&amp;TEXT(J4-SUMIFS(DB_Savings!$F:$F,DB_Savings!$G:$G,"Agent 08",DB_Savings!$E:$E,TODAY()),"#,##0.00"))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174</v>
      </c>
      <c r="B9" s="2" t="str">
        <f>IF(A9="","",IFERROR(VLOOKUP(A9,DB_Customers!$A:$D,4,0),"❌ Account Not Found"))</f>
        <v>Fiifi Ghartey</v>
      </c>
      <c r="C9" s="16">
        <f>IF(A9="","",IFERROR(VLOOKUP(A9,DB_Customers!$A:$N,14,0),""))</f>
        <v>4349.6899999999996</v>
      </c>
      <c r="D9" s="17">
        <f t="shared" ref="D9:D40" ca="1" si="0">IF(A9="","",TODAY())</f>
        <v>46126</v>
      </c>
      <c r="E9" s="18">
        <v>169.34</v>
      </c>
      <c r="F9" s="19">
        <f t="shared" ref="F9:F40" si="1">IF(OR(A9="",E9=""),"",IF(C9="","",C9+E9))</f>
        <v>4519.03</v>
      </c>
      <c r="G9" s="4" t="s">
        <v>24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76</v>
      </c>
      <c r="B10" s="6" t="str">
        <f>IF(A10="","",IFERROR(VLOOKUP(A10,DB_Customers!$A:$D,4,0),"❌ Account Not Found"))</f>
        <v>Akua Bonsu</v>
      </c>
      <c r="C10" s="24">
        <f>IF(A10="","",IFERROR(VLOOKUP(A10,DB_Customers!$A:$N,14,0),""))</f>
        <v>1908.6599999999999</v>
      </c>
      <c r="D10" s="25">
        <f t="shared" ca="1" si="0"/>
        <v>46126</v>
      </c>
      <c r="E10" s="18">
        <v>144.08000000000001</v>
      </c>
      <c r="F10" s="26">
        <f t="shared" si="1"/>
        <v>2052.7399999999998</v>
      </c>
      <c r="G10" s="8" t="s">
        <v>24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24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24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24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32" priority="4">
      <formula>$H9="Saved"</formula>
    </cfRule>
  </conditionalFormatting>
  <conditionalFormatting sqref="H9:H208">
    <cfRule type="cellIs" dxfId="31" priority="2" operator="equal">
      <formula>"Saved"</formula>
    </cfRule>
    <cfRule type="cellIs" dxfId="3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700-000000000000}">
      <formula1>0</formula1>
      <formula2>0</formula2>
    </dataValidation>
    <dataValidation type="list" sqref="G9:G208" xr:uid="{00000000-0002-0000-17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175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176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08",DB_Withdrawals!$F:$F,TODAY())</f>
        <v>0</v>
      </c>
      <c r="B4" s="105"/>
      <c r="C4" s="105"/>
      <c r="D4" s="106">
        <f ca="1">COUNTIFS(DB_Withdrawals!$J:$J,"Agent 08",DB_Withdrawals!$K:$K,"Successful",DB_Withdrawals!$F:$F,TODAY())</f>
        <v>0</v>
      </c>
      <c r="E4" s="106"/>
      <c r="F4" s="106"/>
      <c r="G4" s="107">
        <f ca="1">COUNTIFS(DB_Withdrawals!$J:$J,"Agent 08",DB_Withdrawals!$K:$K,"Unsuccessful",DB_Withdrawals!$F:$F,TODAY())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174</v>
      </c>
      <c r="B9" s="2" t="str">
        <f>IF(A9="","",IFERROR(VLOOKUP(A9,DB_Customers!$A:$D,4,0),"❌ Account Not Found"))</f>
        <v>Fiifi Ghartey</v>
      </c>
      <c r="C9" s="16">
        <f>IF(A9="","",IFERROR(VLOOKUP(A9,DB_Customers!$A:$N,14,0),""))</f>
        <v>4349.6899999999996</v>
      </c>
      <c r="D9" s="17">
        <f t="shared" ref="D9:D40" ca="1" si="0">IF(A9="","",TODAY())</f>
        <v>46126</v>
      </c>
      <c r="E9" s="31">
        <v>85.09</v>
      </c>
      <c r="F9" s="2" t="s">
        <v>106</v>
      </c>
      <c r="G9" s="32">
        <f t="shared" ref="G9:G40" si="1">IF(OR(A9="",E9=""),"",IF(C9="","",C9-E9))</f>
        <v>4264.5999999999995</v>
      </c>
      <c r="H9" s="4" t="s">
        <v>24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76</v>
      </c>
      <c r="B10" s="6" t="str">
        <f>IF(A10="","",IFERROR(VLOOKUP(A10,DB_Customers!$A:$D,4,0),"❌ Account Not Found"))</f>
        <v>Akua Bonsu</v>
      </c>
      <c r="C10" s="24">
        <f>IF(A10="","",IFERROR(VLOOKUP(A10,DB_Customers!$A:$N,14,0),""))</f>
        <v>1908.6599999999999</v>
      </c>
      <c r="D10" s="25">
        <f t="shared" ca="1" si="0"/>
        <v>46126</v>
      </c>
      <c r="E10" s="31">
        <v>160.80000000000001</v>
      </c>
      <c r="F10" s="6" t="s">
        <v>106</v>
      </c>
      <c r="G10" s="33">
        <f t="shared" si="1"/>
        <v>1747.86</v>
      </c>
      <c r="H10" s="8" t="s">
        <v>24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24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24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24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29" priority="4">
      <formula>$I9="Unsuccessful"</formula>
    </cfRule>
  </conditionalFormatting>
  <conditionalFormatting sqref="G9:G208">
    <cfRule type="cellIs" dxfId="28" priority="5" operator="lessThan">
      <formula>0</formula>
    </cfRule>
  </conditionalFormatting>
  <conditionalFormatting sqref="I9:I208">
    <cfRule type="cellIs" dxfId="27" priority="2" operator="equal">
      <formula>"Successful"</formula>
    </cfRule>
    <cfRule type="cellIs" dxfId="26" priority="3" operator="equal">
      <formula>"Unsuccessful"</formula>
    </cfRule>
  </conditionalFormatting>
  <dataValidations count="1">
    <dataValidation type="list" sqref="H9:H208" xr:uid="{00000000-0002-0000-18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177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174</v>
      </c>
      <c r="C14" s="6" t="str">
        <f>IF(B14="","",IFERROR(VLOOKUP(B14,DB_Customers!$A:$D,4,0),"❌ Account Not Found"))</f>
        <v>Fiifi Ghartey</v>
      </c>
      <c r="D14" s="25">
        <f t="shared" ref="D14:D45" ca="1" si="1">IF(B14="","",TODAY())</f>
        <v>46126</v>
      </c>
      <c r="E14" s="38">
        <v>6857.41</v>
      </c>
      <c r="F14" s="6" t="s">
        <v>142</v>
      </c>
      <c r="G14" s="39">
        <v>9</v>
      </c>
      <c r="H14" s="8">
        <v>2.5</v>
      </c>
      <c r="I14" s="40">
        <f t="shared" ref="I14:I45" si="2">IF(E14="","",E14+(E14*H14/100*G14))</f>
        <v>8400.3272500000003</v>
      </c>
      <c r="J14" s="41">
        <f t="shared" ref="J14:J45" si="3">IFERROR(I14/G14,"")</f>
        <v>933.36969444444446</v>
      </c>
      <c r="K14" s="42" t="str">
        <f t="shared" ref="K14:K45" si="4">IF(B14="","","Pending")</f>
        <v>Pending</v>
      </c>
      <c r="L14" s="8" t="s">
        <v>24</v>
      </c>
      <c r="M14" s="29"/>
    </row>
    <row r="15" spans="1:14" x14ac:dyDescent="0.25">
      <c r="A15" s="43" t="str">
        <f t="shared" ca="1" si="0"/>
        <v>LN202604140002</v>
      </c>
      <c r="B15" s="15" t="s">
        <v>76</v>
      </c>
      <c r="C15" s="2" t="str">
        <f>IF(B15="","",IFERROR(VLOOKUP(B15,DB_Customers!$A:$D,4,0),"❌ Account Not Found"))</f>
        <v>Akua Bonsu</v>
      </c>
      <c r="D15" s="17">
        <f t="shared" ca="1" si="1"/>
        <v>46126</v>
      </c>
      <c r="E15" s="38">
        <v>5894.93</v>
      </c>
      <c r="F15" s="2" t="s">
        <v>126</v>
      </c>
      <c r="G15" s="44">
        <v>12</v>
      </c>
      <c r="H15" s="4">
        <v>2.5</v>
      </c>
      <c r="I15" s="40">
        <f t="shared" si="2"/>
        <v>7663.4090000000006</v>
      </c>
      <c r="J15" s="45">
        <f t="shared" si="3"/>
        <v>638.61741666666671</v>
      </c>
      <c r="K15" s="46" t="str">
        <f t="shared" si="4"/>
        <v>Pending</v>
      </c>
      <c r="L15" s="4" t="s">
        <v>24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24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24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24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25" priority="2" operator="equal">
      <formula>"Approved"</formula>
    </cfRule>
    <cfRule type="cellIs" dxfId="24" priority="3" operator="equal">
      <formula>"Pending"</formula>
    </cfRule>
    <cfRule type="cellIs" dxfId="23" priority="4" operator="equal">
      <formula>"Rejected"</formula>
    </cfRule>
  </conditionalFormatting>
  <dataValidations count="2">
    <dataValidation type="whole" showErrorMessage="1" error="Enter 1-36 months" sqref="G14:G113" xr:uid="{00000000-0002-0000-1900-000000000000}">
      <formula1>1</formula1>
      <formula2>36</formula2>
    </dataValidation>
    <dataValidation type="list" sqref="L14:L113" xr:uid="{00000000-0002-0000-19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178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179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09",DB_Savings!$E:$E,TODAY())</f>
        <v>0</v>
      </c>
      <c r="B4" s="96"/>
      <c r="C4" s="96"/>
      <c r="D4" s="97">
        <f ca="1">COUNTIFS(DB_Savings!$G:$G,"Agent 09",DB_Savings!$E:$E,TODAY())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09",DB_Savings!$E:$E,TODAY())&gt;=J4,"✅ DAILY TARGET ACHIEVED! Well done Agent 09!","⏳ Collection in progress — Keep going! Remaining: GHC "&amp;TEXT(J4-SUMIFS(DB_Savings!$F:$F,DB_Savings!$G:$G,"Agent 09",DB_Savings!$E:$E,TODAY()),"#,##0.00"))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73</v>
      </c>
      <c r="B9" s="2" t="str">
        <f>IF(A9="","",IFERROR(VLOOKUP(A9,DB_Customers!$A:$D,4,0),"❌ Account Not Found"))</f>
        <v>Kwasi Adusei</v>
      </c>
      <c r="C9" s="16">
        <f>IF(A9="","",IFERROR(VLOOKUP(A9,DB_Customers!$A:$N,14,0),""))</f>
        <v>1866.4600000000003</v>
      </c>
      <c r="D9" s="17">
        <f t="shared" ref="D9:D40" ca="1" si="0">IF(A9="","",TODAY())</f>
        <v>46126</v>
      </c>
      <c r="E9" s="18">
        <v>141.26</v>
      </c>
      <c r="F9" s="19">
        <f t="shared" ref="F9:F40" si="1">IF(OR(A9="",E9=""),"",IF(C9="","",C9+E9))</f>
        <v>2007.7200000000003</v>
      </c>
      <c r="G9" s="4" t="s">
        <v>25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70</v>
      </c>
      <c r="B10" s="6" t="str">
        <f>IF(A10="","",IFERROR(VLOOKUP(A10,DB_Customers!$A:$D,4,0),"❌ Account Not Found"))</f>
        <v>Esi Quaye</v>
      </c>
      <c r="C10" s="24">
        <f>IF(A10="","",IFERROR(VLOOKUP(A10,DB_Customers!$A:$N,14,0),""))</f>
        <v>5069.96</v>
      </c>
      <c r="D10" s="25">
        <f t="shared" ca="1" si="0"/>
        <v>46126</v>
      </c>
      <c r="E10" s="18">
        <v>253.62</v>
      </c>
      <c r="F10" s="26">
        <f t="shared" si="1"/>
        <v>5323.58</v>
      </c>
      <c r="G10" s="8" t="s">
        <v>25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25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25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25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22" priority="4">
      <formula>$H9="Saved"</formula>
    </cfRule>
  </conditionalFormatting>
  <conditionalFormatting sqref="H9:H208">
    <cfRule type="cellIs" dxfId="21" priority="2" operator="equal">
      <formula>"Saved"</formula>
    </cfRule>
    <cfRule type="cellIs" dxfId="2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A00-000000000000}">
      <formula1>0</formula1>
      <formula2>0</formula2>
    </dataValidation>
    <dataValidation type="list" sqref="G9:G208" xr:uid="{00000000-0002-0000-1A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180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181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09",DB_Withdrawals!$F:$F,TODAY())</f>
        <v>0</v>
      </c>
      <c r="B4" s="105"/>
      <c r="C4" s="105"/>
      <c r="D4" s="106">
        <f ca="1">COUNTIFS(DB_Withdrawals!$J:$J,"Agent 09",DB_Withdrawals!$K:$K,"Successful",DB_Withdrawals!$F:$F,TODAY())</f>
        <v>0</v>
      </c>
      <c r="E4" s="106"/>
      <c r="F4" s="106"/>
      <c r="G4" s="107">
        <f ca="1">COUNTIFS(DB_Withdrawals!$J:$J,"Agent 09",DB_Withdrawals!$K:$K,"Unsuccessful",DB_Withdrawals!$F:$F,TODAY())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73</v>
      </c>
      <c r="B9" s="2" t="str">
        <f>IF(A9="","",IFERROR(VLOOKUP(A9,DB_Customers!$A:$D,4,0),"❌ Account Not Found"))</f>
        <v>Kwasi Adusei</v>
      </c>
      <c r="C9" s="16">
        <f>IF(A9="","",IFERROR(VLOOKUP(A9,DB_Customers!$A:$N,14,0),""))</f>
        <v>1866.4600000000003</v>
      </c>
      <c r="D9" s="17">
        <f t="shared" ref="D9:D40" ca="1" si="0">IF(A9="","",TODAY())</f>
        <v>46126</v>
      </c>
      <c r="E9" s="31">
        <v>104.83</v>
      </c>
      <c r="F9" s="2" t="s">
        <v>106</v>
      </c>
      <c r="G9" s="32">
        <f t="shared" ref="G9:G40" si="1">IF(OR(A9="",E9=""),"",IF(C9="","",C9-E9))</f>
        <v>1761.6300000000003</v>
      </c>
      <c r="H9" s="4" t="s">
        <v>25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70</v>
      </c>
      <c r="B10" s="6" t="str">
        <f>IF(A10="","",IFERROR(VLOOKUP(A10,DB_Customers!$A:$D,4,0),"❌ Account Not Found"))</f>
        <v>Esi Quaye</v>
      </c>
      <c r="C10" s="24">
        <f>IF(A10="","",IFERROR(VLOOKUP(A10,DB_Customers!$A:$N,14,0),""))</f>
        <v>5069.96</v>
      </c>
      <c r="D10" s="25">
        <f t="shared" ca="1" si="0"/>
        <v>46126</v>
      </c>
      <c r="E10" s="31">
        <v>92.85</v>
      </c>
      <c r="F10" s="6" t="s">
        <v>106</v>
      </c>
      <c r="G10" s="33">
        <f t="shared" si="1"/>
        <v>4977.1099999999997</v>
      </c>
      <c r="H10" s="8" t="s">
        <v>25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25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25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25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19" priority="4">
      <formula>$I9="Unsuccessful"</formula>
    </cfRule>
  </conditionalFormatting>
  <conditionalFormatting sqref="G9:G208">
    <cfRule type="cellIs" dxfId="18" priority="5" operator="lessThan">
      <formula>0</formula>
    </cfRule>
  </conditionalFormatting>
  <conditionalFormatting sqref="I9:I208">
    <cfRule type="cellIs" dxfId="17" priority="2" operator="equal">
      <formula>"Successful"</formula>
    </cfRule>
    <cfRule type="cellIs" dxfId="16" priority="3" operator="equal">
      <formula>"Unsuccessful"</formula>
    </cfRule>
  </conditionalFormatting>
  <dataValidations count="1">
    <dataValidation type="list" sqref="H9:H208" xr:uid="{00000000-0002-0000-1B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182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73</v>
      </c>
      <c r="C14" s="6" t="str">
        <f>IF(B14="","",IFERROR(VLOOKUP(B14,DB_Customers!$A:$D,4,0),"❌ Account Not Found"))</f>
        <v>Kwasi Adusei</v>
      </c>
      <c r="D14" s="25">
        <f t="shared" ref="D14:D45" ca="1" si="1">IF(B14="","",TODAY())</f>
        <v>46126</v>
      </c>
      <c r="E14" s="38">
        <v>3873.1</v>
      </c>
      <c r="F14" s="6" t="s">
        <v>126</v>
      </c>
      <c r="G14" s="39">
        <v>18</v>
      </c>
      <c r="H14" s="8">
        <v>2.5</v>
      </c>
      <c r="I14" s="40">
        <f t="shared" ref="I14:I45" si="2">IF(E14="","",E14+(E14*H14/100*G14))</f>
        <v>5615.9949999999999</v>
      </c>
      <c r="J14" s="41">
        <f t="shared" ref="J14:J45" si="3">IFERROR(I14/G14,"")</f>
        <v>311.9997222222222</v>
      </c>
      <c r="K14" s="42" t="str">
        <f t="shared" ref="K14:K45" si="4">IF(B14="","","Pending")</f>
        <v>Pending</v>
      </c>
      <c r="L14" s="8" t="s">
        <v>25</v>
      </c>
      <c r="M14" s="29"/>
    </row>
    <row r="15" spans="1:14" x14ac:dyDescent="0.25">
      <c r="A15" s="43" t="str">
        <f t="shared" ca="1" si="0"/>
        <v>LN202604140002</v>
      </c>
      <c r="B15" s="15" t="s">
        <v>70</v>
      </c>
      <c r="C15" s="2" t="str">
        <f>IF(B15="","",IFERROR(VLOOKUP(B15,DB_Customers!$A:$D,4,0),"❌ Account Not Found"))</f>
        <v>Esi Quaye</v>
      </c>
      <c r="D15" s="17">
        <f t="shared" ca="1" si="1"/>
        <v>46126</v>
      </c>
      <c r="E15" s="38">
        <v>2309.6999999999998</v>
      </c>
      <c r="F15" s="2" t="s">
        <v>134</v>
      </c>
      <c r="G15" s="44">
        <v>12</v>
      </c>
      <c r="H15" s="4">
        <v>2.5</v>
      </c>
      <c r="I15" s="40">
        <f t="shared" si="2"/>
        <v>3002.6099999999997</v>
      </c>
      <c r="J15" s="45">
        <f t="shared" si="3"/>
        <v>250.21749999999997</v>
      </c>
      <c r="K15" s="46" t="str">
        <f t="shared" si="4"/>
        <v>Pending</v>
      </c>
      <c r="L15" s="4" t="s">
        <v>25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25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25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25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15" priority="2" operator="equal">
      <formula>"Approved"</formula>
    </cfRule>
    <cfRule type="cellIs" dxfId="14" priority="3" operator="equal">
      <formula>"Pending"</formula>
    </cfRule>
    <cfRule type="cellIs" dxfId="13" priority="4" operator="equal">
      <formula>"Rejected"</formula>
    </cfRule>
  </conditionalFormatting>
  <dataValidations count="2">
    <dataValidation type="whole" showErrorMessage="1" error="Enter 1-36 months" sqref="G14:G113" xr:uid="{00000000-0002-0000-1C00-000000000000}">
      <formula1>1</formula1>
      <formula2>36</formula2>
    </dataValidation>
    <dataValidation type="list" sqref="L14:L113" xr:uid="{00000000-0002-0000-1C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7AE60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2" customWidth="1"/>
    <col min="8" max="8" width="10" customWidth="1"/>
    <col min="9" max="10" width="22" customWidth="1"/>
  </cols>
  <sheetData>
    <row r="1" spans="1:11" ht="31.5" customHeight="1" x14ac:dyDescent="0.25">
      <c r="A1" s="101" t="s">
        <v>183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9.5" customHeight="1" x14ac:dyDescent="0.25">
      <c r="A2" s="102" t="s">
        <v>184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 customHeight="1" x14ac:dyDescent="0.25">
      <c r="A3" s="82" t="s">
        <v>81</v>
      </c>
      <c r="B3" s="82"/>
      <c r="C3" s="82"/>
      <c r="D3" s="85" t="s">
        <v>82</v>
      </c>
      <c r="E3" s="85"/>
      <c r="F3" s="85"/>
      <c r="G3" s="103" t="s">
        <v>83</v>
      </c>
      <c r="H3" s="103"/>
      <c r="I3" s="103"/>
      <c r="J3" s="86" t="s">
        <v>84</v>
      </c>
      <c r="K3" s="86"/>
    </row>
    <row r="4" spans="1:11" ht="27.75" customHeight="1" x14ac:dyDescent="0.25">
      <c r="A4" s="96">
        <f ca="1">SUMIFS(DB_Savings!$F:$F,DB_Savings!$G:$G,"Agent 10",DB_Savings!$E:$E,TODAY())</f>
        <v>0</v>
      </c>
      <c r="B4" s="96"/>
      <c r="C4" s="96"/>
      <c r="D4" s="97">
        <f ca="1">COUNTIFS(DB_Savings!$G:$G,"Agent 10",DB_Savings!$E:$E,TODAY())</f>
        <v>0</v>
      </c>
      <c r="E4" s="97"/>
      <c r="F4" s="97"/>
      <c r="G4" s="98" t="str">
        <f ca="1">TEXT(TODAY(),"DDDD, DD MMMM YYYY")</f>
        <v>Tuesday, 14 April 2026</v>
      </c>
      <c r="H4" s="98"/>
      <c r="I4" s="98"/>
      <c r="J4" s="99">
        <v>5000</v>
      </c>
      <c r="K4" s="99"/>
    </row>
    <row r="5" spans="1:11" ht="21.75" customHeight="1" x14ac:dyDescent="0.25">
      <c r="A5" s="100" t="str">
        <f ca="1">IF(SUMIFS(DB_Savings!$F:$F,DB_Savings!$G:$G,"Agent 10",DB_Savings!$E:$E,TODAY())&gt;=J4,"✅ DAILY TARGET ACHIEVED! Well done Agent 10!","⏳ Collection in progress — Keep going! Remaining: GHC "&amp;TEXT(J4-SUMIFS(DB_Savings!$F:$F,DB_Savings!$G:$G,"Agent 10",DB_Savings!$E:$E,TODAY()),"#,##0.00"))</f>
        <v>⏳ Collection in progress — Keep going! Remaining: GHC 5,000.00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7.5" customHeight="1" x14ac:dyDescent="0.25"/>
    <row r="7" spans="1:11" ht="19.5" customHeight="1" x14ac:dyDescent="0.25">
      <c r="A7" s="95" t="s">
        <v>85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19.5" customHeight="1" x14ac:dyDescent="0.25">
      <c r="A8" s="1" t="s">
        <v>86</v>
      </c>
      <c r="B8" s="1" t="s">
        <v>60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8</v>
      </c>
      <c r="H8" s="1" t="s">
        <v>91</v>
      </c>
      <c r="I8" s="1" t="s">
        <v>92</v>
      </c>
      <c r="J8" s="1" t="s">
        <v>93</v>
      </c>
    </row>
    <row r="9" spans="1:11" x14ac:dyDescent="0.25">
      <c r="A9" s="15" t="s">
        <v>67</v>
      </c>
      <c r="B9" s="2" t="str">
        <f>IF(A9="","",IFERROR(VLOOKUP(A9,DB_Customers!$A:$D,4,0),"❌ Account Not Found"))</f>
        <v>Yaa Opoku</v>
      </c>
      <c r="C9" s="16">
        <f>IF(A9="","",IFERROR(VLOOKUP(A9,DB_Customers!$A:$N,14,0),""))</f>
        <v>2557.6</v>
      </c>
      <c r="D9" s="17">
        <f t="shared" ref="D9:D40" ca="1" si="0">IF(A9="","",TODAY())</f>
        <v>46126</v>
      </c>
      <c r="E9" s="18">
        <v>80.47</v>
      </c>
      <c r="F9" s="19">
        <f t="shared" ref="F9:F40" si="1">IF(OR(A9="",E9=""),"",IF(C9="","",C9+E9))</f>
        <v>2638.0699999999997</v>
      </c>
      <c r="G9" s="4" t="s">
        <v>26</v>
      </c>
      <c r="H9" s="20" t="str">
        <f t="shared" ref="H9:H40" si="2">IF(AND(A9&lt;&gt;"",E9&lt;&gt;"",G9&lt;&gt;""),"Saved","Pending")</f>
        <v>Saved</v>
      </c>
      <c r="I9" s="21" t="str">
        <f t="shared" ref="I9:I40" ca="1" si="3">IF(H9="Saved",TEXT(TODAY(),"YYYY-MM-DD")&amp;" Auto","—")</f>
        <v>2026-04-14 Auto</v>
      </c>
      <c r="J9" s="22"/>
    </row>
    <row r="10" spans="1:11" x14ac:dyDescent="0.25">
      <c r="A10" s="23" t="s">
        <v>63</v>
      </c>
      <c r="B10" s="6" t="str">
        <f>IF(A10="","",IFERROR(VLOOKUP(A10,DB_Customers!$A:$D,4,0),"❌ Account Not Found"))</f>
        <v>Kwame Baffour</v>
      </c>
      <c r="C10" s="24">
        <f>IF(A10="","",IFERROR(VLOOKUP(A10,DB_Customers!$A:$N,14,0),""))</f>
        <v>2246.3199999999997</v>
      </c>
      <c r="D10" s="25">
        <f t="shared" ca="1" si="0"/>
        <v>46126</v>
      </c>
      <c r="E10" s="18">
        <v>250.59</v>
      </c>
      <c r="F10" s="26">
        <f t="shared" si="1"/>
        <v>2496.91</v>
      </c>
      <c r="G10" s="8" t="s">
        <v>26</v>
      </c>
      <c r="H10" s="27" t="str">
        <f t="shared" si="2"/>
        <v>Saved</v>
      </c>
      <c r="I10" s="28" t="str">
        <f t="shared" ca="1" si="3"/>
        <v>2026-04-14 Auto</v>
      </c>
      <c r="J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18"/>
      <c r="F11" s="19" t="str">
        <f t="shared" si="1"/>
        <v/>
      </c>
      <c r="G11" s="4" t="s">
        <v>26</v>
      </c>
      <c r="H11" s="20" t="str">
        <f t="shared" si="2"/>
        <v>Pending</v>
      </c>
      <c r="I11" s="21" t="str">
        <f t="shared" ca="1" si="3"/>
        <v>—</v>
      </c>
      <c r="J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18"/>
      <c r="F12" s="26" t="str">
        <f t="shared" si="1"/>
        <v/>
      </c>
      <c r="G12" s="8" t="s">
        <v>26</v>
      </c>
      <c r="H12" s="27" t="str">
        <f t="shared" si="2"/>
        <v>Pending</v>
      </c>
      <c r="I12" s="28" t="str">
        <f t="shared" ca="1" si="3"/>
        <v>—</v>
      </c>
      <c r="J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18"/>
      <c r="F13" s="19" t="str">
        <f t="shared" si="1"/>
        <v/>
      </c>
      <c r="G13" s="4" t="s">
        <v>26</v>
      </c>
      <c r="H13" s="20" t="str">
        <f t="shared" si="2"/>
        <v>Pending</v>
      </c>
      <c r="I13" s="21" t="str">
        <f t="shared" ca="1" si="3"/>
        <v>—</v>
      </c>
      <c r="J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18"/>
      <c r="F14" s="26" t="str">
        <f t="shared" si="1"/>
        <v/>
      </c>
      <c r="G14" s="8"/>
      <c r="H14" s="27" t="str">
        <f t="shared" si="2"/>
        <v>Pending</v>
      </c>
      <c r="I14" s="28" t="str">
        <f t="shared" ca="1" si="3"/>
        <v>—</v>
      </c>
      <c r="J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18"/>
      <c r="F15" s="19" t="str">
        <f t="shared" si="1"/>
        <v/>
      </c>
      <c r="G15" s="4"/>
      <c r="H15" s="20" t="str">
        <f t="shared" si="2"/>
        <v>Pending</v>
      </c>
      <c r="I15" s="21" t="str">
        <f t="shared" ca="1" si="3"/>
        <v>—</v>
      </c>
      <c r="J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18"/>
      <c r="F16" s="26" t="str">
        <f t="shared" si="1"/>
        <v/>
      </c>
      <c r="G16" s="8"/>
      <c r="H16" s="27" t="str">
        <f t="shared" si="2"/>
        <v>Pending</v>
      </c>
      <c r="I16" s="28" t="str">
        <f t="shared" ca="1" si="3"/>
        <v>—</v>
      </c>
      <c r="J16" s="29"/>
    </row>
    <row r="17" spans="1:10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18"/>
      <c r="F17" s="19" t="str">
        <f t="shared" si="1"/>
        <v/>
      </c>
      <c r="G17" s="4"/>
      <c r="H17" s="20" t="str">
        <f t="shared" si="2"/>
        <v>Pending</v>
      </c>
      <c r="I17" s="21" t="str">
        <f t="shared" ca="1" si="3"/>
        <v>—</v>
      </c>
      <c r="J17" s="22"/>
    </row>
    <row r="18" spans="1:10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18"/>
      <c r="F18" s="26" t="str">
        <f t="shared" si="1"/>
        <v/>
      </c>
      <c r="G18" s="8"/>
      <c r="H18" s="27" t="str">
        <f t="shared" si="2"/>
        <v>Pending</v>
      </c>
      <c r="I18" s="28" t="str">
        <f t="shared" ca="1" si="3"/>
        <v>—</v>
      </c>
      <c r="J18" s="29"/>
    </row>
    <row r="19" spans="1:10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18"/>
      <c r="F19" s="19" t="str">
        <f t="shared" si="1"/>
        <v/>
      </c>
      <c r="G19" s="4"/>
      <c r="H19" s="20" t="str">
        <f t="shared" si="2"/>
        <v>Pending</v>
      </c>
      <c r="I19" s="21" t="str">
        <f t="shared" ca="1" si="3"/>
        <v>—</v>
      </c>
      <c r="J19" s="22"/>
    </row>
    <row r="20" spans="1:10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18"/>
      <c r="F20" s="26" t="str">
        <f t="shared" si="1"/>
        <v/>
      </c>
      <c r="G20" s="8"/>
      <c r="H20" s="27" t="str">
        <f t="shared" si="2"/>
        <v>Pending</v>
      </c>
      <c r="I20" s="28" t="str">
        <f t="shared" ca="1" si="3"/>
        <v>—</v>
      </c>
      <c r="J20" s="29"/>
    </row>
    <row r="21" spans="1:10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18"/>
      <c r="F21" s="19" t="str">
        <f t="shared" si="1"/>
        <v/>
      </c>
      <c r="G21" s="4"/>
      <c r="H21" s="20" t="str">
        <f t="shared" si="2"/>
        <v>Pending</v>
      </c>
      <c r="I21" s="21" t="str">
        <f t="shared" ca="1" si="3"/>
        <v>—</v>
      </c>
      <c r="J21" s="22"/>
    </row>
    <row r="22" spans="1:10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18"/>
      <c r="F22" s="26" t="str">
        <f t="shared" si="1"/>
        <v/>
      </c>
      <c r="G22" s="8"/>
      <c r="H22" s="27" t="str">
        <f t="shared" si="2"/>
        <v>Pending</v>
      </c>
      <c r="I22" s="28" t="str">
        <f t="shared" ca="1" si="3"/>
        <v>—</v>
      </c>
      <c r="J22" s="29"/>
    </row>
    <row r="23" spans="1:10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18"/>
      <c r="F23" s="19" t="str">
        <f t="shared" si="1"/>
        <v/>
      </c>
      <c r="G23" s="4"/>
      <c r="H23" s="20" t="str">
        <f t="shared" si="2"/>
        <v>Pending</v>
      </c>
      <c r="I23" s="21" t="str">
        <f t="shared" ca="1" si="3"/>
        <v>—</v>
      </c>
      <c r="J23" s="22"/>
    </row>
    <row r="24" spans="1:10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18"/>
      <c r="F24" s="26" t="str">
        <f t="shared" si="1"/>
        <v/>
      </c>
      <c r="G24" s="8"/>
      <c r="H24" s="27" t="str">
        <f t="shared" si="2"/>
        <v>Pending</v>
      </c>
      <c r="I24" s="28" t="str">
        <f t="shared" ca="1" si="3"/>
        <v>—</v>
      </c>
      <c r="J24" s="29"/>
    </row>
    <row r="25" spans="1:10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18"/>
      <c r="F25" s="19" t="str">
        <f t="shared" si="1"/>
        <v/>
      </c>
      <c r="G25" s="4"/>
      <c r="H25" s="20" t="str">
        <f t="shared" si="2"/>
        <v>Pending</v>
      </c>
      <c r="I25" s="21" t="str">
        <f t="shared" ca="1" si="3"/>
        <v>—</v>
      </c>
      <c r="J25" s="22"/>
    </row>
    <row r="26" spans="1:10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18"/>
      <c r="F26" s="26" t="str">
        <f t="shared" si="1"/>
        <v/>
      </c>
      <c r="G26" s="8"/>
      <c r="H26" s="27" t="str">
        <f t="shared" si="2"/>
        <v>Pending</v>
      </c>
      <c r="I26" s="28" t="str">
        <f t="shared" ca="1" si="3"/>
        <v>—</v>
      </c>
      <c r="J26" s="29"/>
    </row>
    <row r="27" spans="1:10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18"/>
      <c r="F27" s="19" t="str">
        <f t="shared" si="1"/>
        <v/>
      </c>
      <c r="G27" s="4"/>
      <c r="H27" s="20" t="str">
        <f t="shared" si="2"/>
        <v>Pending</v>
      </c>
      <c r="I27" s="21" t="str">
        <f t="shared" ca="1" si="3"/>
        <v>—</v>
      </c>
      <c r="J27" s="22"/>
    </row>
    <row r="28" spans="1:10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18"/>
      <c r="F28" s="26" t="str">
        <f t="shared" si="1"/>
        <v/>
      </c>
      <c r="G28" s="8"/>
      <c r="H28" s="27" t="str">
        <f t="shared" si="2"/>
        <v>Pending</v>
      </c>
      <c r="I28" s="28" t="str">
        <f t="shared" ca="1" si="3"/>
        <v>—</v>
      </c>
      <c r="J28" s="29"/>
    </row>
    <row r="29" spans="1:10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18"/>
      <c r="F29" s="19" t="str">
        <f t="shared" si="1"/>
        <v/>
      </c>
      <c r="G29" s="4"/>
      <c r="H29" s="20" t="str">
        <f t="shared" si="2"/>
        <v>Pending</v>
      </c>
      <c r="I29" s="21" t="str">
        <f t="shared" ca="1" si="3"/>
        <v>—</v>
      </c>
      <c r="J29" s="22"/>
    </row>
    <row r="30" spans="1:10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18"/>
      <c r="F30" s="26" t="str">
        <f t="shared" si="1"/>
        <v/>
      </c>
      <c r="G30" s="8"/>
      <c r="H30" s="27" t="str">
        <f t="shared" si="2"/>
        <v>Pending</v>
      </c>
      <c r="I30" s="28" t="str">
        <f t="shared" ca="1" si="3"/>
        <v>—</v>
      </c>
      <c r="J30" s="29"/>
    </row>
    <row r="31" spans="1:10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18"/>
      <c r="F31" s="19" t="str">
        <f t="shared" si="1"/>
        <v/>
      </c>
      <c r="G31" s="4"/>
      <c r="H31" s="20" t="str">
        <f t="shared" si="2"/>
        <v>Pending</v>
      </c>
      <c r="I31" s="21" t="str">
        <f t="shared" ca="1" si="3"/>
        <v>—</v>
      </c>
      <c r="J31" s="22"/>
    </row>
    <row r="32" spans="1:10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18"/>
      <c r="F32" s="26" t="str">
        <f t="shared" si="1"/>
        <v/>
      </c>
      <c r="G32" s="8"/>
      <c r="H32" s="27" t="str">
        <f t="shared" si="2"/>
        <v>Pending</v>
      </c>
      <c r="I32" s="28" t="str">
        <f t="shared" ca="1" si="3"/>
        <v>—</v>
      </c>
      <c r="J32" s="29"/>
    </row>
    <row r="33" spans="1:10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18"/>
      <c r="F33" s="19" t="str">
        <f t="shared" si="1"/>
        <v/>
      </c>
      <c r="G33" s="4"/>
      <c r="H33" s="20" t="str">
        <f t="shared" si="2"/>
        <v>Pending</v>
      </c>
      <c r="I33" s="21" t="str">
        <f t="shared" ca="1" si="3"/>
        <v>—</v>
      </c>
      <c r="J33" s="22"/>
    </row>
    <row r="34" spans="1:10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18"/>
      <c r="F34" s="26" t="str">
        <f t="shared" si="1"/>
        <v/>
      </c>
      <c r="G34" s="8"/>
      <c r="H34" s="27" t="str">
        <f t="shared" si="2"/>
        <v>Pending</v>
      </c>
      <c r="I34" s="28" t="str">
        <f t="shared" ca="1" si="3"/>
        <v>—</v>
      </c>
      <c r="J34" s="29"/>
    </row>
    <row r="35" spans="1:10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18"/>
      <c r="F35" s="19" t="str">
        <f t="shared" si="1"/>
        <v/>
      </c>
      <c r="G35" s="4"/>
      <c r="H35" s="20" t="str">
        <f t="shared" si="2"/>
        <v>Pending</v>
      </c>
      <c r="I35" s="21" t="str">
        <f t="shared" ca="1" si="3"/>
        <v>—</v>
      </c>
      <c r="J35" s="22"/>
    </row>
    <row r="36" spans="1:10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18"/>
      <c r="F36" s="26" t="str">
        <f t="shared" si="1"/>
        <v/>
      </c>
      <c r="G36" s="8"/>
      <c r="H36" s="27" t="str">
        <f t="shared" si="2"/>
        <v>Pending</v>
      </c>
      <c r="I36" s="28" t="str">
        <f t="shared" ca="1" si="3"/>
        <v>—</v>
      </c>
      <c r="J36" s="29"/>
    </row>
    <row r="37" spans="1:10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18"/>
      <c r="F37" s="19" t="str">
        <f t="shared" si="1"/>
        <v/>
      </c>
      <c r="G37" s="4"/>
      <c r="H37" s="20" t="str">
        <f t="shared" si="2"/>
        <v>Pending</v>
      </c>
      <c r="I37" s="21" t="str">
        <f t="shared" ca="1" si="3"/>
        <v>—</v>
      </c>
      <c r="J37" s="22"/>
    </row>
    <row r="38" spans="1:10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18"/>
      <c r="F38" s="26" t="str">
        <f t="shared" si="1"/>
        <v/>
      </c>
      <c r="G38" s="8"/>
      <c r="H38" s="27" t="str">
        <f t="shared" si="2"/>
        <v>Pending</v>
      </c>
      <c r="I38" s="28" t="str">
        <f t="shared" ca="1" si="3"/>
        <v>—</v>
      </c>
      <c r="J38" s="29"/>
    </row>
    <row r="39" spans="1:10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18"/>
      <c r="F39" s="19" t="str">
        <f t="shared" si="1"/>
        <v/>
      </c>
      <c r="G39" s="4"/>
      <c r="H39" s="20" t="str">
        <f t="shared" si="2"/>
        <v>Pending</v>
      </c>
      <c r="I39" s="21" t="str">
        <f t="shared" ca="1" si="3"/>
        <v>—</v>
      </c>
      <c r="J39" s="22"/>
    </row>
    <row r="40" spans="1:10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18"/>
      <c r="F40" s="26" t="str">
        <f t="shared" si="1"/>
        <v/>
      </c>
      <c r="G40" s="8"/>
      <c r="H40" s="27" t="str">
        <f t="shared" si="2"/>
        <v>Pending</v>
      </c>
      <c r="I40" s="28" t="str">
        <f t="shared" ca="1" si="3"/>
        <v>—</v>
      </c>
      <c r="J40" s="29"/>
    </row>
    <row r="41" spans="1:10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18"/>
      <c r="F41" s="19" t="str">
        <f t="shared" ref="F41:F72" si="5">IF(OR(A41="",E41=""),"",IF(C41="","",C41+E41))</f>
        <v/>
      </c>
      <c r="G41" s="4"/>
      <c r="H41" s="20" t="str">
        <f t="shared" ref="H41:H72" si="6">IF(AND(A41&lt;&gt;"",E41&lt;&gt;"",G41&lt;&gt;""),"Saved","Pending")</f>
        <v>Pending</v>
      </c>
      <c r="I41" s="21" t="str">
        <f t="shared" ref="I41:I72" ca="1" si="7">IF(H41="Saved",TEXT(TODAY(),"YYYY-MM-DD")&amp;" Auto","—")</f>
        <v>—</v>
      </c>
      <c r="J41" s="22"/>
    </row>
    <row r="42" spans="1:10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18"/>
      <c r="F42" s="26" t="str">
        <f t="shared" si="5"/>
        <v/>
      </c>
      <c r="G42" s="8"/>
      <c r="H42" s="27" t="str">
        <f t="shared" si="6"/>
        <v>Pending</v>
      </c>
      <c r="I42" s="28" t="str">
        <f t="shared" ca="1" si="7"/>
        <v>—</v>
      </c>
      <c r="J42" s="29"/>
    </row>
    <row r="43" spans="1:10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18"/>
      <c r="F43" s="19" t="str">
        <f t="shared" si="5"/>
        <v/>
      </c>
      <c r="G43" s="4"/>
      <c r="H43" s="20" t="str">
        <f t="shared" si="6"/>
        <v>Pending</v>
      </c>
      <c r="I43" s="21" t="str">
        <f t="shared" ca="1" si="7"/>
        <v>—</v>
      </c>
      <c r="J43" s="22"/>
    </row>
    <row r="44" spans="1:10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18"/>
      <c r="F44" s="26" t="str">
        <f t="shared" si="5"/>
        <v/>
      </c>
      <c r="G44" s="8"/>
      <c r="H44" s="27" t="str">
        <f t="shared" si="6"/>
        <v>Pending</v>
      </c>
      <c r="I44" s="28" t="str">
        <f t="shared" ca="1" si="7"/>
        <v>—</v>
      </c>
      <c r="J44" s="29"/>
    </row>
    <row r="45" spans="1:10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18"/>
      <c r="F45" s="19" t="str">
        <f t="shared" si="5"/>
        <v/>
      </c>
      <c r="G45" s="4"/>
      <c r="H45" s="20" t="str">
        <f t="shared" si="6"/>
        <v>Pending</v>
      </c>
      <c r="I45" s="21" t="str">
        <f t="shared" ca="1" si="7"/>
        <v>—</v>
      </c>
      <c r="J45" s="22"/>
    </row>
    <row r="46" spans="1:10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18"/>
      <c r="F46" s="26" t="str">
        <f t="shared" si="5"/>
        <v/>
      </c>
      <c r="G46" s="8"/>
      <c r="H46" s="27" t="str">
        <f t="shared" si="6"/>
        <v>Pending</v>
      </c>
      <c r="I46" s="28" t="str">
        <f t="shared" ca="1" si="7"/>
        <v>—</v>
      </c>
      <c r="J46" s="29"/>
    </row>
    <row r="47" spans="1:10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18"/>
      <c r="F47" s="19" t="str">
        <f t="shared" si="5"/>
        <v/>
      </c>
      <c r="G47" s="4"/>
      <c r="H47" s="20" t="str">
        <f t="shared" si="6"/>
        <v>Pending</v>
      </c>
      <c r="I47" s="21" t="str">
        <f t="shared" ca="1" si="7"/>
        <v>—</v>
      </c>
      <c r="J47" s="22"/>
    </row>
    <row r="48" spans="1:10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18"/>
      <c r="F48" s="26" t="str">
        <f t="shared" si="5"/>
        <v/>
      </c>
      <c r="G48" s="8"/>
      <c r="H48" s="27" t="str">
        <f t="shared" si="6"/>
        <v>Pending</v>
      </c>
      <c r="I48" s="28" t="str">
        <f t="shared" ca="1" si="7"/>
        <v>—</v>
      </c>
      <c r="J48" s="29"/>
    </row>
    <row r="49" spans="1:10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18"/>
      <c r="F49" s="19" t="str">
        <f t="shared" si="5"/>
        <v/>
      </c>
      <c r="G49" s="4"/>
      <c r="H49" s="20" t="str">
        <f t="shared" si="6"/>
        <v>Pending</v>
      </c>
      <c r="I49" s="21" t="str">
        <f t="shared" ca="1" si="7"/>
        <v>—</v>
      </c>
      <c r="J49" s="22"/>
    </row>
    <row r="50" spans="1:10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18"/>
      <c r="F50" s="26" t="str">
        <f t="shared" si="5"/>
        <v/>
      </c>
      <c r="G50" s="8"/>
      <c r="H50" s="27" t="str">
        <f t="shared" si="6"/>
        <v>Pending</v>
      </c>
      <c r="I50" s="28" t="str">
        <f t="shared" ca="1" si="7"/>
        <v>—</v>
      </c>
      <c r="J50" s="29"/>
    </row>
    <row r="51" spans="1:10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18"/>
      <c r="F51" s="19" t="str">
        <f t="shared" si="5"/>
        <v/>
      </c>
      <c r="G51" s="4"/>
      <c r="H51" s="20" t="str">
        <f t="shared" si="6"/>
        <v>Pending</v>
      </c>
      <c r="I51" s="21" t="str">
        <f t="shared" ca="1" si="7"/>
        <v>—</v>
      </c>
      <c r="J51" s="22"/>
    </row>
    <row r="52" spans="1:10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18"/>
      <c r="F52" s="26" t="str">
        <f t="shared" si="5"/>
        <v/>
      </c>
      <c r="G52" s="8"/>
      <c r="H52" s="27" t="str">
        <f t="shared" si="6"/>
        <v>Pending</v>
      </c>
      <c r="I52" s="28" t="str">
        <f t="shared" ca="1" si="7"/>
        <v>—</v>
      </c>
      <c r="J52" s="29"/>
    </row>
    <row r="53" spans="1:10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18"/>
      <c r="F53" s="19" t="str">
        <f t="shared" si="5"/>
        <v/>
      </c>
      <c r="G53" s="4"/>
      <c r="H53" s="20" t="str">
        <f t="shared" si="6"/>
        <v>Pending</v>
      </c>
      <c r="I53" s="21" t="str">
        <f t="shared" ca="1" si="7"/>
        <v>—</v>
      </c>
      <c r="J53" s="22"/>
    </row>
    <row r="54" spans="1:10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18"/>
      <c r="F54" s="26" t="str">
        <f t="shared" si="5"/>
        <v/>
      </c>
      <c r="G54" s="8"/>
      <c r="H54" s="27" t="str">
        <f t="shared" si="6"/>
        <v>Pending</v>
      </c>
      <c r="I54" s="28" t="str">
        <f t="shared" ca="1" si="7"/>
        <v>—</v>
      </c>
      <c r="J54" s="29"/>
    </row>
    <row r="55" spans="1:10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18"/>
      <c r="F55" s="19" t="str">
        <f t="shared" si="5"/>
        <v/>
      </c>
      <c r="G55" s="4"/>
      <c r="H55" s="20" t="str">
        <f t="shared" si="6"/>
        <v>Pending</v>
      </c>
      <c r="I55" s="21" t="str">
        <f t="shared" ca="1" si="7"/>
        <v>—</v>
      </c>
      <c r="J55" s="22"/>
    </row>
    <row r="56" spans="1:10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18"/>
      <c r="F56" s="26" t="str">
        <f t="shared" si="5"/>
        <v/>
      </c>
      <c r="G56" s="8"/>
      <c r="H56" s="27" t="str">
        <f t="shared" si="6"/>
        <v>Pending</v>
      </c>
      <c r="I56" s="28" t="str">
        <f t="shared" ca="1" si="7"/>
        <v>—</v>
      </c>
      <c r="J56" s="29"/>
    </row>
    <row r="57" spans="1:10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18"/>
      <c r="F57" s="19" t="str">
        <f t="shared" si="5"/>
        <v/>
      </c>
      <c r="G57" s="4"/>
      <c r="H57" s="20" t="str">
        <f t="shared" si="6"/>
        <v>Pending</v>
      </c>
      <c r="I57" s="21" t="str">
        <f t="shared" ca="1" si="7"/>
        <v>—</v>
      </c>
      <c r="J57" s="22"/>
    </row>
    <row r="58" spans="1:10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18"/>
      <c r="F58" s="26" t="str">
        <f t="shared" si="5"/>
        <v/>
      </c>
      <c r="G58" s="8"/>
      <c r="H58" s="27" t="str">
        <f t="shared" si="6"/>
        <v>Pending</v>
      </c>
      <c r="I58" s="28" t="str">
        <f t="shared" ca="1" si="7"/>
        <v>—</v>
      </c>
      <c r="J58" s="29"/>
    </row>
    <row r="59" spans="1:10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18"/>
      <c r="F59" s="19" t="str">
        <f t="shared" si="5"/>
        <v/>
      </c>
      <c r="G59" s="4"/>
      <c r="H59" s="20" t="str">
        <f t="shared" si="6"/>
        <v>Pending</v>
      </c>
      <c r="I59" s="21" t="str">
        <f t="shared" ca="1" si="7"/>
        <v>—</v>
      </c>
      <c r="J59" s="22"/>
    </row>
    <row r="60" spans="1:10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18"/>
      <c r="F60" s="26" t="str">
        <f t="shared" si="5"/>
        <v/>
      </c>
      <c r="G60" s="8"/>
      <c r="H60" s="27" t="str">
        <f t="shared" si="6"/>
        <v>Pending</v>
      </c>
      <c r="I60" s="28" t="str">
        <f t="shared" ca="1" si="7"/>
        <v>—</v>
      </c>
      <c r="J60" s="29"/>
    </row>
    <row r="61" spans="1:10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18"/>
      <c r="F61" s="19" t="str">
        <f t="shared" si="5"/>
        <v/>
      </c>
      <c r="G61" s="4"/>
      <c r="H61" s="20" t="str">
        <f t="shared" si="6"/>
        <v>Pending</v>
      </c>
      <c r="I61" s="21" t="str">
        <f t="shared" ca="1" si="7"/>
        <v>—</v>
      </c>
      <c r="J61" s="22"/>
    </row>
    <row r="62" spans="1:10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18"/>
      <c r="F62" s="26" t="str">
        <f t="shared" si="5"/>
        <v/>
      </c>
      <c r="G62" s="8"/>
      <c r="H62" s="27" t="str">
        <f t="shared" si="6"/>
        <v>Pending</v>
      </c>
      <c r="I62" s="28" t="str">
        <f t="shared" ca="1" si="7"/>
        <v>—</v>
      </c>
      <c r="J62" s="29"/>
    </row>
    <row r="63" spans="1:10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18"/>
      <c r="F63" s="19" t="str">
        <f t="shared" si="5"/>
        <v/>
      </c>
      <c r="G63" s="4"/>
      <c r="H63" s="20" t="str">
        <f t="shared" si="6"/>
        <v>Pending</v>
      </c>
      <c r="I63" s="21" t="str">
        <f t="shared" ca="1" si="7"/>
        <v>—</v>
      </c>
      <c r="J63" s="22"/>
    </row>
    <row r="64" spans="1:10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18"/>
      <c r="F64" s="26" t="str">
        <f t="shared" si="5"/>
        <v/>
      </c>
      <c r="G64" s="8"/>
      <c r="H64" s="27" t="str">
        <f t="shared" si="6"/>
        <v>Pending</v>
      </c>
      <c r="I64" s="28" t="str">
        <f t="shared" ca="1" si="7"/>
        <v>—</v>
      </c>
      <c r="J64" s="29"/>
    </row>
    <row r="65" spans="1:10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18"/>
      <c r="F65" s="19" t="str">
        <f t="shared" si="5"/>
        <v/>
      </c>
      <c r="G65" s="4"/>
      <c r="H65" s="20" t="str">
        <f t="shared" si="6"/>
        <v>Pending</v>
      </c>
      <c r="I65" s="21" t="str">
        <f t="shared" ca="1" si="7"/>
        <v>—</v>
      </c>
      <c r="J65" s="22"/>
    </row>
    <row r="66" spans="1:10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18"/>
      <c r="F66" s="26" t="str">
        <f t="shared" si="5"/>
        <v/>
      </c>
      <c r="G66" s="8"/>
      <c r="H66" s="27" t="str">
        <f t="shared" si="6"/>
        <v>Pending</v>
      </c>
      <c r="I66" s="28" t="str">
        <f t="shared" ca="1" si="7"/>
        <v>—</v>
      </c>
      <c r="J66" s="29"/>
    </row>
    <row r="67" spans="1:10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18"/>
      <c r="F67" s="19" t="str">
        <f t="shared" si="5"/>
        <v/>
      </c>
      <c r="G67" s="4"/>
      <c r="H67" s="20" t="str">
        <f t="shared" si="6"/>
        <v>Pending</v>
      </c>
      <c r="I67" s="21" t="str">
        <f t="shared" ca="1" si="7"/>
        <v>—</v>
      </c>
      <c r="J67" s="22"/>
    </row>
    <row r="68" spans="1:10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18"/>
      <c r="F68" s="26" t="str">
        <f t="shared" si="5"/>
        <v/>
      </c>
      <c r="G68" s="8"/>
      <c r="H68" s="27" t="str">
        <f t="shared" si="6"/>
        <v>Pending</v>
      </c>
      <c r="I68" s="28" t="str">
        <f t="shared" ca="1" si="7"/>
        <v>—</v>
      </c>
      <c r="J68" s="29"/>
    </row>
    <row r="69" spans="1:10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18"/>
      <c r="F69" s="19" t="str">
        <f t="shared" si="5"/>
        <v/>
      </c>
      <c r="G69" s="4"/>
      <c r="H69" s="20" t="str">
        <f t="shared" si="6"/>
        <v>Pending</v>
      </c>
      <c r="I69" s="21" t="str">
        <f t="shared" ca="1" si="7"/>
        <v>—</v>
      </c>
      <c r="J69" s="22"/>
    </row>
    <row r="70" spans="1:10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18"/>
      <c r="F70" s="26" t="str">
        <f t="shared" si="5"/>
        <v/>
      </c>
      <c r="G70" s="8"/>
      <c r="H70" s="27" t="str">
        <f t="shared" si="6"/>
        <v>Pending</v>
      </c>
      <c r="I70" s="28" t="str">
        <f t="shared" ca="1" si="7"/>
        <v>—</v>
      </c>
      <c r="J70" s="29"/>
    </row>
    <row r="71" spans="1:10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18"/>
      <c r="F71" s="19" t="str">
        <f t="shared" si="5"/>
        <v/>
      </c>
      <c r="G71" s="4"/>
      <c r="H71" s="20" t="str">
        <f t="shared" si="6"/>
        <v>Pending</v>
      </c>
      <c r="I71" s="21" t="str">
        <f t="shared" ca="1" si="7"/>
        <v>—</v>
      </c>
      <c r="J71" s="22"/>
    </row>
    <row r="72" spans="1:10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18"/>
      <c r="F72" s="26" t="str">
        <f t="shared" si="5"/>
        <v/>
      </c>
      <c r="G72" s="8"/>
      <c r="H72" s="27" t="str">
        <f t="shared" si="6"/>
        <v>Pending</v>
      </c>
      <c r="I72" s="28" t="str">
        <f t="shared" ca="1" si="7"/>
        <v>—</v>
      </c>
      <c r="J72" s="29"/>
    </row>
    <row r="73" spans="1:10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18"/>
      <c r="F73" s="19" t="str">
        <f t="shared" ref="F73:F104" si="9">IF(OR(A73="",E73=""),"",IF(C73="","",C73+E73))</f>
        <v/>
      </c>
      <c r="G73" s="4"/>
      <c r="H73" s="20" t="str">
        <f t="shared" ref="H73:H104" si="10">IF(AND(A73&lt;&gt;"",E73&lt;&gt;"",G73&lt;&gt;""),"Saved","Pending")</f>
        <v>Pending</v>
      </c>
      <c r="I73" s="21" t="str">
        <f t="shared" ref="I73:I104" ca="1" si="11">IF(H73="Saved",TEXT(TODAY(),"YYYY-MM-DD")&amp;" Auto","—")</f>
        <v>—</v>
      </c>
      <c r="J73" s="22"/>
    </row>
    <row r="74" spans="1:10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18"/>
      <c r="F74" s="26" t="str">
        <f t="shared" si="9"/>
        <v/>
      </c>
      <c r="G74" s="8"/>
      <c r="H74" s="27" t="str">
        <f t="shared" si="10"/>
        <v>Pending</v>
      </c>
      <c r="I74" s="28" t="str">
        <f t="shared" ca="1" si="11"/>
        <v>—</v>
      </c>
      <c r="J74" s="29"/>
    </row>
    <row r="75" spans="1:10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18"/>
      <c r="F75" s="19" t="str">
        <f t="shared" si="9"/>
        <v/>
      </c>
      <c r="G75" s="4"/>
      <c r="H75" s="20" t="str">
        <f t="shared" si="10"/>
        <v>Pending</v>
      </c>
      <c r="I75" s="21" t="str">
        <f t="shared" ca="1" si="11"/>
        <v>—</v>
      </c>
      <c r="J75" s="22"/>
    </row>
    <row r="76" spans="1:10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18"/>
      <c r="F76" s="26" t="str">
        <f t="shared" si="9"/>
        <v/>
      </c>
      <c r="G76" s="8"/>
      <c r="H76" s="27" t="str">
        <f t="shared" si="10"/>
        <v>Pending</v>
      </c>
      <c r="I76" s="28" t="str">
        <f t="shared" ca="1" si="11"/>
        <v>—</v>
      </c>
      <c r="J76" s="29"/>
    </row>
    <row r="77" spans="1:10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18"/>
      <c r="F77" s="19" t="str">
        <f t="shared" si="9"/>
        <v/>
      </c>
      <c r="G77" s="4"/>
      <c r="H77" s="20" t="str">
        <f t="shared" si="10"/>
        <v>Pending</v>
      </c>
      <c r="I77" s="21" t="str">
        <f t="shared" ca="1" si="11"/>
        <v>—</v>
      </c>
      <c r="J77" s="22"/>
    </row>
    <row r="78" spans="1:10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18"/>
      <c r="F78" s="26" t="str">
        <f t="shared" si="9"/>
        <v/>
      </c>
      <c r="G78" s="8"/>
      <c r="H78" s="27" t="str">
        <f t="shared" si="10"/>
        <v>Pending</v>
      </c>
      <c r="I78" s="28" t="str">
        <f t="shared" ca="1" si="11"/>
        <v>—</v>
      </c>
      <c r="J78" s="29"/>
    </row>
    <row r="79" spans="1:10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18"/>
      <c r="F79" s="19" t="str">
        <f t="shared" si="9"/>
        <v/>
      </c>
      <c r="G79" s="4"/>
      <c r="H79" s="20" t="str">
        <f t="shared" si="10"/>
        <v>Pending</v>
      </c>
      <c r="I79" s="21" t="str">
        <f t="shared" ca="1" si="11"/>
        <v>—</v>
      </c>
      <c r="J79" s="22"/>
    </row>
    <row r="80" spans="1:10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18"/>
      <c r="F80" s="26" t="str">
        <f t="shared" si="9"/>
        <v/>
      </c>
      <c r="G80" s="8"/>
      <c r="H80" s="27" t="str">
        <f t="shared" si="10"/>
        <v>Pending</v>
      </c>
      <c r="I80" s="28" t="str">
        <f t="shared" ca="1" si="11"/>
        <v>—</v>
      </c>
      <c r="J80" s="29"/>
    </row>
    <row r="81" spans="1:10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18"/>
      <c r="F81" s="19" t="str">
        <f t="shared" si="9"/>
        <v/>
      </c>
      <c r="G81" s="4"/>
      <c r="H81" s="20" t="str">
        <f t="shared" si="10"/>
        <v>Pending</v>
      </c>
      <c r="I81" s="21" t="str">
        <f t="shared" ca="1" si="11"/>
        <v>—</v>
      </c>
      <c r="J81" s="22"/>
    </row>
    <row r="82" spans="1:10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18"/>
      <c r="F82" s="26" t="str">
        <f t="shared" si="9"/>
        <v/>
      </c>
      <c r="G82" s="8"/>
      <c r="H82" s="27" t="str">
        <f t="shared" si="10"/>
        <v>Pending</v>
      </c>
      <c r="I82" s="28" t="str">
        <f t="shared" ca="1" si="11"/>
        <v>—</v>
      </c>
      <c r="J82" s="29"/>
    </row>
    <row r="83" spans="1:10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18"/>
      <c r="F83" s="19" t="str">
        <f t="shared" si="9"/>
        <v/>
      </c>
      <c r="G83" s="4"/>
      <c r="H83" s="20" t="str">
        <f t="shared" si="10"/>
        <v>Pending</v>
      </c>
      <c r="I83" s="21" t="str">
        <f t="shared" ca="1" si="11"/>
        <v>—</v>
      </c>
      <c r="J83" s="22"/>
    </row>
    <row r="84" spans="1:10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18"/>
      <c r="F84" s="26" t="str">
        <f t="shared" si="9"/>
        <v/>
      </c>
      <c r="G84" s="8"/>
      <c r="H84" s="27" t="str">
        <f t="shared" si="10"/>
        <v>Pending</v>
      </c>
      <c r="I84" s="28" t="str">
        <f t="shared" ca="1" si="11"/>
        <v>—</v>
      </c>
      <c r="J84" s="29"/>
    </row>
    <row r="85" spans="1:10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18"/>
      <c r="F85" s="19" t="str">
        <f t="shared" si="9"/>
        <v/>
      </c>
      <c r="G85" s="4"/>
      <c r="H85" s="20" t="str">
        <f t="shared" si="10"/>
        <v>Pending</v>
      </c>
      <c r="I85" s="21" t="str">
        <f t="shared" ca="1" si="11"/>
        <v>—</v>
      </c>
      <c r="J85" s="22"/>
    </row>
    <row r="86" spans="1:10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18"/>
      <c r="F86" s="26" t="str">
        <f t="shared" si="9"/>
        <v/>
      </c>
      <c r="G86" s="8"/>
      <c r="H86" s="27" t="str">
        <f t="shared" si="10"/>
        <v>Pending</v>
      </c>
      <c r="I86" s="28" t="str">
        <f t="shared" ca="1" si="11"/>
        <v>—</v>
      </c>
      <c r="J86" s="29"/>
    </row>
    <row r="87" spans="1:10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18"/>
      <c r="F87" s="19" t="str">
        <f t="shared" si="9"/>
        <v/>
      </c>
      <c r="G87" s="4"/>
      <c r="H87" s="20" t="str">
        <f t="shared" si="10"/>
        <v>Pending</v>
      </c>
      <c r="I87" s="21" t="str">
        <f t="shared" ca="1" si="11"/>
        <v>—</v>
      </c>
      <c r="J87" s="22"/>
    </row>
    <row r="88" spans="1:10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18"/>
      <c r="F88" s="26" t="str">
        <f t="shared" si="9"/>
        <v/>
      </c>
      <c r="G88" s="8"/>
      <c r="H88" s="27" t="str">
        <f t="shared" si="10"/>
        <v>Pending</v>
      </c>
      <c r="I88" s="28" t="str">
        <f t="shared" ca="1" si="11"/>
        <v>—</v>
      </c>
      <c r="J88" s="29"/>
    </row>
    <row r="89" spans="1:10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18"/>
      <c r="F89" s="19" t="str">
        <f t="shared" si="9"/>
        <v/>
      </c>
      <c r="G89" s="4"/>
      <c r="H89" s="20" t="str">
        <f t="shared" si="10"/>
        <v>Pending</v>
      </c>
      <c r="I89" s="21" t="str">
        <f t="shared" ca="1" si="11"/>
        <v>—</v>
      </c>
      <c r="J89" s="22"/>
    </row>
    <row r="90" spans="1:10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18"/>
      <c r="F90" s="26" t="str">
        <f t="shared" si="9"/>
        <v/>
      </c>
      <c r="G90" s="8"/>
      <c r="H90" s="27" t="str">
        <f t="shared" si="10"/>
        <v>Pending</v>
      </c>
      <c r="I90" s="28" t="str">
        <f t="shared" ca="1" si="11"/>
        <v>—</v>
      </c>
      <c r="J90" s="29"/>
    </row>
    <row r="91" spans="1:10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18"/>
      <c r="F91" s="19" t="str">
        <f t="shared" si="9"/>
        <v/>
      </c>
      <c r="G91" s="4"/>
      <c r="H91" s="20" t="str">
        <f t="shared" si="10"/>
        <v>Pending</v>
      </c>
      <c r="I91" s="21" t="str">
        <f t="shared" ca="1" si="11"/>
        <v>—</v>
      </c>
      <c r="J91" s="22"/>
    </row>
    <row r="92" spans="1:10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18"/>
      <c r="F92" s="26" t="str">
        <f t="shared" si="9"/>
        <v/>
      </c>
      <c r="G92" s="8"/>
      <c r="H92" s="27" t="str">
        <f t="shared" si="10"/>
        <v>Pending</v>
      </c>
      <c r="I92" s="28" t="str">
        <f t="shared" ca="1" si="11"/>
        <v>—</v>
      </c>
      <c r="J92" s="29"/>
    </row>
    <row r="93" spans="1:10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18"/>
      <c r="F93" s="19" t="str">
        <f t="shared" si="9"/>
        <v/>
      </c>
      <c r="G93" s="4"/>
      <c r="H93" s="20" t="str">
        <f t="shared" si="10"/>
        <v>Pending</v>
      </c>
      <c r="I93" s="21" t="str">
        <f t="shared" ca="1" si="11"/>
        <v>—</v>
      </c>
      <c r="J93" s="22"/>
    </row>
    <row r="94" spans="1:10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18"/>
      <c r="F94" s="26" t="str">
        <f t="shared" si="9"/>
        <v/>
      </c>
      <c r="G94" s="8"/>
      <c r="H94" s="27" t="str">
        <f t="shared" si="10"/>
        <v>Pending</v>
      </c>
      <c r="I94" s="28" t="str">
        <f t="shared" ca="1" si="11"/>
        <v>—</v>
      </c>
      <c r="J94" s="29"/>
    </row>
    <row r="95" spans="1:10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18"/>
      <c r="F95" s="19" t="str">
        <f t="shared" si="9"/>
        <v/>
      </c>
      <c r="G95" s="4"/>
      <c r="H95" s="20" t="str">
        <f t="shared" si="10"/>
        <v>Pending</v>
      </c>
      <c r="I95" s="21" t="str">
        <f t="shared" ca="1" si="11"/>
        <v>—</v>
      </c>
      <c r="J95" s="22"/>
    </row>
    <row r="96" spans="1:10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18"/>
      <c r="F96" s="26" t="str">
        <f t="shared" si="9"/>
        <v/>
      </c>
      <c r="G96" s="8"/>
      <c r="H96" s="27" t="str">
        <f t="shared" si="10"/>
        <v>Pending</v>
      </c>
      <c r="I96" s="28" t="str">
        <f t="shared" ca="1" si="11"/>
        <v>—</v>
      </c>
      <c r="J96" s="29"/>
    </row>
    <row r="97" spans="1:10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18"/>
      <c r="F97" s="19" t="str">
        <f t="shared" si="9"/>
        <v/>
      </c>
      <c r="G97" s="4"/>
      <c r="H97" s="20" t="str">
        <f t="shared" si="10"/>
        <v>Pending</v>
      </c>
      <c r="I97" s="21" t="str">
        <f t="shared" ca="1" si="11"/>
        <v>—</v>
      </c>
      <c r="J97" s="22"/>
    </row>
    <row r="98" spans="1:10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18"/>
      <c r="F98" s="26" t="str">
        <f t="shared" si="9"/>
        <v/>
      </c>
      <c r="G98" s="8"/>
      <c r="H98" s="27" t="str">
        <f t="shared" si="10"/>
        <v>Pending</v>
      </c>
      <c r="I98" s="28" t="str">
        <f t="shared" ca="1" si="11"/>
        <v>—</v>
      </c>
      <c r="J98" s="29"/>
    </row>
    <row r="99" spans="1:10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18"/>
      <c r="F99" s="19" t="str">
        <f t="shared" si="9"/>
        <v/>
      </c>
      <c r="G99" s="4"/>
      <c r="H99" s="20" t="str">
        <f t="shared" si="10"/>
        <v>Pending</v>
      </c>
      <c r="I99" s="21" t="str">
        <f t="shared" ca="1" si="11"/>
        <v>—</v>
      </c>
      <c r="J99" s="22"/>
    </row>
    <row r="100" spans="1:10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18"/>
      <c r="F100" s="26" t="str">
        <f t="shared" si="9"/>
        <v/>
      </c>
      <c r="G100" s="8"/>
      <c r="H100" s="27" t="str">
        <f t="shared" si="10"/>
        <v>Pending</v>
      </c>
      <c r="I100" s="28" t="str">
        <f t="shared" ca="1" si="11"/>
        <v>—</v>
      </c>
      <c r="J100" s="29"/>
    </row>
    <row r="101" spans="1:10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18"/>
      <c r="F101" s="19" t="str">
        <f t="shared" si="9"/>
        <v/>
      </c>
      <c r="G101" s="4"/>
      <c r="H101" s="20" t="str">
        <f t="shared" si="10"/>
        <v>Pending</v>
      </c>
      <c r="I101" s="21" t="str">
        <f t="shared" ca="1" si="11"/>
        <v>—</v>
      </c>
      <c r="J101" s="22"/>
    </row>
    <row r="102" spans="1:10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18"/>
      <c r="F102" s="26" t="str">
        <f t="shared" si="9"/>
        <v/>
      </c>
      <c r="G102" s="8"/>
      <c r="H102" s="27" t="str">
        <f t="shared" si="10"/>
        <v>Pending</v>
      </c>
      <c r="I102" s="28" t="str">
        <f t="shared" ca="1" si="11"/>
        <v>—</v>
      </c>
      <c r="J102" s="29"/>
    </row>
    <row r="103" spans="1:10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18"/>
      <c r="F103" s="19" t="str">
        <f t="shared" si="9"/>
        <v/>
      </c>
      <c r="G103" s="4"/>
      <c r="H103" s="20" t="str">
        <f t="shared" si="10"/>
        <v>Pending</v>
      </c>
      <c r="I103" s="21" t="str">
        <f t="shared" ca="1" si="11"/>
        <v>—</v>
      </c>
      <c r="J103" s="22"/>
    </row>
    <row r="104" spans="1:10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18"/>
      <c r="F104" s="26" t="str">
        <f t="shared" si="9"/>
        <v/>
      </c>
      <c r="G104" s="8"/>
      <c r="H104" s="27" t="str">
        <f t="shared" si="10"/>
        <v>Pending</v>
      </c>
      <c r="I104" s="28" t="str">
        <f t="shared" ca="1" si="11"/>
        <v>—</v>
      </c>
      <c r="J104" s="29"/>
    </row>
    <row r="105" spans="1:10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18"/>
      <c r="F105" s="19" t="str">
        <f t="shared" ref="F105:F136" si="13">IF(OR(A105="",E105=""),"",IF(C105="","",C105+E105))</f>
        <v/>
      </c>
      <c r="G105" s="4"/>
      <c r="H105" s="20" t="str">
        <f t="shared" ref="H105:H136" si="14">IF(AND(A105&lt;&gt;"",E105&lt;&gt;"",G105&lt;&gt;""),"Saved","Pending")</f>
        <v>Pending</v>
      </c>
      <c r="I105" s="21" t="str">
        <f t="shared" ref="I105:I136" ca="1" si="15">IF(H105="Saved",TEXT(TODAY(),"YYYY-MM-DD")&amp;" Auto","—")</f>
        <v>—</v>
      </c>
      <c r="J105" s="22"/>
    </row>
    <row r="106" spans="1:10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18"/>
      <c r="F106" s="26" t="str">
        <f t="shared" si="13"/>
        <v/>
      </c>
      <c r="G106" s="8"/>
      <c r="H106" s="27" t="str">
        <f t="shared" si="14"/>
        <v>Pending</v>
      </c>
      <c r="I106" s="28" t="str">
        <f t="shared" ca="1" si="15"/>
        <v>—</v>
      </c>
      <c r="J106" s="29"/>
    </row>
    <row r="107" spans="1:10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18"/>
      <c r="F107" s="19" t="str">
        <f t="shared" si="13"/>
        <v/>
      </c>
      <c r="G107" s="4"/>
      <c r="H107" s="20" t="str">
        <f t="shared" si="14"/>
        <v>Pending</v>
      </c>
      <c r="I107" s="21" t="str">
        <f t="shared" ca="1" si="15"/>
        <v>—</v>
      </c>
      <c r="J107" s="22"/>
    </row>
    <row r="108" spans="1:10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18"/>
      <c r="F108" s="26" t="str">
        <f t="shared" si="13"/>
        <v/>
      </c>
      <c r="G108" s="8"/>
      <c r="H108" s="27" t="str">
        <f t="shared" si="14"/>
        <v>Pending</v>
      </c>
      <c r="I108" s="28" t="str">
        <f t="shared" ca="1" si="15"/>
        <v>—</v>
      </c>
      <c r="J108" s="29"/>
    </row>
    <row r="109" spans="1:10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18"/>
      <c r="F109" s="19" t="str">
        <f t="shared" si="13"/>
        <v/>
      </c>
      <c r="G109" s="4"/>
      <c r="H109" s="20" t="str">
        <f t="shared" si="14"/>
        <v>Pending</v>
      </c>
      <c r="I109" s="21" t="str">
        <f t="shared" ca="1" si="15"/>
        <v>—</v>
      </c>
      <c r="J109" s="22"/>
    </row>
    <row r="110" spans="1:10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18"/>
      <c r="F110" s="26" t="str">
        <f t="shared" si="13"/>
        <v/>
      </c>
      <c r="G110" s="8"/>
      <c r="H110" s="27" t="str">
        <f t="shared" si="14"/>
        <v>Pending</v>
      </c>
      <c r="I110" s="28" t="str">
        <f t="shared" ca="1" si="15"/>
        <v>—</v>
      </c>
      <c r="J110" s="29"/>
    </row>
    <row r="111" spans="1:10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18"/>
      <c r="F111" s="19" t="str">
        <f t="shared" si="13"/>
        <v/>
      </c>
      <c r="G111" s="4"/>
      <c r="H111" s="20" t="str">
        <f t="shared" si="14"/>
        <v>Pending</v>
      </c>
      <c r="I111" s="21" t="str">
        <f t="shared" ca="1" si="15"/>
        <v>—</v>
      </c>
      <c r="J111" s="22"/>
    </row>
    <row r="112" spans="1:10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18"/>
      <c r="F112" s="26" t="str">
        <f t="shared" si="13"/>
        <v/>
      </c>
      <c r="G112" s="8"/>
      <c r="H112" s="27" t="str">
        <f t="shared" si="14"/>
        <v>Pending</v>
      </c>
      <c r="I112" s="28" t="str">
        <f t="shared" ca="1" si="15"/>
        <v>—</v>
      </c>
      <c r="J112" s="29"/>
    </row>
    <row r="113" spans="1:10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18"/>
      <c r="F113" s="19" t="str">
        <f t="shared" si="13"/>
        <v/>
      </c>
      <c r="G113" s="4"/>
      <c r="H113" s="20" t="str">
        <f t="shared" si="14"/>
        <v>Pending</v>
      </c>
      <c r="I113" s="21" t="str">
        <f t="shared" ca="1" si="15"/>
        <v>—</v>
      </c>
      <c r="J113" s="22"/>
    </row>
    <row r="114" spans="1:10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18"/>
      <c r="F114" s="26" t="str">
        <f t="shared" si="13"/>
        <v/>
      </c>
      <c r="G114" s="8"/>
      <c r="H114" s="27" t="str">
        <f t="shared" si="14"/>
        <v>Pending</v>
      </c>
      <c r="I114" s="28" t="str">
        <f t="shared" ca="1" si="15"/>
        <v>—</v>
      </c>
      <c r="J114" s="29"/>
    </row>
    <row r="115" spans="1:10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18"/>
      <c r="F115" s="19" t="str">
        <f t="shared" si="13"/>
        <v/>
      </c>
      <c r="G115" s="4"/>
      <c r="H115" s="20" t="str">
        <f t="shared" si="14"/>
        <v>Pending</v>
      </c>
      <c r="I115" s="21" t="str">
        <f t="shared" ca="1" si="15"/>
        <v>—</v>
      </c>
      <c r="J115" s="22"/>
    </row>
    <row r="116" spans="1:10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18"/>
      <c r="F116" s="26" t="str">
        <f t="shared" si="13"/>
        <v/>
      </c>
      <c r="G116" s="8"/>
      <c r="H116" s="27" t="str">
        <f t="shared" si="14"/>
        <v>Pending</v>
      </c>
      <c r="I116" s="28" t="str">
        <f t="shared" ca="1" si="15"/>
        <v>—</v>
      </c>
      <c r="J116" s="29"/>
    </row>
    <row r="117" spans="1:10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18"/>
      <c r="F117" s="19" t="str">
        <f t="shared" si="13"/>
        <v/>
      </c>
      <c r="G117" s="4"/>
      <c r="H117" s="20" t="str">
        <f t="shared" si="14"/>
        <v>Pending</v>
      </c>
      <c r="I117" s="21" t="str">
        <f t="shared" ca="1" si="15"/>
        <v>—</v>
      </c>
      <c r="J117" s="22"/>
    </row>
    <row r="118" spans="1:10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18"/>
      <c r="F118" s="26" t="str">
        <f t="shared" si="13"/>
        <v/>
      </c>
      <c r="G118" s="8"/>
      <c r="H118" s="27" t="str">
        <f t="shared" si="14"/>
        <v>Pending</v>
      </c>
      <c r="I118" s="28" t="str">
        <f t="shared" ca="1" si="15"/>
        <v>—</v>
      </c>
      <c r="J118" s="29"/>
    </row>
    <row r="119" spans="1:10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18"/>
      <c r="F119" s="19" t="str">
        <f t="shared" si="13"/>
        <v/>
      </c>
      <c r="G119" s="4"/>
      <c r="H119" s="20" t="str">
        <f t="shared" si="14"/>
        <v>Pending</v>
      </c>
      <c r="I119" s="21" t="str">
        <f t="shared" ca="1" si="15"/>
        <v>—</v>
      </c>
      <c r="J119" s="22"/>
    </row>
    <row r="120" spans="1:10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18"/>
      <c r="F120" s="26" t="str">
        <f t="shared" si="13"/>
        <v/>
      </c>
      <c r="G120" s="8"/>
      <c r="H120" s="27" t="str">
        <f t="shared" si="14"/>
        <v>Pending</v>
      </c>
      <c r="I120" s="28" t="str">
        <f t="shared" ca="1" si="15"/>
        <v>—</v>
      </c>
      <c r="J120" s="29"/>
    </row>
    <row r="121" spans="1:10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18"/>
      <c r="F121" s="19" t="str">
        <f t="shared" si="13"/>
        <v/>
      </c>
      <c r="G121" s="4"/>
      <c r="H121" s="20" t="str">
        <f t="shared" si="14"/>
        <v>Pending</v>
      </c>
      <c r="I121" s="21" t="str">
        <f t="shared" ca="1" si="15"/>
        <v>—</v>
      </c>
      <c r="J121" s="22"/>
    </row>
    <row r="122" spans="1:10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18"/>
      <c r="F122" s="26" t="str">
        <f t="shared" si="13"/>
        <v/>
      </c>
      <c r="G122" s="8"/>
      <c r="H122" s="27" t="str">
        <f t="shared" si="14"/>
        <v>Pending</v>
      </c>
      <c r="I122" s="28" t="str">
        <f t="shared" ca="1" si="15"/>
        <v>—</v>
      </c>
      <c r="J122" s="29"/>
    </row>
    <row r="123" spans="1:10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18"/>
      <c r="F123" s="19" t="str">
        <f t="shared" si="13"/>
        <v/>
      </c>
      <c r="G123" s="4"/>
      <c r="H123" s="20" t="str">
        <f t="shared" si="14"/>
        <v>Pending</v>
      </c>
      <c r="I123" s="21" t="str">
        <f t="shared" ca="1" si="15"/>
        <v>—</v>
      </c>
      <c r="J123" s="22"/>
    </row>
    <row r="124" spans="1:10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18"/>
      <c r="F124" s="26" t="str">
        <f t="shared" si="13"/>
        <v/>
      </c>
      <c r="G124" s="8"/>
      <c r="H124" s="27" t="str">
        <f t="shared" si="14"/>
        <v>Pending</v>
      </c>
      <c r="I124" s="28" t="str">
        <f t="shared" ca="1" si="15"/>
        <v>—</v>
      </c>
      <c r="J124" s="29"/>
    </row>
    <row r="125" spans="1:10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18"/>
      <c r="F125" s="19" t="str">
        <f t="shared" si="13"/>
        <v/>
      </c>
      <c r="G125" s="4"/>
      <c r="H125" s="20" t="str">
        <f t="shared" si="14"/>
        <v>Pending</v>
      </c>
      <c r="I125" s="21" t="str">
        <f t="shared" ca="1" si="15"/>
        <v>—</v>
      </c>
      <c r="J125" s="22"/>
    </row>
    <row r="126" spans="1:10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18"/>
      <c r="F126" s="26" t="str">
        <f t="shared" si="13"/>
        <v/>
      </c>
      <c r="G126" s="8"/>
      <c r="H126" s="27" t="str">
        <f t="shared" si="14"/>
        <v>Pending</v>
      </c>
      <c r="I126" s="28" t="str">
        <f t="shared" ca="1" si="15"/>
        <v>—</v>
      </c>
      <c r="J126" s="29"/>
    </row>
    <row r="127" spans="1:10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18"/>
      <c r="F127" s="19" t="str">
        <f t="shared" si="13"/>
        <v/>
      </c>
      <c r="G127" s="4"/>
      <c r="H127" s="20" t="str">
        <f t="shared" si="14"/>
        <v>Pending</v>
      </c>
      <c r="I127" s="21" t="str">
        <f t="shared" ca="1" si="15"/>
        <v>—</v>
      </c>
      <c r="J127" s="22"/>
    </row>
    <row r="128" spans="1:10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18"/>
      <c r="F128" s="26" t="str">
        <f t="shared" si="13"/>
        <v/>
      </c>
      <c r="G128" s="8"/>
      <c r="H128" s="27" t="str">
        <f t="shared" si="14"/>
        <v>Pending</v>
      </c>
      <c r="I128" s="28" t="str">
        <f t="shared" ca="1" si="15"/>
        <v>—</v>
      </c>
      <c r="J128" s="29"/>
    </row>
    <row r="129" spans="1:10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18"/>
      <c r="F129" s="19" t="str">
        <f t="shared" si="13"/>
        <v/>
      </c>
      <c r="G129" s="4"/>
      <c r="H129" s="20" t="str">
        <f t="shared" si="14"/>
        <v>Pending</v>
      </c>
      <c r="I129" s="21" t="str">
        <f t="shared" ca="1" si="15"/>
        <v>—</v>
      </c>
      <c r="J129" s="22"/>
    </row>
    <row r="130" spans="1:10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18"/>
      <c r="F130" s="26" t="str">
        <f t="shared" si="13"/>
        <v/>
      </c>
      <c r="G130" s="8"/>
      <c r="H130" s="27" t="str">
        <f t="shared" si="14"/>
        <v>Pending</v>
      </c>
      <c r="I130" s="28" t="str">
        <f t="shared" ca="1" si="15"/>
        <v>—</v>
      </c>
      <c r="J130" s="29"/>
    </row>
    <row r="131" spans="1:10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18"/>
      <c r="F131" s="19" t="str">
        <f t="shared" si="13"/>
        <v/>
      </c>
      <c r="G131" s="4"/>
      <c r="H131" s="20" t="str">
        <f t="shared" si="14"/>
        <v>Pending</v>
      </c>
      <c r="I131" s="21" t="str">
        <f t="shared" ca="1" si="15"/>
        <v>—</v>
      </c>
      <c r="J131" s="22"/>
    </row>
    <row r="132" spans="1:10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18"/>
      <c r="F132" s="26" t="str">
        <f t="shared" si="13"/>
        <v/>
      </c>
      <c r="G132" s="8"/>
      <c r="H132" s="27" t="str">
        <f t="shared" si="14"/>
        <v>Pending</v>
      </c>
      <c r="I132" s="28" t="str">
        <f t="shared" ca="1" si="15"/>
        <v>—</v>
      </c>
      <c r="J132" s="29"/>
    </row>
    <row r="133" spans="1:10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18"/>
      <c r="F133" s="19" t="str">
        <f t="shared" si="13"/>
        <v/>
      </c>
      <c r="G133" s="4"/>
      <c r="H133" s="20" t="str">
        <f t="shared" si="14"/>
        <v>Pending</v>
      </c>
      <c r="I133" s="21" t="str">
        <f t="shared" ca="1" si="15"/>
        <v>—</v>
      </c>
      <c r="J133" s="22"/>
    </row>
    <row r="134" spans="1:10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18"/>
      <c r="F134" s="26" t="str">
        <f t="shared" si="13"/>
        <v/>
      </c>
      <c r="G134" s="8"/>
      <c r="H134" s="27" t="str">
        <f t="shared" si="14"/>
        <v>Pending</v>
      </c>
      <c r="I134" s="28" t="str">
        <f t="shared" ca="1" si="15"/>
        <v>—</v>
      </c>
      <c r="J134" s="29"/>
    </row>
    <row r="135" spans="1:10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18"/>
      <c r="F135" s="19" t="str">
        <f t="shared" si="13"/>
        <v/>
      </c>
      <c r="G135" s="4"/>
      <c r="H135" s="20" t="str">
        <f t="shared" si="14"/>
        <v>Pending</v>
      </c>
      <c r="I135" s="21" t="str">
        <f t="shared" ca="1" si="15"/>
        <v>—</v>
      </c>
      <c r="J135" s="22"/>
    </row>
    <row r="136" spans="1:10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18"/>
      <c r="F136" s="26" t="str">
        <f t="shared" si="13"/>
        <v/>
      </c>
      <c r="G136" s="8"/>
      <c r="H136" s="27" t="str">
        <f t="shared" si="14"/>
        <v>Pending</v>
      </c>
      <c r="I136" s="28" t="str">
        <f t="shared" ca="1" si="15"/>
        <v>—</v>
      </c>
      <c r="J136" s="29"/>
    </row>
    <row r="137" spans="1:10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18"/>
      <c r="F137" s="19" t="str">
        <f t="shared" ref="F137:F168" si="17">IF(OR(A137="",E137=""),"",IF(C137="","",C137+E137))</f>
        <v/>
      </c>
      <c r="G137" s="4"/>
      <c r="H137" s="20" t="str">
        <f t="shared" ref="H137:H168" si="18">IF(AND(A137&lt;&gt;"",E137&lt;&gt;"",G137&lt;&gt;""),"Saved","Pending")</f>
        <v>Pending</v>
      </c>
      <c r="I137" s="21" t="str">
        <f t="shared" ref="I137:I168" ca="1" si="19">IF(H137="Saved",TEXT(TODAY(),"YYYY-MM-DD")&amp;" Auto","—")</f>
        <v>—</v>
      </c>
      <c r="J137" s="22"/>
    </row>
    <row r="138" spans="1:10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18"/>
      <c r="F138" s="26" t="str">
        <f t="shared" si="17"/>
        <v/>
      </c>
      <c r="G138" s="8"/>
      <c r="H138" s="27" t="str">
        <f t="shared" si="18"/>
        <v>Pending</v>
      </c>
      <c r="I138" s="28" t="str">
        <f t="shared" ca="1" si="19"/>
        <v>—</v>
      </c>
      <c r="J138" s="29"/>
    </row>
    <row r="139" spans="1:10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18"/>
      <c r="F139" s="19" t="str">
        <f t="shared" si="17"/>
        <v/>
      </c>
      <c r="G139" s="4"/>
      <c r="H139" s="20" t="str">
        <f t="shared" si="18"/>
        <v>Pending</v>
      </c>
      <c r="I139" s="21" t="str">
        <f t="shared" ca="1" si="19"/>
        <v>—</v>
      </c>
      <c r="J139" s="22"/>
    </row>
    <row r="140" spans="1:10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18"/>
      <c r="F140" s="26" t="str">
        <f t="shared" si="17"/>
        <v/>
      </c>
      <c r="G140" s="8"/>
      <c r="H140" s="27" t="str">
        <f t="shared" si="18"/>
        <v>Pending</v>
      </c>
      <c r="I140" s="28" t="str">
        <f t="shared" ca="1" si="19"/>
        <v>—</v>
      </c>
      <c r="J140" s="29"/>
    </row>
    <row r="141" spans="1:10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18"/>
      <c r="F141" s="19" t="str">
        <f t="shared" si="17"/>
        <v/>
      </c>
      <c r="G141" s="4"/>
      <c r="H141" s="20" t="str">
        <f t="shared" si="18"/>
        <v>Pending</v>
      </c>
      <c r="I141" s="21" t="str">
        <f t="shared" ca="1" si="19"/>
        <v>—</v>
      </c>
      <c r="J141" s="22"/>
    </row>
    <row r="142" spans="1:10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18"/>
      <c r="F142" s="26" t="str">
        <f t="shared" si="17"/>
        <v/>
      </c>
      <c r="G142" s="8"/>
      <c r="H142" s="27" t="str">
        <f t="shared" si="18"/>
        <v>Pending</v>
      </c>
      <c r="I142" s="28" t="str">
        <f t="shared" ca="1" si="19"/>
        <v>—</v>
      </c>
      <c r="J142" s="29"/>
    </row>
    <row r="143" spans="1:10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18"/>
      <c r="F143" s="19" t="str">
        <f t="shared" si="17"/>
        <v/>
      </c>
      <c r="G143" s="4"/>
      <c r="H143" s="20" t="str">
        <f t="shared" si="18"/>
        <v>Pending</v>
      </c>
      <c r="I143" s="21" t="str">
        <f t="shared" ca="1" si="19"/>
        <v>—</v>
      </c>
      <c r="J143" s="22"/>
    </row>
    <row r="144" spans="1:10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18"/>
      <c r="F144" s="26" t="str">
        <f t="shared" si="17"/>
        <v/>
      </c>
      <c r="G144" s="8"/>
      <c r="H144" s="27" t="str">
        <f t="shared" si="18"/>
        <v>Pending</v>
      </c>
      <c r="I144" s="28" t="str">
        <f t="shared" ca="1" si="19"/>
        <v>—</v>
      </c>
      <c r="J144" s="29"/>
    </row>
    <row r="145" spans="1:10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18"/>
      <c r="F145" s="19" t="str">
        <f t="shared" si="17"/>
        <v/>
      </c>
      <c r="G145" s="4"/>
      <c r="H145" s="20" t="str">
        <f t="shared" si="18"/>
        <v>Pending</v>
      </c>
      <c r="I145" s="21" t="str">
        <f t="shared" ca="1" si="19"/>
        <v>—</v>
      </c>
      <c r="J145" s="22"/>
    </row>
    <row r="146" spans="1:10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18"/>
      <c r="F146" s="26" t="str">
        <f t="shared" si="17"/>
        <v/>
      </c>
      <c r="G146" s="8"/>
      <c r="H146" s="27" t="str">
        <f t="shared" si="18"/>
        <v>Pending</v>
      </c>
      <c r="I146" s="28" t="str">
        <f t="shared" ca="1" si="19"/>
        <v>—</v>
      </c>
      <c r="J146" s="29"/>
    </row>
    <row r="147" spans="1:10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18"/>
      <c r="F147" s="19" t="str">
        <f t="shared" si="17"/>
        <v/>
      </c>
      <c r="G147" s="4"/>
      <c r="H147" s="20" t="str">
        <f t="shared" si="18"/>
        <v>Pending</v>
      </c>
      <c r="I147" s="21" t="str">
        <f t="shared" ca="1" si="19"/>
        <v>—</v>
      </c>
      <c r="J147" s="22"/>
    </row>
    <row r="148" spans="1:10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18"/>
      <c r="F148" s="26" t="str">
        <f t="shared" si="17"/>
        <v/>
      </c>
      <c r="G148" s="8"/>
      <c r="H148" s="27" t="str">
        <f t="shared" si="18"/>
        <v>Pending</v>
      </c>
      <c r="I148" s="28" t="str">
        <f t="shared" ca="1" si="19"/>
        <v>—</v>
      </c>
      <c r="J148" s="29"/>
    </row>
    <row r="149" spans="1:10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18"/>
      <c r="F149" s="19" t="str">
        <f t="shared" si="17"/>
        <v/>
      </c>
      <c r="G149" s="4"/>
      <c r="H149" s="20" t="str">
        <f t="shared" si="18"/>
        <v>Pending</v>
      </c>
      <c r="I149" s="21" t="str">
        <f t="shared" ca="1" si="19"/>
        <v>—</v>
      </c>
      <c r="J149" s="22"/>
    </row>
    <row r="150" spans="1:10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18"/>
      <c r="F150" s="26" t="str">
        <f t="shared" si="17"/>
        <v/>
      </c>
      <c r="G150" s="8"/>
      <c r="H150" s="27" t="str">
        <f t="shared" si="18"/>
        <v>Pending</v>
      </c>
      <c r="I150" s="28" t="str">
        <f t="shared" ca="1" si="19"/>
        <v>—</v>
      </c>
      <c r="J150" s="29"/>
    </row>
    <row r="151" spans="1:10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18"/>
      <c r="F151" s="19" t="str">
        <f t="shared" si="17"/>
        <v/>
      </c>
      <c r="G151" s="4"/>
      <c r="H151" s="20" t="str">
        <f t="shared" si="18"/>
        <v>Pending</v>
      </c>
      <c r="I151" s="21" t="str">
        <f t="shared" ca="1" si="19"/>
        <v>—</v>
      </c>
      <c r="J151" s="22"/>
    </row>
    <row r="152" spans="1:10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18"/>
      <c r="F152" s="26" t="str">
        <f t="shared" si="17"/>
        <v/>
      </c>
      <c r="G152" s="8"/>
      <c r="H152" s="27" t="str">
        <f t="shared" si="18"/>
        <v>Pending</v>
      </c>
      <c r="I152" s="28" t="str">
        <f t="shared" ca="1" si="19"/>
        <v>—</v>
      </c>
      <c r="J152" s="29"/>
    </row>
    <row r="153" spans="1:10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18"/>
      <c r="F153" s="19" t="str">
        <f t="shared" si="17"/>
        <v/>
      </c>
      <c r="G153" s="4"/>
      <c r="H153" s="20" t="str">
        <f t="shared" si="18"/>
        <v>Pending</v>
      </c>
      <c r="I153" s="21" t="str">
        <f t="shared" ca="1" si="19"/>
        <v>—</v>
      </c>
      <c r="J153" s="22"/>
    </row>
    <row r="154" spans="1:10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18"/>
      <c r="F154" s="26" t="str">
        <f t="shared" si="17"/>
        <v/>
      </c>
      <c r="G154" s="8"/>
      <c r="H154" s="27" t="str">
        <f t="shared" si="18"/>
        <v>Pending</v>
      </c>
      <c r="I154" s="28" t="str">
        <f t="shared" ca="1" si="19"/>
        <v>—</v>
      </c>
      <c r="J154" s="29"/>
    </row>
    <row r="155" spans="1:10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18"/>
      <c r="F155" s="19" t="str">
        <f t="shared" si="17"/>
        <v/>
      </c>
      <c r="G155" s="4"/>
      <c r="H155" s="20" t="str">
        <f t="shared" si="18"/>
        <v>Pending</v>
      </c>
      <c r="I155" s="21" t="str">
        <f t="shared" ca="1" si="19"/>
        <v>—</v>
      </c>
      <c r="J155" s="22"/>
    </row>
    <row r="156" spans="1:10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18"/>
      <c r="F156" s="26" t="str">
        <f t="shared" si="17"/>
        <v/>
      </c>
      <c r="G156" s="8"/>
      <c r="H156" s="27" t="str">
        <f t="shared" si="18"/>
        <v>Pending</v>
      </c>
      <c r="I156" s="28" t="str">
        <f t="shared" ca="1" si="19"/>
        <v>—</v>
      </c>
      <c r="J156" s="29"/>
    </row>
    <row r="157" spans="1:10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18"/>
      <c r="F157" s="19" t="str">
        <f t="shared" si="17"/>
        <v/>
      </c>
      <c r="G157" s="4"/>
      <c r="H157" s="20" t="str">
        <f t="shared" si="18"/>
        <v>Pending</v>
      </c>
      <c r="I157" s="21" t="str">
        <f t="shared" ca="1" si="19"/>
        <v>—</v>
      </c>
      <c r="J157" s="22"/>
    </row>
    <row r="158" spans="1:10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18"/>
      <c r="F158" s="26" t="str">
        <f t="shared" si="17"/>
        <v/>
      </c>
      <c r="G158" s="8"/>
      <c r="H158" s="27" t="str">
        <f t="shared" si="18"/>
        <v>Pending</v>
      </c>
      <c r="I158" s="28" t="str">
        <f t="shared" ca="1" si="19"/>
        <v>—</v>
      </c>
      <c r="J158" s="29"/>
    </row>
    <row r="159" spans="1:10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18"/>
      <c r="F159" s="19" t="str">
        <f t="shared" si="17"/>
        <v/>
      </c>
      <c r="G159" s="4"/>
      <c r="H159" s="20" t="str">
        <f t="shared" si="18"/>
        <v>Pending</v>
      </c>
      <c r="I159" s="21" t="str">
        <f t="shared" ca="1" si="19"/>
        <v>—</v>
      </c>
      <c r="J159" s="22"/>
    </row>
    <row r="160" spans="1:10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18"/>
      <c r="F160" s="26" t="str">
        <f t="shared" si="17"/>
        <v/>
      </c>
      <c r="G160" s="8"/>
      <c r="H160" s="27" t="str">
        <f t="shared" si="18"/>
        <v>Pending</v>
      </c>
      <c r="I160" s="28" t="str">
        <f t="shared" ca="1" si="19"/>
        <v>—</v>
      </c>
      <c r="J160" s="29"/>
    </row>
    <row r="161" spans="1:10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18"/>
      <c r="F161" s="19" t="str">
        <f t="shared" si="17"/>
        <v/>
      </c>
      <c r="G161" s="4"/>
      <c r="H161" s="20" t="str">
        <f t="shared" si="18"/>
        <v>Pending</v>
      </c>
      <c r="I161" s="21" t="str">
        <f t="shared" ca="1" si="19"/>
        <v>—</v>
      </c>
      <c r="J161" s="22"/>
    </row>
    <row r="162" spans="1:10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18"/>
      <c r="F162" s="26" t="str">
        <f t="shared" si="17"/>
        <v/>
      </c>
      <c r="G162" s="8"/>
      <c r="H162" s="27" t="str">
        <f t="shared" si="18"/>
        <v>Pending</v>
      </c>
      <c r="I162" s="28" t="str">
        <f t="shared" ca="1" si="19"/>
        <v>—</v>
      </c>
      <c r="J162" s="29"/>
    </row>
    <row r="163" spans="1:10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18"/>
      <c r="F163" s="19" t="str">
        <f t="shared" si="17"/>
        <v/>
      </c>
      <c r="G163" s="4"/>
      <c r="H163" s="20" t="str">
        <f t="shared" si="18"/>
        <v>Pending</v>
      </c>
      <c r="I163" s="21" t="str">
        <f t="shared" ca="1" si="19"/>
        <v>—</v>
      </c>
      <c r="J163" s="22"/>
    </row>
    <row r="164" spans="1:10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18"/>
      <c r="F164" s="26" t="str">
        <f t="shared" si="17"/>
        <v/>
      </c>
      <c r="G164" s="8"/>
      <c r="H164" s="27" t="str">
        <f t="shared" si="18"/>
        <v>Pending</v>
      </c>
      <c r="I164" s="28" t="str">
        <f t="shared" ca="1" si="19"/>
        <v>—</v>
      </c>
      <c r="J164" s="29"/>
    </row>
    <row r="165" spans="1:10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18"/>
      <c r="F165" s="19" t="str">
        <f t="shared" si="17"/>
        <v/>
      </c>
      <c r="G165" s="4"/>
      <c r="H165" s="20" t="str">
        <f t="shared" si="18"/>
        <v>Pending</v>
      </c>
      <c r="I165" s="21" t="str">
        <f t="shared" ca="1" si="19"/>
        <v>—</v>
      </c>
      <c r="J165" s="22"/>
    </row>
    <row r="166" spans="1:10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18"/>
      <c r="F166" s="26" t="str">
        <f t="shared" si="17"/>
        <v/>
      </c>
      <c r="G166" s="8"/>
      <c r="H166" s="27" t="str">
        <f t="shared" si="18"/>
        <v>Pending</v>
      </c>
      <c r="I166" s="28" t="str">
        <f t="shared" ca="1" si="19"/>
        <v>—</v>
      </c>
      <c r="J166" s="29"/>
    </row>
    <row r="167" spans="1:10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18"/>
      <c r="F167" s="19" t="str">
        <f t="shared" si="17"/>
        <v/>
      </c>
      <c r="G167" s="4"/>
      <c r="H167" s="20" t="str">
        <f t="shared" si="18"/>
        <v>Pending</v>
      </c>
      <c r="I167" s="21" t="str">
        <f t="shared" ca="1" si="19"/>
        <v>—</v>
      </c>
      <c r="J167" s="22"/>
    </row>
    <row r="168" spans="1:10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18"/>
      <c r="F168" s="26" t="str">
        <f t="shared" si="17"/>
        <v/>
      </c>
      <c r="G168" s="8"/>
      <c r="H168" s="27" t="str">
        <f t="shared" si="18"/>
        <v>Pending</v>
      </c>
      <c r="I168" s="28" t="str">
        <f t="shared" ca="1" si="19"/>
        <v>—</v>
      </c>
      <c r="J168" s="29"/>
    </row>
    <row r="169" spans="1:10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18"/>
      <c r="F169" s="19" t="str">
        <f t="shared" ref="F169:F200" si="21">IF(OR(A169="",E169=""),"",IF(C169="","",C169+E169))</f>
        <v/>
      </c>
      <c r="G169" s="4"/>
      <c r="H169" s="20" t="str">
        <f t="shared" ref="H169:H200" si="22">IF(AND(A169&lt;&gt;"",E169&lt;&gt;"",G169&lt;&gt;""),"Saved","Pending")</f>
        <v>Pending</v>
      </c>
      <c r="I169" s="21" t="str">
        <f t="shared" ref="I169:I200" ca="1" si="23">IF(H169="Saved",TEXT(TODAY(),"YYYY-MM-DD")&amp;" Auto","—")</f>
        <v>—</v>
      </c>
      <c r="J169" s="22"/>
    </row>
    <row r="170" spans="1:10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18"/>
      <c r="F170" s="26" t="str">
        <f t="shared" si="21"/>
        <v/>
      </c>
      <c r="G170" s="8"/>
      <c r="H170" s="27" t="str">
        <f t="shared" si="22"/>
        <v>Pending</v>
      </c>
      <c r="I170" s="28" t="str">
        <f t="shared" ca="1" si="23"/>
        <v>—</v>
      </c>
      <c r="J170" s="29"/>
    </row>
    <row r="171" spans="1:10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18"/>
      <c r="F171" s="19" t="str">
        <f t="shared" si="21"/>
        <v/>
      </c>
      <c r="G171" s="4"/>
      <c r="H171" s="20" t="str">
        <f t="shared" si="22"/>
        <v>Pending</v>
      </c>
      <c r="I171" s="21" t="str">
        <f t="shared" ca="1" si="23"/>
        <v>—</v>
      </c>
      <c r="J171" s="22"/>
    </row>
    <row r="172" spans="1:10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18"/>
      <c r="F172" s="26" t="str">
        <f t="shared" si="21"/>
        <v/>
      </c>
      <c r="G172" s="8"/>
      <c r="H172" s="27" t="str">
        <f t="shared" si="22"/>
        <v>Pending</v>
      </c>
      <c r="I172" s="28" t="str">
        <f t="shared" ca="1" si="23"/>
        <v>—</v>
      </c>
      <c r="J172" s="29"/>
    </row>
    <row r="173" spans="1:10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18"/>
      <c r="F173" s="19" t="str">
        <f t="shared" si="21"/>
        <v/>
      </c>
      <c r="G173" s="4"/>
      <c r="H173" s="20" t="str">
        <f t="shared" si="22"/>
        <v>Pending</v>
      </c>
      <c r="I173" s="21" t="str">
        <f t="shared" ca="1" si="23"/>
        <v>—</v>
      </c>
      <c r="J173" s="22"/>
    </row>
    <row r="174" spans="1:10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18"/>
      <c r="F174" s="26" t="str">
        <f t="shared" si="21"/>
        <v/>
      </c>
      <c r="G174" s="8"/>
      <c r="H174" s="27" t="str">
        <f t="shared" si="22"/>
        <v>Pending</v>
      </c>
      <c r="I174" s="28" t="str">
        <f t="shared" ca="1" si="23"/>
        <v>—</v>
      </c>
      <c r="J174" s="29"/>
    </row>
    <row r="175" spans="1:10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18"/>
      <c r="F175" s="19" t="str">
        <f t="shared" si="21"/>
        <v/>
      </c>
      <c r="G175" s="4"/>
      <c r="H175" s="20" t="str">
        <f t="shared" si="22"/>
        <v>Pending</v>
      </c>
      <c r="I175" s="21" t="str">
        <f t="shared" ca="1" si="23"/>
        <v>—</v>
      </c>
      <c r="J175" s="22"/>
    </row>
    <row r="176" spans="1:10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18"/>
      <c r="F176" s="26" t="str">
        <f t="shared" si="21"/>
        <v/>
      </c>
      <c r="G176" s="8"/>
      <c r="H176" s="27" t="str">
        <f t="shared" si="22"/>
        <v>Pending</v>
      </c>
      <c r="I176" s="28" t="str">
        <f t="shared" ca="1" si="23"/>
        <v>—</v>
      </c>
      <c r="J176" s="29"/>
    </row>
    <row r="177" spans="1:10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18"/>
      <c r="F177" s="19" t="str">
        <f t="shared" si="21"/>
        <v/>
      </c>
      <c r="G177" s="4"/>
      <c r="H177" s="20" t="str">
        <f t="shared" si="22"/>
        <v>Pending</v>
      </c>
      <c r="I177" s="21" t="str">
        <f t="shared" ca="1" si="23"/>
        <v>—</v>
      </c>
      <c r="J177" s="22"/>
    </row>
    <row r="178" spans="1:10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18"/>
      <c r="F178" s="26" t="str">
        <f t="shared" si="21"/>
        <v/>
      </c>
      <c r="G178" s="8"/>
      <c r="H178" s="27" t="str">
        <f t="shared" si="22"/>
        <v>Pending</v>
      </c>
      <c r="I178" s="28" t="str">
        <f t="shared" ca="1" si="23"/>
        <v>—</v>
      </c>
      <c r="J178" s="29"/>
    </row>
    <row r="179" spans="1:10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18"/>
      <c r="F179" s="19" t="str">
        <f t="shared" si="21"/>
        <v/>
      </c>
      <c r="G179" s="4"/>
      <c r="H179" s="20" t="str">
        <f t="shared" si="22"/>
        <v>Pending</v>
      </c>
      <c r="I179" s="21" t="str">
        <f t="shared" ca="1" si="23"/>
        <v>—</v>
      </c>
      <c r="J179" s="22"/>
    </row>
    <row r="180" spans="1:10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18"/>
      <c r="F180" s="26" t="str">
        <f t="shared" si="21"/>
        <v/>
      </c>
      <c r="G180" s="8"/>
      <c r="H180" s="27" t="str">
        <f t="shared" si="22"/>
        <v>Pending</v>
      </c>
      <c r="I180" s="28" t="str">
        <f t="shared" ca="1" si="23"/>
        <v>—</v>
      </c>
      <c r="J180" s="29"/>
    </row>
    <row r="181" spans="1:10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18"/>
      <c r="F181" s="19" t="str">
        <f t="shared" si="21"/>
        <v/>
      </c>
      <c r="G181" s="4"/>
      <c r="H181" s="20" t="str">
        <f t="shared" si="22"/>
        <v>Pending</v>
      </c>
      <c r="I181" s="21" t="str">
        <f t="shared" ca="1" si="23"/>
        <v>—</v>
      </c>
      <c r="J181" s="22"/>
    </row>
    <row r="182" spans="1:10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18"/>
      <c r="F182" s="26" t="str">
        <f t="shared" si="21"/>
        <v/>
      </c>
      <c r="G182" s="8"/>
      <c r="H182" s="27" t="str">
        <f t="shared" si="22"/>
        <v>Pending</v>
      </c>
      <c r="I182" s="28" t="str">
        <f t="shared" ca="1" si="23"/>
        <v>—</v>
      </c>
      <c r="J182" s="29"/>
    </row>
    <row r="183" spans="1:10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18"/>
      <c r="F183" s="19" t="str">
        <f t="shared" si="21"/>
        <v/>
      </c>
      <c r="G183" s="4"/>
      <c r="H183" s="20" t="str">
        <f t="shared" si="22"/>
        <v>Pending</v>
      </c>
      <c r="I183" s="21" t="str">
        <f t="shared" ca="1" si="23"/>
        <v>—</v>
      </c>
      <c r="J183" s="22"/>
    </row>
    <row r="184" spans="1:10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18"/>
      <c r="F184" s="26" t="str">
        <f t="shared" si="21"/>
        <v/>
      </c>
      <c r="G184" s="8"/>
      <c r="H184" s="27" t="str">
        <f t="shared" si="22"/>
        <v>Pending</v>
      </c>
      <c r="I184" s="28" t="str">
        <f t="shared" ca="1" si="23"/>
        <v>—</v>
      </c>
      <c r="J184" s="29"/>
    </row>
    <row r="185" spans="1:10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18"/>
      <c r="F185" s="19" t="str">
        <f t="shared" si="21"/>
        <v/>
      </c>
      <c r="G185" s="4"/>
      <c r="H185" s="20" t="str">
        <f t="shared" si="22"/>
        <v>Pending</v>
      </c>
      <c r="I185" s="21" t="str">
        <f t="shared" ca="1" si="23"/>
        <v>—</v>
      </c>
      <c r="J185" s="22"/>
    </row>
    <row r="186" spans="1:10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18"/>
      <c r="F186" s="26" t="str">
        <f t="shared" si="21"/>
        <v/>
      </c>
      <c r="G186" s="8"/>
      <c r="H186" s="27" t="str">
        <f t="shared" si="22"/>
        <v>Pending</v>
      </c>
      <c r="I186" s="28" t="str">
        <f t="shared" ca="1" si="23"/>
        <v>—</v>
      </c>
      <c r="J186" s="29"/>
    </row>
    <row r="187" spans="1:10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18"/>
      <c r="F187" s="19" t="str">
        <f t="shared" si="21"/>
        <v/>
      </c>
      <c r="G187" s="4"/>
      <c r="H187" s="20" t="str">
        <f t="shared" si="22"/>
        <v>Pending</v>
      </c>
      <c r="I187" s="21" t="str">
        <f t="shared" ca="1" si="23"/>
        <v>—</v>
      </c>
      <c r="J187" s="22"/>
    </row>
    <row r="188" spans="1:10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18"/>
      <c r="F188" s="26" t="str">
        <f t="shared" si="21"/>
        <v/>
      </c>
      <c r="G188" s="8"/>
      <c r="H188" s="27" t="str">
        <f t="shared" si="22"/>
        <v>Pending</v>
      </c>
      <c r="I188" s="28" t="str">
        <f t="shared" ca="1" si="23"/>
        <v>—</v>
      </c>
      <c r="J188" s="29"/>
    </row>
    <row r="189" spans="1:10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18"/>
      <c r="F189" s="19" t="str">
        <f t="shared" si="21"/>
        <v/>
      </c>
      <c r="G189" s="4"/>
      <c r="H189" s="20" t="str">
        <f t="shared" si="22"/>
        <v>Pending</v>
      </c>
      <c r="I189" s="21" t="str">
        <f t="shared" ca="1" si="23"/>
        <v>—</v>
      </c>
      <c r="J189" s="22"/>
    </row>
    <row r="190" spans="1:10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18"/>
      <c r="F190" s="26" t="str">
        <f t="shared" si="21"/>
        <v/>
      </c>
      <c r="G190" s="8"/>
      <c r="H190" s="27" t="str">
        <f t="shared" si="22"/>
        <v>Pending</v>
      </c>
      <c r="I190" s="28" t="str">
        <f t="shared" ca="1" si="23"/>
        <v>—</v>
      </c>
      <c r="J190" s="29"/>
    </row>
    <row r="191" spans="1:10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18"/>
      <c r="F191" s="19" t="str">
        <f t="shared" si="21"/>
        <v/>
      </c>
      <c r="G191" s="4"/>
      <c r="H191" s="20" t="str">
        <f t="shared" si="22"/>
        <v>Pending</v>
      </c>
      <c r="I191" s="21" t="str">
        <f t="shared" ca="1" si="23"/>
        <v>—</v>
      </c>
      <c r="J191" s="22"/>
    </row>
    <row r="192" spans="1:10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18"/>
      <c r="F192" s="26" t="str">
        <f t="shared" si="21"/>
        <v/>
      </c>
      <c r="G192" s="8"/>
      <c r="H192" s="27" t="str">
        <f t="shared" si="22"/>
        <v>Pending</v>
      </c>
      <c r="I192" s="28" t="str">
        <f t="shared" ca="1" si="23"/>
        <v>—</v>
      </c>
      <c r="J192" s="29"/>
    </row>
    <row r="193" spans="1:10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18"/>
      <c r="F193" s="19" t="str">
        <f t="shared" si="21"/>
        <v/>
      </c>
      <c r="G193" s="4"/>
      <c r="H193" s="20" t="str">
        <f t="shared" si="22"/>
        <v>Pending</v>
      </c>
      <c r="I193" s="21" t="str">
        <f t="shared" ca="1" si="23"/>
        <v>—</v>
      </c>
      <c r="J193" s="22"/>
    </row>
    <row r="194" spans="1:10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18"/>
      <c r="F194" s="26" t="str">
        <f t="shared" si="21"/>
        <v/>
      </c>
      <c r="G194" s="8"/>
      <c r="H194" s="27" t="str">
        <f t="shared" si="22"/>
        <v>Pending</v>
      </c>
      <c r="I194" s="28" t="str">
        <f t="shared" ca="1" si="23"/>
        <v>—</v>
      </c>
      <c r="J194" s="29"/>
    </row>
    <row r="195" spans="1:10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18"/>
      <c r="F195" s="19" t="str">
        <f t="shared" si="21"/>
        <v/>
      </c>
      <c r="G195" s="4"/>
      <c r="H195" s="20" t="str">
        <f t="shared" si="22"/>
        <v>Pending</v>
      </c>
      <c r="I195" s="21" t="str">
        <f t="shared" ca="1" si="23"/>
        <v>—</v>
      </c>
      <c r="J195" s="22"/>
    </row>
    <row r="196" spans="1:10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18"/>
      <c r="F196" s="26" t="str">
        <f t="shared" si="21"/>
        <v/>
      </c>
      <c r="G196" s="8"/>
      <c r="H196" s="27" t="str">
        <f t="shared" si="22"/>
        <v>Pending</v>
      </c>
      <c r="I196" s="28" t="str">
        <f t="shared" ca="1" si="23"/>
        <v>—</v>
      </c>
      <c r="J196" s="29"/>
    </row>
    <row r="197" spans="1:10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18"/>
      <c r="F197" s="19" t="str">
        <f t="shared" si="21"/>
        <v/>
      </c>
      <c r="G197" s="4"/>
      <c r="H197" s="20" t="str">
        <f t="shared" si="22"/>
        <v>Pending</v>
      </c>
      <c r="I197" s="21" t="str">
        <f t="shared" ca="1" si="23"/>
        <v>—</v>
      </c>
      <c r="J197" s="22"/>
    </row>
    <row r="198" spans="1:10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18"/>
      <c r="F198" s="26" t="str">
        <f t="shared" si="21"/>
        <v/>
      </c>
      <c r="G198" s="8"/>
      <c r="H198" s="27" t="str">
        <f t="shared" si="22"/>
        <v>Pending</v>
      </c>
      <c r="I198" s="28" t="str">
        <f t="shared" ca="1" si="23"/>
        <v>—</v>
      </c>
      <c r="J198" s="29"/>
    </row>
    <row r="199" spans="1:10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18"/>
      <c r="F199" s="19" t="str">
        <f t="shared" si="21"/>
        <v/>
      </c>
      <c r="G199" s="4"/>
      <c r="H199" s="20" t="str">
        <f t="shared" si="22"/>
        <v>Pending</v>
      </c>
      <c r="I199" s="21" t="str">
        <f t="shared" ca="1" si="23"/>
        <v>—</v>
      </c>
      <c r="J199" s="22"/>
    </row>
    <row r="200" spans="1:10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18"/>
      <c r="F200" s="26" t="str">
        <f t="shared" si="21"/>
        <v/>
      </c>
      <c r="G200" s="8"/>
      <c r="H200" s="27" t="str">
        <f t="shared" si="22"/>
        <v>Pending</v>
      </c>
      <c r="I200" s="28" t="str">
        <f t="shared" ca="1" si="23"/>
        <v>—</v>
      </c>
      <c r="J200" s="29"/>
    </row>
    <row r="201" spans="1:10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18"/>
      <c r="F201" s="19" t="str">
        <f t="shared" ref="F201:F208" si="25">IF(OR(A201="",E201=""),"",IF(C201="","",C201+E201))</f>
        <v/>
      </c>
      <c r="G201" s="4"/>
      <c r="H201" s="20" t="str">
        <f t="shared" ref="H201:H208" si="26">IF(AND(A201&lt;&gt;"",E201&lt;&gt;"",G201&lt;&gt;""),"Saved","Pending")</f>
        <v>Pending</v>
      </c>
      <c r="I201" s="21" t="str">
        <f t="shared" ref="I201:I208" ca="1" si="27">IF(H201="Saved",TEXT(TODAY(),"YYYY-MM-DD")&amp;" Auto","—")</f>
        <v>—</v>
      </c>
      <c r="J201" s="22"/>
    </row>
    <row r="202" spans="1:10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18"/>
      <c r="F202" s="26" t="str">
        <f t="shared" si="25"/>
        <v/>
      </c>
      <c r="G202" s="8"/>
      <c r="H202" s="27" t="str">
        <f t="shared" si="26"/>
        <v>Pending</v>
      </c>
      <c r="I202" s="28" t="str">
        <f t="shared" ca="1" si="27"/>
        <v>—</v>
      </c>
      <c r="J202" s="29"/>
    </row>
    <row r="203" spans="1:10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18"/>
      <c r="F203" s="19" t="str">
        <f t="shared" si="25"/>
        <v/>
      </c>
      <c r="G203" s="4"/>
      <c r="H203" s="20" t="str">
        <f t="shared" si="26"/>
        <v>Pending</v>
      </c>
      <c r="I203" s="21" t="str">
        <f t="shared" ca="1" si="27"/>
        <v>—</v>
      </c>
      <c r="J203" s="22"/>
    </row>
    <row r="204" spans="1:10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18"/>
      <c r="F204" s="26" t="str">
        <f t="shared" si="25"/>
        <v/>
      </c>
      <c r="G204" s="8"/>
      <c r="H204" s="27" t="str">
        <f t="shared" si="26"/>
        <v>Pending</v>
      </c>
      <c r="I204" s="28" t="str">
        <f t="shared" ca="1" si="27"/>
        <v>—</v>
      </c>
      <c r="J204" s="29"/>
    </row>
    <row r="205" spans="1:10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18"/>
      <c r="F205" s="19" t="str">
        <f t="shared" si="25"/>
        <v/>
      </c>
      <c r="G205" s="4"/>
      <c r="H205" s="20" t="str">
        <f t="shared" si="26"/>
        <v>Pending</v>
      </c>
      <c r="I205" s="21" t="str">
        <f t="shared" ca="1" si="27"/>
        <v>—</v>
      </c>
      <c r="J205" s="22"/>
    </row>
    <row r="206" spans="1:10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18"/>
      <c r="F206" s="26" t="str">
        <f t="shared" si="25"/>
        <v/>
      </c>
      <c r="G206" s="8"/>
      <c r="H206" s="27" t="str">
        <f t="shared" si="26"/>
        <v>Pending</v>
      </c>
      <c r="I206" s="28" t="str">
        <f t="shared" ca="1" si="27"/>
        <v>—</v>
      </c>
      <c r="J206" s="29"/>
    </row>
    <row r="207" spans="1:10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18"/>
      <c r="F207" s="19" t="str">
        <f t="shared" si="25"/>
        <v/>
      </c>
      <c r="G207" s="4"/>
      <c r="H207" s="20" t="str">
        <f t="shared" si="26"/>
        <v>Pending</v>
      </c>
      <c r="I207" s="21" t="str">
        <f t="shared" ca="1" si="27"/>
        <v>—</v>
      </c>
      <c r="J207" s="22"/>
    </row>
    <row r="208" spans="1:10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18"/>
      <c r="F208" s="26" t="str">
        <f t="shared" si="25"/>
        <v/>
      </c>
      <c r="G208" s="8"/>
      <c r="H208" s="27" t="str">
        <f t="shared" si="26"/>
        <v>Pending</v>
      </c>
      <c r="I208" s="28" t="str">
        <f t="shared" ca="1" si="27"/>
        <v>—</v>
      </c>
      <c r="J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J208">
    <cfRule type="expression" dxfId="12" priority="4">
      <formula>$H9="Saved"</formula>
    </cfRule>
  </conditionalFormatting>
  <conditionalFormatting sqref="H9:H208">
    <cfRule type="cellIs" dxfId="11" priority="2" operator="equal">
      <formula>"Saved"</formula>
    </cfRule>
    <cfRule type="cellIs" dxfId="10" priority="3" operator="equal">
      <formula>"Pending"</formula>
    </cfRule>
  </conditionalFormatting>
  <dataValidations count="2">
    <dataValidation type="decimal" operator="greaterThan" showErrorMessage="1" error="Must be &gt; 0" sqref="E9:E208" xr:uid="{00000000-0002-0000-1D00-000000000000}">
      <formula1>0</formula1>
      <formula2>0</formula2>
    </dataValidation>
    <dataValidation type="list" sqref="G9:G208" xr:uid="{00000000-0002-0000-1D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0392B"/>
  </sheetPr>
  <dimension ref="A1:K2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5" customWidth="1"/>
    <col min="6" max="6" width="16" customWidth="1"/>
    <col min="7" max="7" width="15" customWidth="1"/>
    <col min="8" max="8" width="12" customWidth="1"/>
    <col min="9" max="9" width="14" customWidth="1"/>
    <col min="10" max="10" width="22" customWidth="1"/>
    <col min="11" max="11" width="20" customWidth="1"/>
  </cols>
  <sheetData>
    <row r="1" spans="1:11" ht="31.5" customHeight="1" x14ac:dyDescent="0.25">
      <c r="A1" s="109" t="s">
        <v>185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19.5" customHeight="1" x14ac:dyDescent="0.25">
      <c r="A2" s="110" t="s">
        <v>186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8" customHeight="1" x14ac:dyDescent="0.25">
      <c r="A3" s="83" t="s">
        <v>98</v>
      </c>
      <c r="B3" s="83"/>
      <c r="C3" s="83"/>
      <c r="D3" s="82" t="s">
        <v>99</v>
      </c>
      <c r="E3" s="82"/>
      <c r="F3" s="82"/>
      <c r="G3" s="86" t="s">
        <v>100</v>
      </c>
      <c r="H3" s="86"/>
      <c r="I3" s="86"/>
      <c r="J3" s="103" t="s">
        <v>83</v>
      </c>
      <c r="K3" s="103"/>
    </row>
    <row r="4" spans="1:11" ht="27.75" customHeight="1" x14ac:dyDescent="0.25">
      <c r="A4" s="105">
        <f ca="1">SUMIFS(DB_Withdrawals!$G:$G,DB_Withdrawals!$J:$J,"Agent 10",DB_Withdrawals!$F:$F,TODAY())</f>
        <v>0</v>
      </c>
      <c r="B4" s="105"/>
      <c r="C4" s="105"/>
      <c r="D4" s="106">
        <f ca="1">COUNTIFS(DB_Withdrawals!$J:$J,"Agent 10",DB_Withdrawals!$K:$K,"Successful",DB_Withdrawals!$F:$F,TODAY())</f>
        <v>0</v>
      </c>
      <c r="E4" s="106"/>
      <c r="F4" s="106"/>
      <c r="G4" s="107">
        <f ca="1">COUNTIFS(DB_Withdrawals!$J:$J,"Agent 10",DB_Withdrawals!$K:$K,"Unsuccessful",DB_Withdrawals!$F:$F,TODAY())</f>
        <v>0</v>
      </c>
      <c r="H4" s="107"/>
      <c r="I4" s="107"/>
      <c r="J4" s="98" t="str">
        <f ca="1">TEXT(TODAY(),"DD MMM YYYY")</f>
        <v>14 Apr 2026</v>
      </c>
      <c r="K4" s="98"/>
    </row>
    <row r="5" spans="1:11" ht="19.5" customHeight="1" x14ac:dyDescent="0.25">
      <c r="A5" s="108" t="s">
        <v>101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7.5" customHeight="1" x14ac:dyDescent="0.25"/>
    <row r="7" spans="1:11" ht="19.5" customHeight="1" x14ac:dyDescent="0.25">
      <c r="A7" s="104" t="s">
        <v>102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</row>
    <row r="8" spans="1:11" ht="19.5" customHeight="1" x14ac:dyDescent="0.25">
      <c r="A8" s="30" t="s">
        <v>86</v>
      </c>
      <c r="B8" s="30" t="s">
        <v>60</v>
      </c>
      <c r="C8" s="30" t="s">
        <v>103</v>
      </c>
      <c r="D8" s="30" t="s">
        <v>88</v>
      </c>
      <c r="E8" s="30" t="s">
        <v>104</v>
      </c>
      <c r="F8" s="30" t="s">
        <v>105</v>
      </c>
      <c r="G8" s="30" t="s">
        <v>90</v>
      </c>
      <c r="H8" s="30" t="s">
        <v>8</v>
      </c>
      <c r="I8" s="30" t="s">
        <v>91</v>
      </c>
      <c r="J8" s="30" t="s">
        <v>92</v>
      </c>
      <c r="K8" s="30" t="s">
        <v>93</v>
      </c>
    </row>
    <row r="9" spans="1:11" x14ac:dyDescent="0.25">
      <c r="A9" s="15" t="s">
        <v>67</v>
      </c>
      <c r="B9" s="2" t="str">
        <f>IF(A9="","",IFERROR(VLOOKUP(A9,DB_Customers!$A:$D,4,0),"❌ Account Not Found"))</f>
        <v>Yaa Opoku</v>
      </c>
      <c r="C9" s="16">
        <f>IF(A9="","",IFERROR(VLOOKUP(A9,DB_Customers!$A:$N,14,0),""))</f>
        <v>2557.6</v>
      </c>
      <c r="D9" s="17">
        <f t="shared" ref="D9:D40" ca="1" si="0">IF(A9="","",TODAY())</f>
        <v>46126</v>
      </c>
      <c r="E9" s="31">
        <v>66.06</v>
      </c>
      <c r="F9" s="2" t="s">
        <v>106</v>
      </c>
      <c r="G9" s="32">
        <f t="shared" ref="G9:G40" si="1">IF(OR(A9="",E9=""),"",IF(C9="","",C9-E9))</f>
        <v>2491.54</v>
      </c>
      <c r="H9" s="4" t="s">
        <v>26</v>
      </c>
      <c r="I9" s="20" t="str">
        <f t="shared" ref="I9:I40" si="2">IF(AND(A9&lt;&gt;"",E9&lt;&gt;""),IF(C9&gt;=E9,"Successful","Unsuccessful"),"—")</f>
        <v>Successful</v>
      </c>
      <c r="J9" s="21" t="str">
        <f t="shared" ref="J9:J40" ca="1" si="3">IF(I9="Successful",TEXT(TODAY(),"YYYY-MM-DD")&amp;" Auto","—")</f>
        <v>2026-04-14 Auto</v>
      </c>
      <c r="K9" s="22"/>
    </row>
    <row r="10" spans="1:11" x14ac:dyDescent="0.25">
      <c r="A10" s="23" t="s">
        <v>63</v>
      </c>
      <c r="B10" s="6" t="str">
        <f>IF(A10="","",IFERROR(VLOOKUP(A10,DB_Customers!$A:$D,4,0),"❌ Account Not Found"))</f>
        <v>Kwame Baffour</v>
      </c>
      <c r="C10" s="24">
        <f>IF(A10="","",IFERROR(VLOOKUP(A10,DB_Customers!$A:$N,14,0),""))</f>
        <v>2246.3199999999997</v>
      </c>
      <c r="D10" s="25">
        <f t="shared" ca="1" si="0"/>
        <v>46126</v>
      </c>
      <c r="E10" s="31">
        <v>199.32</v>
      </c>
      <c r="F10" s="6" t="s">
        <v>106</v>
      </c>
      <c r="G10" s="33">
        <f t="shared" si="1"/>
        <v>2046.9999999999998</v>
      </c>
      <c r="H10" s="8" t="s">
        <v>26</v>
      </c>
      <c r="I10" s="27" t="str">
        <f t="shared" si="2"/>
        <v>Successful</v>
      </c>
      <c r="J10" s="28" t="str">
        <f t="shared" ca="1" si="3"/>
        <v>2026-04-14 Auto</v>
      </c>
      <c r="K10" s="29"/>
    </row>
    <row r="11" spans="1:11" x14ac:dyDescent="0.25">
      <c r="A11" s="15"/>
      <c r="B11" s="2" t="str">
        <f>IF(A11="","",IFERROR(VLOOKUP(A11,DB_Customers!$A:$D,4,0),"❌ Account Not Found"))</f>
        <v/>
      </c>
      <c r="C11" s="16" t="str">
        <f>IF(A11="","",IFERROR(VLOOKUP(A11,DB_Customers!$A:$N,14,0),""))</f>
        <v/>
      </c>
      <c r="D11" s="17" t="str">
        <f t="shared" ca="1" si="0"/>
        <v/>
      </c>
      <c r="E11" s="31"/>
      <c r="F11" s="2" t="s">
        <v>106</v>
      </c>
      <c r="G11" s="32" t="str">
        <f t="shared" si="1"/>
        <v/>
      </c>
      <c r="H11" s="4" t="s">
        <v>26</v>
      </c>
      <c r="I11" s="20" t="str">
        <f t="shared" si="2"/>
        <v>—</v>
      </c>
      <c r="J11" s="21" t="str">
        <f t="shared" ca="1" si="3"/>
        <v>—</v>
      </c>
      <c r="K11" s="22"/>
    </row>
    <row r="12" spans="1:11" x14ac:dyDescent="0.25">
      <c r="A12" s="23"/>
      <c r="B12" s="6" t="str">
        <f>IF(A12="","",IFERROR(VLOOKUP(A12,DB_Customers!$A:$D,4,0),"❌ Account Not Found"))</f>
        <v/>
      </c>
      <c r="C12" s="24" t="str">
        <f>IF(A12="","",IFERROR(VLOOKUP(A12,DB_Customers!$A:$N,14,0),""))</f>
        <v/>
      </c>
      <c r="D12" s="25" t="str">
        <f t="shared" ca="1" si="0"/>
        <v/>
      </c>
      <c r="E12" s="31"/>
      <c r="F12" s="6"/>
      <c r="G12" s="33" t="str">
        <f t="shared" si="1"/>
        <v/>
      </c>
      <c r="H12" s="8" t="s">
        <v>26</v>
      </c>
      <c r="I12" s="27" t="str">
        <f t="shared" si="2"/>
        <v>—</v>
      </c>
      <c r="J12" s="28" t="str">
        <f t="shared" ca="1" si="3"/>
        <v>—</v>
      </c>
      <c r="K12" s="29"/>
    </row>
    <row r="13" spans="1:11" x14ac:dyDescent="0.25">
      <c r="A13" s="15"/>
      <c r="B13" s="2" t="str">
        <f>IF(A13="","",IFERROR(VLOOKUP(A13,DB_Customers!$A:$D,4,0),"❌ Account Not Found"))</f>
        <v/>
      </c>
      <c r="C13" s="16" t="str">
        <f>IF(A13="","",IFERROR(VLOOKUP(A13,DB_Customers!$A:$N,14,0),""))</f>
        <v/>
      </c>
      <c r="D13" s="17" t="str">
        <f t="shared" ca="1" si="0"/>
        <v/>
      </c>
      <c r="E13" s="31"/>
      <c r="F13" s="2"/>
      <c r="G13" s="32" t="str">
        <f t="shared" si="1"/>
        <v/>
      </c>
      <c r="H13" s="4" t="s">
        <v>26</v>
      </c>
      <c r="I13" s="20" t="str">
        <f t="shared" si="2"/>
        <v>—</v>
      </c>
      <c r="J13" s="21" t="str">
        <f t="shared" ca="1" si="3"/>
        <v>—</v>
      </c>
      <c r="K13" s="22"/>
    </row>
    <row r="14" spans="1:11" x14ac:dyDescent="0.25">
      <c r="A14" s="23"/>
      <c r="B14" s="6" t="str">
        <f>IF(A14="","",IFERROR(VLOOKUP(A14,DB_Customers!$A:$D,4,0),"❌ Account Not Found"))</f>
        <v/>
      </c>
      <c r="C14" s="24" t="str">
        <f>IF(A14="","",IFERROR(VLOOKUP(A14,DB_Customers!$A:$N,14,0),""))</f>
        <v/>
      </c>
      <c r="D14" s="25" t="str">
        <f t="shared" ca="1" si="0"/>
        <v/>
      </c>
      <c r="E14" s="31"/>
      <c r="F14" s="6"/>
      <c r="G14" s="33" t="str">
        <f t="shared" si="1"/>
        <v/>
      </c>
      <c r="H14" s="8"/>
      <c r="I14" s="27" t="str">
        <f t="shared" si="2"/>
        <v>—</v>
      </c>
      <c r="J14" s="28" t="str">
        <f t="shared" ca="1" si="3"/>
        <v>—</v>
      </c>
      <c r="K14" s="29"/>
    </row>
    <row r="15" spans="1:11" x14ac:dyDescent="0.25">
      <c r="A15" s="15"/>
      <c r="B15" s="2" t="str">
        <f>IF(A15="","",IFERROR(VLOOKUP(A15,DB_Customers!$A:$D,4,0),"❌ Account Not Found"))</f>
        <v/>
      </c>
      <c r="C15" s="16" t="str">
        <f>IF(A15="","",IFERROR(VLOOKUP(A15,DB_Customers!$A:$N,14,0),""))</f>
        <v/>
      </c>
      <c r="D15" s="17" t="str">
        <f t="shared" ca="1" si="0"/>
        <v/>
      </c>
      <c r="E15" s="31"/>
      <c r="F15" s="2"/>
      <c r="G15" s="32" t="str">
        <f t="shared" si="1"/>
        <v/>
      </c>
      <c r="H15" s="4"/>
      <c r="I15" s="20" t="str">
        <f t="shared" si="2"/>
        <v>—</v>
      </c>
      <c r="J15" s="21" t="str">
        <f t="shared" ca="1" si="3"/>
        <v>—</v>
      </c>
      <c r="K15" s="22"/>
    </row>
    <row r="16" spans="1:11" x14ac:dyDescent="0.25">
      <c r="A16" s="23"/>
      <c r="B16" s="6" t="str">
        <f>IF(A16="","",IFERROR(VLOOKUP(A16,DB_Customers!$A:$D,4,0),"❌ Account Not Found"))</f>
        <v/>
      </c>
      <c r="C16" s="24" t="str">
        <f>IF(A16="","",IFERROR(VLOOKUP(A16,DB_Customers!$A:$N,14,0),""))</f>
        <v/>
      </c>
      <c r="D16" s="25" t="str">
        <f t="shared" ca="1" si="0"/>
        <v/>
      </c>
      <c r="E16" s="31"/>
      <c r="F16" s="6"/>
      <c r="G16" s="33" t="str">
        <f t="shared" si="1"/>
        <v/>
      </c>
      <c r="H16" s="8"/>
      <c r="I16" s="27" t="str">
        <f t="shared" si="2"/>
        <v>—</v>
      </c>
      <c r="J16" s="28" t="str">
        <f t="shared" ca="1" si="3"/>
        <v>—</v>
      </c>
      <c r="K16" s="29"/>
    </row>
    <row r="17" spans="1:11" x14ac:dyDescent="0.25">
      <c r="A17" s="15"/>
      <c r="B17" s="2" t="str">
        <f>IF(A17="","",IFERROR(VLOOKUP(A17,DB_Customers!$A:$D,4,0),"❌ Account Not Found"))</f>
        <v/>
      </c>
      <c r="C17" s="16" t="str">
        <f>IF(A17="","",IFERROR(VLOOKUP(A17,DB_Customers!$A:$N,14,0),""))</f>
        <v/>
      </c>
      <c r="D17" s="17" t="str">
        <f t="shared" ca="1" si="0"/>
        <v/>
      </c>
      <c r="E17" s="31"/>
      <c r="F17" s="2"/>
      <c r="G17" s="32" t="str">
        <f t="shared" si="1"/>
        <v/>
      </c>
      <c r="H17" s="4"/>
      <c r="I17" s="20" t="str">
        <f t="shared" si="2"/>
        <v>—</v>
      </c>
      <c r="J17" s="21" t="str">
        <f t="shared" ca="1" si="3"/>
        <v>—</v>
      </c>
      <c r="K17" s="22"/>
    </row>
    <row r="18" spans="1:11" x14ac:dyDescent="0.25">
      <c r="A18" s="23"/>
      <c r="B18" s="6" t="str">
        <f>IF(A18="","",IFERROR(VLOOKUP(A18,DB_Customers!$A:$D,4,0),"❌ Account Not Found"))</f>
        <v/>
      </c>
      <c r="C18" s="24" t="str">
        <f>IF(A18="","",IFERROR(VLOOKUP(A18,DB_Customers!$A:$N,14,0),""))</f>
        <v/>
      </c>
      <c r="D18" s="25" t="str">
        <f t="shared" ca="1" si="0"/>
        <v/>
      </c>
      <c r="E18" s="31"/>
      <c r="F18" s="6"/>
      <c r="G18" s="33" t="str">
        <f t="shared" si="1"/>
        <v/>
      </c>
      <c r="H18" s="8"/>
      <c r="I18" s="27" t="str">
        <f t="shared" si="2"/>
        <v>—</v>
      </c>
      <c r="J18" s="28" t="str">
        <f t="shared" ca="1" si="3"/>
        <v>—</v>
      </c>
      <c r="K18" s="29"/>
    </row>
    <row r="19" spans="1:11" x14ac:dyDescent="0.25">
      <c r="A19" s="15"/>
      <c r="B19" s="2" t="str">
        <f>IF(A19="","",IFERROR(VLOOKUP(A19,DB_Customers!$A:$D,4,0),"❌ Account Not Found"))</f>
        <v/>
      </c>
      <c r="C19" s="16" t="str">
        <f>IF(A19="","",IFERROR(VLOOKUP(A19,DB_Customers!$A:$N,14,0),""))</f>
        <v/>
      </c>
      <c r="D19" s="17" t="str">
        <f t="shared" ca="1" si="0"/>
        <v/>
      </c>
      <c r="E19" s="31"/>
      <c r="F19" s="2"/>
      <c r="G19" s="32" t="str">
        <f t="shared" si="1"/>
        <v/>
      </c>
      <c r="H19" s="4"/>
      <c r="I19" s="20" t="str">
        <f t="shared" si="2"/>
        <v>—</v>
      </c>
      <c r="J19" s="21" t="str">
        <f t="shared" ca="1" si="3"/>
        <v>—</v>
      </c>
      <c r="K19" s="22"/>
    </row>
    <row r="20" spans="1:11" x14ac:dyDescent="0.25">
      <c r="A20" s="23"/>
      <c r="B20" s="6" t="str">
        <f>IF(A20="","",IFERROR(VLOOKUP(A20,DB_Customers!$A:$D,4,0),"❌ Account Not Found"))</f>
        <v/>
      </c>
      <c r="C20" s="24" t="str">
        <f>IF(A20="","",IFERROR(VLOOKUP(A20,DB_Customers!$A:$N,14,0),""))</f>
        <v/>
      </c>
      <c r="D20" s="25" t="str">
        <f t="shared" ca="1" si="0"/>
        <v/>
      </c>
      <c r="E20" s="31"/>
      <c r="F20" s="6"/>
      <c r="G20" s="33" t="str">
        <f t="shared" si="1"/>
        <v/>
      </c>
      <c r="H20" s="8"/>
      <c r="I20" s="27" t="str">
        <f t="shared" si="2"/>
        <v>—</v>
      </c>
      <c r="J20" s="28" t="str">
        <f t="shared" ca="1" si="3"/>
        <v>—</v>
      </c>
      <c r="K20" s="29"/>
    </row>
    <row r="21" spans="1:11" x14ac:dyDescent="0.25">
      <c r="A21" s="15"/>
      <c r="B21" s="2" t="str">
        <f>IF(A21="","",IFERROR(VLOOKUP(A21,DB_Customers!$A:$D,4,0),"❌ Account Not Found"))</f>
        <v/>
      </c>
      <c r="C21" s="16" t="str">
        <f>IF(A21="","",IFERROR(VLOOKUP(A21,DB_Customers!$A:$N,14,0),""))</f>
        <v/>
      </c>
      <c r="D21" s="17" t="str">
        <f t="shared" ca="1" si="0"/>
        <v/>
      </c>
      <c r="E21" s="31"/>
      <c r="F21" s="2"/>
      <c r="G21" s="32" t="str">
        <f t="shared" si="1"/>
        <v/>
      </c>
      <c r="H21" s="4"/>
      <c r="I21" s="20" t="str">
        <f t="shared" si="2"/>
        <v>—</v>
      </c>
      <c r="J21" s="21" t="str">
        <f t="shared" ca="1" si="3"/>
        <v>—</v>
      </c>
      <c r="K21" s="22"/>
    </row>
    <row r="22" spans="1:11" x14ac:dyDescent="0.25">
      <c r="A22" s="23"/>
      <c r="B22" s="6" t="str">
        <f>IF(A22="","",IFERROR(VLOOKUP(A22,DB_Customers!$A:$D,4,0),"❌ Account Not Found"))</f>
        <v/>
      </c>
      <c r="C22" s="24" t="str">
        <f>IF(A22="","",IFERROR(VLOOKUP(A22,DB_Customers!$A:$N,14,0),""))</f>
        <v/>
      </c>
      <c r="D22" s="25" t="str">
        <f t="shared" ca="1" si="0"/>
        <v/>
      </c>
      <c r="E22" s="31"/>
      <c r="F22" s="6"/>
      <c r="G22" s="33" t="str">
        <f t="shared" si="1"/>
        <v/>
      </c>
      <c r="H22" s="8"/>
      <c r="I22" s="27" t="str">
        <f t="shared" si="2"/>
        <v>—</v>
      </c>
      <c r="J22" s="28" t="str">
        <f t="shared" ca="1" si="3"/>
        <v>—</v>
      </c>
      <c r="K22" s="29"/>
    </row>
    <row r="23" spans="1:11" x14ac:dyDescent="0.25">
      <c r="A23" s="15"/>
      <c r="B23" s="2" t="str">
        <f>IF(A23="","",IFERROR(VLOOKUP(A23,DB_Customers!$A:$D,4,0),"❌ Account Not Found"))</f>
        <v/>
      </c>
      <c r="C23" s="16" t="str">
        <f>IF(A23="","",IFERROR(VLOOKUP(A23,DB_Customers!$A:$N,14,0),""))</f>
        <v/>
      </c>
      <c r="D23" s="17" t="str">
        <f t="shared" ca="1" si="0"/>
        <v/>
      </c>
      <c r="E23" s="31"/>
      <c r="F23" s="2"/>
      <c r="G23" s="32" t="str">
        <f t="shared" si="1"/>
        <v/>
      </c>
      <c r="H23" s="4"/>
      <c r="I23" s="20" t="str">
        <f t="shared" si="2"/>
        <v>—</v>
      </c>
      <c r="J23" s="21" t="str">
        <f t="shared" ca="1" si="3"/>
        <v>—</v>
      </c>
      <c r="K23" s="22"/>
    </row>
    <row r="24" spans="1:11" x14ac:dyDescent="0.25">
      <c r="A24" s="23"/>
      <c r="B24" s="6" t="str">
        <f>IF(A24="","",IFERROR(VLOOKUP(A24,DB_Customers!$A:$D,4,0),"❌ Account Not Found"))</f>
        <v/>
      </c>
      <c r="C24" s="24" t="str">
        <f>IF(A24="","",IFERROR(VLOOKUP(A24,DB_Customers!$A:$N,14,0),""))</f>
        <v/>
      </c>
      <c r="D24" s="25" t="str">
        <f t="shared" ca="1" si="0"/>
        <v/>
      </c>
      <c r="E24" s="31"/>
      <c r="F24" s="6"/>
      <c r="G24" s="33" t="str">
        <f t="shared" si="1"/>
        <v/>
      </c>
      <c r="H24" s="8"/>
      <c r="I24" s="27" t="str">
        <f t="shared" si="2"/>
        <v>—</v>
      </c>
      <c r="J24" s="28" t="str">
        <f t="shared" ca="1" si="3"/>
        <v>—</v>
      </c>
      <c r="K24" s="29"/>
    </row>
    <row r="25" spans="1:11" x14ac:dyDescent="0.25">
      <c r="A25" s="15"/>
      <c r="B25" s="2" t="str">
        <f>IF(A25="","",IFERROR(VLOOKUP(A25,DB_Customers!$A:$D,4,0),"❌ Account Not Found"))</f>
        <v/>
      </c>
      <c r="C25" s="16" t="str">
        <f>IF(A25="","",IFERROR(VLOOKUP(A25,DB_Customers!$A:$N,14,0),""))</f>
        <v/>
      </c>
      <c r="D25" s="17" t="str">
        <f t="shared" ca="1" si="0"/>
        <v/>
      </c>
      <c r="E25" s="31"/>
      <c r="F25" s="2"/>
      <c r="G25" s="32" t="str">
        <f t="shared" si="1"/>
        <v/>
      </c>
      <c r="H25" s="4"/>
      <c r="I25" s="20" t="str">
        <f t="shared" si="2"/>
        <v>—</v>
      </c>
      <c r="J25" s="21" t="str">
        <f t="shared" ca="1" si="3"/>
        <v>—</v>
      </c>
      <c r="K25" s="22"/>
    </row>
    <row r="26" spans="1:11" x14ac:dyDescent="0.25">
      <c r="A26" s="23"/>
      <c r="B26" s="6" t="str">
        <f>IF(A26="","",IFERROR(VLOOKUP(A26,DB_Customers!$A:$D,4,0),"❌ Account Not Found"))</f>
        <v/>
      </c>
      <c r="C26" s="24" t="str">
        <f>IF(A26="","",IFERROR(VLOOKUP(A26,DB_Customers!$A:$N,14,0),""))</f>
        <v/>
      </c>
      <c r="D26" s="25" t="str">
        <f t="shared" ca="1" si="0"/>
        <v/>
      </c>
      <c r="E26" s="31"/>
      <c r="F26" s="6"/>
      <c r="G26" s="33" t="str">
        <f t="shared" si="1"/>
        <v/>
      </c>
      <c r="H26" s="8"/>
      <c r="I26" s="27" t="str">
        <f t="shared" si="2"/>
        <v>—</v>
      </c>
      <c r="J26" s="28" t="str">
        <f t="shared" ca="1" si="3"/>
        <v>—</v>
      </c>
      <c r="K26" s="29"/>
    </row>
    <row r="27" spans="1:11" x14ac:dyDescent="0.25">
      <c r="A27" s="15"/>
      <c r="B27" s="2" t="str">
        <f>IF(A27="","",IFERROR(VLOOKUP(A27,DB_Customers!$A:$D,4,0),"❌ Account Not Found"))</f>
        <v/>
      </c>
      <c r="C27" s="16" t="str">
        <f>IF(A27="","",IFERROR(VLOOKUP(A27,DB_Customers!$A:$N,14,0),""))</f>
        <v/>
      </c>
      <c r="D27" s="17" t="str">
        <f t="shared" ca="1" si="0"/>
        <v/>
      </c>
      <c r="E27" s="31"/>
      <c r="F27" s="2"/>
      <c r="G27" s="32" t="str">
        <f t="shared" si="1"/>
        <v/>
      </c>
      <c r="H27" s="4"/>
      <c r="I27" s="20" t="str">
        <f t="shared" si="2"/>
        <v>—</v>
      </c>
      <c r="J27" s="21" t="str">
        <f t="shared" ca="1" si="3"/>
        <v>—</v>
      </c>
      <c r="K27" s="22"/>
    </row>
    <row r="28" spans="1:11" x14ac:dyDescent="0.25">
      <c r="A28" s="23"/>
      <c r="B28" s="6" t="str">
        <f>IF(A28="","",IFERROR(VLOOKUP(A28,DB_Customers!$A:$D,4,0),"❌ Account Not Found"))</f>
        <v/>
      </c>
      <c r="C28" s="24" t="str">
        <f>IF(A28="","",IFERROR(VLOOKUP(A28,DB_Customers!$A:$N,14,0),""))</f>
        <v/>
      </c>
      <c r="D28" s="25" t="str">
        <f t="shared" ca="1" si="0"/>
        <v/>
      </c>
      <c r="E28" s="31"/>
      <c r="F28" s="6"/>
      <c r="G28" s="33" t="str">
        <f t="shared" si="1"/>
        <v/>
      </c>
      <c r="H28" s="8"/>
      <c r="I28" s="27" t="str">
        <f t="shared" si="2"/>
        <v>—</v>
      </c>
      <c r="J28" s="28" t="str">
        <f t="shared" ca="1" si="3"/>
        <v>—</v>
      </c>
      <c r="K28" s="29"/>
    </row>
    <row r="29" spans="1:11" x14ac:dyDescent="0.25">
      <c r="A29" s="15"/>
      <c r="B29" s="2" t="str">
        <f>IF(A29="","",IFERROR(VLOOKUP(A29,DB_Customers!$A:$D,4,0),"❌ Account Not Found"))</f>
        <v/>
      </c>
      <c r="C29" s="16" t="str">
        <f>IF(A29="","",IFERROR(VLOOKUP(A29,DB_Customers!$A:$N,14,0),""))</f>
        <v/>
      </c>
      <c r="D29" s="17" t="str">
        <f t="shared" ca="1" si="0"/>
        <v/>
      </c>
      <c r="E29" s="31"/>
      <c r="F29" s="2"/>
      <c r="G29" s="32" t="str">
        <f t="shared" si="1"/>
        <v/>
      </c>
      <c r="H29" s="4"/>
      <c r="I29" s="20" t="str">
        <f t="shared" si="2"/>
        <v>—</v>
      </c>
      <c r="J29" s="21" t="str">
        <f t="shared" ca="1" si="3"/>
        <v>—</v>
      </c>
      <c r="K29" s="22"/>
    </row>
    <row r="30" spans="1:11" x14ac:dyDescent="0.25">
      <c r="A30" s="23"/>
      <c r="B30" s="6" t="str">
        <f>IF(A30="","",IFERROR(VLOOKUP(A30,DB_Customers!$A:$D,4,0),"❌ Account Not Found"))</f>
        <v/>
      </c>
      <c r="C30" s="24" t="str">
        <f>IF(A30="","",IFERROR(VLOOKUP(A30,DB_Customers!$A:$N,14,0),""))</f>
        <v/>
      </c>
      <c r="D30" s="25" t="str">
        <f t="shared" ca="1" si="0"/>
        <v/>
      </c>
      <c r="E30" s="31"/>
      <c r="F30" s="6"/>
      <c r="G30" s="33" t="str">
        <f t="shared" si="1"/>
        <v/>
      </c>
      <c r="H30" s="8"/>
      <c r="I30" s="27" t="str">
        <f t="shared" si="2"/>
        <v>—</v>
      </c>
      <c r="J30" s="28" t="str">
        <f t="shared" ca="1" si="3"/>
        <v>—</v>
      </c>
      <c r="K30" s="29"/>
    </row>
    <row r="31" spans="1:11" x14ac:dyDescent="0.25">
      <c r="A31" s="15"/>
      <c r="B31" s="2" t="str">
        <f>IF(A31="","",IFERROR(VLOOKUP(A31,DB_Customers!$A:$D,4,0),"❌ Account Not Found"))</f>
        <v/>
      </c>
      <c r="C31" s="16" t="str">
        <f>IF(A31="","",IFERROR(VLOOKUP(A31,DB_Customers!$A:$N,14,0),""))</f>
        <v/>
      </c>
      <c r="D31" s="17" t="str">
        <f t="shared" ca="1" si="0"/>
        <v/>
      </c>
      <c r="E31" s="31"/>
      <c r="F31" s="2"/>
      <c r="G31" s="32" t="str">
        <f t="shared" si="1"/>
        <v/>
      </c>
      <c r="H31" s="4"/>
      <c r="I31" s="20" t="str">
        <f t="shared" si="2"/>
        <v>—</v>
      </c>
      <c r="J31" s="21" t="str">
        <f t="shared" ca="1" si="3"/>
        <v>—</v>
      </c>
      <c r="K31" s="22"/>
    </row>
    <row r="32" spans="1:11" x14ac:dyDescent="0.25">
      <c r="A32" s="23"/>
      <c r="B32" s="6" t="str">
        <f>IF(A32="","",IFERROR(VLOOKUP(A32,DB_Customers!$A:$D,4,0),"❌ Account Not Found"))</f>
        <v/>
      </c>
      <c r="C32" s="24" t="str">
        <f>IF(A32="","",IFERROR(VLOOKUP(A32,DB_Customers!$A:$N,14,0),""))</f>
        <v/>
      </c>
      <c r="D32" s="25" t="str">
        <f t="shared" ca="1" si="0"/>
        <v/>
      </c>
      <c r="E32" s="31"/>
      <c r="F32" s="6"/>
      <c r="G32" s="33" t="str">
        <f t="shared" si="1"/>
        <v/>
      </c>
      <c r="H32" s="8"/>
      <c r="I32" s="27" t="str">
        <f t="shared" si="2"/>
        <v>—</v>
      </c>
      <c r="J32" s="28" t="str">
        <f t="shared" ca="1" si="3"/>
        <v>—</v>
      </c>
      <c r="K32" s="29"/>
    </row>
    <row r="33" spans="1:11" x14ac:dyDescent="0.25">
      <c r="A33" s="15"/>
      <c r="B33" s="2" t="str">
        <f>IF(A33="","",IFERROR(VLOOKUP(A33,DB_Customers!$A:$D,4,0),"❌ Account Not Found"))</f>
        <v/>
      </c>
      <c r="C33" s="16" t="str">
        <f>IF(A33="","",IFERROR(VLOOKUP(A33,DB_Customers!$A:$N,14,0),""))</f>
        <v/>
      </c>
      <c r="D33" s="17" t="str">
        <f t="shared" ca="1" si="0"/>
        <v/>
      </c>
      <c r="E33" s="31"/>
      <c r="F33" s="2"/>
      <c r="G33" s="32" t="str">
        <f t="shared" si="1"/>
        <v/>
      </c>
      <c r="H33" s="4"/>
      <c r="I33" s="20" t="str">
        <f t="shared" si="2"/>
        <v>—</v>
      </c>
      <c r="J33" s="21" t="str">
        <f t="shared" ca="1" si="3"/>
        <v>—</v>
      </c>
      <c r="K33" s="22"/>
    </row>
    <row r="34" spans="1:11" x14ac:dyDescent="0.25">
      <c r="A34" s="23"/>
      <c r="B34" s="6" t="str">
        <f>IF(A34="","",IFERROR(VLOOKUP(A34,DB_Customers!$A:$D,4,0),"❌ Account Not Found"))</f>
        <v/>
      </c>
      <c r="C34" s="24" t="str">
        <f>IF(A34="","",IFERROR(VLOOKUP(A34,DB_Customers!$A:$N,14,0),""))</f>
        <v/>
      </c>
      <c r="D34" s="25" t="str">
        <f t="shared" ca="1" si="0"/>
        <v/>
      </c>
      <c r="E34" s="31"/>
      <c r="F34" s="6"/>
      <c r="G34" s="33" t="str">
        <f t="shared" si="1"/>
        <v/>
      </c>
      <c r="H34" s="8"/>
      <c r="I34" s="27" t="str">
        <f t="shared" si="2"/>
        <v>—</v>
      </c>
      <c r="J34" s="28" t="str">
        <f t="shared" ca="1" si="3"/>
        <v>—</v>
      </c>
      <c r="K34" s="29"/>
    </row>
    <row r="35" spans="1:11" x14ac:dyDescent="0.25">
      <c r="A35" s="15"/>
      <c r="B35" s="2" t="str">
        <f>IF(A35="","",IFERROR(VLOOKUP(A35,DB_Customers!$A:$D,4,0),"❌ Account Not Found"))</f>
        <v/>
      </c>
      <c r="C35" s="16" t="str">
        <f>IF(A35="","",IFERROR(VLOOKUP(A35,DB_Customers!$A:$N,14,0),""))</f>
        <v/>
      </c>
      <c r="D35" s="17" t="str">
        <f t="shared" ca="1" si="0"/>
        <v/>
      </c>
      <c r="E35" s="31"/>
      <c r="F35" s="2"/>
      <c r="G35" s="32" t="str">
        <f t="shared" si="1"/>
        <v/>
      </c>
      <c r="H35" s="4"/>
      <c r="I35" s="20" t="str">
        <f t="shared" si="2"/>
        <v>—</v>
      </c>
      <c r="J35" s="21" t="str">
        <f t="shared" ca="1" si="3"/>
        <v>—</v>
      </c>
      <c r="K35" s="22"/>
    </row>
    <row r="36" spans="1:11" x14ac:dyDescent="0.25">
      <c r="A36" s="23"/>
      <c r="B36" s="6" t="str">
        <f>IF(A36="","",IFERROR(VLOOKUP(A36,DB_Customers!$A:$D,4,0),"❌ Account Not Found"))</f>
        <v/>
      </c>
      <c r="C36" s="24" t="str">
        <f>IF(A36="","",IFERROR(VLOOKUP(A36,DB_Customers!$A:$N,14,0),""))</f>
        <v/>
      </c>
      <c r="D36" s="25" t="str">
        <f t="shared" ca="1" si="0"/>
        <v/>
      </c>
      <c r="E36" s="31"/>
      <c r="F36" s="6"/>
      <c r="G36" s="33" t="str">
        <f t="shared" si="1"/>
        <v/>
      </c>
      <c r="H36" s="8"/>
      <c r="I36" s="27" t="str">
        <f t="shared" si="2"/>
        <v>—</v>
      </c>
      <c r="J36" s="28" t="str">
        <f t="shared" ca="1" si="3"/>
        <v>—</v>
      </c>
      <c r="K36" s="29"/>
    </row>
    <row r="37" spans="1:11" x14ac:dyDescent="0.25">
      <c r="A37" s="15"/>
      <c r="B37" s="2" t="str">
        <f>IF(A37="","",IFERROR(VLOOKUP(A37,DB_Customers!$A:$D,4,0),"❌ Account Not Found"))</f>
        <v/>
      </c>
      <c r="C37" s="16" t="str">
        <f>IF(A37="","",IFERROR(VLOOKUP(A37,DB_Customers!$A:$N,14,0),""))</f>
        <v/>
      </c>
      <c r="D37" s="17" t="str">
        <f t="shared" ca="1" si="0"/>
        <v/>
      </c>
      <c r="E37" s="31"/>
      <c r="F37" s="2"/>
      <c r="G37" s="32" t="str">
        <f t="shared" si="1"/>
        <v/>
      </c>
      <c r="H37" s="4"/>
      <c r="I37" s="20" t="str">
        <f t="shared" si="2"/>
        <v>—</v>
      </c>
      <c r="J37" s="21" t="str">
        <f t="shared" ca="1" si="3"/>
        <v>—</v>
      </c>
      <c r="K37" s="22"/>
    </row>
    <row r="38" spans="1:11" x14ac:dyDescent="0.25">
      <c r="A38" s="23"/>
      <c r="B38" s="6" t="str">
        <f>IF(A38="","",IFERROR(VLOOKUP(A38,DB_Customers!$A:$D,4,0),"❌ Account Not Found"))</f>
        <v/>
      </c>
      <c r="C38" s="24" t="str">
        <f>IF(A38="","",IFERROR(VLOOKUP(A38,DB_Customers!$A:$N,14,0),""))</f>
        <v/>
      </c>
      <c r="D38" s="25" t="str">
        <f t="shared" ca="1" si="0"/>
        <v/>
      </c>
      <c r="E38" s="31"/>
      <c r="F38" s="6"/>
      <c r="G38" s="33" t="str">
        <f t="shared" si="1"/>
        <v/>
      </c>
      <c r="H38" s="8"/>
      <c r="I38" s="27" t="str">
        <f t="shared" si="2"/>
        <v>—</v>
      </c>
      <c r="J38" s="28" t="str">
        <f t="shared" ca="1" si="3"/>
        <v>—</v>
      </c>
      <c r="K38" s="29"/>
    </row>
    <row r="39" spans="1:11" x14ac:dyDescent="0.25">
      <c r="A39" s="15"/>
      <c r="B39" s="2" t="str">
        <f>IF(A39="","",IFERROR(VLOOKUP(A39,DB_Customers!$A:$D,4,0),"❌ Account Not Found"))</f>
        <v/>
      </c>
      <c r="C39" s="16" t="str">
        <f>IF(A39="","",IFERROR(VLOOKUP(A39,DB_Customers!$A:$N,14,0),""))</f>
        <v/>
      </c>
      <c r="D39" s="17" t="str">
        <f t="shared" ca="1" si="0"/>
        <v/>
      </c>
      <c r="E39" s="31"/>
      <c r="F39" s="2"/>
      <c r="G39" s="32" t="str">
        <f t="shared" si="1"/>
        <v/>
      </c>
      <c r="H39" s="4"/>
      <c r="I39" s="20" t="str">
        <f t="shared" si="2"/>
        <v>—</v>
      </c>
      <c r="J39" s="21" t="str">
        <f t="shared" ca="1" si="3"/>
        <v>—</v>
      </c>
      <c r="K39" s="22"/>
    </row>
    <row r="40" spans="1:11" x14ac:dyDescent="0.25">
      <c r="A40" s="23"/>
      <c r="B40" s="6" t="str">
        <f>IF(A40="","",IFERROR(VLOOKUP(A40,DB_Customers!$A:$D,4,0),"❌ Account Not Found"))</f>
        <v/>
      </c>
      <c r="C40" s="24" t="str">
        <f>IF(A40="","",IFERROR(VLOOKUP(A40,DB_Customers!$A:$N,14,0),""))</f>
        <v/>
      </c>
      <c r="D40" s="25" t="str">
        <f t="shared" ca="1" si="0"/>
        <v/>
      </c>
      <c r="E40" s="31"/>
      <c r="F40" s="6"/>
      <c r="G40" s="33" t="str">
        <f t="shared" si="1"/>
        <v/>
      </c>
      <c r="H40" s="8"/>
      <c r="I40" s="27" t="str">
        <f t="shared" si="2"/>
        <v>—</v>
      </c>
      <c r="J40" s="28" t="str">
        <f t="shared" ca="1" si="3"/>
        <v>—</v>
      </c>
      <c r="K40" s="29"/>
    </row>
    <row r="41" spans="1:11" x14ac:dyDescent="0.25">
      <c r="A41" s="15"/>
      <c r="B41" s="2" t="str">
        <f>IF(A41="","",IFERROR(VLOOKUP(A41,DB_Customers!$A:$D,4,0),"❌ Account Not Found"))</f>
        <v/>
      </c>
      <c r="C41" s="16" t="str">
        <f>IF(A41="","",IFERROR(VLOOKUP(A41,DB_Customers!$A:$N,14,0),""))</f>
        <v/>
      </c>
      <c r="D41" s="17" t="str">
        <f t="shared" ref="D41:D72" ca="1" si="4">IF(A41="","",TODAY())</f>
        <v/>
      </c>
      <c r="E41" s="31"/>
      <c r="F41" s="2"/>
      <c r="G41" s="32" t="str">
        <f t="shared" ref="G41:G72" si="5">IF(OR(A41="",E41=""),"",IF(C41="","",C41-E41))</f>
        <v/>
      </c>
      <c r="H41" s="4"/>
      <c r="I41" s="20" t="str">
        <f t="shared" ref="I41:I72" si="6">IF(AND(A41&lt;&gt;"",E41&lt;&gt;""),IF(C41&gt;=E41,"Successful","Unsuccessful"),"—")</f>
        <v>—</v>
      </c>
      <c r="J41" s="21" t="str">
        <f t="shared" ref="J41:J72" ca="1" si="7">IF(I41="Successful",TEXT(TODAY(),"YYYY-MM-DD")&amp;" Auto","—")</f>
        <v>—</v>
      </c>
      <c r="K41" s="22"/>
    </row>
    <row r="42" spans="1:11" x14ac:dyDescent="0.25">
      <c r="A42" s="23"/>
      <c r="B42" s="6" t="str">
        <f>IF(A42="","",IFERROR(VLOOKUP(A42,DB_Customers!$A:$D,4,0),"❌ Account Not Found"))</f>
        <v/>
      </c>
      <c r="C42" s="24" t="str">
        <f>IF(A42="","",IFERROR(VLOOKUP(A42,DB_Customers!$A:$N,14,0),""))</f>
        <v/>
      </c>
      <c r="D42" s="25" t="str">
        <f t="shared" ca="1" si="4"/>
        <v/>
      </c>
      <c r="E42" s="31"/>
      <c r="F42" s="6"/>
      <c r="G42" s="33" t="str">
        <f t="shared" si="5"/>
        <v/>
      </c>
      <c r="H42" s="8"/>
      <c r="I42" s="27" t="str">
        <f t="shared" si="6"/>
        <v>—</v>
      </c>
      <c r="J42" s="28" t="str">
        <f t="shared" ca="1" si="7"/>
        <v>—</v>
      </c>
      <c r="K42" s="29"/>
    </row>
    <row r="43" spans="1:11" x14ac:dyDescent="0.25">
      <c r="A43" s="15"/>
      <c r="B43" s="2" t="str">
        <f>IF(A43="","",IFERROR(VLOOKUP(A43,DB_Customers!$A:$D,4,0),"❌ Account Not Found"))</f>
        <v/>
      </c>
      <c r="C43" s="16" t="str">
        <f>IF(A43="","",IFERROR(VLOOKUP(A43,DB_Customers!$A:$N,14,0),""))</f>
        <v/>
      </c>
      <c r="D43" s="17" t="str">
        <f t="shared" ca="1" si="4"/>
        <v/>
      </c>
      <c r="E43" s="31"/>
      <c r="F43" s="2"/>
      <c r="G43" s="32" t="str">
        <f t="shared" si="5"/>
        <v/>
      </c>
      <c r="H43" s="4"/>
      <c r="I43" s="20" t="str">
        <f t="shared" si="6"/>
        <v>—</v>
      </c>
      <c r="J43" s="21" t="str">
        <f t="shared" ca="1" si="7"/>
        <v>—</v>
      </c>
      <c r="K43" s="22"/>
    </row>
    <row r="44" spans="1:11" x14ac:dyDescent="0.25">
      <c r="A44" s="23"/>
      <c r="B44" s="6" t="str">
        <f>IF(A44="","",IFERROR(VLOOKUP(A44,DB_Customers!$A:$D,4,0),"❌ Account Not Found"))</f>
        <v/>
      </c>
      <c r="C44" s="24" t="str">
        <f>IF(A44="","",IFERROR(VLOOKUP(A44,DB_Customers!$A:$N,14,0),""))</f>
        <v/>
      </c>
      <c r="D44" s="25" t="str">
        <f t="shared" ca="1" si="4"/>
        <v/>
      </c>
      <c r="E44" s="31"/>
      <c r="F44" s="6"/>
      <c r="G44" s="33" t="str">
        <f t="shared" si="5"/>
        <v/>
      </c>
      <c r="H44" s="8"/>
      <c r="I44" s="27" t="str">
        <f t="shared" si="6"/>
        <v>—</v>
      </c>
      <c r="J44" s="28" t="str">
        <f t="shared" ca="1" si="7"/>
        <v>—</v>
      </c>
      <c r="K44" s="29"/>
    </row>
    <row r="45" spans="1:11" x14ac:dyDescent="0.25">
      <c r="A45" s="15"/>
      <c r="B45" s="2" t="str">
        <f>IF(A45="","",IFERROR(VLOOKUP(A45,DB_Customers!$A:$D,4,0),"❌ Account Not Found"))</f>
        <v/>
      </c>
      <c r="C45" s="16" t="str">
        <f>IF(A45="","",IFERROR(VLOOKUP(A45,DB_Customers!$A:$N,14,0),""))</f>
        <v/>
      </c>
      <c r="D45" s="17" t="str">
        <f t="shared" ca="1" si="4"/>
        <v/>
      </c>
      <c r="E45" s="31"/>
      <c r="F45" s="2"/>
      <c r="G45" s="32" t="str">
        <f t="shared" si="5"/>
        <v/>
      </c>
      <c r="H45" s="4"/>
      <c r="I45" s="20" t="str">
        <f t="shared" si="6"/>
        <v>—</v>
      </c>
      <c r="J45" s="21" t="str">
        <f t="shared" ca="1" si="7"/>
        <v>—</v>
      </c>
      <c r="K45" s="22"/>
    </row>
    <row r="46" spans="1:11" x14ac:dyDescent="0.25">
      <c r="A46" s="23"/>
      <c r="B46" s="6" t="str">
        <f>IF(A46="","",IFERROR(VLOOKUP(A46,DB_Customers!$A:$D,4,0),"❌ Account Not Found"))</f>
        <v/>
      </c>
      <c r="C46" s="24" t="str">
        <f>IF(A46="","",IFERROR(VLOOKUP(A46,DB_Customers!$A:$N,14,0),""))</f>
        <v/>
      </c>
      <c r="D46" s="25" t="str">
        <f t="shared" ca="1" si="4"/>
        <v/>
      </c>
      <c r="E46" s="31"/>
      <c r="F46" s="6"/>
      <c r="G46" s="33" t="str">
        <f t="shared" si="5"/>
        <v/>
      </c>
      <c r="H46" s="8"/>
      <c r="I46" s="27" t="str">
        <f t="shared" si="6"/>
        <v>—</v>
      </c>
      <c r="J46" s="28" t="str">
        <f t="shared" ca="1" si="7"/>
        <v>—</v>
      </c>
      <c r="K46" s="29"/>
    </row>
    <row r="47" spans="1:11" x14ac:dyDescent="0.25">
      <c r="A47" s="15"/>
      <c r="B47" s="2" t="str">
        <f>IF(A47="","",IFERROR(VLOOKUP(A47,DB_Customers!$A:$D,4,0),"❌ Account Not Found"))</f>
        <v/>
      </c>
      <c r="C47" s="16" t="str">
        <f>IF(A47="","",IFERROR(VLOOKUP(A47,DB_Customers!$A:$N,14,0),""))</f>
        <v/>
      </c>
      <c r="D47" s="17" t="str">
        <f t="shared" ca="1" si="4"/>
        <v/>
      </c>
      <c r="E47" s="31"/>
      <c r="F47" s="2"/>
      <c r="G47" s="32" t="str">
        <f t="shared" si="5"/>
        <v/>
      </c>
      <c r="H47" s="4"/>
      <c r="I47" s="20" t="str">
        <f t="shared" si="6"/>
        <v>—</v>
      </c>
      <c r="J47" s="21" t="str">
        <f t="shared" ca="1" si="7"/>
        <v>—</v>
      </c>
      <c r="K47" s="22"/>
    </row>
    <row r="48" spans="1:11" x14ac:dyDescent="0.25">
      <c r="A48" s="23"/>
      <c r="B48" s="6" t="str">
        <f>IF(A48="","",IFERROR(VLOOKUP(A48,DB_Customers!$A:$D,4,0),"❌ Account Not Found"))</f>
        <v/>
      </c>
      <c r="C48" s="24" t="str">
        <f>IF(A48="","",IFERROR(VLOOKUP(A48,DB_Customers!$A:$N,14,0),""))</f>
        <v/>
      </c>
      <c r="D48" s="25" t="str">
        <f t="shared" ca="1" si="4"/>
        <v/>
      </c>
      <c r="E48" s="31"/>
      <c r="F48" s="6"/>
      <c r="G48" s="33" t="str">
        <f t="shared" si="5"/>
        <v/>
      </c>
      <c r="H48" s="8"/>
      <c r="I48" s="27" t="str">
        <f t="shared" si="6"/>
        <v>—</v>
      </c>
      <c r="J48" s="28" t="str">
        <f t="shared" ca="1" si="7"/>
        <v>—</v>
      </c>
      <c r="K48" s="29"/>
    </row>
    <row r="49" spans="1:11" x14ac:dyDescent="0.25">
      <c r="A49" s="15"/>
      <c r="B49" s="2" t="str">
        <f>IF(A49="","",IFERROR(VLOOKUP(A49,DB_Customers!$A:$D,4,0),"❌ Account Not Found"))</f>
        <v/>
      </c>
      <c r="C49" s="16" t="str">
        <f>IF(A49="","",IFERROR(VLOOKUP(A49,DB_Customers!$A:$N,14,0),""))</f>
        <v/>
      </c>
      <c r="D49" s="17" t="str">
        <f t="shared" ca="1" si="4"/>
        <v/>
      </c>
      <c r="E49" s="31"/>
      <c r="F49" s="2"/>
      <c r="G49" s="32" t="str">
        <f t="shared" si="5"/>
        <v/>
      </c>
      <c r="H49" s="4"/>
      <c r="I49" s="20" t="str">
        <f t="shared" si="6"/>
        <v>—</v>
      </c>
      <c r="J49" s="21" t="str">
        <f t="shared" ca="1" si="7"/>
        <v>—</v>
      </c>
      <c r="K49" s="22"/>
    </row>
    <row r="50" spans="1:11" x14ac:dyDescent="0.25">
      <c r="A50" s="23"/>
      <c r="B50" s="6" t="str">
        <f>IF(A50="","",IFERROR(VLOOKUP(A50,DB_Customers!$A:$D,4,0),"❌ Account Not Found"))</f>
        <v/>
      </c>
      <c r="C50" s="24" t="str">
        <f>IF(A50="","",IFERROR(VLOOKUP(A50,DB_Customers!$A:$N,14,0),""))</f>
        <v/>
      </c>
      <c r="D50" s="25" t="str">
        <f t="shared" ca="1" si="4"/>
        <v/>
      </c>
      <c r="E50" s="31"/>
      <c r="F50" s="6"/>
      <c r="G50" s="33" t="str">
        <f t="shared" si="5"/>
        <v/>
      </c>
      <c r="H50" s="8"/>
      <c r="I50" s="27" t="str">
        <f t="shared" si="6"/>
        <v>—</v>
      </c>
      <c r="J50" s="28" t="str">
        <f t="shared" ca="1" si="7"/>
        <v>—</v>
      </c>
      <c r="K50" s="29"/>
    </row>
    <row r="51" spans="1:11" x14ac:dyDescent="0.25">
      <c r="A51" s="15"/>
      <c r="B51" s="2" t="str">
        <f>IF(A51="","",IFERROR(VLOOKUP(A51,DB_Customers!$A:$D,4,0),"❌ Account Not Found"))</f>
        <v/>
      </c>
      <c r="C51" s="16" t="str">
        <f>IF(A51="","",IFERROR(VLOOKUP(A51,DB_Customers!$A:$N,14,0),""))</f>
        <v/>
      </c>
      <c r="D51" s="17" t="str">
        <f t="shared" ca="1" si="4"/>
        <v/>
      </c>
      <c r="E51" s="31"/>
      <c r="F51" s="2"/>
      <c r="G51" s="32" t="str">
        <f t="shared" si="5"/>
        <v/>
      </c>
      <c r="H51" s="4"/>
      <c r="I51" s="20" t="str">
        <f t="shared" si="6"/>
        <v>—</v>
      </c>
      <c r="J51" s="21" t="str">
        <f t="shared" ca="1" si="7"/>
        <v>—</v>
      </c>
      <c r="K51" s="22"/>
    </row>
    <row r="52" spans="1:11" x14ac:dyDescent="0.25">
      <c r="A52" s="23"/>
      <c r="B52" s="6" t="str">
        <f>IF(A52="","",IFERROR(VLOOKUP(A52,DB_Customers!$A:$D,4,0),"❌ Account Not Found"))</f>
        <v/>
      </c>
      <c r="C52" s="24" t="str">
        <f>IF(A52="","",IFERROR(VLOOKUP(A52,DB_Customers!$A:$N,14,0),""))</f>
        <v/>
      </c>
      <c r="D52" s="25" t="str">
        <f t="shared" ca="1" si="4"/>
        <v/>
      </c>
      <c r="E52" s="31"/>
      <c r="F52" s="6"/>
      <c r="G52" s="33" t="str">
        <f t="shared" si="5"/>
        <v/>
      </c>
      <c r="H52" s="8"/>
      <c r="I52" s="27" t="str">
        <f t="shared" si="6"/>
        <v>—</v>
      </c>
      <c r="J52" s="28" t="str">
        <f t="shared" ca="1" si="7"/>
        <v>—</v>
      </c>
      <c r="K52" s="29"/>
    </row>
    <row r="53" spans="1:11" x14ac:dyDescent="0.25">
      <c r="A53" s="15"/>
      <c r="B53" s="2" t="str">
        <f>IF(A53="","",IFERROR(VLOOKUP(A53,DB_Customers!$A:$D,4,0),"❌ Account Not Found"))</f>
        <v/>
      </c>
      <c r="C53" s="16" t="str">
        <f>IF(A53="","",IFERROR(VLOOKUP(A53,DB_Customers!$A:$N,14,0),""))</f>
        <v/>
      </c>
      <c r="D53" s="17" t="str">
        <f t="shared" ca="1" si="4"/>
        <v/>
      </c>
      <c r="E53" s="31"/>
      <c r="F53" s="2"/>
      <c r="G53" s="32" t="str">
        <f t="shared" si="5"/>
        <v/>
      </c>
      <c r="H53" s="4"/>
      <c r="I53" s="20" t="str">
        <f t="shared" si="6"/>
        <v>—</v>
      </c>
      <c r="J53" s="21" t="str">
        <f t="shared" ca="1" si="7"/>
        <v>—</v>
      </c>
      <c r="K53" s="22"/>
    </row>
    <row r="54" spans="1:11" x14ac:dyDescent="0.25">
      <c r="A54" s="23"/>
      <c r="B54" s="6" t="str">
        <f>IF(A54="","",IFERROR(VLOOKUP(A54,DB_Customers!$A:$D,4,0),"❌ Account Not Found"))</f>
        <v/>
      </c>
      <c r="C54" s="24" t="str">
        <f>IF(A54="","",IFERROR(VLOOKUP(A54,DB_Customers!$A:$N,14,0),""))</f>
        <v/>
      </c>
      <c r="D54" s="25" t="str">
        <f t="shared" ca="1" si="4"/>
        <v/>
      </c>
      <c r="E54" s="31"/>
      <c r="F54" s="6"/>
      <c r="G54" s="33" t="str">
        <f t="shared" si="5"/>
        <v/>
      </c>
      <c r="H54" s="8"/>
      <c r="I54" s="27" t="str">
        <f t="shared" si="6"/>
        <v>—</v>
      </c>
      <c r="J54" s="28" t="str">
        <f t="shared" ca="1" si="7"/>
        <v>—</v>
      </c>
      <c r="K54" s="29"/>
    </row>
    <row r="55" spans="1:11" x14ac:dyDescent="0.25">
      <c r="A55" s="15"/>
      <c r="B55" s="2" t="str">
        <f>IF(A55="","",IFERROR(VLOOKUP(A55,DB_Customers!$A:$D,4,0),"❌ Account Not Found"))</f>
        <v/>
      </c>
      <c r="C55" s="16" t="str">
        <f>IF(A55="","",IFERROR(VLOOKUP(A55,DB_Customers!$A:$N,14,0),""))</f>
        <v/>
      </c>
      <c r="D55" s="17" t="str">
        <f t="shared" ca="1" si="4"/>
        <v/>
      </c>
      <c r="E55" s="31"/>
      <c r="F55" s="2"/>
      <c r="G55" s="32" t="str">
        <f t="shared" si="5"/>
        <v/>
      </c>
      <c r="H55" s="4"/>
      <c r="I55" s="20" t="str">
        <f t="shared" si="6"/>
        <v>—</v>
      </c>
      <c r="J55" s="21" t="str">
        <f t="shared" ca="1" si="7"/>
        <v>—</v>
      </c>
      <c r="K55" s="22"/>
    </row>
    <row r="56" spans="1:11" x14ac:dyDescent="0.25">
      <c r="A56" s="23"/>
      <c r="B56" s="6" t="str">
        <f>IF(A56="","",IFERROR(VLOOKUP(A56,DB_Customers!$A:$D,4,0),"❌ Account Not Found"))</f>
        <v/>
      </c>
      <c r="C56" s="24" t="str">
        <f>IF(A56="","",IFERROR(VLOOKUP(A56,DB_Customers!$A:$N,14,0),""))</f>
        <v/>
      </c>
      <c r="D56" s="25" t="str">
        <f t="shared" ca="1" si="4"/>
        <v/>
      </c>
      <c r="E56" s="31"/>
      <c r="F56" s="6"/>
      <c r="G56" s="33" t="str">
        <f t="shared" si="5"/>
        <v/>
      </c>
      <c r="H56" s="8"/>
      <c r="I56" s="27" t="str">
        <f t="shared" si="6"/>
        <v>—</v>
      </c>
      <c r="J56" s="28" t="str">
        <f t="shared" ca="1" si="7"/>
        <v>—</v>
      </c>
      <c r="K56" s="29"/>
    </row>
    <row r="57" spans="1:11" x14ac:dyDescent="0.25">
      <c r="A57" s="15"/>
      <c r="B57" s="2" t="str">
        <f>IF(A57="","",IFERROR(VLOOKUP(A57,DB_Customers!$A:$D,4,0),"❌ Account Not Found"))</f>
        <v/>
      </c>
      <c r="C57" s="16" t="str">
        <f>IF(A57="","",IFERROR(VLOOKUP(A57,DB_Customers!$A:$N,14,0),""))</f>
        <v/>
      </c>
      <c r="D57" s="17" t="str">
        <f t="shared" ca="1" si="4"/>
        <v/>
      </c>
      <c r="E57" s="31"/>
      <c r="F57" s="2"/>
      <c r="G57" s="32" t="str">
        <f t="shared" si="5"/>
        <v/>
      </c>
      <c r="H57" s="4"/>
      <c r="I57" s="20" t="str">
        <f t="shared" si="6"/>
        <v>—</v>
      </c>
      <c r="J57" s="21" t="str">
        <f t="shared" ca="1" si="7"/>
        <v>—</v>
      </c>
      <c r="K57" s="22"/>
    </row>
    <row r="58" spans="1:11" x14ac:dyDescent="0.25">
      <c r="A58" s="23"/>
      <c r="B58" s="6" t="str">
        <f>IF(A58="","",IFERROR(VLOOKUP(A58,DB_Customers!$A:$D,4,0),"❌ Account Not Found"))</f>
        <v/>
      </c>
      <c r="C58" s="24" t="str">
        <f>IF(A58="","",IFERROR(VLOOKUP(A58,DB_Customers!$A:$N,14,0),""))</f>
        <v/>
      </c>
      <c r="D58" s="25" t="str">
        <f t="shared" ca="1" si="4"/>
        <v/>
      </c>
      <c r="E58" s="31"/>
      <c r="F58" s="6"/>
      <c r="G58" s="33" t="str">
        <f t="shared" si="5"/>
        <v/>
      </c>
      <c r="H58" s="8"/>
      <c r="I58" s="27" t="str">
        <f t="shared" si="6"/>
        <v>—</v>
      </c>
      <c r="J58" s="28" t="str">
        <f t="shared" ca="1" si="7"/>
        <v>—</v>
      </c>
      <c r="K58" s="29"/>
    </row>
    <row r="59" spans="1:11" x14ac:dyDescent="0.25">
      <c r="A59" s="15"/>
      <c r="B59" s="2" t="str">
        <f>IF(A59="","",IFERROR(VLOOKUP(A59,DB_Customers!$A:$D,4,0),"❌ Account Not Found"))</f>
        <v/>
      </c>
      <c r="C59" s="16" t="str">
        <f>IF(A59="","",IFERROR(VLOOKUP(A59,DB_Customers!$A:$N,14,0),""))</f>
        <v/>
      </c>
      <c r="D59" s="17" t="str">
        <f t="shared" ca="1" si="4"/>
        <v/>
      </c>
      <c r="E59" s="31"/>
      <c r="F59" s="2"/>
      <c r="G59" s="32" t="str">
        <f t="shared" si="5"/>
        <v/>
      </c>
      <c r="H59" s="4"/>
      <c r="I59" s="20" t="str">
        <f t="shared" si="6"/>
        <v>—</v>
      </c>
      <c r="J59" s="21" t="str">
        <f t="shared" ca="1" si="7"/>
        <v>—</v>
      </c>
      <c r="K59" s="22"/>
    </row>
    <row r="60" spans="1:11" x14ac:dyDescent="0.25">
      <c r="A60" s="23"/>
      <c r="B60" s="6" t="str">
        <f>IF(A60="","",IFERROR(VLOOKUP(A60,DB_Customers!$A:$D,4,0),"❌ Account Not Found"))</f>
        <v/>
      </c>
      <c r="C60" s="24" t="str">
        <f>IF(A60="","",IFERROR(VLOOKUP(A60,DB_Customers!$A:$N,14,0),""))</f>
        <v/>
      </c>
      <c r="D60" s="25" t="str">
        <f t="shared" ca="1" si="4"/>
        <v/>
      </c>
      <c r="E60" s="31"/>
      <c r="F60" s="6"/>
      <c r="G60" s="33" t="str">
        <f t="shared" si="5"/>
        <v/>
      </c>
      <c r="H60" s="8"/>
      <c r="I60" s="27" t="str">
        <f t="shared" si="6"/>
        <v>—</v>
      </c>
      <c r="J60" s="28" t="str">
        <f t="shared" ca="1" si="7"/>
        <v>—</v>
      </c>
      <c r="K60" s="29"/>
    </row>
    <row r="61" spans="1:11" x14ac:dyDescent="0.25">
      <c r="A61" s="15"/>
      <c r="B61" s="2" t="str">
        <f>IF(A61="","",IFERROR(VLOOKUP(A61,DB_Customers!$A:$D,4,0),"❌ Account Not Found"))</f>
        <v/>
      </c>
      <c r="C61" s="16" t="str">
        <f>IF(A61="","",IFERROR(VLOOKUP(A61,DB_Customers!$A:$N,14,0),""))</f>
        <v/>
      </c>
      <c r="D61" s="17" t="str">
        <f t="shared" ca="1" si="4"/>
        <v/>
      </c>
      <c r="E61" s="31"/>
      <c r="F61" s="2"/>
      <c r="G61" s="32" t="str">
        <f t="shared" si="5"/>
        <v/>
      </c>
      <c r="H61" s="4"/>
      <c r="I61" s="20" t="str">
        <f t="shared" si="6"/>
        <v>—</v>
      </c>
      <c r="J61" s="21" t="str">
        <f t="shared" ca="1" si="7"/>
        <v>—</v>
      </c>
      <c r="K61" s="22"/>
    </row>
    <row r="62" spans="1:11" x14ac:dyDescent="0.25">
      <c r="A62" s="23"/>
      <c r="B62" s="6" t="str">
        <f>IF(A62="","",IFERROR(VLOOKUP(A62,DB_Customers!$A:$D,4,0),"❌ Account Not Found"))</f>
        <v/>
      </c>
      <c r="C62" s="24" t="str">
        <f>IF(A62="","",IFERROR(VLOOKUP(A62,DB_Customers!$A:$N,14,0),""))</f>
        <v/>
      </c>
      <c r="D62" s="25" t="str">
        <f t="shared" ca="1" si="4"/>
        <v/>
      </c>
      <c r="E62" s="31"/>
      <c r="F62" s="6"/>
      <c r="G62" s="33" t="str">
        <f t="shared" si="5"/>
        <v/>
      </c>
      <c r="H62" s="8"/>
      <c r="I62" s="27" t="str">
        <f t="shared" si="6"/>
        <v>—</v>
      </c>
      <c r="J62" s="28" t="str">
        <f t="shared" ca="1" si="7"/>
        <v>—</v>
      </c>
      <c r="K62" s="29"/>
    </row>
    <row r="63" spans="1:11" x14ac:dyDescent="0.25">
      <c r="A63" s="15"/>
      <c r="B63" s="2" t="str">
        <f>IF(A63="","",IFERROR(VLOOKUP(A63,DB_Customers!$A:$D,4,0),"❌ Account Not Found"))</f>
        <v/>
      </c>
      <c r="C63" s="16" t="str">
        <f>IF(A63="","",IFERROR(VLOOKUP(A63,DB_Customers!$A:$N,14,0),""))</f>
        <v/>
      </c>
      <c r="D63" s="17" t="str">
        <f t="shared" ca="1" si="4"/>
        <v/>
      </c>
      <c r="E63" s="31"/>
      <c r="F63" s="2"/>
      <c r="G63" s="32" t="str">
        <f t="shared" si="5"/>
        <v/>
      </c>
      <c r="H63" s="4"/>
      <c r="I63" s="20" t="str">
        <f t="shared" si="6"/>
        <v>—</v>
      </c>
      <c r="J63" s="21" t="str">
        <f t="shared" ca="1" si="7"/>
        <v>—</v>
      </c>
      <c r="K63" s="22"/>
    </row>
    <row r="64" spans="1:11" x14ac:dyDescent="0.25">
      <c r="A64" s="23"/>
      <c r="B64" s="6" t="str">
        <f>IF(A64="","",IFERROR(VLOOKUP(A64,DB_Customers!$A:$D,4,0),"❌ Account Not Found"))</f>
        <v/>
      </c>
      <c r="C64" s="24" t="str">
        <f>IF(A64="","",IFERROR(VLOOKUP(A64,DB_Customers!$A:$N,14,0),""))</f>
        <v/>
      </c>
      <c r="D64" s="25" t="str">
        <f t="shared" ca="1" si="4"/>
        <v/>
      </c>
      <c r="E64" s="31"/>
      <c r="F64" s="6"/>
      <c r="G64" s="33" t="str">
        <f t="shared" si="5"/>
        <v/>
      </c>
      <c r="H64" s="8"/>
      <c r="I64" s="27" t="str">
        <f t="shared" si="6"/>
        <v>—</v>
      </c>
      <c r="J64" s="28" t="str">
        <f t="shared" ca="1" si="7"/>
        <v>—</v>
      </c>
      <c r="K64" s="29"/>
    </row>
    <row r="65" spans="1:11" x14ac:dyDescent="0.25">
      <c r="A65" s="15"/>
      <c r="B65" s="2" t="str">
        <f>IF(A65="","",IFERROR(VLOOKUP(A65,DB_Customers!$A:$D,4,0),"❌ Account Not Found"))</f>
        <v/>
      </c>
      <c r="C65" s="16" t="str">
        <f>IF(A65="","",IFERROR(VLOOKUP(A65,DB_Customers!$A:$N,14,0),""))</f>
        <v/>
      </c>
      <c r="D65" s="17" t="str">
        <f t="shared" ca="1" si="4"/>
        <v/>
      </c>
      <c r="E65" s="31"/>
      <c r="F65" s="2"/>
      <c r="G65" s="32" t="str">
        <f t="shared" si="5"/>
        <v/>
      </c>
      <c r="H65" s="4"/>
      <c r="I65" s="20" t="str">
        <f t="shared" si="6"/>
        <v>—</v>
      </c>
      <c r="J65" s="21" t="str">
        <f t="shared" ca="1" si="7"/>
        <v>—</v>
      </c>
      <c r="K65" s="22"/>
    </row>
    <row r="66" spans="1:11" x14ac:dyDescent="0.25">
      <c r="A66" s="23"/>
      <c r="B66" s="6" t="str">
        <f>IF(A66="","",IFERROR(VLOOKUP(A66,DB_Customers!$A:$D,4,0),"❌ Account Not Found"))</f>
        <v/>
      </c>
      <c r="C66" s="24" t="str">
        <f>IF(A66="","",IFERROR(VLOOKUP(A66,DB_Customers!$A:$N,14,0),""))</f>
        <v/>
      </c>
      <c r="D66" s="25" t="str">
        <f t="shared" ca="1" si="4"/>
        <v/>
      </c>
      <c r="E66" s="31"/>
      <c r="F66" s="6"/>
      <c r="G66" s="33" t="str">
        <f t="shared" si="5"/>
        <v/>
      </c>
      <c r="H66" s="8"/>
      <c r="I66" s="27" t="str">
        <f t="shared" si="6"/>
        <v>—</v>
      </c>
      <c r="J66" s="28" t="str">
        <f t="shared" ca="1" si="7"/>
        <v>—</v>
      </c>
      <c r="K66" s="29"/>
    </row>
    <row r="67" spans="1:11" x14ac:dyDescent="0.25">
      <c r="A67" s="15"/>
      <c r="B67" s="2" t="str">
        <f>IF(A67="","",IFERROR(VLOOKUP(A67,DB_Customers!$A:$D,4,0),"❌ Account Not Found"))</f>
        <v/>
      </c>
      <c r="C67" s="16" t="str">
        <f>IF(A67="","",IFERROR(VLOOKUP(A67,DB_Customers!$A:$N,14,0),""))</f>
        <v/>
      </c>
      <c r="D67" s="17" t="str">
        <f t="shared" ca="1" si="4"/>
        <v/>
      </c>
      <c r="E67" s="31"/>
      <c r="F67" s="2"/>
      <c r="G67" s="32" t="str">
        <f t="shared" si="5"/>
        <v/>
      </c>
      <c r="H67" s="4"/>
      <c r="I67" s="20" t="str">
        <f t="shared" si="6"/>
        <v>—</v>
      </c>
      <c r="J67" s="21" t="str">
        <f t="shared" ca="1" si="7"/>
        <v>—</v>
      </c>
      <c r="K67" s="22"/>
    </row>
    <row r="68" spans="1:11" x14ac:dyDescent="0.25">
      <c r="A68" s="23"/>
      <c r="B68" s="6" t="str">
        <f>IF(A68="","",IFERROR(VLOOKUP(A68,DB_Customers!$A:$D,4,0),"❌ Account Not Found"))</f>
        <v/>
      </c>
      <c r="C68" s="24" t="str">
        <f>IF(A68="","",IFERROR(VLOOKUP(A68,DB_Customers!$A:$N,14,0),""))</f>
        <v/>
      </c>
      <c r="D68" s="25" t="str">
        <f t="shared" ca="1" si="4"/>
        <v/>
      </c>
      <c r="E68" s="31"/>
      <c r="F68" s="6"/>
      <c r="G68" s="33" t="str">
        <f t="shared" si="5"/>
        <v/>
      </c>
      <c r="H68" s="8"/>
      <c r="I68" s="27" t="str">
        <f t="shared" si="6"/>
        <v>—</v>
      </c>
      <c r="J68" s="28" t="str">
        <f t="shared" ca="1" si="7"/>
        <v>—</v>
      </c>
      <c r="K68" s="29"/>
    </row>
    <row r="69" spans="1:11" x14ac:dyDescent="0.25">
      <c r="A69" s="15"/>
      <c r="B69" s="2" t="str">
        <f>IF(A69="","",IFERROR(VLOOKUP(A69,DB_Customers!$A:$D,4,0),"❌ Account Not Found"))</f>
        <v/>
      </c>
      <c r="C69" s="16" t="str">
        <f>IF(A69="","",IFERROR(VLOOKUP(A69,DB_Customers!$A:$N,14,0),""))</f>
        <v/>
      </c>
      <c r="D69" s="17" t="str">
        <f t="shared" ca="1" si="4"/>
        <v/>
      </c>
      <c r="E69" s="31"/>
      <c r="F69" s="2"/>
      <c r="G69" s="32" t="str">
        <f t="shared" si="5"/>
        <v/>
      </c>
      <c r="H69" s="4"/>
      <c r="I69" s="20" t="str">
        <f t="shared" si="6"/>
        <v>—</v>
      </c>
      <c r="J69" s="21" t="str">
        <f t="shared" ca="1" si="7"/>
        <v>—</v>
      </c>
      <c r="K69" s="22"/>
    </row>
    <row r="70" spans="1:11" x14ac:dyDescent="0.25">
      <c r="A70" s="23"/>
      <c r="B70" s="6" t="str">
        <f>IF(A70="","",IFERROR(VLOOKUP(A70,DB_Customers!$A:$D,4,0),"❌ Account Not Found"))</f>
        <v/>
      </c>
      <c r="C70" s="24" t="str">
        <f>IF(A70="","",IFERROR(VLOOKUP(A70,DB_Customers!$A:$N,14,0),""))</f>
        <v/>
      </c>
      <c r="D70" s="25" t="str">
        <f t="shared" ca="1" si="4"/>
        <v/>
      </c>
      <c r="E70" s="31"/>
      <c r="F70" s="6"/>
      <c r="G70" s="33" t="str">
        <f t="shared" si="5"/>
        <v/>
      </c>
      <c r="H70" s="8"/>
      <c r="I70" s="27" t="str">
        <f t="shared" si="6"/>
        <v>—</v>
      </c>
      <c r="J70" s="28" t="str">
        <f t="shared" ca="1" si="7"/>
        <v>—</v>
      </c>
      <c r="K70" s="29"/>
    </row>
    <row r="71" spans="1:11" x14ac:dyDescent="0.25">
      <c r="A71" s="15"/>
      <c r="B71" s="2" t="str">
        <f>IF(A71="","",IFERROR(VLOOKUP(A71,DB_Customers!$A:$D,4,0),"❌ Account Not Found"))</f>
        <v/>
      </c>
      <c r="C71" s="16" t="str">
        <f>IF(A71="","",IFERROR(VLOOKUP(A71,DB_Customers!$A:$N,14,0),""))</f>
        <v/>
      </c>
      <c r="D71" s="17" t="str">
        <f t="shared" ca="1" si="4"/>
        <v/>
      </c>
      <c r="E71" s="31"/>
      <c r="F71" s="2"/>
      <c r="G71" s="32" t="str">
        <f t="shared" si="5"/>
        <v/>
      </c>
      <c r="H71" s="4"/>
      <c r="I71" s="20" t="str">
        <f t="shared" si="6"/>
        <v>—</v>
      </c>
      <c r="J71" s="21" t="str">
        <f t="shared" ca="1" si="7"/>
        <v>—</v>
      </c>
      <c r="K71" s="22"/>
    </row>
    <row r="72" spans="1:11" x14ac:dyDescent="0.25">
      <c r="A72" s="23"/>
      <c r="B72" s="6" t="str">
        <f>IF(A72="","",IFERROR(VLOOKUP(A72,DB_Customers!$A:$D,4,0),"❌ Account Not Found"))</f>
        <v/>
      </c>
      <c r="C72" s="24" t="str">
        <f>IF(A72="","",IFERROR(VLOOKUP(A72,DB_Customers!$A:$N,14,0),""))</f>
        <v/>
      </c>
      <c r="D72" s="25" t="str">
        <f t="shared" ca="1" si="4"/>
        <v/>
      </c>
      <c r="E72" s="31"/>
      <c r="F72" s="6"/>
      <c r="G72" s="33" t="str">
        <f t="shared" si="5"/>
        <v/>
      </c>
      <c r="H72" s="8"/>
      <c r="I72" s="27" t="str">
        <f t="shared" si="6"/>
        <v>—</v>
      </c>
      <c r="J72" s="28" t="str">
        <f t="shared" ca="1" si="7"/>
        <v>—</v>
      </c>
      <c r="K72" s="29"/>
    </row>
    <row r="73" spans="1:11" x14ac:dyDescent="0.25">
      <c r="A73" s="15"/>
      <c r="B73" s="2" t="str">
        <f>IF(A73="","",IFERROR(VLOOKUP(A73,DB_Customers!$A:$D,4,0),"❌ Account Not Found"))</f>
        <v/>
      </c>
      <c r="C73" s="16" t="str">
        <f>IF(A73="","",IFERROR(VLOOKUP(A73,DB_Customers!$A:$N,14,0),""))</f>
        <v/>
      </c>
      <c r="D73" s="17" t="str">
        <f t="shared" ref="D73:D104" ca="1" si="8">IF(A73="","",TODAY())</f>
        <v/>
      </c>
      <c r="E73" s="31"/>
      <c r="F73" s="2"/>
      <c r="G73" s="32" t="str">
        <f t="shared" ref="G73:G104" si="9">IF(OR(A73="",E73=""),"",IF(C73="","",C73-E73))</f>
        <v/>
      </c>
      <c r="H73" s="4"/>
      <c r="I73" s="20" t="str">
        <f t="shared" ref="I73:I104" si="10">IF(AND(A73&lt;&gt;"",E73&lt;&gt;""),IF(C73&gt;=E73,"Successful","Unsuccessful"),"—")</f>
        <v>—</v>
      </c>
      <c r="J73" s="21" t="str">
        <f t="shared" ref="J73:J104" ca="1" si="11">IF(I73="Successful",TEXT(TODAY(),"YYYY-MM-DD")&amp;" Auto","—")</f>
        <v>—</v>
      </c>
      <c r="K73" s="22"/>
    </row>
    <row r="74" spans="1:11" x14ac:dyDescent="0.25">
      <c r="A74" s="23"/>
      <c r="B74" s="6" t="str">
        <f>IF(A74="","",IFERROR(VLOOKUP(A74,DB_Customers!$A:$D,4,0),"❌ Account Not Found"))</f>
        <v/>
      </c>
      <c r="C74" s="24" t="str">
        <f>IF(A74="","",IFERROR(VLOOKUP(A74,DB_Customers!$A:$N,14,0),""))</f>
        <v/>
      </c>
      <c r="D74" s="25" t="str">
        <f t="shared" ca="1" si="8"/>
        <v/>
      </c>
      <c r="E74" s="31"/>
      <c r="F74" s="6"/>
      <c r="G74" s="33" t="str">
        <f t="shared" si="9"/>
        <v/>
      </c>
      <c r="H74" s="8"/>
      <c r="I74" s="27" t="str">
        <f t="shared" si="10"/>
        <v>—</v>
      </c>
      <c r="J74" s="28" t="str">
        <f t="shared" ca="1" si="11"/>
        <v>—</v>
      </c>
      <c r="K74" s="29"/>
    </row>
    <row r="75" spans="1:11" x14ac:dyDescent="0.25">
      <c r="A75" s="15"/>
      <c r="B75" s="2" t="str">
        <f>IF(A75="","",IFERROR(VLOOKUP(A75,DB_Customers!$A:$D,4,0),"❌ Account Not Found"))</f>
        <v/>
      </c>
      <c r="C75" s="16" t="str">
        <f>IF(A75="","",IFERROR(VLOOKUP(A75,DB_Customers!$A:$N,14,0),""))</f>
        <v/>
      </c>
      <c r="D75" s="17" t="str">
        <f t="shared" ca="1" si="8"/>
        <v/>
      </c>
      <c r="E75" s="31"/>
      <c r="F75" s="2"/>
      <c r="G75" s="32" t="str">
        <f t="shared" si="9"/>
        <v/>
      </c>
      <c r="H75" s="4"/>
      <c r="I75" s="20" t="str">
        <f t="shared" si="10"/>
        <v>—</v>
      </c>
      <c r="J75" s="21" t="str">
        <f t="shared" ca="1" si="11"/>
        <v>—</v>
      </c>
      <c r="K75" s="22"/>
    </row>
    <row r="76" spans="1:11" x14ac:dyDescent="0.25">
      <c r="A76" s="23"/>
      <c r="B76" s="6" t="str">
        <f>IF(A76="","",IFERROR(VLOOKUP(A76,DB_Customers!$A:$D,4,0),"❌ Account Not Found"))</f>
        <v/>
      </c>
      <c r="C76" s="24" t="str">
        <f>IF(A76="","",IFERROR(VLOOKUP(A76,DB_Customers!$A:$N,14,0),""))</f>
        <v/>
      </c>
      <c r="D76" s="25" t="str">
        <f t="shared" ca="1" si="8"/>
        <v/>
      </c>
      <c r="E76" s="31"/>
      <c r="F76" s="6"/>
      <c r="G76" s="33" t="str">
        <f t="shared" si="9"/>
        <v/>
      </c>
      <c r="H76" s="8"/>
      <c r="I76" s="27" t="str">
        <f t="shared" si="10"/>
        <v>—</v>
      </c>
      <c r="J76" s="28" t="str">
        <f t="shared" ca="1" si="11"/>
        <v>—</v>
      </c>
      <c r="K76" s="29"/>
    </row>
    <row r="77" spans="1:11" x14ac:dyDescent="0.25">
      <c r="A77" s="15"/>
      <c r="B77" s="2" t="str">
        <f>IF(A77="","",IFERROR(VLOOKUP(A77,DB_Customers!$A:$D,4,0),"❌ Account Not Found"))</f>
        <v/>
      </c>
      <c r="C77" s="16" t="str">
        <f>IF(A77="","",IFERROR(VLOOKUP(A77,DB_Customers!$A:$N,14,0),""))</f>
        <v/>
      </c>
      <c r="D77" s="17" t="str">
        <f t="shared" ca="1" si="8"/>
        <v/>
      </c>
      <c r="E77" s="31"/>
      <c r="F77" s="2"/>
      <c r="G77" s="32" t="str">
        <f t="shared" si="9"/>
        <v/>
      </c>
      <c r="H77" s="4"/>
      <c r="I77" s="20" t="str">
        <f t="shared" si="10"/>
        <v>—</v>
      </c>
      <c r="J77" s="21" t="str">
        <f t="shared" ca="1" si="11"/>
        <v>—</v>
      </c>
      <c r="K77" s="22"/>
    </row>
    <row r="78" spans="1:11" x14ac:dyDescent="0.25">
      <c r="A78" s="23"/>
      <c r="B78" s="6" t="str">
        <f>IF(A78="","",IFERROR(VLOOKUP(A78,DB_Customers!$A:$D,4,0),"❌ Account Not Found"))</f>
        <v/>
      </c>
      <c r="C78" s="24" t="str">
        <f>IF(A78="","",IFERROR(VLOOKUP(A78,DB_Customers!$A:$N,14,0),""))</f>
        <v/>
      </c>
      <c r="D78" s="25" t="str">
        <f t="shared" ca="1" si="8"/>
        <v/>
      </c>
      <c r="E78" s="31"/>
      <c r="F78" s="6"/>
      <c r="G78" s="33" t="str">
        <f t="shared" si="9"/>
        <v/>
      </c>
      <c r="H78" s="8"/>
      <c r="I78" s="27" t="str">
        <f t="shared" si="10"/>
        <v>—</v>
      </c>
      <c r="J78" s="28" t="str">
        <f t="shared" ca="1" si="11"/>
        <v>—</v>
      </c>
      <c r="K78" s="29"/>
    </row>
    <row r="79" spans="1:11" x14ac:dyDescent="0.25">
      <c r="A79" s="15"/>
      <c r="B79" s="2" t="str">
        <f>IF(A79="","",IFERROR(VLOOKUP(A79,DB_Customers!$A:$D,4,0),"❌ Account Not Found"))</f>
        <v/>
      </c>
      <c r="C79" s="16" t="str">
        <f>IF(A79="","",IFERROR(VLOOKUP(A79,DB_Customers!$A:$N,14,0),""))</f>
        <v/>
      </c>
      <c r="D79" s="17" t="str">
        <f t="shared" ca="1" si="8"/>
        <v/>
      </c>
      <c r="E79" s="31"/>
      <c r="F79" s="2"/>
      <c r="G79" s="32" t="str">
        <f t="shared" si="9"/>
        <v/>
      </c>
      <c r="H79" s="4"/>
      <c r="I79" s="20" t="str">
        <f t="shared" si="10"/>
        <v>—</v>
      </c>
      <c r="J79" s="21" t="str">
        <f t="shared" ca="1" si="11"/>
        <v>—</v>
      </c>
      <c r="K79" s="22"/>
    </row>
    <row r="80" spans="1:11" x14ac:dyDescent="0.25">
      <c r="A80" s="23"/>
      <c r="B80" s="6" t="str">
        <f>IF(A80="","",IFERROR(VLOOKUP(A80,DB_Customers!$A:$D,4,0),"❌ Account Not Found"))</f>
        <v/>
      </c>
      <c r="C80" s="24" t="str">
        <f>IF(A80="","",IFERROR(VLOOKUP(A80,DB_Customers!$A:$N,14,0),""))</f>
        <v/>
      </c>
      <c r="D80" s="25" t="str">
        <f t="shared" ca="1" si="8"/>
        <v/>
      </c>
      <c r="E80" s="31"/>
      <c r="F80" s="6"/>
      <c r="G80" s="33" t="str">
        <f t="shared" si="9"/>
        <v/>
      </c>
      <c r="H80" s="8"/>
      <c r="I80" s="27" t="str">
        <f t="shared" si="10"/>
        <v>—</v>
      </c>
      <c r="J80" s="28" t="str">
        <f t="shared" ca="1" si="11"/>
        <v>—</v>
      </c>
      <c r="K80" s="29"/>
    </row>
    <row r="81" spans="1:11" x14ac:dyDescent="0.25">
      <c r="A81" s="15"/>
      <c r="B81" s="2" t="str">
        <f>IF(A81="","",IFERROR(VLOOKUP(A81,DB_Customers!$A:$D,4,0),"❌ Account Not Found"))</f>
        <v/>
      </c>
      <c r="C81" s="16" t="str">
        <f>IF(A81="","",IFERROR(VLOOKUP(A81,DB_Customers!$A:$N,14,0),""))</f>
        <v/>
      </c>
      <c r="D81" s="17" t="str">
        <f t="shared" ca="1" si="8"/>
        <v/>
      </c>
      <c r="E81" s="31"/>
      <c r="F81" s="2"/>
      <c r="G81" s="32" t="str">
        <f t="shared" si="9"/>
        <v/>
      </c>
      <c r="H81" s="4"/>
      <c r="I81" s="20" t="str">
        <f t="shared" si="10"/>
        <v>—</v>
      </c>
      <c r="J81" s="21" t="str">
        <f t="shared" ca="1" si="11"/>
        <v>—</v>
      </c>
      <c r="K81" s="22"/>
    </row>
    <row r="82" spans="1:11" x14ac:dyDescent="0.25">
      <c r="A82" s="23"/>
      <c r="B82" s="6" t="str">
        <f>IF(A82="","",IFERROR(VLOOKUP(A82,DB_Customers!$A:$D,4,0),"❌ Account Not Found"))</f>
        <v/>
      </c>
      <c r="C82" s="24" t="str">
        <f>IF(A82="","",IFERROR(VLOOKUP(A82,DB_Customers!$A:$N,14,0),""))</f>
        <v/>
      </c>
      <c r="D82" s="25" t="str">
        <f t="shared" ca="1" si="8"/>
        <v/>
      </c>
      <c r="E82" s="31"/>
      <c r="F82" s="6"/>
      <c r="G82" s="33" t="str">
        <f t="shared" si="9"/>
        <v/>
      </c>
      <c r="H82" s="8"/>
      <c r="I82" s="27" t="str">
        <f t="shared" si="10"/>
        <v>—</v>
      </c>
      <c r="J82" s="28" t="str">
        <f t="shared" ca="1" si="11"/>
        <v>—</v>
      </c>
      <c r="K82" s="29"/>
    </row>
    <row r="83" spans="1:11" x14ac:dyDescent="0.25">
      <c r="A83" s="15"/>
      <c r="B83" s="2" t="str">
        <f>IF(A83="","",IFERROR(VLOOKUP(A83,DB_Customers!$A:$D,4,0),"❌ Account Not Found"))</f>
        <v/>
      </c>
      <c r="C83" s="16" t="str">
        <f>IF(A83="","",IFERROR(VLOOKUP(A83,DB_Customers!$A:$N,14,0),""))</f>
        <v/>
      </c>
      <c r="D83" s="17" t="str">
        <f t="shared" ca="1" si="8"/>
        <v/>
      </c>
      <c r="E83" s="31"/>
      <c r="F83" s="2"/>
      <c r="G83" s="32" t="str">
        <f t="shared" si="9"/>
        <v/>
      </c>
      <c r="H83" s="4"/>
      <c r="I83" s="20" t="str">
        <f t="shared" si="10"/>
        <v>—</v>
      </c>
      <c r="J83" s="21" t="str">
        <f t="shared" ca="1" si="11"/>
        <v>—</v>
      </c>
      <c r="K83" s="22"/>
    </row>
    <row r="84" spans="1:11" x14ac:dyDescent="0.25">
      <c r="A84" s="23"/>
      <c r="B84" s="6" t="str">
        <f>IF(A84="","",IFERROR(VLOOKUP(A84,DB_Customers!$A:$D,4,0),"❌ Account Not Found"))</f>
        <v/>
      </c>
      <c r="C84" s="24" t="str">
        <f>IF(A84="","",IFERROR(VLOOKUP(A84,DB_Customers!$A:$N,14,0),""))</f>
        <v/>
      </c>
      <c r="D84" s="25" t="str">
        <f t="shared" ca="1" si="8"/>
        <v/>
      </c>
      <c r="E84" s="31"/>
      <c r="F84" s="6"/>
      <c r="G84" s="33" t="str">
        <f t="shared" si="9"/>
        <v/>
      </c>
      <c r="H84" s="8"/>
      <c r="I84" s="27" t="str">
        <f t="shared" si="10"/>
        <v>—</v>
      </c>
      <c r="J84" s="28" t="str">
        <f t="shared" ca="1" si="11"/>
        <v>—</v>
      </c>
      <c r="K84" s="29"/>
    </row>
    <row r="85" spans="1:11" x14ac:dyDescent="0.25">
      <c r="A85" s="15"/>
      <c r="B85" s="2" t="str">
        <f>IF(A85="","",IFERROR(VLOOKUP(A85,DB_Customers!$A:$D,4,0),"❌ Account Not Found"))</f>
        <v/>
      </c>
      <c r="C85" s="16" t="str">
        <f>IF(A85="","",IFERROR(VLOOKUP(A85,DB_Customers!$A:$N,14,0),""))</f>
        <v/>
      </c>
      <c r="D85" s="17" t="str">
        <f t="shared" ca="1" si="8"/>
        <v/>
      </c>
      <c r="E85" s="31"/>
      <c r="F85" s="2"/>
      <c r="G85" s="32" t="str">
        <f t="shared" si="9"/>
        <v/>
      </c>
      <c r="H85" s="4"/>
      <c r="I85" s="20" t="str">
        <f t="shared" si="10"/>
        <v>—</v>
      </c>
      <c r="J85" s="21" t="str">
        <f t="shared" ca="1" si="11"/>
        <v>—</v>
      </c>
      <c r="K85" s="22"/>
    </row>
    <row r="86" spans="1:11" x14ac:dyDescent="0.25">
      <c r="A86" s="23"/>
      <c r="B86" s="6" t="str">
        <f>IF(A86="","",IFERROR(VLOOKUP(A86,DB_Customers!$A:$D,4,0),"❌ Account Not Found"))</f>
        <v/>
      </c>
      <c r="C86" s="24" t="str">
        <f>IF(A86="","",IFERROR(VLOOKUP(A86,DB_Customers!$A:$N,14,0),""))</f>
        <v/>
      </c>
      <c r="D86" s="25" t="str">
        <f t="shared" ca="1" si="8"/>
        <v/>
      </c>
      <c r="E86" s="31"/>
      <c r="F86" s="6"/>
      <c r="G86" s="33" t="str">
        <f t="shared" si="9"/>
        <v/>
      </c>
      <c r="H86" s="8"/>
      <c r="I86" s="27" t="str">
        <f t="shared" si="10"/>
        <v>—</v>
      </c>
      <c r="J86" s="28" t="str">
        <f t="shared" ca="1" si="11"/>
        <v>—</v>
      </c>
      <c r="K86" s="29"/>
    </row>
    <row r="87" spans="1:11" x14ac:dyDescent="0.25">
      <c r="A87" s="15"/>
      <c r="B87" s="2" t="str">
        <f>IF(A87="","",IFERROR(VLOOKUP(A87,DB_Customers!$A:$D,4,0),"❌ Account Not Found"))</f>
        <v/>
      </c>
      <c r="C87" s="16" t="str">
        <f>IF(A87="","",IFERROR(VLOOKUP(A87,DB_Customers!$A:$N,14,0),""))</f>
        <v/>
      </c>
      <c r="D87" s="17" t="str">
        <f t="shared" ca="1" si="8"/>
        <v/>
      </c>
      <c r="E87" s="31"/>
      <c r="F87" s="2"/>
      <c r="G87" s="32" t="str">
        <f t="shared" si="9"/>
        <v/>
      </c>
      <c r="H87" s="4"/>
      <c r="I87" s="20" t="str">
        <f t="shared" si="10"/>
        <v>—</v>
      </c>
      <c r="J87" s="21" t="str">
        <f t="shared" ca="1" si="11"/>
        <v>—</v>
      </c>
      <c r="K87" s="22"/>
    </row>
    <row r="88" spans="1:11" x14ac:dyDescent="0.25">
      <c r="A88" s="23"/>
      <c r="B88" s="6" t="str">
        <f>IF(A88="","",IFERROR(VLOOKUP(A88,DB_Customers!$A:$D,4,0),"❌ Account Not Found"))</f>
        <v/>
      </c>
      <c r="C88" s="24" t="str">
        <f>IF(A88="","",IFERROR(VLOOKUP(A88,DB_Customers!$A:$N,14,0),""))</f>
        <v/>
      </c>
      <c r="D88" s="25" t="str">
        <f t="shared" ca="1" si="8"/>
        <v/>
      </c>
      <c r="E88" s="31"/>
      <c r="F88" s="6"/>
      <c r="G88" s="33" t="str">
        <f t="shared" si="9"/>
        <v/>
      </c>
      <c r="H88" s="8"/>
      <c r="I88" s="27" t="str">
        <f t="shared" si="10"/>
        <v>—</v>
      </c>
      <c r="J88" s="28" t="str">
        <f t="shared" ca="1" si="11"/>
        <v>—</v>
      </c>
      <c r="K88" s="29"/>
    </row>
    <row r="89" spans="1:11" x14ac:dyDescent="0.25">
      <c r="A89" s="15"/>
      <c r="B89" s="2" t="str">
        <f>IF(A89="","",IFERROR(VLOOKUP(A89,DB_Customers!$A:$D,4,0),"❌ Account Not Found"))</f>
        <v/>
      </c>
      <c r="C89" s="16" t="str">
        <f>IF(A89="","",IFERROR(VLOOKUP(A89,DB_Customers!$A:$N,14,0),""))</f>
        <v/>
      </c>
      <c r="D89" s="17" t="str">
        <f t="shared" ca="1" si="8"/>
        <v/>
      </c>
      <c r="E89" s="31"/>
      <c r="F89" s="2"/>
      <c r="G89" s="32" t="str">
        <f t="shared" si="9"/>
        <v/>
      </c>
      <c r="H89" s="4"/>
      <c r="I89" s="20" t="str">
        <f t="shared" si="10"/>
        <v>—</v>
      </c>
      <c r="J89" s="21" t="str">
        <f t="shared" ca="1" si="11"/>
        <v>—</v>
      </c>
      <c r="K89" s="22"/>
    </row>
    <row r="90" spans="1:11" x14ac:dyDescent="0.25">
      <c r="A90" s="23"/>
      <c r="B90" s="6" t="str">
        <f>IF(A90="","",IFERROR(VLOOKUP(A90,DB_Customers!$A:$D,4,0),"❌ Account Not Found"))</f>
        <v/>
      </c>
      <c r="C90" s="24" t="str">
        <f>IF(A90="","",IFERROR(VLOOKUP(A90,DB_Customers!$A:$N,14,0),""))</f>
        <v/>
      </c>
      <c r="D90" s="25" t="str">
        <f t="shared" ca="1" si="8"/>
        <v/>
      </c>
      <c r="E90" s="31"/>
      <c r="F90" s="6"/>
      <c r="G90" s="33" t="str">
        <f t="shared" si="9"/>
        <v/>
      </c>
      <c r="H90" s="8"/>
      <c r="I90" s="27" t="str">
        <f t="shared" si="10"/>
        <v>—</v>
      </c>
      <c r="J90" s="28" t="str">
        <f t="shared" ca="1" si="11"/>
        <v>—</v>
      </c>
      <c r="K90" s="29"/>
    </row>
    <row r="91" spans="1:11" x14ac:dyDescent="0.25">
      <c r="A91" s="15"/>
      <c r="B91" s="2" t="str">
        <f>IF(A91="","",IFERROR(VLOOKUP(A91,DB_Customers!$A:$D,4,0),"❌ Account Not Found"))</f>
        <v/>
      </c>
      <c r="C91" s="16" t="str">
        <f>IF(A91="","",IFERROR(VLOOKUP(A91,DB_Customers!$A:$N,14,0),""))</f>
        <v/>
      </c>
      <c r="D91" s="17" t="str">
        <f t="shared" ca="1" si="8"/>
        <v/>
      </c>
      <c r="E91" s="31"/>
      <c r="F91" s="2"/>
      <c r="G91" s="32" t="str">
        <f t="shared" si="9"/>
        <v/>
      </c>
      <c r="H91" s="4"/>
      <c r="I91" s="20" t="str">
        <f t="shared" si="10"/>
        <v>—</v>
      </c>
      <c r="J91" s="21" t="str">
        <f t="shared" ca="1" si="11"/>
        <v>—</v>
      </c>
      <c r="K91" s="22"/>
    </row>
    <row r="92" spans="1:11" x14ac:dyDescent="0.25">
      <c r="A92" s="23"/>
      <c r="B92" s="6" t="str">
        <f>IF(A92="","",IFERROR(VLOOKUP(A92,DB_Customers!$A:$D,4,0),"❌ Account Not Found"))</f>
        <v/>
      </c>
      <c r="C92" s="24" t="str">
        <f>IF(A92="","",IFERROR(VLOOKUP(A92,DB_Customers!$A:$N,14,0),""))</f>
        <v/>
      </c>
      <c r="D92" s="25" t="str">
        <f t="shared" ca="1" si="8"/>
        <v/>
      </c>
      <c r="E92" s="31"/>
      <c r="F92" s="6"/>
      <c r="G92" s="33" t="str">
        <f t="shared" si="9"/>
        <v/>
      </c>
      <c r="H92" s="8"/>
      <c r="I92" s="27" t="str">
        <f t="shared" si="10"/>
        <v>—</v>
      </c>
      <c r="J92" s="28" t="str">
        <f t="shared" ca="1" si="11"/>
        <v>—</v>
      </c>
      <c r="K92" s="29"/>
    </row>
    <row r="93" spans="1:11" x14ac:dyDescent="0.25">
      <c r="A93" s="15"/>
      <c r="B93" s="2" t="str">
        <f>IF(A93="","",IFERROR(VLOOKUP(A93,DB_Customers!$A:$D,4,0),"❌ Account Not Found"))</f>
        <v/>
      </c>
      <c r="C93" s="16" t="str">
        <f>IF(A93="","",IFERROR(VLOOKUP(A93,DB_Customers!$A:$N,14,0),""))</f>
        <v/>
      </c>
      <c r="D93" s="17" t="str">
        <f t="shared" ca="1" si="8"/>
        <v/>
      </c>
      <c r="E93" s="31"/>
      <c r="F93" s="2"/>
      <c r="G93" s="32" t="str">
        <f t="shared" si="9"/>
        <v/>
      </c>
      <c r="H93" s="4"/>
      <c r="I93" s="20" t="str">
        <f t="shared" si="10"/>
        <v>—</v>
      </c>
      <c r="J93" s="21" t="str">
        <f t="shared" ca="1" si="11"/>
        <v>—</v>
      </c>
      <c r="K93" s="22"/>
    </row>
    <row r="94" spans="1:11" x14ac:dyDescent="0.25">
      <c r="A94" s="23"/>
      <c r="B94" s="6" t="str">
        <f>IF(A94="","",IFERROR(VLOOKUP(A94,DB_Customers!$A:$D,4,0),"❌ Account Not Found"))</f>
        <v/>
      </c>
      <c r="C94" s="24" t="str">
        <f>IF(A94="","",IFERROR(VLOOKUP(A94,DB_Customers!$A:$N,14,0),""))</f>
        <v/>
      </c>
      <c r="D94" s="25" t="str">
        <f t="shared" ca="1" si="8"/>
        <v/>
      </c>
      <c r="E94" s="31"/>
      <c r="F94" s="6"/>
      <c r="G94" s="33" t="str">
        <f t="shared" si="9"/>
        <v/>
      </c>
      <c r="H94" s="8"/>
      <c r="I94" s="27" t="str">
        <f t="shared" si="10"/>
        <v>—</v>
      </c>
      <c r="J94" s="28" t="str">
        <f t="shared" ca="1" si="11"/>
        <v>—</v>
      </c>
      <c r="K94" s="29"/>
    </row>
    <row r="95" spans="1:11" x14ac:dyDescent="0.25">
      <c r="A95" s="15"/>
      <c r="B95" s="2" t="str">
        <f>IF(A95="","",IFERROR(VLOOKUP(A95,DB_Customers!$A:$D,4,0),"❌ Account Not Found"))</f>
        <v/>
      </c>
      <c r="C95" s="16" t="str">
        <f>IF(A95="","",IFERROR(VLOOKUP(A95,DB_Customers!$A:$N,14,0),""))</f>
        <v/>
      </c>
      <c r="D95" s="17" t="str">
        <f t="shared" ca="1" si="8"/>
        <v/>
      </c>
      <c r="E95" s="31"/>
      <c r="F95" s="2"/>
      <c r="G95" s="32" t="str">
        <f t="shared" si="9"/>
        <v/>
      </c>
      <c r="H95" s="4"/>
      <c r="I95" s="20" t="str">
        <f t="shared" si="10"/>
        <v>—</v>
      </c>
      <c r="J95" s="21" t="str">
        <f t="shared" ca="1" si="11"/>
        <v>—</v>
      </c>
      <c r="K95" s="22"/>
    </row>
    <row r="96" spans="1:11" x14ac:dyDescent="0.25">
      <c r="A96" s="23"/>
      <c r="B96" s="6" t="str">
        <f>IF(A96="","",IFERROR(VLOOKUP(A96,DB_Customers!$A:$D,4,0),"❌ Account Not Found"))</f>
        <v/>
      </c>
      <c r="C96" s="24" t="str">
        <f>IF(A96="","",IFERROR(VLOOKUP(A96,DB_Customers!$A:$N,14,0),""))</f>
        <v/>
      </c>
      <c r="D96" s="25" t="str">
        <f t="shared" ca="1" si="8"/>
        <v/>
      </c>
      <c r="E96" s="31"/>
      <c r="F96" s="6"/>
      <c r="G96" s="33" t="str">
        <f t="shared" si="9"/>
        <v/>
      </c>
      <c r="H96" s="8"/>
      <c r="I96" s="27" t="str">
        <f t="shared" si="10"/>
        <v>—</v>
      </c>
      <c r="J96" s="28" t="str">
        <f t="shared" ca="1" si="11"/>
        <v>—</v>
      </c>
      <c r="K96" s="29"/>
    </row>
    <row r="97" spans="1:11" x14ac:dyDescent="0.25">
      <c r="A97" s="15"/>
      <c r="B97" s="2" t="str">
        <f>IF(A97="","",IFERROR(VLOOKUP(A97,DB_Customers!$A:$D,4,0),"❌ Account Not Found"))</f>
        <v/>
      </c>
      <c r="C97" s="16" t="str">
        <f>IF(A97="","",IFERROR(VLOOKUP(A97,DB_Customers!$A:$N,14,0),""))</f>
        <v/>
      </c>
      <c r="D97" s="17" t="str">
        <f t="shared" ca="1" si="8"/>
        <v/>
      </c>
      <c r="E97" s="31"/>
      <c r="F97" s="2"/>
      <c r="G97" s="32" t="str">
        <f t="shared" si="9"/>
        <v/>
      </c>
      <c r="H97" s="4"/>
      <c r="I97" s="20" t="str">
        <f t="shared" si="10"/>
        <v>—</v>
      </c>
      <c r="J97" s="21" t="str">
        <f t="shared" ca="1" si="11"/>
        <v>—</v>
      </c>
      <c r="K97" s="22"/>
    </row>
    <row r="98" spans="1:11" x14ac:dyDescent="0.25">
      <c r="A98" s="23"/>
      <c r="B98" s="6" t="str">
        <f>IF(A98="","",IFERROR(VLOOKUP(A98,DB_Customers!$A:$D,4,0),"❌ Account Not Found"))</f>
        <v/>
      </c>
      <c r="C98" s="24" t="str">
        <f>IF(A98="","",IFERROR(VLOOKUP(A98,DB_Customers!$A:$N,14,0),""))</f>
        <v/>
      </c>
      <c r="D98" s="25" t="str">
        <f t="shared" ca="1" si="8"/>
        <v/>
      </c>
      <c r="E98" s="31"/>
      <c r="F98" s="6"/>
      <c r="G98" s="33" t="str">
        <f t="shared" si="9"/>
        <v/>
      </c>
      <c r="H98" s="8"/>
      <c r="I98" s="27" t="str">
        <f t="shared" si="10"/>
        <v>—</v>
      </c>
      <c r="J98" s="28" t="str">
        <f t="shared" ca="1" si="11"/>
        <v>—</v>
      </c>
      <c r="K98" s="29"/>
    </row>
    <row r="99" spans="1:11" x14ac:dyDescent="0.25">
      <c r="A99" s="15"/>
      <c r="B99" s="2" t="str">
        <f>IF(A99="","",IFERROR(VLOOKUP(A99,DB_Customers!$A:$D,4,0),"❌ Account Not Found"))</f>
        <v/>
      </c>
      <c r="C99" s="16" t="str">
        <f>IF(A99="","",IFERROR(VLOOKUP(A99,DB_Customers!$A:$N,14,0),""))</f>
        <v/>
      </c>
      <c r="D99" s="17" t="str">
        <f t="shared" ca="1" si="8"/>
        <v/>
      </c>
      <c r="E99" s="31"/>
      <c r="F99" s="2"/>
      <c r="G99" s="32" t="str">
        <f t="shared" si="9"/>
        <v/>
      </c>
      <c r="H99" s="4"/>
      <c r="I99" s="20" t="str">
        <f t="shared" si="10"/>
        <v>—</v>
      </c>
      <c r="J99" s="21" t="str">
        <f t="shared" ca="1" si="11"/>
        <v>—</v>
      </c>
      <c r="K99" s="22"/>
    </row>
    <row r="100" spans="1:11" x14ac:dyDescent="0.25">
      <c r="A100" s="23"/>
      <c r="B100" s="6" t="str">
        <f>IF(A100="","",IFERROR(VLOOKUP(A100,DB_Customers!$A:$D,4,0),"❌ Account Not Found"))</f>
        <v/>
      </c>
      <c r="C100" s="24" t="str">
        <f>IF(A100="","",IFERROR(VLOOKUP(A100,DB_Customers!$A:$N,14,0),""))</f>
        <v/>
      </c>
      <c r="D100" s="25" t="str">
        <f t="shared" ca="1" si="8"/>
        <v/>
      </c>
      <c r="E100" s="31"/>
      <c r="F100" s="6"/>
      <c r="G100" s="33" t="str">
        <f t="shared" si="9"/>
        <v/>
      </c>
      <c r="H100" s="8"/>
      <c r="I100" s="27" t="str">
        <f t="shared" si="10"/>
        <v>—</v>
      </c>
      <c r="J100" s="28" t="str">
        <f t="shared" ca="1" si="11"/>
        <v>—</v>
      </c>
      <c r="K100" s="29"/>
    </row>
    <row r="101" spans="1:11" x14ac:dyDescent="0.25">
      <c r="A101" s="15"/>
      <c r="B101" s="2" t="str">
        <f>IF(A101="","",IFERROR(VLOOKUP(A101,DB_Customers!$A:$D,4,0),"❌ Account Not Found"))</f>
        <v/>
      </c>
      <c r="C101" s="16" t="str">
        <f>IF(A101="","",IFERROR(VLOOKUP(A101,DB_Customers!$A:$N,14,0),""))</f>
        <v/>
      </c>
      <c r="D101" s="17" t="str">
        <f t="shared" ca="1" si="8"/>
        <v/>
      </c>
      <c r="E101" s="31"/>
      <c r="F101" s="2"/>
      <c r="G101" s="32" t="str">
        <f t="shared" si="9"/>
        <v/>
      </c>
      <c r="H101" s="4"/>
      <c r="I101" s="20" t="str">
        <f t="shared" si="10"/>
        <v>—</v>
      </c>
      <c r="J101" s="21" t="str">
        <f t="shared" ca="1" si="11"/>
        <v>—</v>
      </c>
      <c r="K101" s="22"/>
    </row>
    <row r="102" spans="1:11" x14ac:dyDescent="0.25">
      <c r="A102" s="23"/>
      <c r="B102" s="6" t="str">
        <f>IF(A102="","",IFERROR(VLOOKUP(A102,DB_Customers!$A:$D,4,0),"❌ Account Not Found"))</f>
        <v/>
      </c>
      <c r="C102" s="24" t="str">
        <f>IF(A102="","",IFERROR(VLOOKUP(A102,DB_Customers!$A:$N,14,0),""))</f>
        <v/>
      </c>
      <c r="D102" s="25" t="str">
        <f t="shared" ca="1" si="8"/>
        <v/>
      </c>
      <c r="E102" s="31"/>
      <c r="F102" s="6"/>
      <c r="G102" s="33" t="str">
        <f t="shared" si="9"/>
        <v/>
      </c>
      <c r="H102" s="8"/>
      <c r="I102" s="27" t="str">
        <f t="shared" si="10"/>
        <v>—</v>
      </c>
      <c r="J102" s="28" t="str">
        <f t="shared" ca="1" si="11"/>
        <v>—</v>
      </c>
      <c r="K102" s="29"/>
    </row>
    <row r="103" spans="1:11" x14ac:dyDescent="0.25">
      <c r="A103" s="15"/>
      <c r="B103" s="2" t="str">
        <f>IF(A103="","",IFERROR(VLOOKUP(A103,DB_Customers!$A:$D,4,0),"❌ Account Not Found"))</f>
        <v/>
      </c>
      <c r="C103" s="16" t="str">
        <f>IF(A103="","",IFERROR(VLOOKUP(A103,DB_Customers!$A:$N,14,0),""))</f>
        <v/>
      </c>
      <c r="D103" s="17" t="str">
        <f t="shared" ca="1" si="8"/>
        <v/>
      </c>
      <c r="E103" s="31"/>
      <c r="F103" s="2"/>
      <c r="G103" s="32" t="str">
        <f t="shared" si="9"/>
        <v/>
      </c>
      <c r="H103" s="4"/>
      <c r="I103" s="20" t="str">
        <f t="shared" si="10"/>
        <v>—</v>
      </c>
      <c r="J103" s="21" t="str">
        <f t="shared" ca="1" si="11"/>
        <v>—</v>
      </c>
      <c r="K103" s="22"/>
    </row>
    <row r="104" spans="1:11" x14ac:dyDescent="0.25">
      <c r="A104" s="23"/>
      <c r="B104" s="6" t="str">
        <f>IF(A104="","",IFERROR(VLOOKUP(A104,DB_Customers!$A:$D,4,0),"❌ Account Not Found"))</f>
        <v/>
      </c>
      <c r="C104" s="24" t="str">
        <f>IF(A104="","",IFERROR(VLOOKUP(A104,DB_Customers!$A:$N,14,0),""))</f>
        <v/>
      </c>
      <c r="D104" s="25" t="str">
        <f t="shared" ca="1" si="8"/>
        <v/>
      </c>
      <c r="E104" s="31"/>
      <c r="F104" s="6"/>
      <c r="G104" s="33" t="str">
        <f t="shared" si="9"/>
        <v/>
      </c>
      <c r="H104" s="8"/>
      <c r="I104" s="27" t="str">
        <f t="shared" si="10"/>
        <v>—</v>
      </c>
      <c r="J104" s="28" t="str">
        <f t="shared" ca="1" si="11"/>
        <v>—</v>
      </c>
      <c r="K104" s="29"/>
    </row>
    <row r="105" spans="1:11" x14ac:dyDescent="0.25">
      <c r="A105" s="15"/>
      <c r="B105" s="2" t="str">
        <f>IF(A105="","",IFERROR(VLOOKUP(A105,DB_Customers!$A:$D,4,0),"❌ Account Not Found"))</f>
        <v/>
      </c>
      <c r="C105" s="16" t="str">
        <f>IF(A105="","",IFERROR(VLOOKUP(A105,DB_Customers!$A:$N,14,0),""))</f>
        <v/>
      </c>
      <c r="D105" s="17" t="str">
        <f t="shared" ref="D105:D136" ca="1" si="12">IF(A105="","",TODAY())</f>
        <v/>
      </c>
      <c r="E105" s="31"/>
      <c r="F105" s="2"/>
      <c r="G105" s="32" t="str">
        <f t="shared" ref="G105:G136" si="13">IF(OR(A105="",E105=""),"",IF(C105="","",C105-E105))</f>
        <v/>
      </c>
      <c r="H105" s="4"/>
      <c r="I105" s="20" t="str">
        <f t="shared" ref="I105:I136" si="14">IF(AND(A105&lt;&gt;"",E105&lt;&gt;""),IF(C105&gt;=E105,"Successful","Unsuccessful"),"—")</f>
        <v>—</v>
      </c>
      <c r="J105" s="21" t="str">
        <f t="shared" ref="J105:J136" ca="1" si="15">IF(I105="Successful",TEXT(TODAY(),"YYYY-MM-DD")&amp;" Auto","—")</f>
        <v>—</v>
      </c>
      <c r="K105" s="22"/>
    </row>
    <row r="106" spans="1:11" x14ac:dyDescent="0.25">
      <c r="A106" s="23"/>
      <c r="B106" s="6" t="str">
        <f>IF(A106="","",IFERROR(VLOOKUP(A106,DB_Customers!$A:$D,4,0),"❌ Account Not Found"))</f>
        <v/>
      </c>
      <c r="C106" s="24" t="str">
        <f>IF(A106="","",IFERROR(VLOOKUP(A106,DB_Customers!$A:$N,14,0),""))</f>
        <v/>
      </c>
      <c r="D106" s="25" t="str">
        <f t="shared" ca="1" si="12"/>
        <v/>
      </c>
      <c r="E106" s="31"/>
      <c r="F106" s="6"/>
      <c r="G106" s="33" t="str">
        <f t="shared" si="13"/>
        <v/>
      </c>
      <c r="H106" s="8"/>
      <c r="I106" s="27" t="str">
        <f t="shared" si="14"/>
        <v>—</v>
      </c>
      <c r="J106" s="28" t="str">
        <f t="shared" ca="1" si="15"/>
        <v>—</v>
      </c>
      <c r="K106" s="29"/>
    </row>
    <row r="107" spans="1:11" x14ac:dyDescent="0.25">
      <c r="A107" s="15"/>
      <c r="B107" s="2" t="str">
        <f>IF(A107="","",IFERROR(VLOOKUP(A107,DB_Customers!$A:$D,4,0),"❌ Account Not Found"))</f>
        <v/>
      </c>
      <c r="C107" s="16" t="str">
        <f>IF(A107="","",IFERROR(VLOOKUP(A107,DB_Customers!$A:$N,14,0),""))</f>
        <v/>
      </c>
      <c r="D107" s="17" t="str">
        <f t="shared" ca="1" si="12"/>
        <v/>
      </c>
      <c r="E107" s="31"/>
      <c r="F107" s="2"/>
      <c r="G107" s="32" t="str">
        <f t="shared" si="13"/>
        <v/>
      </c>
      <c r="H107" s="4"/>
      <c r="I107" s="20" t="str">
        <f t="shared" si="14"/>
        <v>—</v>
      </c>
      <c r="J107" s="21" t="str">
        <f t="shared" ca="1" si="15"/>
        <v>—</v>
      </c>
      <c r="K107" s="22"/>
    </row>
    <row r="108" spans="1:11" x14ac:dyDescent="0.25">
      <c r="A108" s="23"/>
      <c r="B108" s="6" t="str">
        <f>IF(A108="","",IFERROR(VLOOKUP(A108,DB_Customers!$A:$D,4,0),"❌ Account Not Found"))</f>
        <v/>
      </c>
      <c r="C108" s="24" t="str">
        <f>IF(A108="","",IFERROR(VLOOKUP(A108,DB_Customers!$A:$N,14,0),""))</f>
        <v/>
      </c>
      <c r="D108" s="25" t="str">
        <f t="shared" ca="1" si="12"/>
        <v/>
      </c>
      <c r="E108" s="31"/>
      <c r="F108" s="6"/>
      <c r="G108" s="33" t="str">
        <f t="shared" si="13"/>
        <v/>
      </c>
      <c r="H108" s="8"/>
      <c r="I108" s="27" t="str">
        <f t="shared" si="14"/>
        <v>—</v>
      </c>
      <c r="J108" s="28" t="str">
        <f t="shared" ca="1" si="15"/>
        <v>—</v>
      </c>
      <c r="K108" s="29"/>
    </row>
    <row r="109" spans="1:11" x14ac:dyDescent="0.25">
      <c r="A109" s="15"/>
      <c r="B109" s="2" t="str">
        <f>IF(A109="","",IFERROR(VLOOKUP(A109,DB_Customers!$A:$D,4,0),"❌ Account Not Found"))</f>
        <v/>
      </c>
      <c r="C109" s="16" t="str">
        <f>IF(A109="","",IFERROR(VLOOKUP(A109,DB_Customers!$A:$N,14,0),""))</f>
        <v/>
      </c>
      <c r="D109" s="17" t="str">
        <f t="shared" ca="1" si="12"/>
        <v/>
      </c>
      <c r="E109" s="31"/>
      <c r="F109" s="2"/>
      <c r="G109" s="32" t="str">
        <f t="shared" si="13"/>
        <v/>
      </c>
      <c r="H109" s="4"/>
      <c r="I109" s="20" t="str">
        <f t="shared" si="14"/>
        <v>—</v>
      </c>
      <c r="J109" s="21" t="str">
        <f t="shared" ca="1" si="15"/>
        <v>—</v>
      </c>
      <c r="K109" s="22"/>
    </row>
    <row r="110" spans="1:11" x14ac:dyDescent="0.25">
      <c r="A110" s="23"/>
      <c r="B110" s="6" t="str">
        <f>IF(A110="","",IFERROR(VLOOKUP(A110,DB_Customers!$A:$D,4,0),"❌ Account Not Found"))</f>
        <v/>
      </c>
      <c r="C110" s="24" t="str">
        <f>IF(A110="","",IFERROR(VLOOKUP(A110,DB_Customers!$A:$N,14,0),""))</f>
        <v/>
      </c>
      <c r="D110" s="25" t="str">
        <f t="shared" ca="1" si="12"/>
        <v/>
      </c>
      <c r="E110" s="31"/>
      <c r="F110" s="6"/>
      <c r="G110" s="33" t="str">
        <f t="shared" si="13"/>
        <v/>
      </c>
      <c r="H110" s="8"/>
      <c r="I110" s="27" t="str">
        <f t="shared" si="14"/>
        <v>—</v>
      </c>
      <c r="J110" s="28" t="str">
        <f t="shared" ca="1" si="15"/>
        <v>—</v>
      </c>
      <c r="K110" s="29"/>
    </row>
    <row r="111" spans="1:11" x14ac:dyDescent="0.25">
      <c r="A111" s="15"/>
      <c r="B111" s="2" t="str">
        <f>IF(A111="","",IFERROR(VLOOKUP(A111,DB_Customers!$A:$D,4,0),"❌ Account Not Found"))</f>
        <v/>
      </c>
      <c r="C111" s="16" t="str">
        <f>IF(A111="","",IFERROR(VLOOKUP(A111,DB_Customers!$A:$N,14,0),""))</f>
        <v/>
      </c>
      <c r="D111" s="17" t="str">
        <f t="shared" ca="1" si="12"/>
        <v/>
      </c>
      <c r="E111" s="31"/>
      <c r="F111" s="2"/>
      <c r="G111" s="32" t="str">
        <f t="shared" si="13"/>
        <v/>
      </c>
      <c r="H111" s="4"/>
      <c r="I111" s="20" t="str">
        <f t="shared" si="14"/>
        <v>—</v>
      </c>
      <c r="J111" s="21" t="str">
        <f t="shared" ca="1" si="15"/>
        <v>—</v>
      </c>
      <c r="K111" s="22"/>
    </row>
    <row r="112" spans="1:11" x14ac:dyDescent="0.25">
      <c r="A112" s="23"/>
      <c r="B112" s="6" t="str">
        <f>IF(A112="","",IFERROR(VLOOKUP(A112,DB_Customers!$A:$D,4,0),"❌ Account Not Found"))</f>
        <v/>
      </c>
      <c r="C112" s="24" t="str">
        <f>IF(A112="","",IFERROR(VLOOKUP(A112,DB_Customers!$A:$N,14,0),""))</f>
        <v/>
      </c>
      <c r="D112" s="25" t="str">
        <f t="shared" ca="1" si="12"/>
        <v/>
      </c>
      <c r="E112" s="31"/>
      <c r="F112" s="6"/>
      <c r="G112" s="33" t="str">
        <f t="shared" si="13"/>
        <v/>
      </c>
      <c r="H112" s="8"/>
      <c r="I112" s="27" t="str">
        <f t="shared" si="14"/>
        <v>—</v>
      </c>
      <c r="J112" s="28" t="str">
        <f t="shared" ca="1" si="15"/>
        <v>—</v>
      </c>
      <c r="K112" s="29"/>
    </row>
    <row r="113" spans="1:11" x14ac:dyDescent="0.25">
      <c r="A113" s="15"/>
      <c r="B113" s="2" t="str">
        <f>IF(A113="","",IFERROR(VLOOKUP(A113,DB_Customers!$A:$D,4,0),"❌ Account Not Found"))</f>
        <v/>
      </c>
      <c r="C113" s="16" t="str">
        <f>IF(A113="","",IFERROR(VLOOKUP(A113,DB_Customers!$A:$N,14,0),""))</f>
        <v/>
      </c>
      <c r="D113" s="17" t="str">
        <f t="shared" ca="1" si="12"/>
        <v/>
      </c>
      <c r="E113" s="31"/>
      <c r="F113" s="2"/>
      <c r="G113" s="32" t="str">
        <f t="shared" si="13"/>
        <v/>
      </c>
      <c r="H113" s="4"/>
      <c r="I113" s="20" t="str">
        <f t="shared" si="14"/>
        <v>—</v>
      </c>
      <c r="J113" s="21" t="str">
        <f t="shared" ca="1" si="15"/>
        <v>—</v>
      </c>
      <c r="K113" s="22"/>
    </row>
    <row r="114" spans="1:11" x14ac:dyDescent="0.25">
      <c r="A114" s="23"/>
      <c r="B114" s="6" t="str">
        <f>IF(A114="","",IFERROR(VLOOKUP(A114,DB_Customers!$A:$D,4,0),"❌ Account Not Found"))</f>
        <v/>
      </c>
      <c r="C114" s="24" t="str">
        <f>IF(A114="","",IFERROR(VLOOKUP(A114,DB_Customers!$A:$N,14,0),""))</f>
        <v/>
      </c>
      <c r="D114" s="25" t="str">
        <f t="shared" ca="1" si="12"/>
        <v/>
      </c>
      <c r="E114" s="31"/>
      <c r="F114" s="6"/>
      <c r="G114" s="33" t="str">
        <f t="shared" si="13"/>
        <v/>
      </c>
      <c r="H114" s="8"/>
      <c r="I114" s="27" t="str">
        <f t="shared" si="14"/>
        <v>—</v>
      </c>
      <c r="J114" s="28" t="str">
        <f t="shared" ca="1" si="15"/>
        <v>—</v>
      </c>
      <c r="K114" s="29"/>
    </row>
    <row r="115" spans="1:11" x14ac:dyDescent="0.25">
      <c r="A115" s="15"/>
      <c r="B115" s="2" t="str">
        <f>IF(A115="","",IFERROR(VLOOKUP(A115,DB_Customers!$A:$D,4,0),"❌ Account Not Found"))</f>
        <v/>
      </c>
      <c r="C115" s="16" t="str">
        <f>IF(A115="","",IFERROR(VLOOKUP(A115,DB_Customers!$A:$N,14,0),""))</f>
        <v/>
      </c>
      <c r="D115" s="17" t="str">
        <f t="shared" ca="1" si="12"/>
        <v/>
      </c>
      <c r="E115" s="31"/>
      <c r="F115" s="2"/>
      <c r="G115" s="32" t="str">
        <f t="shared" si="13"/>
        <v/>
      </c>
      <c r="H115" s="4"/>
      <c r="I115" s="20" t="str">
        <f t="shared" si="14"/>
        <v>—</v>
      </c>
      <c r="J115" s="21" t="str">
        <f t="shared" ca="1" si="15"/>
        <v>—</v>
      </c>
      <c r="K115" s="22"/>
    </row>
    <row r="116" spans="1:11" x14ac:dyDescent="0.25">
      <c r="A116" s="23"/>
      <c r="B116" s="6" t="str">
        <f>IF(A116="","",IFERROR(VLOOKUP(A116,DB_Customers!$A:$D,4,0),"❌ Account Not Found"))</f>
        <v/>
      </c>
      <c r="C116" s="24" t="str">
        <f>IF(A116="","",IFERROR(VLOOKUP(A116,DB_Customers!$A:$N,14,0),""))</f>
        <v/>
      </c>
      <c r="D116" s="25" t="str">
        <f t="shared" ca="1" si="12"/>
        <v/>
      </c>
      <c r="E116" s="31"/>
      <c r="F116" s="6"/>
      <c r="G116" s="33" t="str">
        <f t="shared" si="13"/>
        <v/>
      </c>
      <c r="H116" s="8"/>
      <c r="I116" s="27" t="str">
        <f t="shared" si="14"/>
        <v>—</v>
      </c>
      <c r="J116" s="28" t="str">
        <f t="shared" ca="1" si="15"/>
        <v>—</v>
      </c>
      <c r="K116" s="29"/>
    </row>
    <row r="117" spans="1:11" x14ac:dyDescent="0.25">
      <c r="A117" s="15"/>
      <c r="B117" s="2" t="str">
        <f>IF(A117="","",IFERROR(VLOOKUP(A117,DB_Customers!$A:$D,4,0),"❌ Account Not Found"))</f>
        <v/>
      </c>
      <c r="C117" s="16" t="str">
        <f>IF(A117="","",IFERROR(VLOOKUP(A117,DB_Customers!$A:$N,14,0),""))</f>
        <v/>
      </c>
      <c r="D117" s="17" t="str">
        <f t="shared" ca="1" si="12"/>
        <v/>
      </c>
      <c r="E117" s="31"/>
      <c r="F117" s="2"/>
      <c r="G117" s="32" t="str">
        <f t="shared" si="13"/>
        <v/>
      </c>
      <c r="H117" s="4"/>
      <c r="I117" s="20" t="str">
        <f t="shared" si="14"/>
        <v>—</v>
      </c>
      <c r="J117" s="21" t="str">
        <f t="shared" ca="1" si="15"/>
        <v>—</v>
      </c>
      <c r="K117" s="22"/>
    </row>
    <row r="118" spans="1:11" x14ac:dyDescent="0.25">
      <c r="A118" s="23"/>
      <c r="B118" s="6" t="str">
        <f>IF(A118="","",IFERROR(VLOOKUP(A118,DB_Customers!$A:$D,4,0),"❌ Account Not Found"))</f>
        <v/>
      </c>
      <c r="C118" s="24" t="str">
        <f>IF(A118="","",IFERROR(VLOOKUP(A118,DB_Customers!$A:$N,14,0),""))</f>
        <v/>
      </c>
      <c r="D118" s="25" t="str">
        <f t="shared" ca="1" si="12"/>
        <v/>
      </c>
      <c r="E118" s="31"/>
      <c r="F118" s="6"/>
      <c r="G118" s="33" t="str">
        <f t="shared" si="13"/>
        <v/>
      </c>
      <c r="H118" s="8"/>
      <c r="I118" s="27" t="str">
        <f t="shared" si="14"/>
        <v>—</v>
      </c>
      <c r="J118" s="28" t="str">
        <f t="shared" ca="1" si="15"/>
        <v>—</v>
      </c>
      <c r="K118" s="29"/>
    </row>
    <row r="119" spans="1:11" x14ac:dyDescent="0.25">
      <c r="A119" s="15"/>
      <c r="B119" s="2" t="str">
        <f>IF(A119="","",IFERROR(VLOOKUP(A119,DB_Customers!$A:$D,4,0),"❌ Account Not Found"))</f>
        <v/>
      </c>
      <c r="C119" s="16" t="str">
        <f>IF(A119="","",IFERROR(VLOOKUP(A119,DB_Customers!$A:$N,14,0),""))</f>
        <v/>
      </c>
      <c r="D119" s="17" t="str">
        <f t="shared" ca="1" si="12"/>
        <v/>
      </c>
      <c r="E119" s="31"/>
      <c r="F119" s="2"/>
      <c r="G119" s="32" t="str">
        <f t="shared" si="13"/>
        <v/>
      </c>
      <c r="H119" s="4"/>
      <c r="I119" s="20" t="str">
        <f t="shared" si="14"/>
        <v>—</v>
      </c>
      <c r="J119" s="21" t="str">
        <f t="shared" ca="1" si="15"/>
        <v>—</v>
      </c>
      <c r="K119" s="22"/>
    </row>
    <row r="120" spans="1:11" x14ac:dyDescent="0.25">
      <c r="A120" s="23"/>
      <c r="B120" s="6" t="str">
        <f>IF(A120="","",IFERROR(VLOOKUP(A120,DB_Customers!$A:$D,4,0),"❌ Account Not Found"))</f>
        <v/>
      </c>
      <c r="C120" s="24" t="str">
        <f>IF(A120="","",IFERROR(VLOOKUP(A120,DB_Customers!$A:$N,14,0),""))</f>
        <v/>
      </c>
      <c r="D120" s="25" t="str">
        <f t="shared" ca="1" si="12"/>
        <v/>
      </c>
      <c r="E120" s="31"/>
      <c r="F120" s="6"/>
      <c r="G120" s="33" t="str">
        <f t="shared" si="13"/>
        <v/>
      </c>
      <c r="H120" s="8"/>
      <c r="I120" s="27" t="str">
        <f t="shared" si="14"/>
        <v>—</v>
      </c>
      <c r="J120" s="28" t="str">
        <f t="shared" ca="1" si="15"/>
        <v>—</v>
      </c>
      <c r="K120" s="29"/>
    </row>
    <row r="121" spans="1:11" x14ac:dyDescent="0.25">
      <c r="A121" s="15"/>
      <c r="B121" s="2" t="str">
        <f>IF(A121="","",IFERROR(VLOOKUP(A121,DB_Customers!$A:$D,4,0),"❌ Account Not Found"))</f>
        <v/>
      </c>
      <c r="C121" s="16" t="str">
        <f>IF(A121="","",IFERROR(VLOOKUP(A121,DB_Customers!$A:$N,14,0),""))</f>
        <v/>
      </c>
      <c r="D121" s="17" t="str">
        <f t="shared" ca="1" si="12"/>
        <v/>
      </c>
      <c r="E121" s="31"/>
      <c r="F121" s="2"/>
      <c r="G121" s="32" t="str">
        <f t="shared" si="13"/>
        <v/>
      </c>
      <c r="H121" s="4"/>
      <c r="I121" s="20" t="str">
        <f t="shared" si="14"/>
        <v>—</v>
      </c>
      <c r="J121" s="21" t="str">
        <f t="shared" ca="1" si="15"/>
        <v>—</v>
      </c>
      <c r="K121" s="22"/>
    </row>
    <row r="122" spans="1:11" x14ac:dyDescent="0.25">
      <c r="A122" s="23"/>
      <c r="B122" s="6" t="str">
        <f>IF(A122="","",IFERROR(VLOOKUP(A122,DB_Customers!$A:$D,4,0),"❌ Account Not Found"))</f>
        <v/>
      </c>
      <c r="C122" s="24" t="str">
        <f>IF(A122="","",IFERROR(VLOOKUP(A122,DB_Customers!$A:$N,14,0),""))</f>
        <v/>
      </c>
      <c r="D122" s="25" t="str">
        <f t="shared" ca="1" si="12"/>
        <v/>
      </c>
      <c r="E122" s="31"/>
      <c r="F122" s="6"/>
      <c r="G122" s="33" t="str">
        <f t="shared" si="13"/>
        <v/>
      </c>
      <c r="H122" s="8"/>
      <c r="I122" s="27" t="str">
        <f t="shared" si="14"/>
        <v>—</v>
      </c>
      <c r="J122" s="28" t="str">
        <f t="shared" ca="1" si="15"/>
        <v>—</v>
      </c>
      <c r="K122" s="29"/>
    </row>
    <row r="123" spans="1:11" x14ac:dyDescent="0.25">
      <c r="A123" s="15"/>
      <c r="B123" s="2" t="str">
        <f>IF(A123="","",IFERROR(VLOOKUP(A123,DB_Customers!$A:$D,4,0),"❌ Account Not Found"))</f>
        <v/>
      </c>
      <c r="C123" s="16" t="str">
        <f>IF(A123="","",IFERROR(VLOOKUP(A123,DB_Customers!$A:$N,14,0),""))</f>
        <v/>
      </c>
      <c r="D123" s="17" t="str">
        <f t="shared" ca="1" si="12"/>
        <v/>
      </c>
      <c r="E123" s="31"/>
      <c r="F123" s="2"/>
      <c r="G123" s="32" t="str">
        <f t="shared" si="13"/>
        <v/>
      </c>
      <c r="H123" s="4"/>
      <c r="I123" s="20" t="str">
        <f t="shared" si="14"/>
        <v>—</v>
      </c>
      <c r="J123" s="21" t="str">
        <f t="shared" ca="1" si="15"/>
        <v>—</v>
      </c>
      <c r="K123" s="22"/>
    </row>
    <row r="124" spans="1:11" x14ac:dyDescent="0.25">
      <c r="A124" s="23"/>
      <c r="B124" s="6" t="str">
        <f>IF(A124="","",IFERROR(VLOOKUP(A124,DB_Customers!$A:$D,4,0),"❌ Account Not Found"))</f>
        <v/>
      </c>
      <c r="C124" s="24" t="str">
        <f>IF(A124="","",IFERROR(VLOOKUP(A124,DB_Customers!$A:$N,14,0),""))</f>
        <v/>
      </c>
      <c r="D124" s="25" t="str">
        <f t="shared" ca="1" si="12"/>
        <v/>
      </c>
      <c r="E124" s="31"/>
      <c r="F124" s="6"/>
      <c r="G124" s="33" t="str">
        <f t="shared" si="13"/>
        <v/>
      </c>
      <c r="H124" s="8"/>
      <c r="I124" s="27" t="str">
        <f t="shared" si="14"/>
        <v>—</v>
      </c>
      <c r="J124" s="28" t="str">
        <f t="shared" ca="1" si="15"/>
        <v>—</v>
      </c>
      <c r="K124" s="29"/>
    </row>
    <row r="125" spans="1:11" x14ac:dyDescent="0.25">
      <c r="A125" s="15"/>
      <c r="B125" s="2" t="str">
        <f>IF(A125="","",IFERROR(VLOOKUP(A125,DB_Customers!$A:$D,4,0),"❌ Account Not Found"))</f>
        <v/>
      </c>
      <c r="C125" s="16" t="str">
        <f>IF(A125="","",IFERROR(VLOOKUP(A125,DB_Customers!$A:$N,14,0),""))</f>
        <v/>
      </c>
      <c r="D125" s="17" t="str">
        <f t="shared" ca="1" si="12"/>
        <v/>
      </c>
      <c r="E125" s="31"/>
      <c r="F125" s="2"/>
      <c r="G125" s="32" t="str">
        <f t="shared" si="13"/>
        <v/>
      </c>
      <c r="H125" s="4"/>
      <c r="I125" s="20" t="str">
        <f t="shared" si="14"/>
        <v>—</v>
      </c>
      <c r="J125" s="21" t="str">
        <f t="shared" ca="1" si="15"/>
        <v>—</v>
      </c>
      <c r="K125" s="22"/>
    </row>
    <row r="126" spans="1:11" x14ac:dyDescent="0.25">
      <c r="A126" s="23"/>
      <c r="B126" s="6" t="str">
        <f>IF(A126="","",IFERROR(VLOOKUP(A126,DB_Customers!$A:$D,4,0),"❌ Account Not Found"))</f>
        <v/>
      </c>
      <c r="C126" s="24" t="str">
        <f>IF(A126="","",IFERROR(VLOOKUP(A126,DB_Customers!$A:$N,14,0),""))</f>
        <v/>
      </c>
      <c r="D126" s="25" t="str">
        <f t="shared" ca="1" si="12"/>
        <v/>
      </c>
      <c r="E126" s="31"/>
      <c r="F126" s="6"/>
      <c r="G126" s="33" t="str">
        <f t="shared" si="13"/>
        <v/>
      </c>
      <c r="H126" s="8"/>
      <c r="I126" s="27" t="str">
        <f t="shared" si="14"/>
        <v>—</v>
      </c>
      <c r="J126" s="28" t="str">
        <f t="shared" ca="1" si="15"/>
        <v>—</v>
      </c>
      <c r="K126" s="29"/>
    </row>
    <row r="127" spans="1:11" x14ac:dyDescent="0.25">
      <c r="A127" s="15"/>
      <c r="B127" s="2" t="str">
        <f>IF(A127="","",IFERROR(VLOOKUP(A127,DB_Customers!$A:$D,4,0),"❌ Account Not Found"))</f>
        <v/>
      </c>
      <c r="C127" s="16" t="str">
        <f>IF(A127="","",IFERROR(VLOOKUP(A127,DB_Customers!$A:$N,14,0),""))</f>
        <v/>
      </c>
      <c r="D127" s="17" t="str">
        <f t="shared" ca="1" si="12"/>
        <v/>
      </c>
      <c r="E127" s="31"/>
      <c r="F127" s="2"/>
      <c r="G127" s="32" t="str">
        <f t="shared" si="13"/>
        <v/>
      </c>
      <c r="H127" s="4"/>
      <c r="I127" s="20" t="str">
        <f t="shared" si="14"/>
        <v>—</v>
      </c>
      <c r="J127" s="21" t="str">
        <f t="shared" ca="1" si="15"/>
        <v>—</v>
      </c>
      <c r="K127" s="22"/>
    </row>
    <row r="128" spans="1:11" x14ac:dyDescent="0.25">
      <c r="A128" s="23"/>
      <c r="B128" s="6" t="str">
        <f>IF(A128="","",IFERROR(VLOOKUP(A128,DB_Customers!$A:$D,4,0),"❌ Account Not Found"))</f>
        <v/>
      </c>
      <c r="C128" s="24" t="str">
        <f>IF(A128="","",IFERROR(VLOOKUP(A128,DB_Customers!$A:$N,14,0),""))</f>
        <v/>
      </c>
      <c r="D128" s="25" t="str">
        <f t="shared" ca="1" si="12"/>
        <v/>
      </c>
      <c r="E128" s="31"/>
      <c r="F128" s="6"/>
      <c r="G128" s="33" t="str">
        <f t="shared" si="13"/>
        <v/>
      </c>
      <c r="H128" s="8"/>
      <c r="I128" s="27" t="str">
        <f t="shared" si="14"/>
        <v>—</v>
      </c>
      <c r="J128" s="28" t="str">
        <f t="shared" ca="1" si="15"/>
        <v>—</v>
      </c>
      <c r="K128" s="29"/>
    </row>
    <row r="129" spans="1:11" x14ac:dyDescent="0.25">
      <c r="A129" s="15"/>
      <c r="B129" s="2" t="str">
        <f>IF(A129="","",IFERROR(VLOOKUP(A129,DB_Customers!$A:$D,4,0),"❌ Account Not Found"))</f>
        <v/>
      </c>
      <c r="C129" s="16" t="str">
        <f>IF(A129="","",IFERROR(VLOOKUP(A129,DB_Customers!$A:$N,14,0),""))</f>
        <v/>
      </c>
      <c r="D129" s="17" t="str">
        <f t="shared" ca="1" si="12"/>
        <v/>
      </c>
      <c r="E129" s="31"/>
      <c r="F129" s="2"/>
      <c r="G129" s="32" t="str">
        <f t="shared" si="13"/>
        <v/>
      </c>
      <c r="H129" s="4"/>
      <c r="I129" s="20" t="str">
        <f t="shared" si="14"/>
        <v>—</v>
      </c>
      <c r="J129" s="21" t="str">
        <f t="shared" ca="1" si="15"/>
        <v>—</v>
      </c>
      <c r="K129" s="22"/>
    </row>
    <row r="130" spans="1:11" x14ac:dyDescent="0.25">
      <c r="A130" s="23"/>
      <c r="B130" s="6" t="str">
        <f>IF(A130="","",IFERROR(VLOOKUP(A130,DB_Customers!$A:$D,4,0),"❌ Account Not Found"))</f>
        <v/>
      </c>
      <c r="C130" s="24" t="str">
        <f>IF(A130="","",IFERROR(VLOOKUP(A130,DB_Customers!$A:$N,14,0),""))</f>
        <v/>
      </c>
      <c r="D130" s="25" t="str">
        <f t="shared" ca="1" si="12"/>
        <v/>
      </c>
      <c r="E130" s="31"/>
      <c r="F130" s="6"/>
      <c r="G130" s="33" t="str">
        <f t="shared" si="13"/>
        <v/>
      </c>
      <c r="H130" s="8"/>
      <c r="I130" s="27" t="str">
        <f t="shared" si="14"/>
        <v>—</v>
      </c>
      <c r="J130" s="28" t="str">
        <f t="shared" ca="1" si="15"/>
        <v>—</v>
      </c>
      <c r="K130" s="29"/>
    </row>
    <row r="131" spans="1:11" x14ac:dyDescent="0.25">
      <c r="A131" s="15"/>
      <c r="B131" s="2" t="str">
        <f>IF(A131="","",IFERROR(VLOOKUP(A131,DB_Customers!$A:$D,4,0),"❌ Account Not Found"))</f>
        <v/>
      </c>
      <c r="C131" s="16" t="str">
        <f>IF(A131="","",IFERROR(VLOOKUP(A131,DB_Customers!$A:$N,14,0),""))</f>
        <v/>
      </c>
      <c r="D131" s="17" t="str">
        <f t="shared" ca="1" si="12"/>
        <v/>
      </c>
      <c r="E131" s="31"/>
      <c r="F131" s="2"/>
      <c r="G131" s="32" t="str">
        <f t="shared" si="13"/>
        <v/>
      </c>
      <c r="H131" s="4"/>
      <c r="I131" s="20" t="str">
        <f t="shared" si="14"/>
        <v>—</v>
      </c>
      <c r="J131" s="21" t="str">
        <f t="shared" ca="1" si="15"/>
        <v>—</v>
      </c>
      <c r="K131" s="22"/>
    </row>
    <row r="132" spans="1:11" x14ac:dyDescent="0.25">
      <c r="A132" s="23"/>
      <c r="B132" s="6" t="str">
        <f>IF(A132="","",IFERROR(VLOOKUP(A132,DB_Customers!$A:$D,4,0),"❌ Account Not Found"))</f>
        <v/>
      </c>
      <c r="C132" s="24" t="str">
        <f>IF(A132="","",IFERROR(VLOOKUP(A132,DB_Customers!$A:$N,14,0),""))</f>
        <v/>
      </c>
      <c r="D132" s="25" t="str">
        <f t="shared" ca="1" si="12"/>
        <v/>
      </c>
      <c r="E132" s="31"/>
      <c r="F132" s="6"/>
      <c r="G132" s="33" t="str">
        <f t="shared" si="13"/>
        <v/>
      </c>
      <c r="H132" s="8"/>
      <c r="I132" s="27" t="str">
        <f t="shared" si="14"/>
        <v>—</v>
      </c>
      <c r="J132" s="28" t="str">
        <f t="shared" ca="1" si="15"/>
        <v>—</v>
      </c>
      <c r="K132" s="29"/>
    </row>
    <row r="133" spans="1:11" x14ac:dyDescent="0.25">
      <c r="A133" s="15"/>
      <c r="B133" s="2" t="str">
        <f>IF(A133="","",IFERROR(VLOOKUP(A133,DB_Customers!$A:$D,4,0),"❌ Account Not Found"))</f>
        <v/>
      </c>
      <c r="C133" s="16" t="str">
        <f>IF(A133="","",IFERROR(VLOOKUP(A133,DB_Customers!$A:$N,14,0),""))</f>
        <v/>
      </c>
      <c r="D133" s="17" t="str">
        <f t="shared" ca="1" si="12"/>
        <v/>
      </c>
      <c r="E133" s="31"/>
      <c r="F133" s="2"/>
      <c r="G133" s="32" t="str">
        <f t="shared" si="13"/>
        <v/>
      </c>
      <c r="H133" s="4"/>
      <c r="I133" s="20" t="str">
        <f t="shared" si="14"/>
        <v>—</v>
      </c>
      <c r="J133" s="21" t="str">
        <f t="shared" ca="1" si="15"/>
        <v>—</v>
      </c>
      <c r="K133" s="22"/>
    </row>
    <row r="134" spans="1:11" x14ac:dyDescent="0.25">
      <c r="A134" s="23"/>
      <c r="B134" s="6" t="str">
        <f>IF(A134="","",IFERROR(VLOOKUP(A134,DB_Customers!$A:$D,4,0),"❌ Account Not Found"))</f>
        <v/>
      </c>
      <c r="C134" s="24" t="str">
        <f>IF(A134="","",IFERROR(VLOOKUP(A134,DB_Customers!$A:$N,14,0),""))</f>
        <v/>
      </c>
      <c r="D134" s="25" t="str">
        <f t="shared" ca="1" si="12"/>
        <v/>
      </c>
      <c r="E134" s="31"/>
      <c r="F134" s="6"/>
      <c r="G134" s="33" t="str">
        <f t="shared" si="13"/>
        <v/>
      </c>
      <c r="H134" s="8"/>
      <c r="I134" s="27" t="str">
        <f t="shared" si="14"/>
        <v>—</v>
      </c>
      <c r="J134" s="28" t="str">
        <f t="shared" ca="1" si="15"/>
        <v>—</v>
      </c>
      <c r="K134" s="29"/>
    </row>
    <row r="135" spans="1:11" x14ac:dyDescent="0.25">
      <c r="A135" s="15"/>
      <c r="B135" s="2" t="str">
        <f>IF(A135="","",IFERROR(VLOOKUP(A135,DB_Customers!$A:$D,4,0),"❌ Account Not Found"))</f>
        <v/>
      </c>
      <c r="C135" s="16" t="str">
        <f>IF(A135="","",IFERROR(VLOOKUP(A135,DB_Customers!$A:$N,14,0),""))</f>
        <v/>
      </c>
      <c r="D135" s="17" t="str">
        <f t="shared" ca="1" si="12"/>
        <v/>
      </c>
      <c r="E135" s="31"/>
      <c r="F135" s="2"/>
      <c r="G135" s="32" t="str">
        <f t="shared" si="13"/>
        <v/>
      </c>
      <c r="H135" s="4"/>
      <c r="I135" s="20" t="str">
        <f t="shared" si="14"/>
        <v>—</v>
      </c>
      <c r="J135" s="21" t="str">
        <f t="shared" ca="1" si="15"/>
        <v>—</v>
      </c>
      <c r="K135" s="22"/>
    </row>
    <row r="136" spans="1:11" x14ac:dyDescent="0.25">
      <c r="A136" s="23"/>
      <c r="B136" s="6" t="str">
        <f>IF(A136="","",IFERROR(VLOOKUP(A136,DB_Customers!$A:$D,4,0),"❌ Account Not Found"))</f>
        <v/>
      </c>
      <c r="C136" s="24" t="str">
        <f>IF(A136="","",IFERROR(VLOOKUP(A136,DB_Customers!$A:$N,14,0),""))</f>
        <v/>
      </c>
      <c r="D136" s="25" t="str">
        <f t="shared" ca="1" si="12"/>
        <v/>
      </c>
      <c r="E136" s="31"/>
      <c r="F136" s="6"/>
      <c r="G136" s="33" t="str">
        <f t="shared" si="13"/>
        <v/>
      </c>
      <c r="H136" s="8"/>
      <c r="I136" s="27" t="str">
        <f t="shared" si="14"/>
        <v>—</v>
      </c>
      <c r="J136" s="28" t="str">
        <f t="shared" ca="1" si="15"/>
        <v>—</v>
      </c>
      <c r="K136" s="29"/>
    </row>
    <row r="137" spans="1:11" x14ac:dyDescent="0.25">
      <c r="A137" s="15"/>
      <c r="B137" s="2" t="str">
        <f>IF(A137="","",IFERROR(VLOOKUP(A137,DB_Customers!$A:$D,4,0),"❌ Account Not Found"))</f>
        <v/>
      </c>
      <c r="C137" s="16" t="str">
        <f>IF(A137="","",IFERROR(VLOOKUP(A137,DB_Customers!$A:$N,14,0),""))</f>
        <v/>
      </c>
      <c r="D137" s="17" t="str">
        <f t="shared" ref="D137:D168" ca="1" si="16">IF(A137="","",TODAY())</f>
        <v/>
      </c>
      <c r="E137" s="31"/>
      <c r="F137" s="2"/>
      <c r="G137" s="32" t="str">
        <f t="shared" ref="G137:G168" si="17">IF(OR(A137="",E137=""),"",IF(C137="","",C137-E137))</f>
        <v/>
      </c>
      <c r="H137" s="4"/>
      <c r="I137" s="20" t="str">
        <f t="shared" ref="I137:I168" si="18">IF(AND(A137&lt;&gt;"",E137&lt;&gt;""),IF(C137&gt;=E137,"Successful","Unsuccessful"),"—")</f>
        <v>—</v>
      </c>
      <c r="J137" s="21" t="str">
        <f t="shared" ref="J137:J168" ca="1" si="19">IF(I137="Successful",TEXT(TODAY(),"YYYY-MM-DD")&amp;" Auto","—")</f>
        <v>—</v>
      </c>
      <c r="K137" s="22"/>
    </row>
    <row r="138" spans="1:11" x14ac:dyDescent="0.25">
      <c r="A138" s="23"/>
      <c r="B138" s="6" t="str">
        <f>IF(A138="","",IFERROR(VLOOKUP(A138,DB_Customers!$A:$D,4,0),"❌ Account Not Found"))</f>
        <v/>
      </c>
      <c r="C138" s="24" t="str">
        <f>IF(A138="","",IFERROR(VLOOKUP(A138,DB_Customers!$A:$N,14,0),""))</f>
        <v/>
      </c>
      <c r="D138" s="25" t="str">
        <f t="shared" ca="1" si="16"/>
        <v/>
      </c>
      <c r="E138" s="31"/>
      <c r="F138" s="6"/>
      <c r="G138" s="33" t="str">
        <f t="shared" si="17"/>
        <v/>
      </c>
      <c r="H138" s="8"/>
      <c r="I138" s="27" t="str">
        <f t="shared" si="18"/>
        <v>—</v>
      </c>
      <c r="J138" s="28" t="str">
        <f t="shared" ca="1" si="19"/>
        <v>—</v>
      </c>
      <c r="K138" s="29"/>
    </row>
    <row r="139" spans="1:11" x14ac:dyDescent="0.25">
      <c r="A139" s="15"/>
      <c r="B139" s="2" t="str">
        <f>IF(A139="","",IFERROR(VLOOKUP(A139,DB_Customers!$A:$D,4,0),"❌ Account Not Found"))</f>
        <v/>
      </c>
      <c r="C139" s="16" t="str">
        <f>IF(A139="","",IFERROR(VLOOKUP(A139,DB_Customers!$A:$N,14,0),""))</f>
        <v/>
      </c>
      <c r="D139" s="17" t="str">
        <f t="shared" ca="1" si="16"/>
        <v/>
      </c>
      <c r="E139" s="31"/>
      <c r="F139" s="2"/>
      <c r="G139" s="32" t="str">
        <f t="shared" si="17"/>
        <v/>
      </c>
      <c r="H139" s="4"/>
      <c r="I139" s="20" t="str">
        <f t="shared" si="18"/>
        <v>—</v>
      </c>
      <c r="J139" s="21" t="str">
        <f t="shared" ca="1" si="19"/>
        <v>—</v>
      </c>
      <c r="K139" s="22"/>
    </row>
    <row r="140" spans="1:11" x14ac:dyDescent="0.25">
      <c r="A140" s="23"/>
      <c r="B140" s="6" t="str">
        <f>IF(A140="","",IFERROR(VLOOKUP(A140,DB_Customers!$A:$D,4,0),"❌ Account Not Found"))</f>
        <v/>
      </c>
      <c r="C140" s="24" t="str">
        <f>IF(A140="","",IFERROR(VLOOKUP(A140,DB_Customers!$A:$N,14,0),""))</f>
        <v/>
      </c>
      <c r="D140" s="25" t="str">
        <f t="shared" ca="1" si="16"/>
        <v/>
      </c>
      <c r="E140" s="31"/>
      <c r="F140" s="6"/>
      <c r="G140" s="33" t="str">
        <f t="shared" si="17"/>
        <v/>
      </c>
      <c r="H140" s="8"/>
      <c r="I140" s="27" t="str">
        <f t="shared" si="18"/>
        <v>—</v>
      </c>
      <c r="J140" s="28" t="str">
        <f t="shared" ca="1" si="19"/>
        <v>—</v>
      </c>
      <c r="K140" s="29"/>
    </row>
    <row r="141" spans="1:11" x14ac:dyDescent="0.25">
      <c r="A141" s="15"/>
      <c r="B141" s="2" t="str">
        <f>IF(A141="","",IFERROR(VLOOKUP(A141,DB_Customers!$A:$D,4,0),"❌ Account Not Found"))</f>
        <v/>
      </c>
      <c r="C141" s="16" t="str">
        <f>IF(A141="","",IFERROR(VLOOKUP(A141,DB_Customers!$A:$N,14,0),""))</f>
        <v/>
      </c>
      <c r="D141" s="17" t="str">
        <f t="shared" ca="1" si="16"/>
        <v/>
      </c>
      <c r="E141" s="31"/>
      <c r="F141" s="2"/>
      <c r="G141" s="32" t="str">
        <f t="shared" si="17"/>
        <v/>
      </c>
      <c r="H141" s="4"/>
      <c r="I141" s="20" t="str">
        <f t="shared" si="18"/>
        <v>—</v>
      </c>
      <c r="J141" s="21" t="str">
        <f t="shared" ca="1" si="19"/>
        <v>—</v>
      </c>
      <c r="K141" s="22"/>
    </row>
    <row r="142" spans="1:11" x14ac:dyDescent="0.25">
      <c r="A142" s="23"/>
      <c r="B142" s="6" t="str">
        <f>IF(A142="","",IFERROR(VLOOKUP(A142,DB_Customers!$A:$D,4,0),"❌ Account Not Found"))</f>
        <v/>
      </c>
      <c r="C142" s="24" t="str">
        <f>IF(A142="","",IFERROR(VLOOKUP(A142,DB_Customers!$A:$N,14,0),""))</f>
        <v/>
      </c>
      <c r="D142" s="25" t="str">
        <f t="shared" ca="1" si="16"/>
        <v/>
      </c>
      <c r="E142" s="31"/>
      <c r="F142" s="6"/>
      <c r="G142" s="33" t="str">
        <f t="shared" si="17"/>
        <v/>
      </c>
      <c r="H142" s="8"/>
      <c r="I142" s="27" t="str">
        <f t="shared" si="18"/>
        <v>—</v>
      </c>
      <c r="J142" s="28" t="str">
        <f t="shared" ca="1" si="19"/>
        <v>—</v>
      </c>
      <c r="K142" s="29"/>
    </row>
    <row r="143" spans="1:11" x14ac:dyDescent="0.25">
      <c r="A143" s="15"/>
      <c r="B143" s="2" t="str">
        <f>IF(A143="","",IFERROR(VLOOKUP(A143,DB_Customers!$A:$D,4,0),"❌ Account Not Found"))</f>
        <v/>
      </c>
      <c r="C143" s="16" t="str">
        <f>IF(A143="","",IFERROR(VLOOKUP(A143,DB_Customers!$A:$N,14,0),""))</f>
        <v/>
      </c>
      <c r="D143" s="17" t="str">
        <f t="shared" ca="1" si="16"/>
        <v/>
      </c>
      <c r="E143" s="31"/>
      <c r="F143" s="2"/>
      <c r="G143" s="32" t="str">
        <f t="shared" si="17"/>
        <v/>
      </c>
      <c r="H143" s="4"/>
      <c r="I143" s="20" t="str">
        <f t="shared" si="18"/>
        <v>—</v>
      </c>
      <c r="J143" s="21" t="str">
        <f t="shared" ca="1" si="19"/>
        <v>—</v>
      </c>
      <c r="K143" s="22"/>
    </row>
    <row r="144" spans="1:11" x14ac:dyDescent="0.25">
      <c r="A144" s="23"/>
      <c r="B144" s="6" t="str">
        <f>IF(A144="","",IFERROR(VLOOKUP(A144,DB_Customers!$A:$D,4,0),"❌ Account Not Found"))</f>
        <v/>
      </c>
      <c r="C144" s="24" t="str">
        <f>IF(A144="","",IFERROR(VLOOKUP(A144,DB_Customers!$A:$N,14,0),""))</f>
        <v/>
      </c>
      <c r="D144" s="25" t="str">
        <f t="shared" ca="1" si="16"/>
        <v/>
      </c>
      <c r="E144" s="31"/>
      <c r="F144" s="6"/>
      <c r="G144" s="33" t="str">
        <f t="shared" si="17"/>
        <v/>
      </c>
      <c r="H144" s="8"/>
      <c r="I144" s="27" t="str">
        <f t="shared" si="18"/>
        <v>—</v>
      </c>
      <c r="J144" s="28" t="str">
        <f t="shared" ca="1" si="19"/>
        <v>—</v>
      </c>
      <c r="K144" s="29"/>
    </row>
    <row r="145" spans="1:11" x14ac:dyDescent="0.25">
      <c r="A145" s="15"/>
      <c r="B145" s="2" t="str">
        <f>IF(A145="","",IFERROR(VLOOKUP(A145,DB_Customers!$A:$D,4,0),"❌ Account Not Found"))</f>
        <v/>
      </c>
      <c r="C145" s="16" t="str">
        <f>IF(A145="","",IFERROR(VLOOKUP(A145,DB_Customers!$A:$N,14,0),""))</f>
        <v/>
      </c>
      <c r="D145" s="17" t="str">
        <f t="shared" ca="1" si="16"/>
        <v/>
      </c>
      <c r="E145" s="31"/>
      <c r="F145" s="2"/>
      <c r="G145" s="32" t="str">
        <f t="shared" si="17"/>
        <v/>
      </c>
      <c r="H145" s="4"/>
      <c r="I145" s="20" t="str">
        <f t="shared" si="18"/>
        <v>—</v>
      </c>
      <c r="J145" s="21" t="str">
        <f t="shared" ca="1" si="19"/>
        <v>—</v>
      </c>
      <c r="K145" s="22"/>
    </row>
    <row r="146" spans="1:11" x14ac:dyDescent="0.25">
      <c r="A146" s="23"/>
      <c r="B146" s="6" t="str">
        <f>IF(A146="","",IFERROR(VLOOKUP(A146,DB_Customers!$A:$D,4,0),"❌ Account Not Found"))</f>
        <v/>
      </c>
      <c r="C146" s="24" t="str">
        <f>IF(A146="","",IFERROR(VLOOKUP(A146,DB_Customers!$A:$N,14,0),""))</f>
        <v/>
      </c>
      <c r="D146" s="25" t="str">
        <f t="shared" ca="1" si="16"/>
        <v/>
      </c>
      <c r="E146" s="31"/>
      <c r="F146" s="6"/>
      <c r="G146" s="33" t="str">
        <f t="shared" si="17"/>
        <v/>
      </c>
      <c r="H146" s="8"/>
      <c r="I146" s="27" t="str">
        <f t="shared" si="18"/>
        <v>—</v>
      </c>
      <c r="J146" s="28" t="str">
        <f t="shared" ca="1" si="19"/>
        <v>—</v>
      </c>
      <c r="K146" s="29"/>
    </row>
    <row r="147" spans="1:11" x14ac:dyDescent="0.25">
      <c r="A147" s="15"/>
      <c r="B147" s="2" t="str">
        <f>IF(A147="","",IFERROR(VLOOKUP(A147,DB_Customers!$A:$D,4,0),"❌ Account Not Found"))</f>
        <v/>
      </c>
      <c r="C147" s="16" t="str">
        <f>IF(A147="","",IFERROR(VLOOKUP(A147,DB_Customers!$A:$N,14,0),""))</f>
        <v/>
      </c>
      <c r="D147" s="17" t="str">
        <f t="shared" ca="1" si="16"/>
        <v/>
      </c>
      <c r="E147" s="31"/>
      <c r="F147" s="2"/>
      <c r="G147" s="32" t="str">
        <f t="shared" si="17"/>
        <v/>
      </c>
      <c r="H147" s="4"/>
      <c r="I147" s="20" t="str">
        <f t="shared" si="18"/>
        <v>—</v>
      </c>
      <c r="J147" s="21" t="str">
        <f t="shared" ca="1" si="19"/>
        <v>—</v>
      </c>
      <c r="K147" s="22"/>
    </row>
    <row r="148" spans="1:11" x14ac:dyDescent="0.25">
      <c r="A148" s="23"/>
      <c r="B148" s="6" t="str">
        <f>IF(A148="","",IFERROR(VLOOKUP(A148,DB_Customers!$A:$D,4,0),"❌ Account Not Found"))</f>
        <v/>
      </c>
      <c r="C148" s="24" t="str">
        <f>IF(A148="","",IFERROR(VLOOKUP(A148,DB_Customers!$A:$N,14,0),""))</f>
        <v/>
      </c>
      <c r="D148" s="25" t="str">
        <f t="shared" ca="1" si="16"/>
        <v/>
      </c>
      <c r="E148" s="31"/>
      <c r="F148" s="6"/>
      <c r="G148" s="33" t="str">
        <f t="shared" si="17"/>
        <v/>
      </c>
      <c r="H148" s="8"/>
      <c r="I148" s="27" t="str">
        <f t="shared" si="18"/>
        <v>—</v>
      </c>
      <c r="J148" s="28" t="str">
        <f t="shared" ca="1" si="19"/>
        <v>—</v>
      </c>
      <c r="K148" s="29"/>
    </row>
    <row r="149" spans="1:11" x14ac:dyDescent="0.25">
      <c r="A149" s="15"/>
      <c r="B149" s="2" t="str">
        <f>IF(A149="","",IFERROR(VLOOKUP(A149,DB_Customers!$A:$D,4,0),"❌ Account Not Found"))</f>
        <v/>
      </c>
      <c r="C149" s="16" t="str">
        <f>IF(A149="","",IFERROR(VLOOKUP(A149,DB_Customers!$A:$N,14,0),""))</f>
        <v/>
      </c>
      <c r="D149" s="17" t="str">
        <f t="shared" ca="1" si="16"/>
        <v/>
      </c>
      <c r="E149" s="31"/>
      <c r="F149" s="2"/>
      <c r="G149" s="32" t="str">
        <f t="shared" si="17"/>
        <v/>
      </c>
      <c r="H149" s="4"/>
      <c r="I149" s="20" t="str">
        <f t="shared" si="18"/>
        <v>—</v>
      </c>
      <c r="J149" s="21" t="str">
        <f t="shared" ca="1" si="19"/>
        <v>—</v>
      </c>
      <c r="K149" s="22"/>
    </row>
    <row r="150" spans="1:11" x14ac:dyDescent="0.25">
      <c r="A150" s="23"/>
      <c r="B150" s="6" t="str">
        <f>IF(A150="","",IFERROR(VLOOKUP(A150,DB_Customers!$A:$D,4,0),"❌ Account Not Found"))</f>
        <v/>
      </c>
      <c r="C150" s="24" t="str">
        <f>IF(A150="","",IFERROR(VLOOKUP(A150,DB_Customers!$A:$N,14,0),""))</f>
        <v/>
      </c>
      <c r="D150" s="25" t="str">
        <f t="shared" ca="1" si="16"/>
        <v/>
      </c>
      <c r="E150" s="31"/>
      <c r="F150" s="6"/>
      <c r="G150" s="33" t="str">
        <f t="shared" si="17"/>
        <v/>
      </c>
      <c r="H150" s="8"/>
      <c r="I150" s="27" t="str">
        <f t="shared" si="18"/>
        <v>—</v>
      </c>
      <c r="J150" s="28" t="str">
        <f t="shared" ca="1" si="19"/>
        <v>—</v>
      </c>
      <c r="K150" s="29"/>
    </row>
    <row r="151" spans="1:11" x14ac:dyDescent="0.25">
      <c r="A151" s="15"/>
      <c r="B151" s="2" t="str">
        <f>IF(A151="","",IFERROR(VLOOKUP(A151,DB_Customers!$A:$D,4,0),"❌ Account Not Found"))</f>
        <v/>
      </c>
      <c r="C151" s="16" t="str">
        <f>IF(A151="","",IFERROR(VLOOKUP(A151,DB_Customers!$A:$N,14,0),""))</f>
        <v/>
      </c>
      <c r="D151" s="17" t="str">
        <f t="shared" ca="1" si="16"/>
        <v/>
      </c>
      <c r="E151" s="31"/>
      <c r="F151" s="2"/>
      <c r="G151" s="32" t="str">
        <f t="shared" si="17"/>
        <v/>
      </c>
      <c r="H151" s="4"/>
      <c r="I151" s="20" t="str">
        <f t="shared" si="18"/>
        <v>—</v>
      </c>
      <c r="J151" s="21" t="str">
        <f t="shared" ca="1" si="19"/>
        <v>—</v>
      </c>
      <c r="K151" s="22"/>
    </row>
    <row r="152" spans="1:11" x14ac:dyDescent="0.25">
      <c r="A152" s="23"/>
      <c r="B152" s="6" t="str">
        <f>IF(A152="","",IFERROR(VLOOKUP(A152,DB_Customers!$A:$D,4,0),"❌ Account Not Found"))</f>
        <v/>
      </c>
      <c r="C152" s="24" t="str">
        <f>IF(A152="","",IFERROR(VLOOKUP(A152,DB_Customers!$A:$N,14,0),""))</f>
        <v/>
      </c>
      <c r="D152" s="25" t="str">
        <f t="shared" ca="1" si="16"/>
        <v/>
      </c>
      <c r="E152" s="31"/>
      <c r="F152" s="6"/>
      <c r="G152" s="33" t="str">
        <f t="shared" si="17"/>
        <v/>
      </c>
      <c r="H152" s="8"/>
      <c r="I152" s="27" t="str">
        <f t="shared" si="18"/>
        <v>—</v>
      </c>
      <c r="J152" s="28" t="str">
        <f t="shared" ca="1" si="19"/>
        <v>—</v>
      </c>
      <c r="K152" s="29"/>
    </row>
    <row r="153" spans="1:11" x14ac:dyDescent="0.25">
      <c r="A153" s="15"/>
      <c r="B153" s="2" t="str">
        <f>IF(A153="","",IFERROR(VLOOKUP(A153,DB_Customers!$A:$D,4,0),"❌ Account Not Found"))</f>
        <v/>
      </c>
      <c r="C153" s="16" t="str">
        <f>IF(A153="","",IFERROR(VLOOKUP(A153,DB_Customers!$A:$N,14,0),""))</f>
        <v/>
      </c>
      <c r="D153" s="17" t="str">
        <f t="shared" ca="1" si="16"/>
        <v/>
      </c>
      <c r="E153" s="31"/>
      <c r="F153" s="2"/>
      <c r="G153" s="32" t="str">
        <f t="shared" si="17"/>
        <v/>
      </c>
      <c r="H153" s="4"/>
      <c r="I153" s="20" t="str">
        <f t="shared" si="18"/>
        <v>—</v>
      </c>
      <c r="J153" s="21" t="str">
        <f t="shared" ca="1" si="19"/>
        <v>—</v>
      </c>
      <c r="K153" s="22"/>
    </row>
    <row r="154" spans="1:11" x14ac:dyDescent="0.25">
      <c r="A154" s="23"/>
      <c r="B154" s="6" t="str">
        <f>IF(A154="","",IFERROR(VLOOKUP(A154,DB_Customers!$A:$D,4,0),"❌ Account Not Found"))</f>
        <v/>
      </c>
      <c r="C154" s="24" t="str">
        <f>IF(A154="","",IFERROR(VLOOKUP(A154,DB_Customers!$A:$N,14,0),""))</f>
        <v/>
      </c>
      <c r="D154" s="25" t="str">
        <f t="shared" ca="1" si="16"/>
        <v/>
      </c>
      <c r="E154" s="31"/>
      <c r="F154" s="6"/>
      <c r="G154" s="33" t="str">
        <f t="shared" si="17"/>
        <v/>
      </c>
      <c r="H154" s="8"/>
      <c r="I154" s="27" t="str">
        <f t="shared" si="18"/>
        <v>—</v>
      </c>
      <c r="J154" s="28" t="str">
        <f t="shared" ca="1" si="19"/>
        <v>—</v>
      </c>
      <c r="K154" s="29"/>
    </row>
    <row r="155" spans="1:11" x14ac:dyDescent="0.25">
      <c r="A155" s="15"/>
      <c r="B155" s="2" t="str">
        <f>IF(A155="","",IFERROR(VLOOKUP(A155,DB_Customers!$A:$D,4,0),"❌ Account Not Found"))</f>
        <v/>
      </c>
      <c r="C155" s="16" t="str">
        <f>IF(A155="","",IFERROR(VLOOKUP(A155,DB_Customers!$A:$N,14,0),""))</f>
        <v/>
      </c>
      <c r="D155" s="17" t="str">
        <f t="shared" ca="1" si="16"/>
        <v/>
      </c>
      <c r="E155" s="31"/>
      <c r="F155" s="2"/>
      <c r="G155" s="32" t="str">
        <f t="shared" si="17"/>
        <v/>
      </c>
      <c r="H155" s="4"/>
      <c r="I155" s="20" t="str">
        <f t="shared" si="18"/>
        <v>—</v>
      </c>
      <c r="J155" s="21" t="str">
        <f t="shared" ca="1" si="19"/>
        <v>—</v>
      </c>
      <c r="K155" s="22"/>
    </row>
    <row r="156" spans="1:11" x14ac:dyDescent="0.25">
      <c r="A156" s="23"/>
      <c r="B156" s="6" t="str">
        <f>IF(A156="","",IFERROR(VLOOKUP(A156,DB_Customers!$A:$D,4,0),"❌ Account Not Found"))</f>
        <v/>
      </c>
      <c r="C156" s="24" t="str">
        <f>IF(A156="","",IFERROR(VLOOKUP(A156,DB_Customers!$A:$N,14,0),""))</f>
        <v/>
      </c>
      <c r="D156" s="25" t="str">
        <f t="shared" ca="1" si="16"/>
        <v/>
      </c>
      <c r="E156" s="31"/>
      <c r="F156" s="6"/>
      <c r="G156" s="33" t="str">
        <f t="shared" si="17"/>
        <v/>
      </c>
      <c r="H156" s="8"/>
      <c r="I156" s="27" t="str">
        <f t="shared" si="18"/>
        <v>—</v>
      </c>
      <c r="J156" s="28" t="str">
        <f t="shared" ca="1" si="19"/>
        <v>—</v>
      </c>
      <c r="K156" s="29"/>
    </row>
    <row r="157" spans="1:11" x14ac:dyDescent="0.25">
      <c r="A157" s="15"/>
      <c r="B157" s="2" t="str">
        <f>IF(A157="","",IFERROR(VLOOKUP(A157,DB_Customers!$A:$D,4,0),"❌ Account Not Found"))</f>
        <v/>
      </c>
      <c r="C157" s="16" t="str">
        <f>IF(A157="","",IFERROR(VLOOKUP(A157,DB_Customers!$A:$N,14,0),""))</f>
        <v/>
      </c>
      <c r="D157" s="17" t="str">
        <f t="shared" ca="1" si="16"/>
        <v/>
      </c>
      <c r="E157" s="31"/>
      <c r="F157" s="2"/>
      <c r="G157" s="32" t="str">
        <f t="shared" si="17"/>
        <v/>
      </c>
      <c r="H157" s="4"/>
      <c r="I157" s="20" t="str">
        <f t="shared" si="18"/>
        <v>—</v>
      </c>
      <c r="J157" s="21" t="str">
        <f t="shared" ca="1" si="19"/>
        <v>—</v>
      </c>
      <c r="K157" s="22"/>
    </row>
    <row r="158" spans="1:11" x14ac:dyDescent="0.25">
      <c r="A158" s="23"/>
      <c r="B158" s="6" t="str">
        <f>IF(A158="","",IFERROR(VLOOKUP(A158,DB_Customers!$A:$D,4,0),"❌ Account Not Found"))</f>
        <v/>
      </c>
      <c r="C158" s="24" t="str">
        <f>IF(A158="","",IFERROR(VLOOKUP(A158,DB_Customers!$A:$N,14,0),""))</f>
        <v/>
      </c>
      <c r="D158" s="25" t="str">
        <f t="shared" ca="1" si="16"/>
        <v/>
      </c>
      <c r="E158" s="31"/>
      <c r="F158" s="6"/>
      <c r="G158" s="33" t="str">
        <f t="shared" si="17"/>
        <v/>
      </c>
      <c r="H158" s="8"/>
      <c r="I158" s="27" t="str">
        <f t="shared" si="18"/>
        <v>—</v>
      </c>
      <c r="J158" s="28" t="str">
        <f t="shared" ca="1" si="19"/>
        <v>—</v>
      </c>
      <c r="K158" s="29"/>
    </row>
    <row r="159" spans="1:11" x14ac:dyDescent="0.25">
      <c r="A159" s="15"/>
      <c r="B159" s="2" t="str">
        <f>IF(A159="","",IFERROR(VLOOKUP(A159,DB_Customers!$A:$D,4,0),"❌ Account Not Found"))</f>
        <v/>
      </c>
      <c r="C159" s="16" t="str">
        <f>IF(A159="","",IFERROR(VLOOKUP(A159,DB_Customers!$A:$N,14,0),""))</f>
        <v/>
      </c>
      <c r="D159" s="17" t="str">
        <f t="shared" ca="1" si="16"/>
        <v/>
      </c>
      <c r="E159" s="31"/>
      <c r="F159" s="2"/>
      <c r="G159" s="32" t="str">
        <f t="shared" si="17"/>
        <v/>
      </c>
      <c r="H159" s="4"/>
      <c r="I159" s="20" t="str">
        <f t="shared" si="18"/>
        <v>—</v>
      </c>
      <c r="J159" s="21" t="str">
        <f t="shared" ca="1" si="19"/>
        <v>—</v>
      </c>
      <c r="K159" s="22"/>
    </row>
    <row r="160" spans="1:11" x14ac:dyDescent="0.25">
      <c r="A160" s="23"/>
      <c r="B160" s="6" t="str">
        <f>IF(A160="","",IFERROR(VLOOKUP(A160,DB_Customers!$A:$D,4,0),"❌ Account Not Found"))</f>
        <v/>
      </c>
      <c r="C160" s="24" t="str">
        <f>IF(A160="","",IFERROR(VLOOKUP(A160,DB_Customers!$A:$N,14,0),""))</f>
        <v/>
      </c>
      <c r="D160" s="25" t="str">
        <f t="shared" ca="1" si="16"/>
        <v/>
      </c>
      <c r="E160" s="31"/>
      <c r="F160" s="6"/>
      <c r="G160" s="33" t="str">
        <f t="shared" si="17"/>
        <v/>
      </c>
      <c r="H160" s="8"/>
      <c r="I160" s="27" t="str">
        <f t="shared" si="18"/>
        <v>—</v>
      </c>
      <c r="J160" s="28" t="str">
        <f t="shared" ca="1" si="19"/>
        <v>—</v>
      </c>
      <c r="K160" s="29"/>
    </row>
    <row r="161" spans="1:11" x14ac:dyDescent="0.25">
      <c r="A161" s="15"/>
      <c r="B161" s="2" t="str">
        <f>IF(A161="","",IFERROR(VLOOKUP(A161,DB_Customers!$A:$D,4,0),"❌ Account Not Found"))</f>
        <v/>
      </c>
      <c r="C161" s="16" t="str">
        <f>IF(A161="","",IFERROR(VLOOKUP(A161,DB_Customers!$A:$N,14,0),""))</f>
        <v/>
      </c>
      <c r="D161" s="17" t="str">
        <f t="shared" ca="1" si="16"/>
        <v/>
      </c>
      <c r="E161" s="31"/>
      <c r="F161" s="2"/>
      <c r="G161" s="32" t="str">
        <f t="shared" si="17"/>
        <v/>
      </c>
      <c r="H161" s="4"/>
      <c r="I161" s="20" t="str">
        <f t="shared" si="18"/>
        <v>—</v>
      </c>
      <c r="J161" s="21" t="str">
        <f t="shared" ca="1" si="19"/>
        <v>—</v>
      </c>
      <c r="K161" s="22"/>
    </row>
    <row r="162" spans="1:11" x14ac:dyDescent="0.25">
      <c r="A162" s="23"/>
      <c r="B162" s="6" t="str">
        <f>IF(A162="","",IFERROR(VLOOKUP(A162,DB_Customers!$A:$D,4,0),"❌ Account Not Found"))</f>
        <v/>
      </c>
      <c r="C162" s="24" t="str">
        <f>IF(A162="","",IFERROR(VLOOKUP(A162,DB_Customers!$A:$N,14,0),""))</f>
        <v/>
      </c>
      <c r="D162" s="25" t="str">
        <f t="shared" ca="1" si="16"/>
        <v/>
      </c>
      <c r="E162" s="31"/>
      <c r="F162" s="6"/>
      <c r="G162" s="33" t="str">
        <f t="shared" si="17"/>
        <v/>
      </c>
      <c r="H162" s="8"/>
      <c r="I162" s="27" t="str">
        <f t="shared" si="18"/>
        <v>—</v>
      </c>
      <c r="J162" s="28" t="str">
        <f t="shared" ca="1" si="19"/>
        <v>—</v>
      </c>
      <c r="K162" s="29"/>
    </row>
    <row r="163" spans="1:11" x14ac:dyDescent="0.25">
      <c r="A163" s="15"/>
      <c r="B163" s="2" t="str">
        <f>IF(A163="","",IFERROR(VLOOKUP(A163,DB_Customers!$A:$D,4,0),"❌ Account Not Found"))</f>
        <v/>
      </c>
      <c r="C163" s="16" t="str">
        <f>IF(A163="","",IFERROR(VLOOKUP(A163,DB_Customers!$A:$N,14,0),""))</f>
        <v/>
      </c>
      <c r="D163" s="17" t="str">
        <f t="shared" ca="1" si="16"/>
        <v/>
      </c>
      <c r="E163" s="31"/>
      <c r="F163" s="2"/>
      <c r="G163" s="32" t="str">
        <f t="shared" si="17"/>
        <v/>
      </c>
      <c r="H163" s="4"/>
      <c r="I163" s="20" t="str">
        <f t="shared" si="18"/>
        <v>—</v>
      </c>
      <c r="J163" s="21" t="str">
        <f t="shared" ca="1" si="19"/>
        <v>—</v>
      </c>
      <c r="K163" s="22"/>
    </row>
    <row r="164" spans="1:11" x14ac:dyDescent="0.25">
      <c r="A164" s="23"/>
      <c r="B164" s="6" t="str">
        <f>IF(A164="","",IFERROR(VLOOKUP(A164,DB_Customers!$A:$D,4,0),"❌ Account Not Found"))</f>
        <v/>
      </c>
      <c r="C164" s="24" t="str">
        <f>IF(A164="","",IFERROR(VLOOKUP(A164,DB_Customers!$A:$N,14,0),""))</f>
        <v/>
      </c>
      <c r="D164" s="25" t="str">
        <f t="shared" ca="1" si="16"/>
        <v/>
      </c>
      <c r="E164" s="31"/>
      <c r="F164" s="6"/>
      <c r="G164" s="33" t="str">
        <f t="shared" si="17"/>
        <v/>
      </c>
      <c r="H164" s="8"/>
      <c r="I164" s="27" t="str">
        <f t="shared" si="18"/>
        <v>—</v>
      </c>
      <c r="J164" s="28" t="str">
        <f t="shared" ca="1" si="19"/>
        <v>—</v>
      </c>
      <c r="K164" s="29"/>
    </row>
    <row r="165" spans="1:11" x14ac:dyDescent="0.25">
      <c r="A165" s="15"/>
      <c r="B165" s="2" t="str">
        <f>IF(A165="","",IFERROR(VLOOKUP(A165,DB_Customers!$A:$D,4,0),"❌ Account Not Found"))</f>
        <v/>
      </c>
      <c r="C165" s="16" t="str">
        <f>IF(A165="","",IFERROR(VLOOKUP(A165,DB_Customers!$A:$N,14,0),""))</f>
        <v/>
      </c>
      <c r="D165" s="17" t="str">
        <f t="shared" ca="1" si="16"/>
        <v/>
      </c>
      <c r="E165" s="31"/>
      <c r="F165" s="2"/>
      <c r="G165" s="32" t="str">
        <f t="shared" si="17"/>
        <v/>
      </c>
      <c r="H165" s="4"/>
      <c r="I165" s="20" t="str">
        <f t="shared" si="18"/>
        <v>—</v>
      </c>
      <c r="J165" s="21" t="str">
        <f t="shared" ca="1" si="19"/>
        <v>—</v>
      </c>
      <c r="K165" s="22"/>
    </row>
    <row r="166" spans="1:11" x14ac:dyDescent="0.25">
      <c r="A166" s="23"/>
      <c r="B166" s="6" t="str">
        <f>IF(A166="","",IFERROR(VLOOKUP(A166,DB_Customers!$A:$D,4,0),"❌ Account Not Found"))</f>
        <v/>
      </c>
      <c r="C166" s="24" t="str">
        <f>IF(A166="","",IFERROR(VLOOKUP(A166,DB_Customers!$A:$N,14,0),""))</f>
        <v/>
      </c>
      <c r="D166" s="25" t="str">
        <f t="shared" ca="1" si="16"/>
        <v/>
      </c>
      <c r="E166" s="31"/>
      <c r="F166" s="6"/>
      <c r="G166" s="33" t="str">
        <f t="shared" si="17"/>
        <v/>
      </c>
      <c r="H166" s="8"/>
      <c r="I166" s="27" t="str">
        <f t="shared" si="18"/>
        <v>—</v>
      </c>
      <c r="J166" s="28" t="str">
        <f t="shared" ca="1" si="19"/>
        <v>—</v>
      </c>
      <c r="K166" s="29"/>
    </row>
    <row r="167" spans="1:11" x14ac:dyDescent="0.25">
      <c r="A167" s="15"/>
      <c r="B167" s="2" t="str">
        <f>IF(A167="","",IFERROR(VLOOKUP(A167,DB_Customers!$A:$D,4,0),"❌ Account Not Found"))</f>
        <v/>
      </c>
      <c r="C167" s="16" t="str">
        <f>IF(A167="","",IFERROR(VLOOKUP(A167,DB_Customers!$A:$N,14,0),""))</f>
        <v/>
      </c>
      <c r="D167" s="17" t="str">
        <f t="shared" ca="1" si="16"/>
        <v/>
      </c>
      <c r="E167" s="31"/>
      <c r="F167" s="2"/>
      <c r="G167" s="32" t="str">
        <f t="shared" si="17"/>
        <v/>
      </c>
      <c r="H167" s="4"/>
      <c r="I167" s="20" t="str">
        <f t="shared" si="18"/>
        <v>—</v>
      </c>
      <c r="J167" s="21" t="str">
        <f t="shared" ca="1" si="19"/>
        <v>—</v>
      </c>
      <c r="K167" s="22"/>
    </row>
    <row r="168" spans="1:11" x14ac:dyDescent="0.25">
      <c r="A168" s="23"/>
      <c r="B168" s="6" t="str">
        <f>IF(A168="","",IFERROR(VLOOKUP(A168,DB_Customers!$A:$D,4,0),"❌ Account Not Found"))</f>
        <v/>
      </c>
      <c r="C168" s="24" t="str">
        <f>IF(A168="","",IFERROR(VLOOKUP(A168,DB_Customers!$A:$N,14,0),""))</f>
        <v/>
      </c>
      <c r="D168" s="25" t="str">
        <f t="shared" ca="1" si="16"/>
        <v/>
      </c>
      <c r="E168" s="31"/>
      <c r="F168" s="6"/>
      <c r="G168" s="33" t="str">
        <f t="shared" si="17"/>
        <v/>
      </c>
      <c r="H168" s="8"/>
      <c r="I168" s="27" t="str">
        <f t="shared" si="18"/>
        <v>—</v>
      </c>
      <c r="J168" s="28" t="str">
        <f t="shared" ca="1" si="19"/>
        <v>—</v>
      </c>
      <c r="K168" s="29"/>
    </row>
    <row r="169" spans="1:11" x14ac:dyDescent="0.25">
      <c r="A169" s="15"/>
      <c r="B169" s="2" t="str">
        <f>IF(A169="","",IFERROR(VLOOKUP(A169,DB_Customers!$A:$D,4,0),"❌ Account Not Found"))</f>
        <v/>
      </c>
      <c r="C169" s="16" t="str">
        <f>IF(A169="","",IFERROR(VLOOKUP(A169,DB_Customers!$A:$N,14,0),""))</f>
        <v/>
      </c>
      <c r="D169" s="17" t="str">
        <f t="shared" ref="D169:D200" ca="1" si="20">IF(A169="","",TODAY())</f>
        <v/>
      </c>
      <c r="E169" s="31"/>
      <c r="F169" s="2"/>
      <c r="G169" s="32" t="str">
        <f t="shared" ref="G169:G200" si="21">IF(OR(A169="",E169=""),"",IF(C169="","",C169-E169))</f>
        <v/>
      </c>
      <c r="H169" s="4"/>
      <c r="I169" s="20" t="str">
        <f t="shared" ref="I169:I200" si="22">IF(AND(A169&lt;&gt;"",E169&lt;&gt;""),IF(C169&gt;=E169,"Successful","Unsuccessful"),"—")</f>
        <v>—</v>
      </c>
      <c r="J169" s="21" t="str">
        <f t="shared" ref="J169:J200" ca="1" si="23">IF(I169="Successful",TEXT(TODAY(),"YYYY-MM-DD")&amp;" Auto","—")</f>
        <v>—</v>
      </c>
      <c r="K169" s="22"/>
    </row>
    <row r="170" spans="1:11" x14ac:dyDescent="0.25">
      <c r="A170" s="23"/>
      <c r="B170" s="6" t="str">
        <f>IF(A170="","",IFERROR(VLOOKUP(A170,DB_Customers!$A:$D,4,0),"❌ Account Not Found"))</f>
        <v/>
      </c>
      <c r="C170" s="24" t="str">
        <f>IF(A170="","",IFERROR(VLOOKUP(A170,DB_Customers!$A:$N,14,0),""))</f>
        <v/>
      </c>
      <c r="D170" s="25" t="str">
        <f t="shared" ca="1" si="20"/>
        <v/>
      </c>
      <c r="E170" s="31"/>
      <c r="F170" s="6"/>
      <c r="G170" s="33" t="str">
        <f t="shared" si="21"/>
        <v/>
      </c>
      <c r="H170" s="8"/>
      <c r="I170" s="27" t="str">
        <f t="shared" si="22"/>
        <v>—</v>
      </c>
      <c r="J170" s="28" t="str">
        <f t="shared" ca="1" si="23"/>
        <v>—</v>
      </c>
      <c r="K170" s="29"/>
    </row>
    <row r="171" spans="1:11" x14ac:dyDescent="0.25">
      <c r="A171" s="15"/>
      <c r="B171" s="2" t="str">
        <f>IF(A171="","",IFERROR(VLOOKUP(A171,DB_Customers!$A:$D,4,0),"❌ Account Not Found"))</f>
        <v/>
      </c>
      <c r="C171" s="16" t="str">
        <f>IF(A171="","",IFERROR(VLOOKUP(A171,DB_Customers!$A:$N,14,0),""))</f>
        <v/>
      </c>
      <c r="D171" s="17" t="str">
        <f t="shared" ca="1" si="20"/>
        <v/>
      </c>
      <c r="E171" s="31"/>
      <c r="F171" s="2"/>
      <c r="G171" s="32" t="str">
        <f t="shared" si="21"/>
        <v/>
      </c>
      <c r="H171" s="4"/>
      <c r="I171" s="20" t="str">
        <f t="shared" si="22"/>
        <v>—</v>
      </c>
      <c r="J171" s="21" t="str">
        <f t="shared" ca="1" si="23"/>
        <v>—</v>
      </c>
      <c r="K171" s="22"/>
    </row>
    <row r="172" spans="1:11" x14ac:dyDescent="0.25">
      <c r="A172" s="23"/>
      <c r="B172" s="6" t="str">
        <f>IF(A172="","",IFERROR(VLOOKUP(A172,DB_Customers!$A:$D,4,0),"❌ Account Not Found"))</f>
        <v/>
      </c>
      <c r="C172" s="24" t="str">
        <f>IF(A172="","",IFERROR(VLOOKUP(A172,DB_Customers!$A:$N,14,0),""))</f>
        <v/>
      </c>
      <c r="D172" s="25" t="str">
        <f t="shared" ca="1" si="20"/>
        <v/>
      </c>
      <c r="E172" s="31"/>
      <c r="F172" s="6"/>
      <c r="G172" s="33" t="str">
        <f t="shared" si="21"/>
        <v/>
      </c>
      <c r="H172" s="8"/>
      <c r="I172" s="27" t="str">
        <f t="shared" si="22"/>
        <v>—</v>
      </c>
      <c r="J172" s="28" t="str">
        <f t="shared" ca="1" si="23"/>
        <v>—</v>
      </c>
      <c r="K172" s="29"/>
    </row>
    <row r="173" spans="1:11" x14ac:dyDescent="0.25">
      <c r="A173" s="15"/>
      <c r="B173" s="2" t="str">
        <f>IF(A173="","",IFERROR(VLOOKUP(A173,DB_Customers!$A:$D,4,0),"❌ Account Not Found"))</f>
        <v/>
      </c>
      <c r="C173" s="16" t="str">
        <f>IF(A173="","",IFERROR(VLOOKUP(A173,DB_Customers!$A:$N,14,0),""))</f>
        <v/>
      </c>
      <c r="D173" s="17" t="str">
        <f t="shared" ca="1" si="20"/>
        <v/>
      </c>
      <c r="E173" s="31"/>
      <c r="F173" s="2"/>
      <c r="G173" s="32" t="str">
        <f t="shared" si="21"/>
        <v/>
      </c>
      <c r="H173" s="4"/>
      <c r="I173" s="20" t="str">
        <f t="shared" si="22"/>
        <v>—</v>
      </c>
      <c r="J173" s="21" t="str">
        <f t="shared" ca="1" si="23"/>
        <v>—</v>
      </c>
      <c r="K173" s="22"/>
    </row>
    <row r="174" spans="1:11" x14ac:dyDescent="0.25">
      <c r="A174" s="23"/>
      <c r="B174" s="6" t="str">
        <f>IF(A174="","",IFERROR(VLOOKUP(A174,DB_Customers!$A:$D,4,0),"❌ Account Not Found"))</f>
        <v/>
      </c>
      <c r="C174" s="24" t="str">
        <f>IF(A174="","",IFERROR(VLOOKUP(A174,DB_Customers!$A:$N,14,0),""))</f>
        <v/>
      </c>
      <c r="D174" s="25" t="str">
        <f t="shared" ca="1" si="20"/>
        <v/>
      </c>
      <c r="E174" s="31"/>
      <c r="F174" s="6"/>
      <c r="G174" s="33" t="str">
        <f t="shared" si="21"/>
        <v/>
      </c>
      <c r="H174" s="8"/>
      <c r="I174" s="27" t="str">
        <f t="shared" si="22"/>
        <v>—</v>
      </c>
      <c r="J174" s="28" t="str">
        <f t="shared" ca="1" si="23"/>
        <v>—</v>
      </c>
      <c r="K174" s="29"/>
    </row>
    <row r="175" spans="1:11" x14ac:dyDescent="0.25">
      <c r="A175" s="15"/>
      <c r="B175" s="2" t="str">
        <f>IF(A175="","",IFERROR(VLOOKUP(A175,DB_Customers!$A:$D,4,0),"❌ Account Not Found"))</f>
        <v/>
      </c>
      <c r="C175" s="16" t="str">
        <f>IF(A175="","",IFERROR(VLOOKUP(A175,DB_Customers!$A:$N,14,0),""))</f>
        <v/>
      </c>
      <c r="D175" s="17" t="str">
        <f t="shared" ca="1" si="20"/>
        <v/>
      </c>
      <c r="E175" s="31"/>
      <c r="F175" s="2"/>
      <c r="G175" s="32" t="str">
        <f t="shared" si="21"/>
        <v/>
      </c>
      <c r="H175" s="4"/>
      <c r="I175" s="20" t="str">
        <f t="shared" si="22"/>
        <v>—</v>
      </c>
      <c r="J175" s="21" t="str">
        <f t="shared" ca="1" si="23"/>
        <v>—</v>
      </c>
      <c r="K175" s="22"/>
    </row>
    <row r="176" spans="1:11" x14ac:dyDescent="0.25">
      <c r="A176" s="23"/>
      <c r="B176" s="6" t="str">
        <f>IF(A176="","",IFERROR(VLOOKUP(A176,DB_Customers!$A:$D,4,0),"❌ Account Not Found"))</f>
        <v/>
      </c>
      <c r="C176" s="24" t="str">
        <f>IF(A176="","",IFERROR(VLOOKUP(A176,DB_Customers!$A:$N,14,0),""))</f>
        <v/>
      </c>
      <c r="D176" s="25" t="str">
        <f t="shared" ca="1" si="20"/>
        <v/>
      </c>
      <c r="E176" s="31"/>
      <c r="F176" s="6"/>
      <c r="G176" s="33" t="str">
        <f t="shared" si="21"/>
        <v/>
      </c>
      <c r="H176" s="8"/>
      <c r="I176" s="27" t="str">
        <f t="shared" si="22"/>
        <v>—</v>
      </c>
      <c r="J176" s="28" t="str">
        <f t="shared" ca="1" si="23"/>
        <v>—</v>
      </c>
      <c r="K176" s="29"/>
    </row>
    <row r="177" spans="1:11" x14ac:dyDescent="0.25">
      <c r="A177" s="15"/>
      <c r="B177" s="2" t="str">
        <f>IF(A177="","",IFERROR(VLOOKUP(A177,DB_Customers!$A:$D,4,0),"❌ Account Not Found"))</f>
        <v/>
      </c>
      <c r="C177" s="16" t="str">
        <f>IF(A177="","",IFERROR(VLOOKUP(A177,DB_Customers!$A:$N,14,0),""))</f>
        <v/>
      </c>
      <c r="D177" s="17" t="str">
        <f t="shared" ca="1" si="20"/>
        <v/>
      </c>
      <c r="E177" s="31"/>
      <c r="F177" s="2"/>
      <c r="G177" s="32" t="str">
        <f t="shared" si="21"/>
        <v/>
      </c>
      <c r="H177" s="4"/>
      <c r="I177" s="20" t="str">
        <f t="shared" si="22"/>
        <v>—</v>
      </c>
      <c r="J177" s="21" t="str">
        <f t="shared" ca="1" si="23"/>
        <v>—</v>
      </c>
      <c r="K177" s="22"/>
    </row>
    <row r="178" spans="1:11" x14ac:dyDescent="0.25">
      <c r="A178" s="23"/>
      <c r="B178" s="6" t="str">
        <f>IF(A178="","",IFERROR(VLOOKUP(A178,DB_Customers!$A:$D,4,0),"❌ Account Not Found"))</f>
        <v/>
      </c>
      <c r="C178" s="24" t="str">
        <f>IF(A178="","",IFERROR(VLOOKUP(A178,DB_Customers!$A:$N,14,0),""))</f>
        <v/>
      </c>
      <c r="D178" s="25" t="str">
        <f t="shared" ca="1" si="20"/>
        <v/>
      </c>
      <c r="E178" s="31"/>
      <c r="F178" s="6"/>
      <c r="G178" s="33" t="str">
        <f t="shared" si="21"/>
        <v/>
      </c>
      <c r="H178" s="8"/>
      <c r="I178" s="27" t="str">
        <f t="shared" si="22"/>
        <v>—</v>
      </c>
      <c r="J178" s="28" t="str">
        <f t="shared" ca="1" si="23"/>
        <v>—</v>
      </c>
      <c r="K178" s="29"/>
    </row>
    <row r="179" spans="1:11" x14ac:dyDescent="0.25">
      <c r="A179" s="15"/>
      <c r="B179" s="2" t="str">
        <f>IF(A179="","",IFERROR(VLOOKUP(A179,DB_Customers!$A:$D,4,0),"❌ Account Not Found"))</f>
        <v/>
      </c>
      <c r="C179" s="16" t="str">
        <f>IF(A179="","",IFERROR(VLOOKUP(A179,DB_Customers!$A:$N,14,0),""))</f>
        <v/>
      </c>
      <c r="D179" s="17" t="str">
        <f t="shared" ca="1" si="20"/>
        <v/>
      </c>
      <c r="E179" s="31"/>
      <c r="F179" s="2"/>
      <c r="G179" s="32" t="str">
        <f t="shared" si="21"/>
        <v/>
      </c>
      <c r="H179" s="4"/>
      <c r="I179" s="20" t="str">
        <f t="shared" si="22"/>
        <v>—</v>
      </c>
      <c r="J179" s="21" t="str">
        <f t="shared" ca="1" si="23"/>
        <v>—</v>
      </c>
      <c r="K179" s="22"/>
    </row>
    <row r="180" spans="1:11" x14ac:dyDescent="0.25">
      <c r="A180" s="23"/>
      <c r="B180" s="6" t="str">
        <f>IF(A180="","",IFERROR(VLOOKUP(A180,DB_Customers!$A:$D,4,0),"❌ Account Not Found"))</f>
        <v/>
      </c>
      <c r="C180" s="24" t="str">
        <f>IF(A180="","",IFERROR(VLOOKUP(A180,DB_Customers!$A:$N,14,0),""))</f>
        <v/>
      </c>
      <c r="D180" s="25" t="str">
        <f t="shared" ca="1" si="20"/>
        <v/>
      </c>
      <c r="E180" s="31"/>
      <c r="F180" s="6"/>
      <c r="G180" s="33" t="str">
        <f t="shared" si="21"/>
        <v/>
      </c>
      <c r="H180" s="8"/>
      <c r="I180" s="27" t="str">
        <f t="shared" si="22"/>
        <v>—</v>
      </c>
      <c r="J180" s="28" t="str">
        <f t="shared" ca="1" si="23"/>
        <v>—</v>
      </c>
      <c r="K180" s="29"/>
    </row>
    <row r="181" spans="1:11" x14ac:dyDescent="0.25">
      <c r="A181" s="15"/>
      <c r="B181" s="2" t="str">
        <f>IF(A181="","",IFERROR(VLOOKUP(A181,DB_Customers!$A:$D,4,0),"❌ Account Not Found"))</f>
        <v/>
      </c>
      <c r="C181" s="16" t="str">
        <f>IF(A181="","",IFERROR(VLOOKUP(A181,DB_Customers!$A:$N,14,0),""))</f>
        <v/>
      </c>
      <c r="D181" s="17" t="str">
        <f t="shared" ca="1" si="20"/>
        <v/>
      </c>
      <c r="E181" s="31"/>
      <c r="F181" s="2"/>
      <c r="G181" s="32" t="str">
        <f t="shared" si="21"/>
        <v/>
      </c>
      <c r="H181" s="4"/>
      <c r="I181" s="20" t="str">
        <f t="shared" si="22"/>
        <v>—</v>
      </c>
      <c r="J181" s="21" t="str">
        <f t="shared" ca="1" si="23"/>
        <v>—</v>
      </c>
      <c r="K181" s="22"/>
    </row>
    <row r="182" spans="1:11" x14ac:dyDescent="0.25">
      <c r="A182" s="23"/>
      <c r="B182" s="6" t="str">
        <f>IF(A182="","",IFERROR(VLOOKUP(A182,DB_Customers!$A:$D,4,0),"❌ Account Not Found"))</f>
        <v/>
      </c>
      <c r="C182" s="24" t="str">
        <f>IF(A182="","",IFERROR(VLOOKUP(A182,DB_Customers!$A:$N,14,0),""))</f>
        <v/>
      </c>
      <c r="D182" s="25" t="str">
        <f t="shared" ca="1" si="20"/>
        <v/>
      </c>
      <c r="E182" s="31"/>
      <c r="F182" s="6"/>
      <c r="G182" s="33" t="str">
        <f t="shared" si="21"/>
        <v/>
      </c>
      <c r="H182" s="8"/>
      <c r="I182" s="27" t="str">
        <f t="shared" si="22"/>
        <v>—</v>
      </c>
      <c r="J182" s="28" t="str">
        <f t="shared" ca="1" si="23"/>
        <v>—</v>
      </c>
      <c r="K182" s="29"/>
    </row>
    <row r="183" spans="1:11" x14ac:dyDescent="0.25">
      <c r="A183" s="15"/>
      <c r="B183" s="2" t="str">
        <f>IF(A183="","",IFERROR(VLOOKUP(A183,DB_Customers!$A:$D,4,0),"❌ Account Not Found"))</f>
        <v/>
      </c>
      <c r="C183" s="16" t="str">
        <f>IF(A183="","",IFERROR(VLOOKUP(A183,DB_Customers!$A:$N,14,0),""))</f>
        <v/>
      </c>
      <c r="D183" s="17" t="str">
        <f t="shared" ca="1" si="20"/>
        <v/>
      </c>
      <c r="E183" s="31"/>
      <c r="F183" s="2"/>
      <c r="G183" s="32" t="str">
        <f t="shared" si="21"/>
        <v/>
      </c>
      <c r="H183" s="4"/>
      <c r="I183" s="20" t="str">
        <f t="shared" si="22"/>
        <v>—</v>
      </c>
      <c r="J183" s="21" t="str">
        <f t="shared" ca="1" si="23"/>
        <v>—</v>
      </c>
      <c r="K183" s="22"/>
    </row>
    <row r="184" spans="1:11" x14ac:dyDescent="0.25">
      <c r="A184" s="23"/>
      <c r="B184" s="6" t="str">
        <f>IF(A184="","",IFERROR(VLOOKUP(A184,DB_Customers!$A:$D,4,0),"❌ Account Not Found"))</f>
        <v/>
      </c>
      <c r="C184" s="24" t="str">
        <f>IF(A184="","",IFERROR(VLOOKUP(A184,DB_Customers!$A:$N,14,0),""))</f>
        <v/>
      </c>
      <c r="D184" s="25" t="str">
        <f t="shared" ca="1" si="20"/>
        <v/>
      </c>
      <c r="E184" s="31"/>
      <c r="F184" s="6"/>
      <c r="G184" s="33" t="str">
        <f t="shared" si="21"/>
        <v/>
      </c>
      <c r="H184" s="8"/>
      <c r="I184" s="27" t="str">
        <f t="shared" si="22"/>
        <v>—</v>
      </c>
      <c r="J184" s="28" t="str">
        <f t="shared" ca="1" si="23"/>
        <v>—</v>
      </c>
      <c r="K184" s="29"/>
    </row>
    <row r="185" spans="1:11" x14ac:dyDescent="0.25">
      <c r="A185" s="15"/>
      <c r="B185" s="2" t="str">
        <f>IF(A185="","",IFERROR(VLOOKUP(A185,DB_Customers!$A:$D,4,0),"❌ Account Not Found"))</f>
        <v/>
      </c>
      <c r="C185" s="16" t="str">
        <f>IF(A185="","",IFERROR(VLOOKUP(A185,DB_Customers!$A:$N,14,0),""))</f>
        <v/>
      </c>
      <c r="D185" s="17" t="str">
        <f t="shared" ca="1" si="20"/>
        <v/>
      </c>
      <c r="E185" s="31"/>
      <c r="F185" s="2"/>
      <c r="G185" s="32" t="str">
        <f t="shared" si="21"/>
        <v/>
      </c>
      <c r="H185" s="4"/>
      <c r="I185" s="20" t="str">
        <f t="shared" si="22"/>
        <v>—</v>
      </c>
      <c r="J185" s="21" t="str">
        <f t="shared" ca="1" si="23"/>
        <v>—</v>
      </c>
      <c r="K185" s="22"/>
    </row>
    <row r="186" spans="1:11" x14ac:dyDescent="0.25">
      <c r="A186" s="23"/>
      <c r="B186" s="6" t="str">
        <f>IF(A186="","",IFERROR(VLOOKUP(A186,DB_Customers!$A:$D,4,0),"❌ Account Not Found"))</f>
        <v/>
      </c>
      <c r="C186" s="24" t="str">
        <f>IF(A186="","",IFERROR(VLOOKUP(A186,DB_Customers!$A:$N,14,0),""))</f>
        <v/>
      </c>
      <c r="D186" s="25" t="str">
        <f t="shared" ca="1" si="20"/>
        <v/>
      </c>
      <c r="E186" s="31"/>
      <c r="F186" s="6"/>
      <c r="G186" s="33" t="str">
        <f t="shared" si="21"/>
        <v/>
      </c>
      <c r="H186" s="8"/>
      <c r="I186" s="27" t="str">
        <f t="shared" si="22"/>
        <v>—</v>
      </c>
      <c r="J186" s="28" t="str">
        <f t="shared" ca="1" si="23"/>
        <v>—</v>
      </c>
      <c r="K186" s="29"/>
    </row>
    <row r="187" spans="1:11" x14ac:dyDescent="0.25">
      <c r="A187" s="15"/>
      <c r="B187" s="2" t="str">
        <f>IF(A187="","",IFERROR(VLOOKUP(A187,DB_Customers!$A:$D,4,0),"❌ Account Not Found"))</f>
        <v/>
      </c>
      <c r="C187" s="16" t="str">
        <f>IF(A187="","",IFERROR(VLOOKUP(A187,DB_Customers!$A:$N,14,0),""))</f>
        <v/>
      </c>
      <c r="D187" s="17" t="str">
        <f t="shared" ca="1" si="20"/>
        <v/>
      </c>
      <c r="E187" s="31"/>
      <c r="F187" s="2"/>
      <c r="G187" s="32" t="str">
        <f t="shared" si="21"/>
        <v/>
      </c>
      <c r="H187" s="4"/>
      <c r="I187" s="20" t="str">
        <f t="shared" si="22"/>
        <v>—</v>
      </c>
      <c r="J187" s="21" t="str">
        <f t="shared" ca="1" si="23"/>
        <v>—</v>
      </c>
      <c r="K187" s="22"/>
    </row>
    <row r="188" spans="1:11" x14ac:dyDescent="0.25">
      <c r="A188" s="23"/>
      <c r="B188" s="6" t="str">
        <f>IF(A188="","",IFERROR(VLOOKUP(A188,DB_Customers!$A:$D,4,0),"❌ Account Not Found"))</f>
        <v/>
      </c>
      <c r="C188" s="24" t="str">
        <f>IF(A188="","",IFERROR(VLOOKUP(A188,DB_Customers!$A:$N,14,0),""))</f>
        <v/>
      </c>
      <c r="D188" s="25" t="str">
        <f t="shared" ca="1" si="20"/>
        <v/>
      </c>
      <c r="E188" s="31"/>
      <c r="F188" s="6"/>
      <c r="G188" s="33" t="str">
        <f t="shared" si="21"/>
        <v/>
      </c>
      <c r="H188" s="8"/>
      <c r="I188" s="27" t="str">
        <f t="shared" si="22"/>
        <v>—</v>
      </c>
      <c r="J188" s="28" t="str">
        <f t="shared" ca="1" si="23"/>
        <v>—</v>
      </c>
      <c r="K188" s="29"/>
    </row>
    <row r="189" spans="1:11" x14ac:dyDescent="0.25">
      <c r="A189" s="15"/>
      <c r="B189" s="2" t="str">
        <f>IF(A189="","",IFERROR(VLOOKUP(A189,DB_Customers!$A:$D,4,0),"❌ Account Not Found"))</f>
        <v/>
      </c>
      <c r="C189" s="16" t="str">
        <f>IF(A189="","",IFERROR(VLOOKUP(A189,DB_Customers!$A:$N,14,0),""))</f>
        <v/>
      </c>
      <c r="D189" s="17" t="str">
        <f t="shared" ca="1" si="20"/>
        <v/>
      </c>
      <c r="E189" s="31"/>
      <c r="F189" s="2"/>
      <c r="G189" s="32" t="str">
        <f t="shared" si="21"/>
        <v/>
      </c>
      <c r="H189" s="4"/>
      <c r="I189" s="20" t="str">
        <f t="shared" si="22"/>
        <v>—</v>
      </c>
      <c r="J189" s="21" t="str">
        <f t="shared" ca="1" si="23"/>
        <v>—</v>
      </c>
      <c r="K189" s="22"/>
    </row>
    <row r="190" spans="1:11" x14ac:dyDescent="0.25">
      <c r="A190" s="23"/>
      <c r="B190" s="6" t="str">
        <f>IF(A190="","",IFERROR(VLOOKUP(A190,DB_Customers!$A:$D,4,0),"❌ Account Not Found"))</f>
        <v/>
      </c>
      <c r="C190" s="24" t="str">
        <f>IF(A190="","",IFERROR(VLOOKUP(A190,DB_Customers!$A:$N,14,0),""))</f>
        <v/>
      </c>
      <c r="D190" s="25" t="str">
        <f t="shared" ca="1" si="20"/>
        <v/>
      </c>
      <c r="E190" s="31"/>
      <c r="F190" s="6"/>
      <c r="G190" s="33" t="str">
        <f t="shared" si="21"/>
        <v/>
      </c>
      <c r="H190" s="8"/>
      <c r="I190" s="27" t="str">
        <f t="shared" si="22"/>
        <v>—</v>
      </c>
      <c r="J190" s="28" t="str">
        <f t="shared" ca="1" si="23"/>
        <v>—</v>
      </c>
      <c r="K190" s="29"/>
    </row>
    <row r="191" spans="1:11" x14ac:dyDescent="0.25">
      <c r="A191" s="15"/>
      <c r="B191" s="2" t="str">
        <f>IF(A191="","",IFERROR(VLOOKUP(A191,DB_Customers!$A:$D,4,0),"❌ Account Not Found"))</f>
        <v/>
      </c>
      <c r="C191" s="16" t="str">
        <f>IF(A191="","",IFERROR(VLOOKUP(A191,DB_Customers!$A:$N,14,0),""))</f>
        <v/>
      </c>
      <c r="D191" s="17" t="str">
        <f t="shared" ca="1" si="20"/>
        <v/>
      </c>
      <c r="E191" s="31"/>
      <c r="F191" s="2"/>
      <c r="G191" s="32" t="str">
        <f t="shared" si="21"/>
        <v/>
      </c>
      <c r="H191" s="4"/>
      <c r="I191" s="20" t="str">
        <f t="shared" si="22"/>
        <v>—</v>
      </c>
      <c r="J191" s="21" t="str">
        <f t="shared" ca="1" si="23"/>
        <v>—</v>
      </c>
      <c r="K191" s="22"/>
    </row>
    <row r="192" spans="1:11" x14ac:dyDescent="0.25">
      <c r="A192" s="23"/>
      <c r="B192" s="6" t="str">
        <f>IF(A192="","",IFERROR(VLOOKUP(A192,DB_Customers!$A:$D,4,0),"❌ Account Not Found"))</f>
        <v/>
      </c>
      <c r="C192" s="24" t="str">
        <f>IF(A192="","",IFERROR(VLOOKUP(A192,DB_Customers!$A:$N,14,0),""))</f>
        <v/>
      </c>
      <c r="D192" s="25" t="str">
        <f t="shared" ca="1" si="20"/>
        <v/>
      </c>
      <c r="E192" s="31"/>
      <c r="F192" s="6"/>
      <c r="G192" s="33" t="str">
        <f t="shared" si="21"/>
        <v/>
      </c>
      <c r="H192" s="8"/>
      <c r="I192" s="27" t="str">
        <f t="shared" si="22"/>
        <v>—</v>
      </c>
      <c r="J192" s="28" t="str">
        <f t="shared" ca="1" si="23"/>
        <v>—</v>
      </c>
      <c r="K192" s="29"/>
    </row>
    <row r="193" spans="1:11" x14ac:dyDescent="0.25">
      <c r="A193" s="15"/>
      <c r="B193" s="2" t="str">
        <f>IF(A193="","",IFERROR(VLOOKUP(A193,DB_Customers!$A:$D,4,0),"❌ Account Not Found"))</f>
        <v/>
      </c>
      <c r="C193" s="16" t="str">
        <f>IF(A193="","",IFERROR(VLOOKUP(A193,DB_Customers!$A:$N,14,0),""))</f>
        <v/>
      </c>
      <c r="D193" s="17" t="str">
        <f t="shared" ca="1" si="20"/>
        <v/>
      </c>
      <c r="E193" s="31"/>
      <c r="F193" s="2"/>
      <c r="G193" s="32" t="str">
        <f t="shared" si="21"/>
        <v/>
      </c>
      <c r="H193" s="4"/>
      <c r="I193" s="20" t="str">
        <f t="shared" si="22"/>
        <v>—</v>
      </c>
      <c r="J193" s="21" t="str">
        <f t="shared" ca="1" si="23"/>
        <v>—</v>
      </c>
      <c r="K193" s="22"/>
    </row>
    <row r="194" spans="1:11" x14ac:dyDescent="0.25">
      <c r="A194" s="23"/>
      <c r="B194" s="6" t="str">
        <f>IF(A194="","",IFERROR(VLOOKUP(A194,DB_Customers!$A:$D,4,0),"❌ Account Not Found"))</f>
        <v/>
      </c>
      <c r="C194" s="24" t="str">
        <f>IF(A194="","",IFERROR(VLOOKUP(A194,DB_Customers!$A:$N,14,0),""))</f>
        <v/>
      </c>
      <c r="D194" s="25" t="str">
        <f t="shared" ca="1" si="20"/>
        <v/>
      </c>
      <c r="E194" s="31"/>
      <c r="F194" s="6"/>
      <c r="G194" s="33" t="str">
        <f t="shared" si="21"/>
        <v/>
      </c>
      <c r="H194" s="8"/>
      <c r="I194" s="27" t="str">
        <f t="shared" si="22"/>
        <v>—</v>
      </c>
      <c r="J194" s="28" t="str">
        <f t="shared" ca="1" si="23"/>
        <v>—</v>
      </c>
      <c r="K194" s="29"/>
    </row>
    <row r="195" spans="1:11" x14ac:dyDescent="0.25">
      <c r="A195" s="15"/>
      <c r="B195" s="2" t="str">
        <f>IF(A195="","",IFERROR(VLOOKUP(A195,DB_Customers!$A:$D,4,0),"❌ Account Not Found"))</f>
        <v/>
      </c>
      <c r="C195" s="16" t="str">
        <f>IF(A195="","",IFERROR(VLOOKUP(A195,DB_Customers!$A:$N,14,0),""))</f>
        <v/>
      </c>
      <c r="D195" s="17" t="str">
        <f t="shared" ca="1" si="20"/>
        <v/>
      </c>
      <c r="E195" s="31"/>
      <c r="F195" s="2"/>
      <c r="G195" s="32" t="str">
        <f t="shared" si="21"/>
        <v/>
      </c>
      <c r="H195" s="4"/>
      <c r="I195" s="20" t="str">
        <f t="shared" si="22"/>
        <v>—</v>
      </c>
      <c r="J195" s="21" t="str">
        <f t="shared" ca="1" si="23"/>
        <v>—</v>
      </c>
      <c r="K195" s="22"/>
    </row>
    <row r="196" spans="1:11" x14ac:dyDescent="0.25">
      <c r="A196" s="23"/>
      <c r="B196" s="6" t="str">
        <f>IF(A196="","",IFERROR(VLOOKUP(A196,DB_Customers!$A:$D,4,0),"❌ Account Not Found"))</f>
        <v/>
      </c>
      <c r="C196" s="24" t="str">
        <f>IF(A196="","",IFERROR(VLOOKUP(A196,DB_Customers!$A:$N,14,0),""))</f>
        <v/>
      </c>
      <c r="D196" s="25" t="str">
        <f t="shared" ca="1" si="20"/>
        <v/>
      </c>
      <c r="E196" s="31"/>
      <c r="F196" s="6"/>
      <c r="G196" s="33" t="str">
        <f t="shared" si="21"/>
        <v/>
      </c>
      <c r="H196" s="8"/>
      <c r="I196" s="27" t="str">
        <f t="shared" si="22"/>
        <v>—</v>
      </c>
      <c r="J196" s="28" t="str">
        <f t="shared" ca="1" si="23"/>
        <v>—</v>
      </c>
      <c r="K196" s="29"/>
    </row>
    <row r="197" spans="1:11" x14ac:dyDescent="0.25">
      <c r="A197" s="15"/>
      <c r="B197" s="2" t="str">
        <f>IF(A197="","",IFERROR(VLOOKUP(A197,DB_Customers!$A:$D,4,0),"❌ Account Not Found"))</f>
        <v/>
      </c>
      <c r="C197" s="16" t="str">
        <f>IF(A197="","",IFERROR(VLOOKUP(A197,DB_Customers!$A:$N,14,0),""))</f>
        <v/>
      </c>
      <c r="D197" s="17" t="str">
        <f t="shared" ca="1" si="20"/>
        <v/>
      </c>
      <c r="E197" s="31"/>
      <c r="F197" s="2"/>
      <c r="G197" s="32" t="str">
        <f t="shared" si="21"/>
        <v/>
      </c>
      <c r="H197" s="4"/>
      <c r="I197" s="20" t="str">
        <f t="shared" si="22"/>
        <v>—</v>
      </c>
      <c r="J197" s="21" t="str">
        <f t="shared" ca="1" si="23"/>
        <v>—</v>
      </c>
      <c r="K197" s="22"/>
    </row>
    <row r="198" spans="1:11" x14ac:dyDescent="0.25">
      <c r="A198" s="23"/>
      <c r="B198" s="6" t="str">
        <f>IF(A198="","",IFERROR(VLOOKUP(A198,DB_Customers!$A:$D,4,0),"❌ Account Not Found"))</f>
        <v/>
      </c>
      <c r="C198" s="24" t="str">
        <f>IF(A198="","",IFERROR(VLOOKUP(A198,DB_Customers!$A:$N,14,0),""))</f>
        <v/>
      </c>
      <c r="D198" s="25" t="str">
        <f t="shared" ca="1" si="20"/>
        <v/>
      </c>
      <c r="E198" s="31"/>
      <c r="F198" s="6"/>
      <c r="G198" s="33" t="str">
        <f t="shared" si="21"/>
        <v/>
      </c>
      <c r="H198" s="8"/>
      <c r="I198" s="27" t="str">
        <f t="shared" si="22"/>
        <v>—</v>
      </c>
      <c r="J198" s="28" t="str">
        <f t="shared" ca="1" si="23"/>
        <v>—</v>
      </c>
      <c r="K198" s="29"/>
    </row>
    <row r="199" spans="1:11" x14ac:dyDescent="0.25">
      <c r="A199" s="15"/>
      <c r="B199" s="2" t="str">
        <f>IF(A199="","",IFERROR(VLOOKUP(A199,DB_Customers!$A:$D,4,0),"❌ Account Not Found"))</f>
        <v/>
      </c>
      <c r="C199" s="16" t="str">
        <f>IF(A199="","",IFERROR(VLOOKUP(A199,DB_Customers!$A:$N,14,0),""))</f>
        <v/>
      </c>
      <c r="D199" s="17" t="str">
        <f t="shared" ca="1" si="20"/>
        <v/>
      </c>
      <c r="E199" s="31"/>
      <c r="F199" s="2"/>
      <c r="G199" s="32" t="str">
        <f t="shared" si="21"/>
        <v/>
      </c>
      <c r="H199" s="4"/>
      <c r="I199" s="20" t="str">
        <f t="shared" si="22"/>
        <v>—</v>
      </c>
      <c r="J199" s="21" t="str">
        <f t="shared" ca="1" si="23"/>
        <v>—</v>
      </c>
      <c r="K199" s="22"/>
    </row>
    <row r="200" spans="1:11" x14ac:dyDescent="0.25">
      <c r="A200" s="23"/>
      <c r="B200" s="6" t="str">
        <f>IF(A200="","",IFERROR(VLOOKUP(A200,DB_Customers!$A:$D,4,0),"❌ Account Not Found"))</f>
        <v/>
      </c>
      <c r="C200" s="24" t="str">
        <f>IF(A200="","",IFERROR(VLOOKUP(A200,DB_Customers!$A:$N,14,0),""))</f>
        <v/>
      </c>
      <c r="D200" s="25" t="str">
        <f t="shared" ca="1" si="20"/>
        <v/>
      </c>
      <c r="E200" s="31"/>
      <c r="F200" s="6"/>
      <c r="G200" s="33" t="str">
        <f t="shared" si="21"/>
        <v/>
      </c>
      <c r="H200" s="8"/>
      <c r="I200" s="27" t="str">
        <f t="shared" si="22"/>
        <v>—</v>
      </c>
      <c r="J200" s="28" t="str">
        <f t="shared" ca="1" si="23"/>
        <v>—</v>
      </c>
      <c r="K200" s="29"/>
    </row>
    <row r="201" spans="1:11" x14ac:dyDescent="0.25">
      <c r="A201" s="15"/>
      <c r="B201" s="2" t="str">
        <f>IF(A201="","",IFERROR(VLOOKUP(A201,DB_Customers!$A:$D,4,0),"❌ Account Not Found"))</f>
        <v/>
      </c>
      <c r="C201" s="16" t="str">
        <f>IF(A201="","",IFERROR(VLOOKUP(A201,DB_Customers!$A:$N,14,0),""))</f>
        <v/>
      </c>
      <c r="D201" s="17" t="str">
        <f t="shared" ref="D201:D208" ca="1" si="24">IF(A201="","",TODAY())</f>
        <v/>
      </c>
      <c r="E201" s="31"/>
      <c r="F201" s="2"/>
      <c r="G201" s="32" t="str">
        <f t="shared" ref="G201:G208" si="25">IF(OR(A201="",E201=""),"",IF(C201="","",C201-E201))</f>
        <v/>
      </c>
      <c r="H201" s="4"/>
      <c r="I201" s="20" t="str">
        <f t="shared" ref="I201:I208" si="26">IF(AND(A201&lt;&gt;"",E201&lt;&gt;""),IF(C201&gt;=E201,"Successful","Unsuccessful"),"—")</f>
        <v>—</v>
      </c>
      <c r="J201" s="21" t="str">
        <f t="shared" ref="J201:J208" ca="1" si="27">IF(I201="Successful",TEXT(TODAY(),"YYYY-MM-DD")&amp;" Auto","—")</f>
        <v>—</v>
      </c>
      <c r="K201" s="22"/>
    </row>
    <row r="202" spans="1:11" x14ac:dyDescent="0.25">
      <c r="A202" s="23"/>
      <c r="B202" s="6" t="str">
        <f>IF(A202="","",IFERROR(VLOOKUP(A202,DB_Customers!$A:$D,4,0),"❌ Account Not Found"))</f>
        <v/>
      </c>
      <c r="C202" s="24" t="str">
        <f>IF(A202="","",IFERROR(VLOOKUP(A202,DB_Customers!$A:$N,14,0),""))</f>
        <v/>
      </c>
      <c r="D202" s="25" t="str">
        <f t="shared" ca="1" si="24"/>
        <v/>
      </c>
      <c r="E202" s="31"/>
      <c r="F202" s="6"/>
      <c r="G202" s="33" t="str">
        <f t="shared" si="25"/>
        <v/>
      </c>
      <c r="H202" s="8"/>
      <c r="I202" s="27" t="str">
        <f t="shared" si="26"/>
        <v>—</v>
      </c>
      <c r="J202" s="28" t="str">
        <f t="shared" ca="1" si="27"/>
        <v>—</v>
      </c>
      <c r="K202" s="29"/>
    </row>
    <row r="203" spans="1:11" x14ac:dyDescent="0.25">
      <c r="A203" s="15"/>
      <c r="B203" s="2" t="str">
        <f>IF(A203="","",IFERROR(VLOOKUP(A203,DB_Customers!$A:$D,4,0),"❌ Account Not Found"))</f>
        <v/>
      </c>
      <c r="C203" s="16" t="str">
        <f>IF(A203="","",IFERROR(VLOOKUP(A203,DB_Customers!$A:$N,14,0),""))</f>
        <v/>
      </c>
      <c r="D203" s="17" t="str">
        <f t="shared" ca="1" si="24"/>
        <v/>
      </c>
      <c r="E203" s="31"/>
      <c r="F203" s="2"/>
      <c r="G203" s="32" t="str">
        <f t="shared" si="25"/>
        <v/>
      </c>
      <c r="H203" s="4"/>
      <c r="I203" s="20" t="str">
        <f t="shared" si="26"/>
        <v>—</v>
      </c>
      <c r="J203" s="21" t="str">
        <f t="shared" ca="1" si="27"/>
        <v>—</v>
      </c>
      <c r="K203" s="22"/>
    </row>
    <row r="204" spans="1:11" x14ac:dyDescent="0.25">
      <c r="A204" s="23"/>
      <c r="B204" s="6" t="str">
        <f>IF(A204="","",IFERROR(VLOOKUP(A204,DB_Customers!$A:$D,4,0),"❌ Account Not Found"))</f>
        <v/>
      </c>
      <c r="C204" s="24" t="str">
        <f>IF(A204="","",IFERROR(VLOOKUP(A204,DB_Customers!$A:$N,14,0),""))</f>
        <v/>
      </c>
      <c r="D204" s="25" t="str">
        <f t="shared" ca="1" si="24"/>
        <v/>
      </c>
      <c r="E204" s="31"/>
      <c r="F204" s="6"/>
      <c r="G204" s="33" t="str">
        <f t="shared" si="25"/>
        <v/>
      </c>
      <c r="H204" s="8"/>
      <c r="I204" s="27" t="str">
        <f t="shared" si="26"/>
        <v>—</v>
      </c>
      <c r="J204" s="28" t="str">
        <f t="shared" ca="1" si="27"/>
        <v>—</v>
      </c>
      <c r="K204" s="29"/>
    </row>
    <row r="205" spans="1:11" x14ac:dyDescent="0.25">
      <c r="A205" s="15"/>
      <c r="B205" s="2" t="str">
        <f>IF(A205="","",IFERROR(VLOOKUP(A205,DB_Customers!$A:$D,4,0),"❌ Account Not Found"))</f>
        <v/>
      </c>
      <c r="C205" s="16" t="str">
        <f>IF(A205="","",IFERROR(VLOOKUP(A205,DB_Customers!$A:$N,14,0),""))</f>
        <v/>
      </c>
      <c r="D205" s="17" t="str">
        <f t="shared" ca="1" si="24"/>
        <v/>
      </c>
      <c r="E205" s="31"/>
      <c r="F205" s="2"/>
      <c r="G205" s="32" t="str">
        <f t="shared" si="25"/>
        <v/>
      </c>
      <c r="H205" s="4"/>
      <c r="I205" s="20" t="str">
        <f t="shared" si="26"/>
        <v>—</v>
      </c>
      <c r="J205" s="21" t="str">
        <f t="shared" ca="1" si="27"/>
        <v>—</v>
      </c>
      <c r="K205" s="22"/>
    </row>
    <row r="206" spans="1:11" x14ac:dyDescent="0.25">
      <c r="A206" s="23"/>
      <c r="B206" s="6" t="str">
        <f>IF(A206="","",IFERROR(VLOOKUP(A206,DB_Customers!$A:$D,4,0),"❌ Account Not Found"))</f>
        <v/>
      </c>
      <c r="C206" s="24" t="str">
        <f>IF(A206="","",IFERROR(VLOOKUP(A206,DB_Customers!$A:$N,14,0),""))</f>
        <v/>
      </c>
      <c r="D206" s="25" t="str">
        <f t="shared" ca="1" si="24"/>
        <v/>
      </c>
      <c r="E206" s="31"/>
      <c r="F206" s="6"/>
      <c r="G206" s="33" t="str">
        <f t="shared" si="25"/>
        <v/>
      </c>
      <c r="H206" s="8"/>
      <c r="I206" s="27" t="str">
        <f t="shared" si="26"/>
        <v>—</v>
      </c>
      <c r="J206" s="28" t="str">
        <f t="shared" ca="1" si="27"/>
        <v>—</v>
      </c>
      <c r="K206" s="29"/>
    </row>
    <row r="207" spans="1:11" x14ac:dyDescent="0.25">
      <c r="A207" s="15"/>
      <c r="B207" s="2" t="str">
        <f>IF(A207="","",IFERROR(VLOOKUP(A207,DB_Customers!$A:$D,4,0),"❌ Account Not Found"))</f>
        <v/>
      </c>
      <c r="C207" s="16" t="str">
        <f>IF(A207="","",IFERROR(VLOOKUP(A207,DB_Customers!$A:$N,14,0),""))</f>
        <v/>
      </c>
      <c r="D207" s="17" t="str">
        <f t="shared" ca="1" si="24"/>
        <v/>
      </c>
      <c r="E207" s="31"/>
      <c r="F207" s="2"/>
      <c r="G207" s="32" t="str">
        <f t="shared" si="25"/>
        <v/>
      </c>
      <c r="H207" s="4"/>
      <c r="I207" s="20" t="str">
        <f t="shared" si="26"/>
        <v>—</v>
      </c>
      <c r="J207" s="21" t="str">
        <f t="shared" ca="1" si="27"/>
        <v>—</v>
      </c>
      <c r="K207" s="22"/>
    </row>
    <row r="208" spans="1:11" x14ac:dyDescent="0.25">
      <c r="A208" s="23"/>
      <c r="B208" s="6" t="str">
        <f>IF(A208="","",IFERROR(VLOOKUP(A208,DB_Customers!$A:$D,4,0),"❌ Account Not Found"))</f>
        <v/>
      </c>
      <c r="C208" s="24" t="str">
        <f>IF(A208="","",IFERROR(VLOOKUP(A208,DB_Customers!$A:$N,14,0),""))</f>
        <v/>
      </c>
      <c r="D208" s="25" t="str">
        <f t="shared" ca="1" si="24"/>
        <v/>
      </c>
      <c r="E208" s="31"/>
      <c r="F208" s="6"/>
      <c r="G208" s="33" t="str">
        <f t="shared" si="25"/>
        <v/>
      </c>
      <c r="H208" s="8"/>
      <c r="I208" s="27" t="str">
        <f t="shared" si="26"/>
        <v>—</v>
      </c>
      <c r="J208" s="28" t="str">
        <f t="shared" ca="1" si="27"/>
        <v>—</v>
      </c>
      <c r="K208" s="29"/>
    </row>
  </sheetData>
  <mergeCells count="12">
    <mergeCell ref="A1:K1"/>
    <mergeCell ref="A2:K2"/>
    <mergeCell ref="A3:C3"/>
    <mergeCell ref="D3:F3"/>
    <mergeCell ref="G3:I3"/>
    <mergeCell ref="J3:K3"/>
    <mergeCell ref="A7:K7"/>
    <mergeCell ref="A4:C4"/>
    <mergeCell ref="D4:F4"/>
    <mergeCell ref="G4:I4"/>
    <mergeCell ref="J4:K4"/>
    <mergeCell ref="A5:K5"/>
  </mergeCells>
  <conditionalFormatting sqref="A9:K208">
    <cfRule type="expression" dxfId="9" priority="4">
      <formula>$I9="Unsuccessful"</formula>
    </cfRule>
  </conditionalFormatting>
  <conditionalFormatting sqref="G9:G208">
    <cfRule type="cellIs" dxfId="8" priority="5" operator="lessThan">
      <formula>0</formula>
    </cfRule>
  </conditionalFormatting>
  <conditionalFormatting sqref="I9:I208">
    <cfRule type="cellIs" dxfId="7" priority="2" operator="equal">
      <formula>"Successful"</formula>
    </cfRule>
    <cfRule type="cellIs" dxfId="6" priority="3" operator="equal">
      <formula>"Unsuccessful"</formula>
    </cfRule>
  </conditionalFormatting>
  <dataValidations count="1">
    <dataValidation type="list" sqref="H9:H208" xr:uid="{00000000-0002-0000-1E00-000000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E67E22"/>
  </sheetPr>
  <dimension ref="A1:N1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5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187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108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21.75" customHeight="1" x14ac:dyDescent="0.25">
      <c r="A4" s="66" t="s">
        <v>109</v>
      </c>
      <c r="B4" s="66"/>
      <c r="C4" s="66"/>
      <c r="D4" s="66"/>
    </row>
    <row r="5" spans="1:14" ht="19.5" customHeight="1" x14ac:dyDescent="0.25">
      <c r="A5" s="34" t="s">
        <v>110</v>
      </c>
      <c r="B5" s="67"/>
      <c r="C5" s="67"/>
      <c r="D5" s="67"/>
    </row>
    <row r="6" spans="1:14" ht="19.5" customHeight="1" x14ac:dyDescent="0.25">
      <c r="A6" s="34" t="s">
        <v>111</v>
      </c>
      <c r="B6" s="67"/>
      <c r="C6" s="67"/>
      <c r="D6" s="67"/>
    </row>
    <row r="7" spans="1:14" ht="19.5" customHeight="1" x14ac:dyDescent="0.25">
      <c r="A7" s="35" t="s">
        <v>112</v>
      </c>
      <c r="B7" s="61">
        <v>2.5</v>
      </c>
      <c r="C7" s="61"/>
      <c r="D7" s="61"/>
    </row>
    <row r="8" spans="1:14" ht="19.5" customHeight="1" x14ac:dyDescent="0.25">
      <c r="A8" s="35" t="s">
        <v>113</v>
      </c>
      <c r="B8" s="61" t="str">
        <f>IF(B5="","",B5*B7/100*B6)</f>
        <v/>
      </c>
      <c r="C8" s="61"/>
      <c r="D8" s="61"/>
    </row>
    <row r="9" spans="1:14" ht="19.5" customHeight="1" x14ac:dyDescent="0.25">
      <c r="A9" s="35" t="s">
        <v>114</v>
      </c>
      <c r="B9" s="62" t="str">
        <f>IF(B5="","",B5+(B5*B7/100*B6))</f>
        <v/>
      </c>
      <c r="C9" s="62"/>
      <c r="D9" s="62"/>
    </row>
    <row r="10" spans="1:14" ht="19.5" customHeight="1" x14ac:dyDescent="0.25">
      <c r="A10" s="35" t="s">
        <v>115</v>
      </c>
      <c r="B10" s="62" t="str">
        <f>IFERROR(B9/B6,"")</f>
        <v/>
      </c>
      <c r="C10" s="62"/>
      <c r="D10" s="62"/>
    </row>
    <row r="11" spans="1:14" ht="7.5" customHeight="1" x14ac:dyDescent="0.25"/>
    <row r="12" spans="1:14" ht="21.75" customHeight="1" x14ac:dyDescent="0.25">
      <c r="A12" s="63" t="s">
        <v>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19.5" customHeight="1" x14ac:dyDescent="0.25">
      <c r="A13" s="36" t="s">
        <v>117</v>
      </c>
      <c r="B13" s="36" t="s">
        <v>86</v>
      </c>
      <c r="C13" s="36" t="s">
        <v>60</v>
      </c>
      <c r="D13" s="36" t="s">
        <v>118</v>
      </c>
      <c r="E13" s="36" t="s">
        <v>119</v>
      </c>
      <c r="F13" s="36" t="s">
        <v>120</v>
      </c>
      <c r="G13" s="36" t="s">
        <v>121</v>
      </c>
      <c r="H13" s="36" t="s">
        <v>122</v>
      </c>
      <c r="I13" s="36" t="s">
        <v>123</v>
      </c>
      <c r="J13" s="36" t="s">
        <v>124</v>
      </c>
      <c r="K13" s="36" t="s">
        <v>91</v>
      </c>
      <c r="L13" s="36" t="s">
        <v>8</v>
      </c>
      <c r="M13" s="36" t="s">
        <v>125</v>
      </c>
    </row>
    <row r="14" spans="1:14" x14ac:dyDescent="0.25">
      <c r="A14" s="37" t="str">
        <f t="shared" ref="A14:A45" ca="1" si="0">IF(B14="","",IF(C14="❌ Account Not Found","INVALID","LN"&amp;TEXT(D14,"YYYYMMDD")&amp;TEXT(ROW()-13,"0000")))</f>
        <v>LN202604140001</v>
      </c>
      <c r="B14" s="23" t="s">
        <v>67</v>
      </c>
      <c r="C14" s="6" t="str">
        <f>IF(B14="","",IFERROR(VLOOKUP(B14,DB_Customers!$A:$D,4,0),"❌ Account Not Found"))</f>
        <v>Yaa Opoku</v>
      </c>
      <c r="D14" s="25">
        <f t="shared" ref="D14:D45" ca="1" si="1">IF(B14="","",TODAY())</f>
        <v>46126</v>
      </c>
      <c r="E14" s="38">
        <v>4857.3900000000003</v>
      </c>
      <c r="F14" s="6" t="s">
        <v>134</v>
      </c>
      <c r="G14" s="39">
        <v>12</v>
      </c>
      <c r="H14" s="8">
        <v>2.5</v>
      </c>
      <c r="I14" s="40">
        <f t="shared" ref="I14:I45" si="2">IF(E14="","",E14+(E14*H14/100*G14))</f>
        <v>6314.607</v>
      </c>
      <c r="J14" s="41">
        <f t="shared" ref="J14:J45" si="3">IFERROR(I14/G14,"")</f>
        <v>526.21725000000004</v>
      </c>
      <c r="K14" s="42" t="str">
        <f t="shared" ref="K14:K45" si="4">IF(B14="","","Pending")</f>
        <v>Pending</v>
      </c>
      <c r="L14" s="8" t="s">
        <v>26</v>
      </c>
      <c r="M14" s="29"/>
    </row>
    <row r="15" spans="1:14" x14ac:dyDescent="0.25">
      <c r="A15" s="43" t="str">
        <f t="shared" ca="1" si="0"/>
        <v>LN202604140002</v>
      </c>
      <c r="B15" s="15" t="s">
        <v>63</v>
      </c>
      <c r="C15" s="2" t="str">
        <f>IF(B15="","",IFERROR(VLOOKUP(B15,DB_Customers!$A:$D,4,0),"❌ Account Not Found"))</f>
        <v>Kwame Baffour</v>
      </c>
      <c r="D15" s="17">
        <f t="shared" ca="1" si="1"/>
        <v>46126</v>
      </c>
      <c r="E15" s="38">
        <v>2142.59</v>
      </c>
      <c r="F15" s="2" t="s">
        <v>150</v>
      </c>
      <c r="G15" s="44">
        <v>12</v>
      </c>
      <c r="H15" s="4">
        <v>2.5</v>
      </c>
      <c r="I15" s="40">
        <f t="shared" si="2"/>
        <v>2785.3670000000002</v>
      </c>
      <c r="J15" s="45">
        <f t="shared" si="3"/>
        <v>232.11391666666668</v>
      </c>
      <c r="K15" s="46" t="str">
        <f t="shared" si="4"/>
        <v>Pending</v>
      </c>
      <c r="L15" s="4" t="s">
        <v>26</v>
      </c>
      <c r="M15" s="22"/>
    </row>
    <row r="16" spans="1:14" x14ac:dyDescent="0.25">
      <c r="A16" s="37" t="str">
        <f t="shared" si="0"/>
        <v/>
      </c>
      <c r="B16" s="23"/>
      <c r="C16" s="6" t="str">
        <f>IF(B16="","",IFERROR(VLOOKUP(B16,DB_Customers!$A:$D,4,0),"❌ Account Not Found"))</f>
        <v/>
      </c>
      <c r="D16" s="25" t="str">
        <f t="shared" ca="1" si="1"/>
        <v/>
      </c>
      <c r="E16" s="38"/>
      <c r="F16" s="6"/>
      <c r="G16" s="39"/>
      <c r="H16" s="8">
        <v>2.5</v>
      </c>
      <c r="I16" s="40" t="str">
        <f t="shared" si="2"/>
        <v/>
      </c>
      <c r="J16" s="41" t="str">
        <f t="shared" si="3"/>
        <v/>
      </c>
      <c r="K16" s="42" t="str">
        <f t="shared" si="4"/>
        <v/>
      </c>
      <c r="L16" s="8" t="s">
        <v>26</v>
      </c>
      <c r="M16" s="29"/>
    </row>
    <row r="17" spans="1:13" x14ac:dyDescent="0.25">
      <c r="A17" s="43" t="str">
        <f t="shared" si="0"/>
        <v/>
      </c>
      <c r="B17" s="15"/>
      <c r="C17" s="2" t="str">
        <f>IF(B17="","",IFERROR(VLOOKUP(B17,DB_Customers!$A:$D,4,0),"❌ Account Not Found"))</f>
        <v/>
      </c>
      <c r="D17" s="17" t="str">
        <f t="shared" ca="1" si="1"/>
        <v/>
      </c>
      <c r="E17" s="38"/>
      <c r="F17" s="2"/>
      <c r="G17" s="44"/>
      <c r="H17" s="4">
        <v>2.5</v>
      </c>
      <c r="I17" s="40" t="str">
        <f t="shared" si="2"/>
        <v/>
      </c>
      <c r="J17" s="45" t="str">
        <f t="shared" si="3"/>
        <v/>
      </c>
      <c r="K17" s="46" t="str">
        <f t="shared" si="4"/>
        <v/>
      </c>
      <c r="L17" s="4" t="s">
        <v>26</v>
      </c>
      <c r="M17" s="22"/>
    </row>
    <row r="18" spans="1:13" x14ac:dyDescent="0.25">
      <c r="A18" s="37" t="str">
        <f t="shared" si="0"/>
        <v/>
      </c>
      <c r="B18" s="23"/>
      <c r="C18" s="6" t="str">
        <f>IF(B18="","",IFERROR(VLOOKUP(B18,DB_Customers!$A:$D,4,0),"❌ Account Not Found"))</f>
        <v/>
      </c>
      <c r="D18" s="25" t="str">
        <f t="shared" ca="1" si="1"/>
        <v/>
      </c>
      <c r="E18" s="38"/>
      <c r="F18" s="6"/>
      <c r="G18" s="39"/>
      <c r="H18" s="8">
        <v>2.5</v>
      </c>
      <c r="I18" s="40" t="str">
        <f t="shared" si="2"/>
        <v/>
      </c>
      <c r="J18" s="41" t="str">
        <f t="shared" si="3"/>
        <v/>
      </c>
      <c r="K18" s="42" t="str">
        <f t="shared" si="4"/>
        <v/>
      </c>
      <c r="L18" s="8" t="s">
        <v>26</v>
      </c>
      <c r="M18" s="29"/>
    </row>
    <row r="19" spans="1:13" x14ac:dyDescent="0.25">
      <c r="A19" s="43" t="str">
        <f t="shared" si="0"/>
        <v/>
      </c>
      <c r="B19" s="15"/>
      <c r="C19" s="2" t="str">
        <f>IF(B19="","",IFERROR(VLOOKUP(B19,DB_Customers!$A:$D,4,0),"❌ Account Not Found"))</f>
        <v/>
      </c>
      <c r="D19" s="17" t="str">
        <f t="shared" ca="1" si="1"/>
        <v/>
      </c>
      <c r="E19" s="38"/>
      <c r="F19" s="2"/>
      <c r="G19" s="44"/>
      <c r="H19" s="4">
        <v>2.5</v>
      </c>
      <c r="I19" s="40" t="str">
        <f t="shared" si="2"/>
        <v/>
      </c>
      <c r="J19" s="45" t="str">
        <f t="shared" si="3"/>
        <v/>
      </c>
      <c r="K19" s="46" t="str">
        <f t="shared" si="4"/>
        <v/>
      </c>
      <c r="L19" s="4"/>
      <c r="M19" s="22"/>
    </row>
    <row r="20" spans="1:13" x14ac:dyDescent="0.25">
      <c r="A20" s="37" t="str">
        <f t="shared" si="0"/>
        <v/>
      </c>
      <c r="B20" s="23"/>
      <c r="C20" s="6" t="str">
        <f>IF(B20="","",IFERROR(VLOOKUP(B20,DB_Customers!$A:$D,4,0),"❌ Account Not Found"))</f>
        <v/>
      </c>
      <c r="D20" s="25" t="str">
        <f t="shared" ca="1" si="1"/>
        <v/>
      </c>
      <c r="E20" s="38"/>
      <c r="F20" s="6"/>
      <c r="G20" s="39"/>
      <c r="H20" s="8">
        <v>2.5</v>
      </c>
      <c r="I20" s="40" t="str">
        <f t="shared" si="2"/>
        <v/>
      </c>
      <c r="J20" s="41" t="str">
        <f t="shared" si="3"/>
        <v/>
      </c>
      <c r="K20" s="42" t="str">
        <f t="shared" si="4"/>
        <v/>
      </c>
      <c r="L20" s="8"/>
      <c r="M20" s="29"/>
    </row>
    <row r="21" spans="1:13" x14ac:dyDescent="0.25">
      <c r="A21" s="43" t="str">
        <f t="shared" si="0"/>
        <v/>
      </c>
      <c r="B21" s="15"/>
      <c r="C21" s="2" t="str">
        <f>IF(B21="","",IFERROR(VLOOKUP(B21,DB_Customers!$A:$D,4,0),"❌ Account Not Found"))</f>
        <v/>
      </c>
      <c r="D21" s="17" t="str">
        <f t="shared" ca="1" si="1"/>
        <v/>
      </c>
      <c r="E21" s="38"/>
      <c r="F21" s="2"/>
      <c r="G21" s="44"/>
      <c r="H21" s="4">
        <v>2.5</v>
      </c>
      <c r="I21" s="40" t="str">
        <f t="shared" si="2"/>
        <v/>
      </c>
      <c r="J21" s="45" t="str">
        <f t="shared" si="3"/>
        <v/>
      </c>
      <c r="K21" s="46" t="str">
        <f t="shared" si="4"/>
        <v/>
      </c>
      <c r="L21" s="4"/>
      <c r="M21" s="22"/>
    </row>
    <row r="22" spans="1:13" x14ac:dyDescent="0.25">
      <c r="A22" s="37" t="str">
        <f t="shared" si="0"/>
        <v/>
      </c>
      <c r="B22" s="23"/>
      <c r="C22" s="6" t="str">
        <f>IF(B22="","",IFERROR(VLOOKUP(B22,DB_Customers!$A:$D,4,0),"❌ Account Not Found"))</f>
        <v/>
      </c>
      <c r="D22" s="25" t="str">
        <f t="shared" ca="1" si="1"/>
        <v/>
      </c>
      <c r="E22" s="38"/>
      <c r="F22" s="6"/>
      <c r="G22" s="39"/>
      <c r="H22" s="8">
        <v>2.5</v>
      </c>
      <c r="I22" s="40" t="str">
        <f t="shared" si="2"/>
        <v/>
      </c>
      <c r="J22" s="41" t="str">
        <f t="shared" si="3"/>
        <v/>
      </c>
      <c r="K22" s="42" t="str">
        <f t="shared" si="4"/>
        <v/>
      </c>
      <c r="L22" s="8"/>
      <c r="M22" s="29"/>
    </row>
    <row r="23" spans="1:13" x14ac:dyDescent="0.25">
      <c r="A23" s="43" t="str">
        <f t="shared" si="0"/>
        <v/>
      </c>
      <c r="B23" s="15"/>
      <c r="C23" s="2" t="str">
        <f>IF(B23="","",IFERROR(VLOOKUP(B23,DB_Customers!$A:$D,4,0),"❌ Account Not Found"))</f>
        <v/>
      </c>
      <c r="D23" s="17" t="str">
        <f t="shared" ca="1" si="1"/>
        <v/>
      </c>
      <c r="E23" s="38"/>
      <c r="F23" s="2"/>
      <c r="G23" s="44"/>
      <c r="H23" s="4">
        <v>2.5</v>
      </c>
      <c r="I23" s="40" t="str">
        <f t="shared" si="2"/>
        <v/>
      </c>
      <c r="J23" s="45" t="str">
        <f t="shared" si="3"/>
        <v/>
      </c>
      <c r="K23" s="46" t="str">
        <f t="shared" si="4"/>
        <v/>
      </c>
      <c r="L23" s="4"/>
      <c r="M23" s="22"/>
    </row>
    <row r="24" spans="1:13" x14ac:dyDescent="0.25">
      <c r="A24" s="37" t="str">
        <f t="shared" si="0"/>
        <v/>
      </c>
      <c r="B24" s="23"/>
      <c r="C24" s="6" t="str">
        <f>IF(B24="","",IFERROR(VLOOKUP(B24,DB_Customers!$A:$D,4,0),"❌ Account Not Found"))</f>
        <v/>
      </c>
      <c r="D24" s="25" t="str">
        <f t="shared" ca="1" si="1"/>
        <v/>
      </c>
      <c r="E24" s="38"/>
      <c r="F24" s="6"/>
      <c r="G24" s="39"/>
      <c r="H24" s="8">
        <v>2.5</v>
      </c>
      <c r="I24" s="40" t="str">
        <f t="shared" si="2"/>
        <v/>
      </c>
      <c r="J24" s="41" t="str">
        <f t="shared" si="3"/>
        <v/>
      </c>
      <c r="K24" s="42" t="str">
        <f t="shared" si="4"/>
        <v/>
      </c>
      <c r="L24" s="8"/>
      <c r="M24" s="29"/>
    </row>
    <row r="25" spans="1:13" x14ac:dyDescent="0.25">
      <c r="A25" s="43" t="str">
        <f t="shared" si="0"/>
        <v/>
      </c>
      <c r="B25" s="15"/>
      <c r="C25" s="2" t="str">
        <f>IF(B25="","",IFERROR(VLOOKUP(B25,DB_Customers!$A:$D,4,0),"❌ Account Not Found"))</f>
        <v/>
      </c>
      <c r="D25" s="17" t="str">
        <f t="shared" ca="1" si="1"/>
        <v/>
      </c>
      <c r="E25" s="38"/>
      <c r="F25" s="2"/>
      <c r="G25" s="44"/>
      <c r="H25" s="4">
        <v>2.5</v>
      </c>
      <c r="I25" s="40" t="str">
        <f t="shared" si="2"/>
        <v/>
      </c>
      <c r="J25" s="45" t="str">
        <f t="shared" si="3"/>
        <v/>
      </c>
      <c r="K25" s="46" t="str">
        <f t="shared" si="4"/>
        <v/>
      </c>
      <c r="L25" s="4"/>
      <c r="M25" s="22"/>
    </row>
    <row r="26" spans="1:13" x14ac:dyDescent="0.25">
      <c r="A26" s="37" t="str">
        <f t="shared" si="0"/>
        <v/>
      </c>
      <c r="B26" s="23"/>
      <c r="C26" s="6" t="str">
        <f>IF(B26="","",IFERROR(VLOOKUP(B26,DB_Customers!$A:$D,4,0),"❌ Account Not Found"))</f>
        <v/>
      </c>
      <c r="D26" s="25" t="str">
        <f t="shared" ca="1" si="1"/>
        <v/>
      </c>
      <c r="E26" s="38"/>
      <c r="F26" s="6"/>
      <c r="G26" s="39"/>
      <c r="H26" s="8">
        <v>2.5</v>
      </c>
      <c r="I26" s="40" t="str">
        <f t="shared" si="2"/>
        <v/>
      </c>
      <c r="J26" s="41" t="str">
        <f t="shared" si="3"/>
        <v/>
      </c>
      <c r="K26" s="42" t="str">
        <f t="shared" si="4"/>
        <v/>
      </c>
      <c r="L26" s="8"/>
      <c r="M26" s="29"/>
    </row>
    <row r="27" spans="1:13" x14ac:dyDescent="0.25">
      <c r="A27" s="43" t="str">
        <f t="shared" si="0"/>
        <v/>
      </c>
      <c r="B27" s="15"/>
      <c r="C27" s="2" t="str">
        <f>IF(B27="","",IFERROR(VLOOKUP(B27,DB_Customers!$A:$D,4,0),"❌ Account Not Found"))</f>
        <v/>
      </c>
      <c r="D27" s="17" t="str">
        <f t="shared" ca="1" si="1"/>
        <v/>
      </c>
      <c r="E27" s="38"/>
      <c r="F27" s="2"/>
      <c r="G27" s="44"/>
      <c r="H27" s="4">
        <v>2.5</v>
      </c>
      <c r="I27" s="40" t="str">
        <f t="shared" si="2"/>
        <v/>
      </c>
      <c r="J27" s="45" t="str">
        <f t="shared" si="3"/>
        <v/>
      </c>
      <c r="K27" s="46" t="str">
        <f t="shared" si="4"/>
        <v/>
      </c>
      <c r="L27" s="4"/>
      <c r="M27" s="22"/>
    </row>
    <row r="28" spans="1:13" x14ac:dyDescent="0.25">
      <c r="A28" s="37" t="str">
        <f t="shared" si="0"/>
        <v/>
      </c>
      <c r="B28" s="23"/>
      <c r="C28" s="6" t="str">
        <f>IF(B28="","",IFERROR(VLOOKUP(B28,DB_Customers!$A:$D,4,0),"❌ Account Not Found"))</f>
        <v/>
      </c>
      <c r="D28" s="25" t="str">
        <f t="shared" ca="1" si="1"/>
        <v/>
      </c>
      <c r="E28" s="38"/>
      <c r="F28" s="6"/>
      <c r="G28" s="39"/>
      <c r="H28" s="8">
        <v>2.5</v>
      </c>
      <c r="I28" s="40" t="str">
        <f t="shared" si="2"/>
        <v/>
      </c>
      <c r="J28" s="41" t="str">
        <f t="shared" si="3"/>
        <v/>
      </c>
      <c r="K28" s="42" t="str">
        <f t="shared" si="4"/>
        <v/>
      </c>
      <c r="L28" s="8"/>
      <c r="M28" s="29"/>
    </row>
    <row r="29" spans="1:13" x14ac:dyDescent="0.25">
      <c r="A29" s="43" t="str">
        <f t="shared" si="0"/>
        <v/>
      </c>
      <c r="B29" s="15"/>
      <c r="C29" s="2" t="str">
        <f>IF(B29="","",IFERROR(VLOOKUP(B29,DB_Customers!$A:$D,4,0),"❌ Account Not Found"))</f>
        <v/>
      </c>
      <c r="D29" s="17" t="str">
        <f t="shared" ca="1" si="1"/>
        <v/>
      </c>
      <c r="E29" s="38"/>
      <c r="F29" s="2"/>
      <c r="G29" s="44"/>
      <c r="H29" s="4">
        <v>2.5</v>
      </c>
      <c r="I29" s="40" t="str">
        <f t="shared" si="2"/>
        <v/>
      </c>
      <c r="J29" s="45" t="str">
        <f t="shared" si="3"/>
        <v/>
      </c>
      <c r="K29" s="46" t="str">
        <f t="shared" si="4"/>
        <v/>
      </c>
      <c r="L29" s="4"/>
      <c r="M29" s="22"/>
    </row>
    <row r="30" spans="1:13" x14ac:dyDescent="0.25">
      <c r="A30" s="37" t="str">
        <f t="shared" si="0"/>
        <v/>
      </c>
      <c r="B30" s="23"/>
      <c r="C30" s="6" t="str">
        <f>IF(B30="","",IFERROR(VLOOKUP(B30,DB_Customers!$A:$D,4,0),"❌ Account Not Found"))</f>
        <v/>
      </c>
      <c r="D30" s="25" t="str">
        <f t="shared" ca="1" si="1"/>
        <v/>
      </c>
      <c r="E30" s="38"/>
      <c r="F30" s="6"/>
      <c r="G30" s="39"/>
      <c r="H30" s="8">
        <v>2.5</v>
      </c>
      <c r="I30" s="40" t="str">
        <f t="shared" si="2"/>
        <v/>
      </c>
      <c r="J30" s="41" t="str">
        <f t="shared" si="3"/>
        <v/>
      </c>
      <c r="K30" s="42" t="str">
        <f t="shared" si="4"/>
        <v/>
      </c>
      <c r="L30" s="8"/>
      <c r="M30" s="29"/>
    </row>
    <row r="31" spans="1:13" x14ac:dyDescent="0.25">
      <c r="A31" s="43" t="str">
        <f t="shared" si="0"/>
        <v/>
      </c>
      <c r="B31" s="15"/>
      <c r="C31" s="2" t="str">
        <f>IF(B31="","",IFERROR(VLOOKUP(B31,DB_Customers!$A:$D,4,0),"❌ Account Not Found"))</f>
        <v/>
      </c>
      <c r="D31" s="17" t="str">
        <f t="shared" ca="1" si="1"/>
        <v/>
      </c>
      <c r="E31" s="38"/>
      <c r="F31" s="2"/>
      <c r="G31" s="44"/>
      <c r="H31" s="4">
        <v>2.5</v>
      </c>
      <c r="I31" s="40" t="str">
        <f t="shared" si="2"/>
        <v/>
      </c>
      <c r="J31" s="45" t="str">
        <f t="shared" si="3"/>
        <v/>
      </c>
      <c r="K31" s="46" t="str">
        <f t="shared" si="4"/>
        <v/>
      </c>
      <c r="L31" s="4"/>
      <c r="M31" s="22"/>
    </row>
    <row r="32" spans="1:13" x14ac:dyDescent="0.25">
      <c r="A32" s="37" t="str">
        <f t="shared" si="0"/>
        <v/>
      </c>
      <c r="B32" s="23"/>
      <c r="C32" s="6" t="str">
        <f>IF(B32="","",IFERROR(VLOOKUP(B32,DB_Customers!$A:$D,4,0),"❌ Account Not Found"))</f>
        <v/>
      </c>
      <c r="D32" s="25" t="str">
        <f t="shared" ca="1" si="1"/>
        <v/>
      </c>
      <c r="E32" s="38"/>
      <c r="F32" s="6"/>
      <c r="G32" s="39"/>
      <c r="H32" s="8">
        <v>2.5</v>
      </c>
      <c r="I32" s="40" t="str">
        <f t="shared" si="2"/>
        <v/>
      </c>
      <c r="J32" s="41" t="str">
        <f t="shared" si="3"/>
        <v/>
      </c>
      <c r="K32" s="42" t="str">
        <f t="shared" si="4"/>
        <v/>
      </c>
      <c r="L32" s="8"/>
      <c r="M32" s="29"/>
    </row>
    <row r="33" spans="1:13" x14ac:dyDescent="0.25">
      <c r="A33" s="43" t="str">
        <f t="shared" si="0"/>
        <v/>
      </c>
      <c r="B33" s="15"/>
      <c r="C33" s="2" t="str">
        <f>IF(B33="","",IFERROR(VLOOKUP(B33,DB_Customers!$A:$D,4,0),"❌ Account Not Found"))</f>
        <v/>
      </c>
      <c r="D33" s="17" t="str">
        <f t="shared" ca="1" si="1"/>
        <v/>
      </c>
      <c r="E33" s="38"/>
      <c r="F33" s="2"/>
      <c r="G33" s="44"/>
      <c r="H33" s="4">
        <v>2.5</v>
      </c>
      <c r="I33" s="40" t="str">
        <f t="shared" si="2"/>
        <v/>
      </c>
      <c r="J33" s="45" t="str">
        <f t="shared" si="3"/>
        <v/>
      </c>
      <c r="K33" s="46" t="str">
        <f t="shared" si="4"/>
        <v/>
      </c>
      <c r="L33" s="4"/>
      <c r="M33" s="22"/>
    </row>
    <row r="34" spans="1:13" x14ac:dyDescent="0.25">
      <c r="A34" s="37" t="str">
        <f t="shared" si="0"/>
        <v/>
      </c>
      <c r="B34" s="23"/>
      <c r="C34" s="6" t="str">
        <f>IF(B34="","",IFERROR(VLOOKUP(B34,DB_Customers!$A:$D,4,0),"❌ Account Not Found"))</f>
        <v/>
      </c>
      <c r="D34" s="25" t="str">
        <f t="shared" ca="1" si="1"/>
        <v/>
      </c>
      <c r="E34" s="38"/>
      <c r="F34" s="6"/>
      <c r="G34" s="39"/>
      <c r="H34" s="8">
        <v>2.5</v>
      </c>
      <c r="I34" s="40" t="str">
        <f t="shared" si="2"/>
        <v/>
      </c>
      <c r="J34" s="41" t="str">
        <f t="shared" si="3"/>
        <v/>
      </c>
      <c r="K34" s="42" t="str">
        <f t="shared" si="4"/>
        <v/>
      </c>
      <c r="L34" s="8"/>
      <c r="M34" s="29"/>
    </row>
    <row r="35" spans="1:13" x14ac:dyDescent="0.25">
      <c r="A35" s="43" t="str">
        <f t="shared" si="0"/>
        <v/>
      </c>
      <c r="B35" s="15"/>
      <c r="C35" s="2" t="str">
        <f>IF(B35="","",IFERROR(VLOOKUP(B35,DB_Customers!$A:$D,4,0),"❌ Account Not Found"))</f>
        <v/>
      </c>
      <c r="D35" s="17" t="str">
        <f t="shared" ca="1" si="1"/>
        <v/>
      </c>
      <c r="E35" s="38"/>
      <c r="F35" s="2"/>
      <c r="G35" s="44"/>
      <c r="H35" s="4">
        <v>2.5</v>
      </c>
      <c r="I35" s="40" t="str">
        <f t="shared" si="2"/>
        <v/>
      </c>
      <c r="J35" s="45" t="str">
        <f t="shared" si="3"/>
        <v/>
      </c>
      <c r="K35" s="46" t="str">
        <f t="shared" si="4"/>
        <v/>
      </c>
      <c r="L35" s="4"/>
      <c r="M35" s="22"/>
    </row>
    <row r="36" spans="1:13" x14ac:dyDescent="0.25">
      <c r="A36" s="37" t="str">
        <f t="shared" si="0"/>
        <v/>
      </c>
      <c r="B36" s="23"/>
      <c r="C36" s="6" t="str">
        <f>IF(B36="","",IFERROR(VLOOKUP(B36,DB_Customers!$A:$D,4,0),"❌ Account Not Found"))</f>
        <v/>
      </c>
      <c r="D36" s="25" t="str">
        <f t="shared" ca="1" si="1"/>
        <v/>
      </c>
      <c r="E36" s="38"/>
      <c r="F36" s="6"/>
      <c r="G36" s="39"/>
      <c r="H36" s="8">
        <v>2.5</v>
      </c>
      <c r="I36" s="40" t="str">
        <f t="shared" si="2"/>
        <v/>
      </c>
      <c r="J36" s="41" t="str">
        <f t="shared" si="3"/>
        <v/>
      </c>
      <c r="K36" s="42" t="str">
        <f t="shared" si="4"/>
        <v/>
      </c>
      <c r="L36" s="8"/>
      <c r="M36" s="29"/>
    </row>
    <row r="37" spans="1:13" x14ac:dyDescent="0.25">
      <c r="A37" s="43" t="str">
        <f t="shared" si="0"/>
        <v/>
      </c>
      <c r="B37" s="15"/>
      <c r="C37" s="2" t="str">
        <f>IF(B37="","",IFERROR(VLOOKUP(B37,DB_Customers!$A:$D,4,0),"❌ Account Not Found"))</f>
        <v/>
      </c>
      <c r="D37" s="17" t="str">
        <f t="shared" ca="1" si="1"/>
        <v/>
      </c>
      <c r="E37" s="38"/>
      <c r="F37" s="2"/>
      <c r="G37" s="44"/>
      <c r="H37" s="4">
        <v>2.5</v>
      </c>
      <c r="I37" s="40" t="str">
        <f t="shared" si="2"/>
        <v/>
      </c>
      <c r="J37" s="45" t="str">
        <f t="shared" si="3"/>
        <v/>
      </c>
      <c r="K37" s="46" t="str">
        <f t="shared" si="4"/>
        <v/>
      </c>
      <c r="L37" s="4"/>
      <c r="M37" s="22"/>
    </row>
    <row r="38" spans="1:13" x14ac:dyDescent="0.25">
      <c r="A38" s="37" t="str">
        <f t="shared" si="0"/>
        <v/>
      </c>
      <c r="B38" s="23"/>
      <c r="C38" s="6" t="str">
        <f>IF(B38="","",IFERROR(VLOOKUP(B38,DB_Customers!$A:$D,4,0),"❌ Account Not Found"))</f>
        <v/>
      </c>
      <c r="D38" s="25" t="str">
        <f t="shared" ca="1" si="1"/>
        <v/>
      </c>
      <c r="E38" s="38"/>
      <c r="F38" s="6"/>
      <c r="G38" s="39"/>
      <c r="H38" s="8">
        <v>2.5</v>
      </c>
      <c r="I38" s="40" t="str">
        <f t="shared" si="2"/>
        <v/>
      </c>
      <c r="J38" s="41" t="str">
        <f t="shared" si="3"/>
        <v/>
      </c>
      <c r="K38" s="42" t="str">
        <f t="shared" si="4"/>
        <v/>
      </c>
      <c r="L38" s="8"/>
      <c r="M38" s="29"/>
    </row>
    <row r="39" spans="1:13" x14ac:dyDescent="0.25">
      <c r="A39" s="43" t="str">
        <f t="shared" si="0"/>
        <v/>
      </c>
      <c r="B39" s="15"/>
      <c r="C39" s="2" t="str">
        <f>IF(B39="","",IFERROR(VLOOKUP(B39,DB_Customers!$A:$D,4,0),"❌ Account Not Found"))</f>
        <v/>
      </c>
      <c r="D39" s="17" t="str">
        <f t="shared" ca="1" si="1"/>
        <v/>
      </c>
      <c r="E39" s="38"/>
      <c r="F39" s="2"/>
      <c r="G39" s="44"/>
      <c r="H39" s="4">
        <v>2.5</v>
      </c>
      <c r="I39" s="40" t="str">
        <f t="shared" si="2"/>
        <v/>
      </c>
      <c r="J39" s="45" t="str">
        <f t="shared" si="3"/>
        <v/>
      </c>
      <c r="K39" s="46" t="str">
        <f t="shared" si="4"/>
        <v/>
      </c>
      <c r="L39" s="4"/>
      <c r="M39" s="22"/>
    </row>
    <row r="40" spans="1:13" x14ac:dyDescent="0.25">
      <c r="A40" s="37" t="str">
        <f t="shared" si="0"/>
        <v/>
      </c>
      <c r="B40" s="23"/>
      <c r="C40" s="6" t="str">
        <f>IF(B40="","",IFERROR(VLOOKUP(B40,DB_Customers!$A:$D,4,0),"❌ Account Not Found"))</f>
        <v/>
      </c>
      <c r="D40" s="25" t="str">
        <f t="shared" ca="1" si="1"/>
        <v/>
      </c>
      <c r="E40" s="38"/>
      <c r="F40" s="6"/>
      <c r="G40" s="39"/>
      <c r="H40" s="8">
        <v>2.5</v>
      </c>
      <c r="I40" s="40" t="str">
        <f t="shared" si="2"/>
        <v/>
      </c>
      <c r="J40" s="41" t="str">
        <f t="shared" si="3"/>
        <v/>
      </c>
      <c r="K40" s="42" t="str">
        <f t="shared" si="4"/>
        <v/>
      </c>
      <c r="L40" s="8"/>
      <c r="M40" s="29"/>
    </row>
    <row r="41" spans="1:13" x14ac:dyDescent="0.25">
      <c r="A41" s="43" t="str">
        <f t="shared" si="0"/>
        <v/>
      </c>
      <c r="B41" s="15"/>
      <c r="C41" s="2" t="str">
        <f>IF(B41="","",IFERROR(VLOOKUP(B41,DB_Customers!$A:$D,4,0),"❌ Account Not Found"))</f>
        <v/>
      </c>
      <c r="D41" s="17" t="str">
        <f t="shared" ca="1" si="1"/>
        <v/>
      </c>
      <c r="E41" s="38"/>
      <c r="F41" s="2"/>
      <c r="G41" s="44"/>
      <c r="H41" s="4">
        <v>2.5</v>
      </c>
      <c r="I41" s="40" t="str">
        <f t="shared" si="2"/>
        <v/>
      </c>
      <c r="J41" s="45" t="str">
        <f t="shared" si="3"/>
        <v/>
      </c>
      <c r="K41" s="46" t="str">
        <f t="shared" si="4"/>
        <v/>
      </c>
      <c r="L41" s="4"/>
      <c r="M41" s="22"/>
    </row>
    <row r="42" spans="1:13" x14ac:dyDescent="0.25">
      <c r="A42" s="37" t="str">
        <f t="shared" si="0"/>
        <v/>
      </c>
      <c r="B42" s="23"/>
      <c r="C42" s="6" t="str">
        <f>IF(B42="","",IFERROR(VLOOKUP(B42,DB_Customers!$A:$D,4,0),"❌ Account Not Found"))</f>
        <v/>
      </c>
      <c r="D42" s="25" t="str">
        <f t="shared" ca="1" si="1"/>
        <v/>
      </c>
      <c r="E42" s="38"/>
      <c r="F42" s="6"/>
      <c r="G42" s="39"/>
      <c r="H42" s="8">
        <v>2.5</v>
      </c>
      <c r="I42" s="40" t="str">
        <f t="shared" si="2"/>
        <v/>
      </c>
      <c r="J42" s="41" t="str">
        <f t="shared" si="3"/>
        <v/>
      </c>
      <c r="K42" s="42" t="str">
        <f t="shared" si="4"/>
        <v/>
      </c>
      <c r="L42" s="8"/>
      <c r="M42" s="29"/>
    </row>
    <row r="43" spans="1:13" x14ac:dyDescent="0.25">
      <c r="A43" s="43" t="str">
        <f t="shared" si="0"/>
        <v/>
      </c>
      <c r="B43" s="15"/>
      <c r="C43" s="2" t="str">
        <f>IF(B43="","",IFERROR(VLOOKUP(B43,DB_Customers!$A:$D,4,0),"❌ Account Not Found"))</f>
        <v/>
      </c>
      <c r="D43" s="17" t="str">
        <f t="shared" ca="1" si="1"/>
        <v/>
      </c>
      <c r="E43" s="38"/>
      <c r="F43" s="2"/>
      <c r="G43" s="44"/>
      <c r="H43" s="4">
        <v>2.5</v>
      </c>
      <c r="I43" s="40" t="str">
        <f t="shared" si="2"/>
        <v/>
      </c>
      <c r="J43" s="45" t="str">
        <f t="shared" si="3"/>
        <v/>
      </c>
      <c r="K43" s="46" t="str">
        <f t="shared" si="4"/>
        <v/>
      </c>
      <c r="L43" s="4"/>
      <c r="M43" s="22"/>
    </row>
    <row r="44" spans="1:13" x14ac:dyDescent="0.25">
      <c r="A44" s="37" t="str">
        <f t="shared" si="0"/>
        <v/>
      </c>
      <c r="B44" s="23"/>
      <c r="C44" s="6" t="str">
        <f>IF(B44="","",IFERROR(VLOOKUP(B44,DB_Customers!$A:$D,4,0),"❌ Account Not Found"))</f>
        <v/>
      </c>
      <c r="D44" s="25" t="str">
        <f t="shared" ca="1" si="1"/>
        <v/>
      </c>
      <c r="E44" s="38"/>
      <c r="F44" s="6"/>
      <c r="G44" s="39"/>
      <c r="H44" s="8">
        <v>2.5</v>
      </c>
      <c r="I44" s="40" t="str">
        <f t="shared" si="2"/>
        <v/>
      </c>
      <c r="J44" s="41" t="str">
        <f t="shared" si="3"/>
        <v/>
      </c>
      <c r="K44" s="42" t="str">
        <f t="shared" si="4"/>
        <v/>
      </c>
      <c r="L44" s="8"/>
      <c r="M44" s="29"/>
    </row>
    <row r="45" spans="1:13" x14ac:dyDescent="0.25">
      <c r="A45" s="43" t="str">
        <f t="shared" si="0"/>
        <v/>
      </c>
      <c r="B45" s="15"/>
      <c r="C45" s="2" t="str">
        <f>IF(B45="","",IFERROR(VLOOKUP(B45,DB_Customers!$A:$D,4,0),"❌ Account Not Found"))</f>
        <v/>
      </c>
      <c r="D45" s="17" t="str">
        <f t="shared" ca="1" si="1"/>
        <v/>
      </c>
      <c r="E45" s="38"/>
      <c r="F45" s="2"/>
      <c r="G45" s="44"/>
      <c r="H45" s="4">
        <v>2.5</v>
      </c>
      <c r="I45" s="40" t="str">
        <f t="shared" si="2"/>
        <v/>
      </c>
      <c r="J45" s="45" t="str">
        <f t="shared" si="3"/>
        <v/>
      </c>
      <c r="K45" s="46" t="str">
        <f t="shared" si="4"/>
        <v/>
      </c>
      <c r="L45" s="4"/>
      <c r="M45" s="22"/>
    </row>
    <row r="46" spans="1:13" x14ac:dyDescent="0.25">
      <c r="A46" s="37" t="str">
        <f t="shared" ref="A46:A77" si="5">IF(B46="","",IF(C46="❌ Account Not Found","INVALID","LN"&amp;TEXT(D46,"YYYYMMDD")&amp;TEXT(ROW()-13,"0000")))</f>
        <v/>
      </c>
      <c r="B46" s="23"/>
      <c r="C46" s="6" t="str">
        <f>IF(B46="","",IFERROR(VLOOKUP(B46,DB_Customers!$A:$D,4,0),"❌ Account Not Found"))</f>
        <v/>
      </c>
      <c r="D46" s="25" t="str">
        <f t="shared" ref="D46:D77" ca="1" si="6">IF(B46="","",TODAY())</f>
        <v/>
      </c>
      <c r="E46" s="38"/>
      <c r="F46" s="6"/>
      <c r="G46" s="39"/>
      <c r="H46" s="8">
        <v>2.5</v>
      </c>
      <c r="I46" s="40" t="str">
        <f t="shared" ref="I46:I77" si="7">IF(E46="","",E46+(E46*H46/100*G46))</f>
        <v/>
      </c>
      <c r="J46" s="41" t="str">
        <f t="shared" ref="J46:J77" si="8">IFERROR(I46/G46,"")</f>
        <v/>
      </c>
      <c r="K46" s="42" t="str">
        <f t="shared" ref="K46:K77" si="9">IF(B46="","","Pending")</f>
        <v/>
      </c>
      <c r="L46" s="8"/>
      <c r="M46" s="29"/>
    </row>
    <row r="47" spans="1:13" x14ac:dyDescent="0.25">
      <c r="A47" s="43" t="str">
        <f t="shared" si="5"/>
        <v/>
      </c>
      <c r="B47" s="15"/>
      <c r="C47" s="2" t="str">
        <f>IF(B47="","",IFERROR(VLOOKUP(B47,DB_Customers!$A:$D,4,0),"❌ Account Not Found"))</f>
        <v/>
      </c>
      <c r="D47" s="17" t="str">
        <f t="shared" ca="1" si="6"/>
        <v/>
      </c>
      <c r="E47" s="38"/>
      <c r="F47" s="2"/>
      <c r="G47" s="44"/>
      <c r="H47" s="4">
        <v>2.5</v>
      </c>
      <c r="I47" s="40" t="str">
        <f t="shared" si="7"/>
        <v/>
      </c>
      <c r="J47" s="45" t="str">
        <f t="shared" si="8"/>
        <v/>
      </c>
      <c r="K47" s="46" t="str">
        <f t="shared" si="9"/>
        <v/>
      </c>
      <c r="L47" s="4"/>
      <c r="M47" s="22"/>
    </row>
    <row r="48" spans="1:13" x14ac:dyDescent="0.25">
      <c r="A48" s="37" t="str">
        <f t="shared" si="5"/>
        <v/>
      </c>
      <c r="B48" s="23"/>
      <c r="C48" s="6" t="str">
        <f>IF(B48="","",IFERROR(VLOOKUP(B48,DB_Customers!$A:$D,4,0),"❌ Account Not Found"))</f>
        <v/>
      </c>
      <c r="D48" s="25" t="str">
        <f t="shared" ca="1" si="6"/>
        <v/>
      </c>
      <c r="E48" s="38"/>
      <c r="F48" s="6"/>
      <c r="G48" s="39"/>
      <c r="H48" s="8">
        <v>2.5</v>
      </c>
      <c r="I48" s="40" t="str">
        <f t="shared" si="7"/>
        <v/>
      </c>
      <c r="J48" s="41" t="str">
        <f t="shared" si="8"/>
        <v/>
      </c>
      <c r="K48" s="42" t="str">
        <f t="shared" si="9"/>
        <v/>
      </c>
      <c r="L48" s="8"/>
      <c r="M48" s="29"/>
    </row>
    <row r="49" spans="1:13" x14ac:dyDescent="0.25">
      <c r="A49" s="43" t="str">
        <f t="shared" si="5"/>
        <v/>
      </c>
      <c r="B49" s="15"/>
      <c r="C49" s="2" t="str">
        <f>IF(B49="","",IFERROR(VLOOKUP(B49,DB_Customers!$A:$D,4,0),"❌ Account Not Found"))</f>
        <v/>
      </c>
      <c r="D49" s="17" t="str">
        <f t="shared" ca="1" si="6"/>
        <v/>
      </c>
      <c r="E49" s="38"/>
      <c r="F49" s="2"/>
      <c r="G49" s="44"/>
      <c r="H49" s="4">
        <v>2.5</v>
      </c>
      <c r="I49" s="40" t="str">
        <f t="shared" si="7"/>
        <v/>
      </c>
      <c r="J49" s="45" t="str">
        <f t="shared" si="8"/>
        <v/>
      </c>
      <c r="K49" s="46" t="str">
        <f t="shared" si="9"/>
        <v/>
      </c>
      <c r="L49" s="4"/>
      <c r="M49" s="22"/>
    </row>
    <row r="50" spans="1:13" x14ac:dyDescent="0.25">
      <c r="A50" s="37" t="str">
        <f t="shared" si="5"/>
        <v/>
      </c>
      <c r="B50" s="23"/>
      <c r="C50" s="6" t="str">
        <f>IF(B50="","",IFERROR(VLOOKUP(B50,DB_Customers!$A:$D,4,0),"❌ Account Not Found"))</f>
        <v/>
      </c>
      <c r="D50" s="25" t="str">
        <f t="shared" ca="1" si="6"/>
        <v/>
      </c>
      <c r="E50" s="38"/>
      <c r="F50" s="6"/>
      <c r="G50" s="39"/>
      <c r="H50" s="8">
        <v>2.5</v>
      </c>
      <c r="I50" s="40" t="str">
        <f t="shared" si="7"/>
        <v/>
      </c>
      <c r="J50" s="41" t="str">
        <f t="shared" si="8"/>
        <v/>
      </c>
      <c r="K50" s="42" t="str">
        <f t="shared" si="9"/>
        <v/>
      </c>
      <c r="L50" s="8"/>
      <c r="M50" s="29"/>
    </row>
    <row r="51" spans="1:13" x14ac:dyDescent="0.25">
      <c r="A51" s="43" t="str">
        <f t="shared" si="5"/>
        <v/>
      </c>
      <c r="B51" s="15"/>
      <c r="C51" s="2" t="str">
        <f>IF(B51="","",IFERROR(VLOOKUP(B51,DB_Customers!$A:$D,4,0),"❌ Account Not Found"))</f>
        <v/>
      </c>
      <c r="D51" s="17" t="str">
        <f t="shared" ca="1" si="6"/>
        <v/>
      </c>
      <c r="E51" s="38"/>
      <c r="F51" s="2"/>
      <c r="G51" s="44"/>
      <c r="H51" s="4">
        <v>2.5</v>
      </c>
      <c r="I51" s="40" t="str">
        <f t="shared" si="7"/>
        <v/>
      </c>
      <c r="J51" s="45" t="str">
        <f t="shared" si="8"/>
        <v/>
      </c>
      <c r="K51" s="46" t="str">
        <f t="shared" si="9"/>
        <v/>
      </c>
      <c r="L51" s="4"/>
      <c r="M51" s="22"/>
    </row>
    <row r="52" spans="1:13" x14ac:dyDescent="0.25">
      <c r="A52" s="37" t="str">
        <f t="shared" si="5"/>
        <v/>
      </c>
      <c r="B52" s="23"/>
      <c r="C52" s="6" t="str">
        <f>IF(B52="","",IFERROR(VLOOKUP(B52,DB_Customers!$A:$D,4,0),"❌ Account Not Found"))</f>
        <v/>
      </c>
      <c r="D52" s="25" t="str">
        <f t="shared" ca="1" si="6"/>
        <v/>
      </c>
      <c r="E52" s="38"/>
      <c r="F52" s="6"/>
      <c r="G52" s="39"/>
      <c r="H52" s="8">
        <v>2.5</v>
      </c>
      <c r="I52" s="40" t="str">
        <f t="shared" si="7"/>
        <v/>
      </c>
      <c r="J52" s="41" t="str">
        <f t="shared" si="8"/>
        <v/>
      </c>
      <c r="K52" s="42" t="str">
        <f t="shared" si="9"/>
        <v/>
      </c>
      <c r="L52" s="8"/>
      <c r="M52" s="29"/>
    </row>
    <row r="53" spans="1:13" x14ac:dyDescent="0.25">
      <c r="A53" s="43" t="str">
        <f t="shared" si="5"/>
        <v/>
      </c>
      <c r="B53" s="15"/>
      <c r="C53" s="2" t="str">
        <f>IF(B53="","",IFERROR(VLOOKUP(B53,DB_Customers!$A:$D,4,0),"❌ Account Not Found"))</f>
        <v/>
      </c>
      <c r="D53" s="17" t="str">
        <f t="shared" ca="1" si="6"/>
        <v/>
      </c>
      <c r="E53" s="38"/>
      <c r="F53" s="2"/>
      <c r="G53" s="44"/>
      <c r="H53" s="4">
        <v>2.5</v>
      </c>
      <c r="I53" s="40" t="str">
        <f t="shared" si="7"/>
        <v/>
      </c>
      <c r="J53" s="45" t="str">
        <f t="shared" si="8"/>
        <v/>
      </c>
      <c r="K53" s="46" t="str">
        <f t="shared" si="9"/>
        <v/>
      </c>
      <c r="L53" s="4"/>
      <c r="M53" s="22"/>
    </row>
    <row r="54" spans="1:13" x14ac:dyDescent="0.25">
      <c r="A54" s="37" t="str">
        <f t="shared" si="5"/>
        <v/>
      </c>
      <c r="B54" s="23"/>
      <c r="C54" s="6" t="str">
        <f>IF(B54="","",IFERROR(VLOOKUP(B54,DB_Customers!$A:$D,4,0),"❌ Account Not Found"))</f>
        <v/>
      </c>
      <c r="D54" s="25" t="str">
        <f t="shared" ca="1" si="6"/>
        <v/>
      </c>
      <c r="E54" s="38"/>
      <c r="F54" s="6"/>
      <c r="G54" s="39"/>
      <c r="H54" s="8">
        <v>2.5</v>
      </c>
      <c r="I54" s="40" t="str">
        <f t="shared" si="7"/>
        <v/>
      </c>
      <c r="J54" s="41" t="str">
        <f t="shared" si="8"/>
        <v/>
      </c>
      <c r="K54" s="42" t="str">
        <f t="shared" si="9"/>
        <v/>
      </c>
      <c r="L54" s="8"/>
      <c r="M54" s="29"/>
    </row>
    <row r="55" spans="1:13" x14ac:dyDescent="0.25">
      <c r="A55" s="43" t="str">
        <f t="shared" si="5"/>
        <v/>
      </c>
      <c r="B55" s="15"/>
      <c r="C55" s="2" t="str">
        <f>IF(B55="","",IFERROR(VLOOKUP(B55,DB_Customers!$A:$D,4,0),"❌ Account Not Found"))</f>
        <v/>
      </c>
      <c r="D55" s="17" t="str">
        <f t="shared" ca="1" si="6"/>
        <v/>
      </c>
      <c r="E55" s="38"/>
      <c r="F55" s="2"/>
      <c r="G55" s="44"/>
      <c r="H55" s="4">
        <v>2.5</v>
      </c>
      <c r="I55" s="40" t="str">
        <f t="shared" si="7"/>
        <v/>
      </c>
      <c r="J55" s="45" t="str">
        <f t="shared" si="8"/>
        <v/>
      </c>
      <c r="K55" s="46" t="str">
        <f t="shared" si="9"/>
        <v/>
      </c>
      <c r="L55" s="4"/>
      <c r="M55" s="22"/>
    </row>
    <row r="56" spans="1:13" x14ac:dyDescent="0.25">
      <c r="A56" s="37" t="str">
        <f t="shared" si="5"/>
        <v/>
      </c>
      <c r="B56" s="23"/>
      <c r="C56" s="6" t="str">
        <f>IF(B56="","",IFERROR(VLOOKUP(B56,DB_Customers!$A:$D,4,0),"❌ Account Not Found"))</f>
        <v/>
      </c>
      <c r="D56" s="25" t="str">
        <f t="shared" ca="1" si="6"/>
        <v/>
      </c>
      <c r="E56" s="38"/>
      <c r="F56" s="6"/>
      <c r="G56" s="39"/>
      <c r="H56" s="8">
        <v>2.5</v>
      </c>
      <c r="I56" s="40" t="str">
        <f t="shared" si="7"/>
        <v/>
      </c>
      <c r="J56" s="41" t="str">
        <f t="shared" si="8"/>
        <v/>
      </c>
      <c r="K56" s="42" t="str">
        <f t="shared" si="9"/>
        <v/>
      </c>
      <c r="L56" s="8"/>
      <c r="M56" s="29"/>
    </row>
    <row r="57" spans="1:13" x14ac:dyDescent="0.25">
      <c r="A57" s="43" t="str">
        <f t="shared" si="5"/>
        <v/>
      </c>
      <c r="B57" s="15"/>
      <c r="C57" s="2" t="str">
        <f>IF(B57="","",IFERROR(VLOOKUP(B57,DB_Customers!$A:$D,4,0),"❌ Account Not Found"))</f>
        <v/>
      </c>
      <c r="D57" s="17" t="str">
        <f t="shared" ca="1" si="6"/>
        <v/>
      </c>
      <c r="E57" s="38"/>
      <c r="F57" s="2"/>
      <c r="G57" s="44"/>
      <c r="H57" s="4">
        <v>2.5</v>
      </c>
      <c r="I57" s="40" t="str">
        <f t="shared" si="7"/>
        <v/>
      </c>
      <c r="J57" s="45" t="str">
        <f t="shared" si="8"/>
        <v/>
      </c>
      <c r="K57" s="46" t="str">
        <f t="shared" si="9"/>
        <v/>
      </c>
      <c r="L57" s="4"/>
      <c r="M57" s="22"/>
    </row>
    <row r="58" spans="1:13" x14ac:dyDescent="0.25">
      <c r="A58" s="37" t="str">
        <f t="shared" si="5"/>
        <v/>
      </c>
      <c r="B58" s="23"/>
      <c r="C58" s="6" t="str">
        <f>IF(B58="","",IFERROR(VLOOKUP(B58,DB_Customers!$A:$D,4,0),"❌ Account Not Found"))</f>
        <v/>
      </c>
      <c r="D58" s="25" t="str">
        <f t="shared" ca="1" si="6"/>
        <v/>
      </c>
      <c r="E58" s="38"/>
      <c r="F58" s="6"/>
      <c r="G58" s="39"/>
      <c r="H58" s="8">
        <v>2.5</v>
      </c>
      <c r="I58" s="40" t="str">
        <f t="shared" si="7"/>
        <v/>
      </c>
      <c r="J58" s="41" t="str">
        <f t="shared" si="8"/>
        <v/>
      </c>
      <c r="K58" s="42" t="str">
        <f t="shared" si="9"/>
        <v/>
      </c>
      <c r="L58" s="8"/>
      <c r="M58" s="29"/>
    </row>
    <row r="59" spans="1:13" x14ac:dyDescent="0.25">
      <c r="A59" s="43" t="str">
        <f t="shared" si="5"/>
        <v/>
      </c>
      <c r="B59" s="15"/>
      <c r="C59" s="2" t="str">
        <f>IF(B59="","",IFERROR(VLOOKUP(B59,DB_Customers!$A:$D,4,0),"❌ Account Not Found"))</f>
        <v/>
      </c>
      <c r="D59" s="17" t="str">
        <f t="shared" ca="1" si="6"/>
        <v/>
      </c>
      <c r="E59" s="38"/>
      <c r="F59" s="2"/>
      <c r="G59" s="44"/>
      <c r="H59" s="4">
        <v>2.5</v>
      </c>
      <c r="I59" s="40" t="str">
        <f t="shared" si="7"/>
        <v/>
      </c>
      <c r="J59" s="45" t="str">
        <f t="shared" si="8"/>
        <v/>
      </c>
      <c r="K59" s="46" t="str">
        <f t="shared" si="9"/>
        <v/>
      </c>
      <c r="L59" s="4"/>
      <c r="M59" s="22"/>
    </row>
    <row r="60" spans="1:13" x14ac:dyDescent="0.25">
      <c r="A60" s="37" t="str">
        <f t="shared" si="5"/>
        <v/>
      </c>
      <c r="B60" s="23"/>
      <c r="C60" s="6" t="str">
        <f>IF(B60="","",IFERROR(VLOOKUP(B60,DB_Customers!$A:$D,4,0),"❌ Account Not Found"))</f>
        <v/>
      </c>
      <c r="D60" s="25" t="str">
        <f t="shared" ca="1" si="6"/>
        <v/>
      </c>
      <c r="E60" s="38"/>
      <c r="F60" s="6"/>
      <c r="G60" s="39"/>
      <c r="H60" s="8">
        <v>2.5</v>
      </c>
      <c r="I60" s="40" t="str">
        <f t="shared" si="7"/>
        <v/>
      </c>
      <c r="J60" s="41" t="str">
        <f t="shared" si="8"/>
        <v/>
      </c>
      <c r="K60" s="42" t="str">
        <f t="shared" si="9"/>
        <v/>
      </c>
      <c r="L60" s="8"/>
      <c r="M60" s="29"/>
    </row>
    <row r="61" spans="1:13" x14ac:dyDescent="0.25">
      <c r="A61" s="43" t="str">
        <f t="shared" si="5"/>
        <v/>
      </c>
      <c r="B61" s="15"/>
      <c r="C61" s="2" t="str">
        <f>IF(B61="","",IFERROR(VLOOKUP(B61,DB_Customers!$A:$D,4,0),"❌ Account Not Found"))</f>
        <v/>
      </c>
      <c r="D61" s="17" t="str">
        <f t="shared" ca="1" si="6"/>
        <v/>
      </c>
      <c r="E61" s="38"/>
      <c r="F61" s="2"/>
      <c r="G61" s="44"/>
      <c r="H61" s="4">
        <v>2.5</v>
      </c>
      <c r="I61" s="40" t="str">
        <f t="shared" si="7"/>
        <v/>
      </c>
      <c r="J61" s="45" t="str">
        <f t="shared" si="8"/>
        <v/>
      </c>
      <c r="K61" s="46" t="str">
        <f t="shared" si="9"/>
        <v/>
      </c>
      <c r="L61" s="4"/>
      <c r="M61" s="22"/>
    </row>
    <row r="62" spans="1:13" x14ac:dyDescent="0.25">
      <c r="A62" s="37" t="str">
        <f t="shared" si="5"/>
        <v/>
      </c>
      <c r="B62" s="23"/>
      <c r="C62" s="6" t="str">
        <f>IF(B62="","",IFERROR(VLOOKUP(B62,DB_Customers!$A:$D,4,0),"❌ Account Not Found"))</f>
        <v/>
      </c>
      <c r="D62" s="25" t="str">
        <f t="shared" ca="1" si="6"/>
        <v/>
      </c>
      <c r="E62" s="38"/>
      <c r="F62" s="6"/>
      <c r="G62" s="39"/>
      <c r="H62" s="8">
        <v>2.5</v>
      </c>
      <c r="I62" s="40" t="str">
        <f t="shared" si="7"/>
        <v/>
      </c>
      <c r="J62" s="41" t="str">
        <f t="shared" si="8"/>
        <v/>
      </c>
      <c r="K62" s="42" t="str">
        <f t="shared" si="9"/>
        <v/>
      </c>
      <c r="L62" s="8"/>
      <c r="M62" s="29"/>
    </row>
    <row r="63" spans="1:13" x14ac:dyDescent="0.25">
      <c r="A63" s="43" t="str">
        <f t="shared" si="5"/>
        <v/>
      </c>
      <c r="B63" s="15"/>
      <c r="C63" s="2" t="str">
        <f>IF(B63="","",IFERROR(VLOOKUP(B63,DB_Customers!$A:$D,4,0),"❌ Account Not Found"))</f>
        <v/>
      </c>
      <c r="D63" s="17" t="str">
        <f t="shared" ca="1" si="6"/>
        <v/>
      </c>
      <c r="E63" s="38"/>
      <c r="F63" s="2"/>
      <c r="G63" s="44"/>
      <c r="H63" s="4">
        <v>2.5</v>
      </c>
      <c r="I63" s="40" t="str">
        <f t="shared" si="7"/>
        <v/>
      </c>
      <c r="J63" s="45" t="str">
        <f t="shared" si="8"/>
        <v/>
      </c>
      <c r="K63" s="46" t="str">
        <f t="shared" si="9"/>
        <v/>
      </c>
      <c r="L63" s="4"/>
      <c r="M63" s="22"/>
    </row>
    <row r="64" spans="1:13" x14ac:dyDescent="0.25">
      <c r="A64" s="37" t="str">
        <f t="shared" si="5"/>
        <v/>
      </c>
      <c r="B64" s="23"/>
      <c r="C64" s="6" t="str">
        <f>IF(B64="","",IFERROR(VLOOKUP(B64,DB_Customers!$A:$D,4,0),"❌ Account Not Found"))</f>
        <v/>
      </c>
      <c r="D64" s="25" t="str">
        <f t="shared" ca="1" si="6"/>
        <v/>
      </c>
      <c r="E64" s="38"/>
      <c r="F64" s="6"/>
      <c r="G64" s="39"/>
      <c r="H64" s="8">
        <v>2.5</v>
      </c>
      <c r="I64" s="40" t="str">
        <f t="shared" si="7"/>
        <v/>
      </c>
      <c r="J64" s="41" t="str">
        <f t="shared" si="8"/>
        <v/>
      </c>
      <c r="K64" s="42" t="str">
        <f t="shared" si="9"/>
        <v/>
      </c>
      <c r="L64" s="8"/>
      <c r="M64" s="29"/>
    </row>
    <row r="65" spans="1:13" x14ac:dyDescent="0.25">
      <c r="A65" s="43" t="str">
        <f t="shared" si="5"/>
        <v/>
      </c>
      <c r="B65" s="15"/>
      <c r="C65" s="2" t="str">
        <f>IF(B65="","",IFERROR(VLOOKUP(B65,DB_Customers!$A:$D,4,0),"❌ Account Not Found"))</f>
        <v/>
      </c>
      <c r="D65" s="17" t="str">
        <f t="shared" ca="1" si="6"/>
        <v/>
      </c>
      <c r="E65" s="38"/>
      <c r="F65" s="2"/>
      <c r="G65" s="44"/>
      <c r="H65" s="4">
        <v>2.5</v>
      </c>
      <c r="I65" s="40" t="str">
        <f t="shared" si="7"/>
        <v/>
      </c>
      <c r="J65" s="45" t="str">
        <f t="shared" si="8"/>
        <v/>
      </c>
      <c r="K65" s="46" t="str">
        <f t="shared" si="9"/>
        <v/>
      </c>
      <c r="L65" s="4"/>
      <c r="M65" s="22"/>
    </row>
    <row r="66" spans="1:13" x14ac:dyDescent="0.25">
      <c r="A66" s="37" t="str">
        <f t="shared" si="5"/>
        <v/>
      </c>
      <c r="B66" s="23"/>
      <c r="C66" s="6" t="str">
        <f>IF(B66="","",IFERROR(VLOOKUP(B66,DB_Customers!$A:$D,4,0),"❌ Account Not Found"))</f>
        <v/>
      </c>
      <c r="D66" s="25" t="str">
        <f t="shared" ca="1" si="6"/>
        <v/>
      </c>
      <c r="E66" s="38"/>
      <c r="F66" s="6"/>
      <c r="G66" s="39"/>
      <c r="H66" s="8">
        <v>2.5</v>
      </c>
      <c r="I66" s="40" t="str">
        <f t="shared" si="7"/>
        <v/>
      </c>
      <c r="J66" s="41" t="str">
        <f t="shared" si="8"/>
        <v/>
      </c>
      <c r="K66" s="42" t="str">
        <f t="shared" si="9"/>
        <v/>
      </c>
      <c r="L66" s="8"/>
      <c r="M66" s="29"/>
    </row>
    <row r="67" spans="1:13" x14ac:dyDescent="0.25">
      <c r="A67" s="43" t="str">
        <f t="shared" si="5"/>
        <v/>
      </c>
      <c r="B67" s="15"/>
      <c r="C67" s="2" t="str">
        <f>IF(B67="","",IFERROR(VLOOKUP(B67,DB_Customers!$A:$D,4,0),"❌ Account Not Found"))</f>
        <v/>
      </c>
      <c r="D67" s="17" t="str">
        <f t="shared" ca="1" si="6"/>
        <v/>
      </c>
      <c r="E67" s="38"/>
      <c r="F67" s="2"/>
      <c r="G67" s="44"/>
      <c r="H67" s="4">
        <v>2.5</v>
      </c>
      <c r="I67" s="40" t="str">
        <f t="shared" si="7"/>
        <v/>
      </c>
      <c r="J67" s="45" t="str">
        <f t="shared" si="8"/>
        <v/>
      </c>
      <c r="K67" s="46" t="str">
        <f t="shared" si="9"/>
        <v/>
      </c>
      <c r="L67" s="4"/>
      <c r="M67" s="22"/>
    </row>
    <row r="68" spans="1:13" x14ac:dyDescent="0.25">
      <c r="A68" s="37" t="str">
        <f t="shared" si="5"/>
        <v/>
      </c>
      <c r="B68" s="23"/>
      <c r="C68" s="6" t="str">
        <f>IF(B68="","",IFERROR(VLOOKUP(B68,DB_Customers!$A:$D,4,0),"❌ Account Not Found"))</f>
        <v/>
      </c>
      <c r="D68" s="25" t="str">
        <f t="shared" ca="1" si="6"/>
        <v/>
      </c>
      <c r="E68" s="38"/>
      <c r="F68" s="6"/>
      <c r="G68" s="39"/>
      <c r="H68" s="8">
        <v>2.5</v>
      </c>
      <c r="I68" s="40" t="str">
        <f t="shared" si="7"/>
        <v/>
      </c>
      <c r="J68" s="41" t="str">
        <f t="shared" si="8"/>
        <v/>
      </c>
      <c r="K68" s="42" t="str">
        <f t="shared" si="9"/>
        <v/>
      </c>
      <c r="L68" s="8"/>
      <c r="M68" s="29"/>
    </row>
    <row r="69" spans="1:13" x14ac:dyDescent="0.25">
      <c r="A69" s="43" t="str">
        <f t="shared" si="5"/>
        <v/>
      </c>
      <c r="B69" s="15"/>
      <c r="C69" s="2" t="str">
        <f>IF(B69="","",IFERROR(VLOOKUP(B69,DB_Customers!$A:$D,4,0),"❌ Account Not Found"))</f>
        <v/>
      </c>
      <c r="D69" s="17" t="str">
        <f t="shared" ca="1" si="6"/>
        <v/>
      </c>
      <c r="E69" s="38"/>
      <c r="F69" s="2"/>
      <c r="G69" s="44"/>
      <c r="H69" s="4">
        <v>2.5</v>
      </c>
      <c r="I69" s="40" t="str">
        <f t="shared" si="7"/>
        <v/>
      </c>
      <c r="J69" s="45" t="str">
        <f t="shared" si="8"/>
        <v/>
      </c>
      <c r="K69" s="46" t="str">
        <f t="shared" si="9"/>
        <v/>
      </c>
      <c r="L69" s="4"/>
      <c r="M69" s="22"/>
    </row>
    <row r="70" spans="1:13" x14ac:dyDescent="0.25">
      <c r="A70" s="37" t="str">
        <f t="shared" si="5"/>
        <v/>
      </c>
      <c r="B70" s="23"/>
      <c r="C70" s="6" t="str">
        <f>IF(B70="","",IFERROR(VLOOKUP(B70,DB_Customers!$A:$D,4,0),"❌ Account Not Found"))</f>
        <v/>
      </c>
      <c r="D70" s="25" t="str">
        <f t="shared" ca="1" si="6"/>
        <v/>
      </c>
      <c r="E70" s="38"/>
      <c r="F70" s="6"/>
      <c r="G70" s="39"/>
      <c r="H70" s="8">
        <v>2.5</v>
      </c>
      <c r="I70" s="40" t="str">
        <f t="shared" si="7"/>
        <v/>
      </c>
      <c r="J70" s="41" t="str">
        <f t="shared" si="8"/>
        <v/>
      </c>
      <c r="K70" s="42" t="str">
        <f t="shared" si="9"/>
        <v/>
      </c>
      <c r="L70" s="8"/>
      <c r="M70" s="29"/>
    </row>
    <row r="71" spans="1:13" x14ac:dyDescent="0.25">
      <c r="A71" s="43" t="str">
        <f t="shared" si="5"/>
        <v/>
      </c>
      <c r="B71" s="15"/>
      <c r="C71" s="2" t="str">
        <f>IF(B71="","",IFERROR(VLOOKUP(B71,DB_Customers!$A:$D,4,0),"❌ Account Not Found"))</f>
        <v/>
      </c>
      <c r="D71" s="17" t="str">
        <f t="shared" ca="1" si="6"/>
        <v/>
      </c>
      <c r="E71" s="38"/>
      <c r="F71" s="2"/>
      <c r="G71" s="44"/>
      <c r="H71" s="4">
        <v>2.5</v>
      </c>
      <c r="I71" s="40" t="str">
        <f t="shared" si="7"/>
        <v/>
      </c>
      <c r="J71" s="45" t="str">
        <f t="shared" si="8"/>
        <v/>
      </c>
      <c r="K71" s="46" t="str">
        <f t="shared" si="9"/>
        <v/>
      </c>
      <c r="L71" s="4"/>
      <c r="M71" s="22"/>
    </row>
    <row r="72" spans="1:13" x14ac:dyDescent="0.25">
      <c r="A72" s="37" t="str">
        <f t="shared" si="5"/>
        <v/>
      </c>
      <c r="B72" s="23"/>
      <c r="C72" s="6" t="str">
        <f>IF(B72="","",IFERROR(VLOOKUP(B72,DB_Customers!$A:$D,4,0),"❌ Account Not Found"))</f>
        <v/>
      </c>
      <c r="D72" s="25" t="str">
        <f t="shared" ca="1" si="6"/>
        <v/>
      </c>
      <c r="E72" s="38"/>
      <c r="F72" s="6"/>
      <c r="G72" s="39"/>
      <c r="H72" s="8">
        <v>2.5</v>
      </c>
      <c r="I72" s="40" t="str">
        <f t="shared" si="7"/>
        <v/>
      </c>
      <c r="J72" s="41" t="str">
        <f t="shared" si="8"/>
        <v/>
      </c>
      <c r="K72" s="42" t="str">
        <f t="shared" si="9"/>
        <v/>
      </c>
      <c r="L72" s="8"/>
      <c r="M72" s="29"/>
    </row>
    <row r="73" spans="1:13" x14ac:dyDescent="0.25">
      <c r="A73" s="43" t="str">
        <f t="shared" si="5"/>
        <v/>
      </c>
      <c r="B73" s="15"/>
      <c r="C73" s="2" t="str">
        <f>IF(B73="","",IFERROR(VLOOKUP(B73,DB_Customers!$A:$D,4,0),"❌ Account Not Found"))</f>
        <v/>
      </c>
      <c r="D73" s="17" t="str">
        <f t="shared" ca="1" si="6"/>
        <v/>
      </c>
      <c r="E73" s="38"/>
      <c r="F73" s="2"/>
      <c r="G73" s="44"/>
      <c r="H73" s="4">
        <v>2.5</v>
      </c>
      <c r="I73" s="40" t="str">
        <f t="shared" si="7"/>
        <v/>
      </c>
      <c r="J73" s="45" t="str">
        <f t="shared" si="8"/>
        <v/>
      </c>
      <c r="K73" s="46" t="str">
        <f t="shared" si="9"/>
        <v/>
      </c>
      <c r="L73" s="4"/>
      <c r="M73" s="22"/>
    </row>
    <row r="74" spans="1:13" x14ac:dyDescent="0.25">
      <c r="A74" s="37" t="str">
        <f t="shared" si="5"/>
        <v/>
      </c>
      <c r="B74" s="23"/>
      <c r="C74" s="6" t="str">
        <f>IF(B74="","",IFERROR(VLOOKUP(B74,DB_Customers!$A:$D,4,0),"❌ Account Not Found"))</f>
        <v/>
      </c>
      <c r="D74" s="25" t="str">
        <f t="shared" ca="1" si="6"/>
        <v/>
      </c>
      <c r="E74" s="38"/>
      <c r="F74" s="6"/>
      <c r="G74" s="39"/>
      <c r="H74" s="8">
        <v>2.5</v>
      </c>
      <c r="I74" s="40" t="str">
        <f t="shared" si="7"/>
        <v/>
      </c>
      <c r="J74" s="41" t="str">
        <f t="shared" si="8"/>
        <v/>
      </c>
      <c r="K74" s="42" t="str">
        <f t="shared" si="9"/>
        <v/>
      </c>
      <c r="L74" s="8"/>
      <c r="M74" s="29"/>
    </row>
    <row r="75" spans="1:13" x14ac:dyDescent="0.25">
      <c r="A75" s="43" t="str">
        <f t="shared" si="5"/>
        <v/>
      </c>
      <c r="B75" s="15"/>
      <c r="C75" s="2" t="str">
        <f>IF(B75="","",IFERROR(VLOOKUP(B75,DB_Customers!$A:$D,4,0),"❌ Account Not Found"))</f>
        <v/>
      </c>
      <c r="D75" s="17" t="str">
        <f t="shared" ca="1" si="6"/>
        <v/>
      </c>
      <c r="E75" s="38"/>
      <c r="F75" s="2"/>
      <c r="G75" s="44"/>
      <c r="H75" s="4">
        <v>2.5</v>
      </c>
      <c r="I75" s="40" t="str">
        <f t="shared" si="7"/>
        <v/>
      </c>
      <c r="J75" s="45" t="str">
        <f t="shared" si="8"/>
        <v/>
      </c>
      <c r="K75" s="46" t="str">
        <f t="shared" si="9"/>
        <v/>
      </c>
      <c r="L75" s="4"/>
      <c r="M75" s="22"/>
    </row>
    <row r="76" spans="1:13" x14ac:dyDescent="0.25">
      <c r="A76" s="37" t="str">
        <f t="shared" si="5"/>
        <v/>
      </c>
      <c r="B76" s="23"/>
      <c r="C76" s="6" t="str">
        <f>IF(B76="","",IFERROR(VLOOKUP(B76,DB_Customers!$A:$D,4,0),"❌ Account Not Found"))</f>
        <v/>
      </c>
      <c r="D76" s="25" t="str">
        <f t="shared" ca="1" si="6"/>
        <v/>
      </c>
      <c r="E76" s="38"/>
      <c r="F76" s="6"/>
      <c r="G76" s="39"/>
      <c r="H76" s="8">
        <v>2.5</v>
      </c>
      <c r="I76" s="40" t="str">
        <f t="shared" si="7"/>
        <v/>
      </c>
      <c r="J76" s="41" t="str">
        <f t="shared" si="8"/>
        <v/>
      </c>
      <c r="K76" s="42" t="str">
        <f t="shared" si="9"/>
        <v/>
      </c>
      <c r="L76" s="8"/>
      <c r="M76" s="29"/>
    </row>
    <row r="77" spans="1:13" x14ac:dyDescent="0.25">
      <c r="A77" s="43" t="str">
        <f t="shared" si="5"/>
        <v/>
      </c>
      <c r="B77" s="15"/>
      <c r="C77" s="2" t="str">
        <f>IF(B77="","",IFERROR(VLOOKUP(B77,DB_Customers!$A:$D,4,0),"❌ Account Not Found"))</f>
        <v/>
      </c>
      <c r="D77" s="17" t="str">
        <f t="shared" ca="1" si="6"/>
        <v/>
      </c>
      <c r="E77" s="38"/>
      <c r="F77" s="2"/>
      <c r="G77" s="44"/>
      <c r="H77" s="4">
        <v>2.5</v>
      </c>
      <c r="I77" s="40" t="str">
        <f t="shared" si="7"/>
        <v/>
      </c>
      <c r="J77" s="45" t="str">
        <f t="shared" si="8"/>
        <v/>
      </c>
      <c r="K77" s="46" t="str">
        <f t="shared" si="9"/>
        <v/>
      </c>
      <c r="L77" s="4"/>
      <c r="M77" s="22"/>
    </row>
    <row r="78" spans="1:13" x14ac:dyDescent="0.25">
      <c r="A78" s="37" t="str">
        <f t="shared" ref="A78:A109" si="10">IF(B78="","",IF(C78="❌ Account Not Found","INVALID","LN"&amp;TEXT(D78,"YYYYMMDD")&amp;TEXT(ROW()-13,"0000")))</f>
        <v/>
      </c>
      <c r="B78" s="23"/>
      <c r="C78" s="6" t="str">
        <f>IF(B78="","",IFERROR(VLOOKUP(B78,DB_Customers!$A:$D,4,0),"❌ Account Not Found"))</f>
        <v/>
      </c>
      <c r="D78" s="25" t="str">
        <f t="shared" ref="D78:D113" ca="1" si="11">IF(B78="","",TODAY())</f>
        <v/>
      </c>
      <c r="E78" s="38"/>
      <c r="F78" s="6"/>
      <c r="G78" s="39"/>
      <c r="H78" s="8">
        <v>2.5</v>
      </c>
      <c r="I78" s="40" t="str">
        <f t="shared" ref="I78:I109" si="12">IF(E78="","",E78+(E78*H78/100*G78))</f>
        <v/>
      </c>
      <c r="J78" s="41" t="str">
        <f t="shared" ref="J78:J109" si="13">IFERROR(I78/G78,"")</f>
        <v/>
      </c>
      <c r="K78" s="42" t="str">
        <f t="shared" ref="K78:K113" si="14">IF(B78="","","Pending")</f>
        <v/>
      </c>
      <c r="L78" s="8"/>
      <c r="M78" s="29"/>
    </row>
    <row r="79" spans="1:13" x14ac:dyDescent="0.25">
      <c r="A79" s="43" t="str">
        <f t="shared" si="10"/>
        <v/>
      </c>
      <c r="B79" s="15"/>
      <c r="C79" s="2" t="str">
        <f>IF(B79="","",IFERROR(VLOOKUP(B79,DB_Customers!$A:$D,4,0),"❌ Account Not Found"))</f>
        <v/>
      </c>
      <c r="D79" s="17" t="str">
        <f t="shared" ca="1" si="11"/>
        <v/>
      </c>
      <c r="E79" s="38"/>
      <c r="F79" s="2"/>
      <c r="G79" s="44"/>
      <c r="H79" s="4">
        <v>2.5</v>
      </c>
      <c r="I79" s="40" t="str">
        <f t="shared" si="12"/>
        <v/>
      </c>
      <c r="J79" s="45" t="str">
        <f t="shared" si="13"/>
        <v/>
      </c>
      <c r="K79" s="46" t="str">
        <f t="shared" si="14"/>
        <v/>
      </c>
      <c r="L79" s="4"/>
      <c r="M79" s="22"/>
    </row>
    <row r="80" spans="1:13" x14ac:dyDescent="0.25">
      <c r="A80" s="37" t="str">
        <f t="shared" si="10"/>
        <v/>
      </c>
      <c r="B80" s="23"/>
      <c r="C80" s="6" t="str">
        <f>IF(B80="","",IFERROR(VLOOKUP(B80,DB_Customers!$A:$D,4,0),"❌ Account Not Found"))</f>
        <v/>
      </c>
      <c r="D80" s="25" t="str">
        <f t="shared" ca="1" si="11"/>
        <v/>
      </c>
      <c r="E80" s="38"/>
      <c r="F80" s="6"/>
      <c r="G80" s="39"/>
      <c r="H80" s="8">
        <v>2.5</v>
      </c>
      <c r="I80" s="40" t="str">
        <f t="shared" si="12"/>
        <v/>
      </c>
      <c r="J80" s="41" t="str">
        <f t="shared" si="13"/>
        <v/>
      </c>
      <c r="K80" s="42" t="str">
        <f t="shared" si="14"/>
        <v/>
      </c>
      <c r="L80" s="8"/>
      <c r="M80" s="29"/>
    </row>
    <row r="81" spans="1:13" x14ac:dyDescent="0.25">
      <c r="A81" s="43" t="str">
        <f t="shared" si="10"/>
        <v/>
      </c>
      <c r="B81" s="15"/>
      <c r="C81" s="2" t="str">
        <f>IF(B81="","",IFERROR(VLOOKUP(B81,DB_Customers!$A:$D,4,0),"❌ Account Not Found"))</f>
        <v/>
      </c>
      <c r="D81" s="17" t="str">
        <f t="shared" ca="1" si="11"/>
        <v/>
      </c>
      <c r="E81" s="38"/>
      <c r="F81" s="2"/>
      <c r="G81" s="44"/>
      <c r="H81" s="4">
        <v>2.5</v>
      </c>
      <c r="I81" s="40" t="str">
        <f t="shared" si="12"/>
        <v/>
      </c>
      <c r="J81" s="45" t="str">
        <f t="shared" si="13"/>
        <v/>
      </c>
      <c r="K81" s="46" t="str">
        <f t="shared" si="14"/>
        <v/>
      </c>
      <c r="L81" s="4"/>
      <c r="M81" s="22"/>
    </row>
    <row r="82" spans="1:13" x14ac:dyDescent="0.25">
      <c r="A82" s="37" t="str">
        <f t="shared" si="10"/>
        <v/>
      </c>
      <c r="B82" s="23"/>
      <c r="C82" s="6" t="str">
        <f>IF(B82="","",IFERROR(VLOOKUP(B82,DB_Customers!$A:$D,4,0),"❌ Account Not Found"))</f>
        <v/>
      </c>
      <c r="D82" s="25" t="str">
        <f t="shared" ca="1" si="11"/>
        <v/>
      </c>
      <c r="E82" s="38"/>
      <c r="F82" s="6"/>
      <c r="G82" s="39"/>
      <c r="H82" s="8">
        <v>2.5</v>
      </c>
      <c r="I82" s="40" t="str">
        <f t="shared" si="12"/>
        <v/>
      </c>
      <c r="J82" s="41" t="str">
        <f t="shared" si="13"/>
        <v/>
      </c>
      <c r="K82" s="42" t="str">
        <f t="shared" si="14"/>
        <v/>
      </c>
      <c r="L82" s="8"/>
      <c r="M82" s="29"/>
    </row>
    <row r="83" spans="1:13" x14ac:dyDescent="0.25">
      <c r="A83" s="43" t="str">
        <f t="shared" si="10"/>
        <v/>
      </c>
      <c r="B83" s="15"/>
      <c r="C83" s="2" t="str">
        <f>IF(B83="","",IFERROR(VLOOKUP(B83,DB_Customers!$A:$D,4,0),"❌ Account Not Found"))</f>
        <v/>
      </c>
      <c r="D83" s="17" t="str">
        <f t="shared" ca="1" si="11"/>
        <v/>
      </c>
      <c r="E83" s="38"/>
      <c r="F83" s="2"/>
      <c r="G83" s="44"/>
      <c r="H83" s="4">
        <v>2.5</v>
      </c>
      <c r="I83" s="40" t="str">
        <f t="shared" si="12"/>
        <v/>
      </c>
      <c r="J83" s="45" t="str">
        <f t="shared" si="13"/>
        <v/>
      </c>
      <c r="K83" s="46" t="str">
        <f t="shared" si="14"/>
        <v/>
      </c>
      <c r="L83" s="4"/>
      <c r="M83" s="22"/>
    </row>
    <row r="84" spans="1:13" x14ac:dyDescent="0.25">
      <c r="A84" s="37" t="str">
        <f t="shared" si="10"/>
        <v/>
      </c>
      <c r="B84" s="23"/>
      <c r="C84" s="6" t="str">
        <f>IF(B84="","",IFERROR(VLOOKUP(B84,DB_Customers!$A:$D,4,0),"❌ Account Not Found"))</f>
        <v/>
      </c>
      <c r="D84" s="25" t="str">
        <f t="shared" ca="1" si="11"/>
        <v/>
      </c>
      <c r="E84" s="38"/>
      <c r="F84" s="6"/>
      <c r="G84" s="39"/>
      <c r="H84" s="8">
        <v>2.5</v>
      </c>
      <c r="I84" s="40" t="str">
        <f t="shared" si="12"/>
        <v/>
      </c>
      <c r="J84" s="41" t="str">
        <f t="shared" si="13"/>
        <v/>
      </c>
      <c r="K84" s="42" t="str">
        <f t="shared" si="14"/>
        <v/>
      </c>
      <c r="L84" s="8"/>
      <c r="M84" s="29"/>
    </row>
    <row r="85" spans="1:13" x14ac:dyDescent="0.25">
      <c r="A85" s="43" t="str">
        <f t="shared" si="10"/>
        <v/>
      </c>
      <c r="B85" s="15"/>
      <c r="C85" s="2" t="str">
        <f>IF(B85="","",IFERROR(VLOOKUP(B85,DB_Customers!$A:$D,4,0),"❌ Account Not Found"))</f>
        <v/>
      </c>
      <c r="D85" s="17" t="str">
        <f t="shared" ca="1" si="11"/>
        <v/>
      </c>
      <c r="E85" s="38"/>
      <c r="F85" s="2"/>
      <c r="G85" s="44"/>
      <c r="H85" s="4">
        <v>2.5</v>
      </c>
      <c r="I85" s="40" t="str">
        <f t="shared" si="12"/>
        <v/>
      </c>
      <c r="J85" s="45" t="str">
        <f t="shared" si="13"/>
        <v/>
      </c>
      <c r="K85" s="46" t="str">
        <f t="shared" si="14"/>
        <v/>
      </c>
      <c r="L85" s="4"/>
      <c r="M85" s="22"/>
    </row>
    <row r="86" spans="1:13" x14ac:dyDescent="0.25">
      <c r="A86" s="37" t="str">
        <f t="shared" si="10"/>
        <v/>
      </c>
      <c r="B86" s="23"/>
      <c r="C86" s="6" t="str">
        <f>IF(B86="","",IFERROR(VLOOKUP(B86,DB_Customers!$A:$D,4,0),"❌ Account Not Found"))</f>
        <v/>
      </c>
      <c r="D86" s="25" t="str">
        <f t="shared" ca="1" si="11"/>
        <v/>
      </c>
      <c r="E86" s="38"/>
      <c r="F86" s="6"/>
      <c r="G86" s="39"/>
      <c r="H86" s="8">
        <v>2.5</v>
      </c>
      <c r="I86" s="40" t="str">
        <f t="shared" si="12"/>
        <v/>
      </c>
      <c r="J86" s="41" t="str">
        <f t="shared" si="13"/>
        <v/>
      </c>
      <c r="K86" s="42" t="str">
        <f t="shared" si="14"/>
        <v/>
      </c>
      <c r="L86" s="8"/>
      <c r="M86" s="29"/>
    </row>
    <row r="87" spans="1:13" x14ac:dyDescent="0.25">
      <c r="A87" s="43" t="str">
        <f t="shared" si="10"/>
        <v/>
      </c>
      <c r="B87" s="15"/>
      <c r="C87" s="2" t="str">
        <f>IF(B87="","",IFERROR(VLOOKUP(B87,DB_Customers!$A:$D,4,0),"❌ Account Not Found"))</f>
        <v/>
      </c>
      <c r="D87" s="17" t="str">
        <f t="shared" ca="1" si="11"/>
        <v/>
      </c>
      <c r="E87" s="38"/>
      <c r="F87" s="2"/>
      <c r="G87" s="44"/>
      <c r="H87" s="4">
        <v>2.5</v>
      </c>
      <c r="I87" s="40" t="str">
        <f t="shared" si="12"/>
        <v/>
      </c>
      <c r="J87" s="45" t="str">
        <f t="shared" si="13"/>
        <v/>
      </c>
      <c r="K87" s="46" t="str">
        <f t="shared" si="14"/>
        <v/>
      </c>
      <c r="L87" s="4"/>
      <c r="M87" s="22"/>
    </row>
    <row r="88" spans="1:13" x14ac:dyDescent="0.25">
      <c r="A88" s="37" t="str">
        <f t="shared" si="10"/>
        <v/>
      </c>
      <c r="B88" s="23"/>
      <c r="C88" s="6" t="str">
        <f>IF(B88="","",IFERROR(VLOOKUP(B88,DB_Customers!$A:$D,4,0),"❌ Account Not Found"))</f>
        <v/>
      </c>
      <c r="D88" s="25" t="str">
        <f t="shared" ca="1" si="11"/>
        <v/>
      </c>
      <c r="E88" s="38"/>
      <c r="F88" s="6"/>
      <c r="G88" s="39"/>
      <c r="H88" s="8">
        <v>2.5</v>
      </c>
      <c r="I88" s="40" t="str">
        <f t="shared" si="12"/>
        <v/>
      </c>
      <c r="J88" s="41" t="str">
        <f t="shared" si="13"/>
        <v/>
      </c>
      <c r="K88" s="42" t="str">
        <f t="shared" si="14"/>
        <v/>
      </c>
      <c r="L88" s="8"/>
      <c r="M88" s="29"/>
    </row>
    <row r="89" spans="1:13" x14ac:dyDescent="0.25">
      <c r="A89" s="43" t="str">
        <f t="shared" si="10"/>
        <v/>
      </c>
      <c r="B89" s="15"/>
      <c r="C89" s="2" t="str">
        <f>IF(B89="","",IFERROR(VLOOKUP(B89,DB_Customers!$A:$D,4,0),"❌ Account Not Found"))</f>
        <v/>
      </c>
      <c r="D89" s="17" t="str">
        <f t="shared" ca="1" si="11"/>
        <v/>
      </c>
      <c r="E89" s="38"/>
      <c r="F89" s="2"/>
      <c r="G89" s="44"/>
      <c r="H89" s="4">
        <v>2.5</v>
      </c>
      <c r="I89" s="40" t="str">
        <f t="shared" si="12"/>
        <v/>
      </c>
      <c r="J89" s="45" t="str">
        <f t="shared" si="13"/>
        <v/>
      </c>
      <c r="K89" s="46" t="str">
        <f t="shared" si="14"/>
        <v/>
      </c>
      <c r="L89" s="4"/>
      <c r="M89" s="22"/>
    </row>
    <row r="90" spans="1:13" x14ac:dyDescent="0.25">
      <c r="A90" s="37" t="str">
        <f t="shared" si="10"/>
        <v/>
      </c>
      <c r="B90" s="23"/>
      <c r="C90" s="6" t="str">
        <f>IF(B90="","",IFERROR(VLOOKUP(B90,DB_Customers!$A:$D,4,0),"❌ Account Not Found"))</f>
        <v/>
      </c>
      <c r="D90" s="25" t="str">
        <f t="shared" ca="1" si="11"/>
        <v/>
      </c>
      <c r="E90" s="38"/>
      <c r="F90" s="6"/>
      <c r="G90" s="39"/>
      <c r="H90" s="8">
        <v>2.5</v>
      </c>
      <c r="I90" s="40" t="str">
        <f t="shared" si="12"/>
        <v/>
      </c>
      <c r="J90" s="41" t="str">
        <f t="shared" si="13"/>
        <v/>
      </c>
      <c r="K90" s="42" t="str">
        <f t="shared" si="14"/>
        <v/>
      </c>
      <c r="L90" s="8"/>
      <c r="M90" s="29"/>
    </row>
    <row r="91" spans="1:13" x14ac:dyDescent="0.25">
      <c r="A91" s="43" t="str">
        <f t="shared" si="10"/>
        <v/>
      </c>
      <c r="B91" s="15"/>
      <c r="C91" s="2" t="str">
        <f>IF(B91="","",IFERROR(VLOOKUP(B91,DB_Customers!$A:$D,4,0),"❌ Account Not Found"))</f>
        <v/>
      </c>
      <c r="D91" s="17" t="str">
        <f t="shared" ca="1" si="11"/>
        <v/>
      </c>
      <c r="E91" s="38"/>
      <c r="F91" s="2"/>
      <c r="G91" s="44"/>
      <c r="H91" s="4">
        <v>2.5</v>
      </c>
      <c r="I91" s="40" t="str">
        <f t="shared" si="12"/>
        <v/>
      </c>
      <c r="J91" s="45" t="str">
        <f t="shared" si="13"/>
        <v/>
      </c>
      <c r="K91" s="46" t="str">
        <f t="shared" si="14"/>
        <v/>
      </c>
      <c r="L91" s="4"/>
      <c r="M91" s="22"/>
    </row>
    <row r="92" spans="1:13" x14ac:dyDescent="0.25">
      <c r="A92" s="37" t="str">
        <f t="shared" si="10"/>
        <v/>
      </c>
      <c r="B92" s="23"/>
      <c r="C92" s="6" t="str">
        <f>IF(B92="","",IFERROR(VLOOKUP(B92,DB_Customers!$A:$D,4,0),"❌ Account Not Found"))</f>
        <v/>
      </c>
      <c r="D92" s="25" t="str">
        <f t="shared" ca="1" si="11"/>
        <v/>
      </c>
      <c r="E92" s="38"/>
      <c r="F92" s="6"/>
      <c r="G92" s="39"/>
      <c r="H92" s="8">
        <v>2.5</v>
      </c>
      <c r="I92" s="40" t="str">
        <f t="shared" si="12"/>
        <v/>
      </c>
      <c r="J92" s="41" t="str">
        <f t="shared" si="13"/>
        <v/>
      </c>
      <c r="K92" s="42" t="str">
        <f t="shared" si="14"/>
        <v/>
      </c>
      <c r="L92" s="8"/>
      <c r="M92" s="29"/>
    </row>
    <row r="93" spans="1:13" x14ac:dyDescent="0.25">
      <c r="A93" s="43" t="str">
        <f t="shared" si="10"/>
        <v/>
      </c>
      <c r="B93" s="15"/>
      <c r="C93" s="2" t="str">
        <f>IF(B93="","",IFERROR(VLOOKUP(B93,DB_Customers!$A:$D,4,0),"❌ Account Not Found"))</f>
        <v/>
      </c>
      <c r="D93" s="17" t="str">
        <f t="shared" ca="1" si="11"/>
        <v/>
      </c>
      <c r="E93" s="38"/>
      <c r="F93" s="2"/>
      <c r="G93" s="44"/>
      <c r="H93" s="4">
        <v>2.5</v>
      </c>
      <c r="I93" s="40" t="str">
        <f t="shared" si="12"/>
        <v/>
      </c>
      <c r="J93" s="45" t="str">
        <f t="shared" si="13"/>
        <v/>
      </c>
      <c r="K93" s="46" t="str">
        <f t="shared" si="14"/>
        <v/>
      </c>
      <c r="L93" s="4"/>
      <c r="M93" s="22"/>
    </row>
    <row r="94" spans="1:13" x14ac:dyDescent="0.25">
      <c r="A94" s="37" t="str">
        <f t="shared" si="10"/>
        <v/>
      </c>
      <c r="B94" s="23"/>
      <c r="C94" s="6" t="str">
        <f>IF(B94="","",IFERROR(VLOOKUP(B94,DB_Customers!$A:$D,4,0),"❌ Account Not Found"))</f>
        <v/>
      </c>
      <c r="D94" s="25" t="str">
        <f t="shared" ca="1" si="11"/>
        <v/>
      </c>
      <c r="E94" s="38"/>
      <c r="F94" s="6"/>
      <c r="G94" s="39"/>
      <c r="H94" s="8">
        <v>2.5</v>
      </c>
      <c r="I94" s="40" t="str">
        <f t="shared" si="12"/>
        <v/>
      </c>
      <c r="J94" s="41" t="str">
        <f t="shared" si="13"/>
        <v/>
      </c>
      <c r="K94" s="42" t="str">
        <f t="shared" si="14"/>
        <v/>
      </c>
      <c r="L94" s="8"/>
      <c r="M94" s="29"/>
    </row>
    <row r="95" spans="1:13" x14ac:dyDescent="0.25">
      <c r="A95" s="43" t="str">
        <f t="shared" si="10"/>
        <v/>
      </c>
      <c r="B95" s="15"/>
      <c r="C95" s="2" t="str">
        <f>IF(B95="","",IFERROR(VLOOKUP(B95,DB_Customers!$A:$D,4,0),"❌ Account Not Found"))</f>
        <v/>
      </c>
      <c r="D95" s="17" t="str">
        <f t="shared" ca="1" si="11"/>
        <v/>
      </c>
      <c r="E95" s="38"/>
      <c r="F95" s="2"/>
      <c r="G95" s="44"/>
      <c r="H95" s="4">
        <v>2.5</v>
      </c>
      <c r="I95" s="40" t="str">
        <f t="shared" si="12"/>
        <v/>
      </c>
      <c r="J95" s="45" t="str">
        <f t="shared" si="13"/>
        <v/>
      </c>
      <c r="K95" s="46" t="str">
        <f t="shared" si="14"/>
        <v/>
      </c>
      <c r="L95" s="4"/>
      <c r="M95" s="22"/>
    </row>
    <row r="96" spans="1:13" x14ac:dyDescent="0.25">
      <c r="A96" s="37" t="str">
        <f t="shared" si="10"/>
        <v/>
      </c>
      <c r="B96" s="23"/>
      <c r="C96" s="6" t="str">
        <f>IF(B96="","",IFERROR(VLOOKUP(B96,DB_Customers!$A:$D,4,0),"❌ Account Not Found"))</f>
        <v/>
      </c>
      <c r="D96" s="25" t="str">
        <f t="shared" ca="1" si="11"/>
        <v/>
      </c>
      <c r="E96" s="38"/>
      <c r="F96" s="6"/>
      <c r="G96" s="39"/>
      <c r="H96" s="8">
        <v>2.5</v>
      </c>
      <c r="I96" s="40" t="str">
        <f t="shared" si="12"/>
        <v/>
      </c>
      <c r="J96" s="41" t="str">
        <f t="shared" si="13"/>
        <v/>
      </c>
      <c r="K96" s="42" t="str">
        <f t="shared" si="14"/>
        <v/>
      </c>
      <c r="L96" s="8"/>
      <c r="M96" s="29"/>
    </row>
    <row r="97" spans="1:13" x14ac:dyDescent="0.25">
      <c r="A97" s="43" t="str">
        <f t="shared" si="10"/>
        <v/>
      </c>
      <c r="B97" s="15"/>
      <c r="C97" s="2" t="str">
        <f>IF(B97="","",IFERROR(VLOOKUP(B97,DB_Customers!$A:$D,4,0),"❌ Account Not Found"))</f>
        <v/>
      </c>
      <c r="D97" s="17" t="str">
        <f t="shared" ca="1" si="11"/>
        <v/>
      </c>
      <c r="E97" s="38"/>
      <c r="F97" s="2"/>
      <c r="G97" s="44"/>
      <c r="H97" s="4">
        <v>2.5</v>
      </c>
      <c r="I97" s="40" t="str">
        <f t="shared" si="12"/>
        <v/>
      </c>
      <c r="J97" s="45" t="str">
        <f t="shared" si="13"/>
        <v/>
      </c>
      <c r="K97" s="46" t="str">
        <f t="shared" si="14"/>
        <v/>
      </c>
      <c r="L97" s="4"/>
      <c r="M97" s="22"/>
    </row>
    <row r="98" spans="1:13" x14ac:dyDescent="0.25">
      <c r="A98" s="37" t="str">
        <f t="shared" si="10"/>
        <v/>
      </c>
      <c r="B98" s="23"/>
      <c r="C98" s="6" t="str">
        <f>IF(B98="","",IFERROR(VLOOKUP(B98,DB_Customers!$A:$D,4,0),"❌ Account Not Found"))</f>
        <v/>
      </c>
      <c r="D98" s="25" t="str">
        <f t="shared" ca="1" si="11"/>
        <v/>
      </c>
      <c r="E98" s="38"/>
      <c r="F98" s="6"/>
      <c r="G98" s="39"/>
      <c r="H98" s="8">
        <v>2.5</v>
      </c>
      <c r="I98" s="40" t="str">
        <f t="shared" si="12"/>
        <v/>
      </c>
      <c r="J98" s="41" t="str">
        <f t="shared" si="13"/>
        <v/>
      </c>
      <c r="K98" s="42" t="str">
        <f t="shared" si="14"/>
        <v/>
      </c>
      <c r="L98" s="8"/>
      <c r="M98" s="29"/>
    </row>
    <row r="99" spans="1:13" x14ac:dyDescent="0.25">
      <c r="A99" s="43" t="str">
        <f t="shared" si="10"/>
        <v/>
      </c>
      <c r="B99" s="15"/>
      <c r="C99" s="2" t="str">
        <f>IF(B99="","",IFERROR(VLOOKUP(B99,DB_Customers!$A:$D,4,0),"❌ Account Not Found"))</f>
        <v/>
      </c>
      <c r="D99" s="17" t="str">
        <f t="shared" ca="1" si="11"/>
        <v/>
      </c>
      <c r="E99" s="38"/>
      <c r="F99" s="2"/>
      <c r="G99" s="44"/>
      <c r="H99" s="4">
        <v>2.5</v>
      </c>
      <c r="I99" s="40" t="str">
        <f t="shared" si="12"/>
        <v/>
      </c>
      <c r="J99" s="45" t="str">
        <f t="shared" si="13"/>
        <v/>
      </c>
      <c r="K99" s="46" t="str">
        <f t="shared" si="14"/>
        <v/>
      </c>
      <c r="L99" s="4"/>
      <c r="M99" s="22"/>
    </row>
    <row r="100" spans="1:13" x14ac:dyDescent="0.25">
      <c r="A100" s="37" t="str">
        <f t="shared" si="10"/>
        <v/>
      </c>
      <c r="B100" s="23"/>
      <c r="C100" s="6" t="str">
        <f>IF(B100="","",IFERROR(VLOOKUP(B100,DB_Customers!$A:$D,4,0),"❌ Account Not Found"))</f>
        <v/>
      </c>
      <c r="D100" s="25" t="str">
        <f t="shared" ca="1" si="11"/>
        <v/>
      </c>
      <c r="E100" s="38"/>
      <c r="F100" s="6"/>
      <c r="G100" s="39"/>
      <c r="H100" s="8">
        <v>2.5</v>
      </c>
      <c r="I100" s="40" t="str">
        <f t="shared" si="12"/>
        <v/>
      </c>
      <c r="J100" s="41" t="str">
        <f t="shared" si="13"/>
        <v/>
      </c>
      <c r="K100" s="42" t="str">
        <f t="shared" si="14"/>
        <v/>
      </c>
      <c r="L100" s="8"/>
      <c r="M100" s="29"/>
    </row>
    <row r="101" spans="1:13" x14ac:dyDescent="0.25">
      <c r="A101" s="43" t="str">
        <f t="shared" si="10"/>
        <v/>
      </c>
      <c r="B101" s="15"/>
      <c r="C101" s="2" t="str">
        <f>IF(B101="","",IFERROR(VLOOKUP(B101,DB_Customers!$A:$D,4,0),"❌ Account Not Found"))</f>
        <v/>
      </c>
      <c r="D101" s="17" t="str">
        <f t="shared" ca="1" si="11"/>
        <v/>
      </c>
      <c r="E101" s="38"/>
      <c r="F101" s="2"/>
      <c r="G101" s="44"/>
      <c r="H101" s="4">
        <v>2.5</v>
      </c>
      <c r="I101" s="40" t="str">
        <f t="shared" si="12"/>
        <v/>
      </c>
      <c r="J101" s="45" t="str">
        <f t="shared" si="13"/>
        <v/>
      </c>
      <c r="K101" s="46" t="str">
        <f t="shared" si="14"/>
        <v/>
      </c>
      <c r="L101" s="4"/>
      <c r="M101" s="22"/>
    </row>
    <row r="102" spans="1:13" x14ac:dyDescent="0.25">
      <c r="A102" s="37" t="str">
        <f t="shared" si="10"/>
        <v/>
      </c>
      <c r="B102" s="23"/>
      <c r="C102" s="6" t="str">
        <f>IF(B102="","",IFERROR(VLOOKUP(B102,DB_Customers!$A:$D,4,0),"❌ Account Not Found"))</f>
        <v/>
      </c>
      <c r="D102" s="25" t="str">
        <f t="shared" ca="1" si="11"/>
        <v/>
      </c>
      <c r="E102" s="38"/>
      <c r="F102" s="6"/>
      <c r="G102" s="39"/>
      <c r="H102" s="8">
        <v>2.5</v>
      </c>
      <c r="I102" s="40" t="str">
        <f t="shared" si="12"/>
        <v/>
      </c>
      <c r="J102" s="41" t="str">
        <f t="shared" si="13"/>
        <v/>
      </c>
      <c r="K102" s="42" t="str">
        <f t="shared" si="14"/>
        <v/>
      </c>
      <c r="L102" s="8"/>
      <c r="M102" s="29"/>
    </row>
    <row r="103" spans="1:13" x14ac:dyDescent="0.25">
      <c r="A103" s="43" t="str">
        <f t="shared" si="10"/>
        <v/>
      </c>
      <c r="B103" s="15"/>
      <c r="C103" s="2" t="str">
        <f>IF(B103="","",IFERROR(VLOOKUP(B103,DB_Customers!$A:$D,4,0),"❌ Account Not Found"))</f>
        <v/>
      </c>
      <c r="D103" s="17" t="str">
        <f t="shared" ca="1" si="11"/>
        <v/>
      </c>
      <c r="E103" s="38"/>
      <c r="F103" s="2"/>
      <c r="G103" s="44"/>
      <c r="H103" s="4">
        <v>2.5</v>
      </c>
      <c r="I103" s="40" t="str">
        <f t="shared" si="12"/>
        <v/>
      </c>
      <c r="J103" s="45" t="str">
        <f t="shared" si="13"/>
        <v/>
      </c>
      <c r="K103" s="46" t="str">
        <f t="shared" si="14"/>
        <v/>
      </c>
      <c r="L103" s="4"/>
      <c r="M103" s="22"/>
    </row>
    <row r="104" spans="1:13" x14ac:dyDescent="0.25">
      <c r="A104" s="37" t="str">
        <f t="shared" si="10"/>
        <v/>
      </c>
      <c r="B104" s="23"/>
      <c r="C104" s="6" t="str">
        <f>IF(B104="","",IFERROR(VLOOKUP(B104,DB_Customers!$A:$D,4,0),"❌ Account Not Found"))</f>
        <v/>
      </c>
      <c r="D104" s="25" t="str">
        <f t="shared" ca="1" si="11"/>
        <v/>
      </c>
      <c r="E104" s="38"/>
      <c r="F104" s="6"/>
      <c r="G104" s="39"/>
      <c r="H104" s="8">
        <v>2.5</v>
      </c>
      <c r="I104" s="40" t="str">
        <f t="shared" si="12"/>
        <v/>
      </c>
      <c r="J104" s="41" t="str">
        <f t="shared" si="13"/>
        <v/>
      </c>
      <c r="K104" s="42" t="str">
        <f t="shared" si="14"/>
        <v/>
      </c>
      <c r="L104" s="8"/>
      <c r="M104" s="29"/>
    </row>
    <row r="105" spans="1:13" x14ac:dyDescent="0.25">
      <c r="A105" s="43" t="str">
        <f t="shared" si="10"/>
        <v/>
      </c>
      <c r="B105" s="15"/>
      <c r="C105" s="2" t="str">
        <f>IF(B105="","",IFERROR(VLOOKUP(B105,DB_Customers!$A:$D,4,0),"❌ Account Not Found"))</f>
        <v/>
      </c>
      <c r="D105" s="17" t="str">
        <f t="shared" ca="1" si="11"/>
        <v/>
      </c>
      <c r="E105" s="38"/>
      <c r="F105" s="2"/>
      <c r="G105" s="44"/>
      <c r="H105" s="4">
        <v>2.5</v>
      </c>
      <c r="I105" s="40" t="str">
        <f t="shared" si="12"/>
        <v/>
      </c>
      <c r="J105" s="45" t="str">
        <f t="shared" si="13"/>
        <v/>
      </c>
      <c r="K105" s="46" t="str">
        <f t="shared" si="14"/>
        <v/>
      </c>
      <c r="L105" s="4"/>
      <c r="M105" s="22"/>
    </row>
    <row r="106" spans="1:13" x14ac:dyDescent="0.25">
      <c r="A106" s="37" t="str">
        <f t="shared" si="10"/>
        <v/>
      </c>
      <c r="B106" s="23"/>
      <c r="C106" s="6" t="str">
        <f>IF(B106="","",IFERROR(VLOOKUP(B106,DB_Customers!$A:$D,4,0),"❌ Account Not Found"))</f>
        <v/>
      </c>
      <c r="D106" s="25" t="str">
        <f t="shared" ca="1" si="11"/>
        <v/>
      </c>
      <c r="E106" s="38"/>
      <c r="F106" s="6"/>
      <c r="G106" s="39"/>
      <c r="H106" s="8">
        <v>2.5</v>
      </c>
      <c r="I106" s="40" t="str">
        <f t="shared" si="12"/>
        <v/>
      </c>
      <c r="J106" s="41" t="str">
        <f t="shared" si="13"/>
        <v/>
      </c>
      <c r="K106" s="42" t="str">
        <f t="shared" si="14"/>
        <v/>
      </c>
      <c r="L106" s="8"/>
      <c r="M106" s="29"/>
    </row>
    <row r="107" spans="1:13" x14ac:dyDescent="0.25">
      <c r="A107" s="43" t="str">
        <f t="shared" si="10"/>
        <v/>
      </c>
      <c r="B107" s="15"/>
      <c r="C107" s="2" t="str">
        <f>IF(B107="","",IFERROR(VLOOKUP(B107,DB_Customers!$A:$D,4,0),"❌ Account Not Found"))</f>
        <v/>
      </c>
      <c r="D107" s="17" t="str">
        <f t="shared" ca="1" si="11"/>
        <v/>
      </c>
      <c r="E107" s="38"/>
      <c r="F107" s="2"/>
      <c r="G107" s="44"/>
      <c r="H107" s="4">
        <v>2.5</v>
      </c>
      <c r="I107" s="40" t="str">
        <f t="shared" si="12"/>
        <v/>
      </c>
      <c r="J107" s="45" t="str">
        <f t="shared" si="13"/>
        <v/>
      </c>
      <c r="K107" s="46" t="str">
        <f t="shared" si="14"/>
        <v/>
      </c>
      <c r="L107" s="4"/>
      <c r="M107" s="22"/>
    </row>
    <row r="108" spans="1:13" x14ac:dyDescent="0.25">
      <c r="A108" s="37" t="str">
        <f t="shared" si="10"/>
        <v/>
      </c>
      <c r="B108" s="23"/>
      <c r="C108" s="6" t="str">
        <f>IF(B108="","",IFERROR(VLOOKUP(B108,DB_Customers!$A:$D,4,0),"❌ Account Not Found"))</f>
        <v/>
      </c>
      <c r="D108" s="25" t="str">
        <f t="shared" ca="1" si="11"/>
        <v/>
      </c>
      <c r="E108" s="38"/>
      <c r="F108" s="6"/>
      <c r="G108" s="39"/>
      <c r="H108" s="8">
        <v>2.5</v>
      </c>
      <c r="I108" s="40" t="str">
        <f t="shared" si="12"/>
        <v/>
      </c>
      <c r="J108" s="41" t="str">
        <f t="shared" si="13"/>
        <v/>
      </c>
      <c r="K108" s="42" t="str">
        <f t="shared" si="14"/>
        <v/>
      </c>
      <c r="L108" s="8"/>
      <c r="M108" s="29"/>
    </row>
    <row r="109" spans="1:13" x14ac:dyDescent="0.25">
      <c r="A109" s="43" t="str">
        <f t="shared" si="10"/>
        <v/>
      </c>
      <c r="B109" s="15"/>
      <c r="C109" s="2" t="str">
        <f>IF(B109="","",IFERROR(VLOOKUP(B109,DB_Customers!$A:$D,4,0),"❌ Account Not Found"))</f>
        <v/>
      </c>
      <c r="D109" s="17" t="str">
        <f t="shared" ca="1" si="11"/>
        <v/>
      </c>
      <c r="E109" s="38"/>
      <c r="F109" s="2"/>
      <c r="G109" s="44"/>
      <c r="H109" s="4">
        <v>2.5</v>
      </c>
      <c r="I109" s="40" t="str">
        <f t="shared" si="12"/>
        <v/>
      </c>
      <c r="J109" s="45" t="str">
        <f t="shared" si="13"/>
        <v/>
      </c>
      <c r="K109" s="46" t="str">
        <f t="shared" si="14"/>
        <v/>
      </c>
      <c r="L109" s="4"/>
      <c r="M109" s="22"/>
    </row>
    <row r="110" spans="1:13" x14ac:dyDescent="0.25">
      <c r="A110" s="37" t="str">
        <f t="shared" ref="A110:A113" si="15">IF(B110="","",IF(C110="❌ Account Not Found","INVALID","LN"&amp;TEXT(D110,"YYYYMMDD")&amp;TEXT(ROW()-13,"0000")))</f>
        <v/>
      </c>
      <c r="B110" s="23"/>
      <c r="C110" s="6" t="str">
        <f>IF(B110="","",IFERROR(VLOOKUP(B110,DB_Customers!$A:$D,4,0),"❌ Account Not Found"))</f>
        <v/>
      </c>
      <c r="D110" s="25" t="str">
        <f t="shared" ca="1" si="11"/>
        <v/>
      </c>
      <c r="E110" s="38"/>
      <c r="F110" s="6"/>
      <c r="G110" s="39"/>
      <c r="H110" s="8">
        <v>2.5</v>
      </c>
      <c r="I110" s="40" t="str">
        <f t="shared" ref="I110:I113" si="16">IF(E110="","",E110+(E110*H110/100*G110))</f>
        <v/>
      </c>
      <c r="J110" s="41" t="str">
        <f t="shared" ref="J110:J113" si="17">IFERROR(I110/G110,"")</f>
        <v/>
      </c>
      <c r="K110" s="42" t="str">
        <f t="shared" si="14"/>
        <v/>
      </c>
      <c r="L110" s="8"/>
      <c r="M110" s="29"/>
    </row>
    <row r="111" spans="1:13" x14ac:dyDescent="0.25">
      <c r="A111" s="43" t="str">
        <f t="shared" si="15"/>
        <v/>
      </c>
      <c r="B111" s="15"/>
      <c r="C111" s="2" t="str">
        <f>IF(B111="","",IFERROR(VLOOKUP(B111,DB_Customers!$A:$D,4,0),"❌ Account Not Found"))</f>
        <v/>
      </c>
      <c r="D111" s="17" t="str">
        <f t="shared" ca="1" si="11"/>
        <v/>
      </c>
      <c r="E111" s="38"/>
      <c r="F111" s="2"/>
      <c r="G111" s="44"/>
      <c r="H111" s="4">
        <v>2.5</v>
      </c>
      <c r="I111" s="40" t="str">
        <f t="shared" si="16"/>
        <v/>
      </c>
      <c r="J111" s="45" t="str">
        <f t="shared" si="17"/>
        <v/>
      </c>
      <c r="K111" s="46" t="str">
        <f t="shared" si="14"/>
        <v/>
      </c>
      <c r="L111" s="4"/>
      <c r="M111" s="22"/>
    </row>
    <row r="112" spans="1:13" x14ac:dyDescent="0.25">
      <c r="A112" s="37" t="str">
        <f t="shared" si="15"/>
        <v/>
      </c>
      <c r="B112" s="23"/>
      <c r="C112" s="6" t="str">
        <f>IF(B112="","",IFERROR(VLOOKUP(B112,DB_Customers!$A:$D,4,0),"❌ Account Not Found"))</f>
        <v/>
      </c>
      <c r="D112" s="25" t="str">
        <f t="shared" ca="1" si="11"/>
        <v/>
      </c>
      <c r="E112" s="38"/>
      <c r="F112" s="6"/>
      <c r="G112" s="39"/>
      <c r="H112" s="8">
        <v>2.5</v>
      </c>
      <c r="I112" s="40" t="str">
        <f t="shared" si="16"/>
        <v/>
      </c>
      <c r="J112" s="41" t="str">
        <f t="shared" si="17"/>
        <v/>
      </c>
      <c r="K112" s="42" t="str">
        <f t="shared" si="14"/>
        <v/>
      </c>
      <c r="L112" s="8"/>
      <c r="M112" s="29"/>
    </row>
    <row r="113" spans="1:13" x14ac:dyDescent="0.25">
      <c r="A113" s="43" t="str">
        <f t="shared" si="15"/>
        <v/>
      </c>
      <c r="B113" s="15"/>
      <c r="C113" s="2" t="str">
        <f>IF(B113="","",IFERROR(VLOOKUP(B113,DB_Customers!$A:$D,4,0),"❌ Account Not Found"))</f>
        <v/>
      </c>
      <c r="D113" s="17" t="str">
        <f t="shared" ca="1" si="11"/>
        <v/>
      </c>
      <c r="E113" s="38"/>
      <c r="F113" s="2"/>
      <c r="G113" s="44"/>
      <c r="H113" s="4">
        <v>2.5</v>
      </c>
      <c r="I113" s="40" t="str">
        <f t="shared" si="16"/>
        <v/>
      </c>
      <c r="J113" s="45" t="str">
        <f t="shared" si="17"/>
        <v/>
      </c>
      <c r="K113" s="46" t="str">
        <f t="shared" si="14"/>
        <v/>
      </c>
      <c r="L113" s="4"/>
      <c r="M113" s="22"/>
    </row>
  </sheetData>
  <mergeCells count="10">
    <mergeCell ref="A1:N1"/>
    <mergeCell ref="A2:N2"/>
    <mergeCell ref="A4:D4"/>
    <mergeCell ref="B5:D5"/>
    <mergeCell ref="B6:D6"/>
    <mergeCell ref="B7:D7"/>
    <mergeCell ref="B8:D8"/>
    <mergeCell ref="B9:D9"/>
    <mergeCell ref="B10:D10"/>
    <mergeCell ref="A12:N12"/>
  </mergeCells>
  <conditionalFormatting sqref="K14:K113">
    <cfRule type="cellIs" dxfId="5" priority="2" operator="equal">
      <formula>"Approved"</formula>
    </cfRule>
    <cfRule type="cellIs" dxfId="4" priority="3" operator="equal">
      <formula>"Pending"</formula>
    </cfRule>
    <cfRule type="cellIs" dxfId="3" priority="4" operator="equal">
      <formula>"Rejected"</formula>
    </cfRule>
  </conditionalFormatting>
  <dataValidations count="2">
    <dataValidation type="whole" showErrorMessage="1" error="Enter 1-36 months" sqref="G14:G113" xr:uid="{00000000-0002-0000-1F00-000000000000}">
      <formula1>1</formula1>
      <formula2>36</formula2>
    </dataValidation>
    <dataValidation type="list" sqref="L14:L113" xr:uid="{00000000-0002-0000-1F00-000001000000}">
      <formula1>"Agent 01,Agent 02,Agent 03,Agent 04,Agent 05,Agent 06,Agent 07,Agent 08,Agent 09,Agent 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ABC9C"/>
  </sheetPr>
  <dimension ref="A1:G1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14" customWidth="1"/>
    <col min="2" max="2" width="18" customWidth="1"/>
    <col min="3" max="3" width="20" customWidth="1"/>
    <col min="4" max="4" width="16" customWidth="1"/>
    <col min="5" max="5" width="13" customWidth="1"/>
    <col min="6" max="6" width="14" customWidth="1"/>
    <col min="7" max="7" width="16" customWidth="1"/>
  </cols>
  <sheetData>
    <row r="1" spans="1:7" ht="31.5" customHeight="1" x14ac:dyDescent="0.25">
      <c r="A1" s="101" t="s">
        <v>188</v>
      </c>
      <c r="B1" s="101"/>
      <c r="C1" s="101"/>
      <c r="D1" s="101"/>
      <c r="E1" s="101"/>
      <c r="F1" s="101"/>
      <c r="G1" s="101"/>
    </row>
    <row r="2" spans="1:7" ht="19.5" customHeight="1" x14ac:dyDescent="0.25">
      <c r="A2" s="93" t="s">
        <v>189</v>
      </c>
      <c r="B2" s="93"/>
      <c r="C2" s="93"/>
      <c r="D2" s="93"/>
      <c r="E2" s="93"/>
      <c r="F2" s="93"/>
      <c r="G2" s="93"/>
    </row>
    <row r="3" spans="1:7" x14ac:dyDescent="0.25">
      <c r="A3" s="1" t="s">
        <v>8</v>
      </c>
      <c r="B3" s="1" t="s">
        <v>190</v>
      </c>
      <c r="C3" s="1" t="s">
        <v>191</v>
      </c>
      <c r="D3" s="1" t="s">
        <v>192</v>
      </c>
      <c r="E3" s="1" t="s">
        <v>12</v>
      </c>
      <c r="F3" s="1" t="s">
        <v>193</v>
      </c>
      <c r="G3" s="1" t="s">
        <v>91</v>
      </c>
    </row>
    <row r="4" spans="1:7" x14ac:dyDescent="0.25">
      <c r="A4" s="2" t="s">
        <v>17</v>
      </c>
      <c r="B4" s="3">
        <f ca="1">SUMIFS(DB_Savings!$F:$F,DB_Savings!$G:$G,"Agent 01",DB_Savings!$E:$E,TODAY())</f>
        <v>0</v>
      </c>
      <c r="C4" s="3">
        <f ca="1">SUMIFS(DB_Withdrawals!$G:$G,DB_Withdrawals!$J:$J,"Agent 01",DB_Withdrawals!$F:$F,TODAY())</f>
        <v>0</v>
      </c>
      <c r="D4" s="3">
        <f t="shared" ref="D4:D14" ca="1" si="0">B4-C4</f>
        <v>0</v>
      </c>
      <c r="E4" s="4">
        <f ca="1">COUNTIFS(DB_Savings!$G:$G,"Agent 01",DB_Savings!$E:$E,TODAY())+COUNTIFS(DB_Withdrawals!$J:$J,"Agent 01",DB_Withdrawals!$F:$F,TODAY())</f>
        <v>0</v>
      </c>
      <c r="F4" s="3">
        <v>5000</v>
      </c>
      <c r="G4" s="4" t="str">
        <f t="shared" ref="G4:G13" ca="1" si="1">IF(B4&gt;=F4,"✅ Target Met",IF(B4&gt;=F4/2,"⚠️ Below Target","❌ Low"))</f>
        <v>❌ Low</v>
      </c>
    </row>
    <row r="5" spans="1:7" x14ac:dyDescent="0.25">
      <c r="A5" s="6" t="s">
        <v>18</v>
      </c>
      <c r="B5" s="7">
        <f ca="1">SUMIFS(DB_Savings!$F:$F,DB_Savings!$G:$G,"Agent 02",DB_Savings!$E:$E,TODAY())</f>
        <v>0</v>
      </c>
      <c r="C5" s="7">
        <f ca="1">SUMIFS(DB_Withdrawals!$G:$G,DB_Withdrawals!$J:$J,"Agent 02",DB_Withdrawals!$F:$F,TODAY())</f>
        <v>0</v>
      </c>
      <c r="D5" s="7">
        <f t="shared" ca="1" si="0"/>
        <v>0</v>
      </c>
      <c r="E5" s="8">
        <f ca="1">COUNTIFS(DB_Savings!$G:$G,"Agent 02",DB_Savings!$E:$E,TODAY())+COUNTIFS(DB_Withdrawals!$J:$J,"Agent 02",DB_Withdrawals!$F:$F,TODAY())</f>
        <v>0</v>
      </c>
      <c r="F5" s="7">
        <v>5000</v>
      </c>
      <c r="G5" s="8" t="str">
        <f t="shared" ca="1" si="1"/>
        <v>❌ Low</v>
      </c>
    </row>
    <row r="6" spans="1:7" x14ac:dyDescent="0.25">
      <c r="A6" s="2" t="s">
        <v>19</v>
      </c>
      <c r="B6" s="3">
        <f ca="1">SUMIFS(DB_Savings!$F:$F,DB_Savings!$G:$G,"Agent 03",DB_Savings!$E:$E,TODAY())</f>
        <v>0</v>
      </c>
      <c r="C6" s="3">
        <f ca="1">SUMIFS(DB_Withdrawals!$G:$G,DB_Withdrawals!$J:$J,"Agent 03",DB_Withdrawals!$F:$F,TODAY())</f>
        <v>0</v>
      </c>
      <c r="D6" s="3">
        <f t="shared" ca="1" si="0"/>
        <v>0</v>
      </c>
      <c r="E6" s="4">
        <f ca="1">COUNTIFS(DB_Savings!$G:$G,"Agent 03",DB_Savings!$E:$E,TODAY())+COUNTIFS(DB_Withdrawals!$J:$J,"Agent 03",DB_Withdrawals!$F:$F,TODAY())</f>
        <v>0</v>
      </c>
      <c r="F6" s="3">
        <v>5000</v>
      </c>
      <c r="G6" s="4" t="str">
        <f t="shared" ca="1" si="1"/>
        <v>❌ Low</v>
      </c>
    </row>
    <row r="7" spans="1:7" x14ac:dyDescent="0.25">
      <c r="A7" s="6" t="s">
        <v>20</v>
      </c>
      <c r="B7" s="7">
        <f ca="1">SUMIFS(DB_Savings!$F:$F,DB_Savings!$G:$G,"Agent 04",DB_Savings!$E:$E,TODAY())</f>
        <v>0</v>
      </c>
      <c r="C7" s="7">
        <f ca="1">SUMIFS(DB_Withdrawals!$G:$G,DB_Withdrawals!$J:$J,"Agent 04",DB_Withdrawals!$F:$F,TODAY())</f>
        <v>0</v>
      </c>
      <c r="D7" s="7">
        <f t="shared" ca="1" si="0"/>
        <v>0</v>
      </c>
      <c r="E7" s="8">
        <f ca="1">COUNTIFS(DB_Savings!$G:$G,"Agent 04",DB_Savings!$E:$E,TODAY())+COUNTIFS(DB_Withdrawals!$J:$J,"Agent 04",DB_Withdrawals!$F:$F,TODAY())</f>
        <v>0</v>
      </c>
      <c r="F7" s="7">
        <v>5000</v>
      </c>
      <c r="G7" s="8" t="str">
        <f t="shared" ca="1" si="1"/>
        <v>❌ Low</v>
      </c>
    </row>
    <row r="8" spans="1:7" x14ac:dyDescent="0.25">
      <c r="A8" s="2" t="s">
        <v>21</v>
      </c>
      <c r="B8" s="3">
        <f ca="1">SUMIFS(DB_Savings!$F:$F,DB_Savings!$G:$G,"Agent 05",DB_Savings!$E:$E,TODAY())</f>
        <v>0</v>
      </c>
      <c r="C8" s="3">
        <f ca="1">SUMIFS(DB_Withdrawals!$G:$G,DB_Withdrawals!$J:$J,"Agent 05",DB_Withdrawals!$F:$F,TODAY())</f>
        <v>0</v>
      </c>
      <c r="D8" s="3">
        <f t="shared" ca="1" si="0"/>
        <v>0</v>
      </c>
      <c r="E8" s="4">
        <f ca="1">COUNTIFS(DB_Savings!$G:$G,"Agent 05",DB_Savings!$E:$E,TODAY())+COUNTIFS(DB_Withdrawals!$J:$J,"Agent 05",DB_Withdrawals!$F:$F,TODAY())</f>
        <v>0</v>
      </c>
      <c r="F8" s="3">
        <v>5000</v>
      </c>
      <c r="G8" s="4" t="str">
        <f t="shared" ca="1" si="1"/>
        <v>❌ Low</v>
      </c>
    </row>
    <row r="9" spans="1:7" x14ac:dyDescent="0.25">
      <c r="A9" s="6" t="s">
        <v>22</v>
      </c>
      <c r="B9" s="7">
        <f ca="1">SUMIFS(DB_Savings!$F:$F,DB_Savings!$G:$G,"Agent 06",DB_Savings!$E:$E,TODAY())</f>
        <v>0</v>
      </c>
      <c r="C9" s="7">
        <f ca="1">SUMIFS(DB_Withdrawals!$G:$G,DB_Withdrawals!$J:$J,"Agent 06",DB_Withdrawals!$F:$F,TODAY())</f>
        <v>0</v>
      </c>
      <c r="D9" s="7">
        <f t="shared" ca="1" si="0"/>
        <v>0</v>
      </c>
      <c r="E9" s="8">
        <f ca="1">COUNTIFS(DB_Savings!$G:$G,"Agent 06",DB_Savings!$E:$E,TODAY())+COUNTIFS(DB_Withdrawals!$J:$J,"Agent 06",DB_Withdrawals!$F:$F,TODAY())</f>
        <v>0</v>
      </c>
      <c r="F9" s="7">
        <v>5000</v>
      </c>
      <c r="G9" s="8" t="str">
        <f t="shared" ca="1" si="1"/>
        <v>❌ Low</v>
      </c>
    </row>
    <row r="10" spans="1:7" x14ac:dyDescent="0.25">
      <c r="A10" s="2" t="s">
        <v>23</v>
      </c>
      <c r="B10" s="3">
        <f ca="1">SUMIFS(DB_Savings!$F:$F,DB_Savings!$G:$G,"Agent 07",DB_Savings!$E:$E,TODAY())</f>
        <v>0</v>
      </c>
      <c r="C10" s="3">
        <f ca="1">SUMIFS(DB_Withdrawals!$G:$G,DB_Withdrawals!$J:$J,"Agent 07",DB_Withdrawals!$F:$F,TODAY())</f>
        <v>0</v>
      </c>
      <c r="D10" s="3">
        <f t="shared" ca="1" si="0"/>
        <v>0</v>
      </c>
      <c r="E10" s="4">
        <f ca="1">COUNTIFS(DB_Savings!$G:$G,"Agent 07",DB_Savings!$E:$E,TODAY())+COUNTIFS(DB_Withdrawals!$J:$J,"Agent 07",DB_Withdrawals!$F:$F,TODAY())</f>
        <v>0</v>
      </c>
      <c r="F10" s="3">
        <v>5000</v>
      </c>
      <c r="G10" s="4" t="str">
        <f t="shared" ca="1" si="1"/>
        <v>❌ Low</v>
      </c>
    </row>
    <row r="11" spans="1:7" x14ac:dyDescent="0.25">
      <c r="A11" s="6" t="s">
        <v>24</v>
      </c>
      <c r="B11" s="7">
        <f ca="1">SUMIFS(DB_Savings!$F:$F,DB_Savings!$G:$G,"Agent 08",DB_Savings!$E:$E,TODAY())</f>
        <v>0</v>
      </c>
      <c r="C11" s="7">
        <f ca="1">SUMIFS(DB_Withdrawals!$G:$G,DB_Withdrawals!$J:$J,"Agent 08",DB_Withdrawals!$F:$F,TODAY())</f>
        <v>0</v>
      </c>
      <c r="D11" s="7">
        <f t="shared" ca="1" si="0"/>
        <v>0</v>
      </c>
      <c r="E11" s="8">
        <f ca="1">COUNTIFS(DB_Savings!$G:$G,"Agent 08",DB_Savings!$E:$E,TODAY())+COUNTIFS(DB_Withdrawals!$J:$J,"Agent 08",DB_Withdrawals!$F:$F,TODAY())</f>
        <v>0</v>
      </c>
      <c r="F11" s="7">
        <v>5000</v>
      </c>
      <c r="G11" s="8" t="str">
        <f t="shared" ca="1" si="1"/>
        <v>❌ Low</v>
      </c>
    </row>
    <row r="12" spans="1:7" x14ac:dyDescent="0.25">
      <c r="A12" s="2" t="s">
        <v>25</v>
      </c>
      <c r="B12" s="3">
        <f ca="1">SUMIFS(DB_Savings!$F:$F,DB_Savings!$G:$G,"Agent 09",DB_Savings!$E:$E,TODAY())</f>
        <v>0</v>
      </c>
      <c r="C12" s="3">
        <f ca="1">SUMIFS(DB_Withdrawals!$G:$G,DB_Withdrawals!$J:$J,"Agent 09",DB_Withdrawals!$F:$F,TODAY())</f>
        <v>0</v>
      </c>
      <c r="D12" s="3">
        <f t="shared" ca="1" si="0"/>
        <v>0</v>
      </c>
      <c r="E12" s="4">
        <f ca="1">COUNTIFS(DB_Savings!$G:$G,"Agent 09",DB_Savings!$E:$E,TODAY())+COUNTIFS(DB_Withdrawals!$J:$J,"Agent 09",DB_Withdrawals!$F:$F,TODAY())</f>
        <v>0</v>
      </c>
      <c r="F12" s="3">
        <v>5000</v>
      </c>
      <c r="G12" s="4" t="str">
        <f t="shared" ca="1" si="1"/>
        <v>❌ Low</v>
      </c>
    </row>
    <row r="13" spans="1:7" x14ac:dyDescent="0.25">
      <c r="A13" s="6" t="s">
        <v>26</v>
      </c>
      <c r="B13" s="7">
        <f ca="1">SUMIFS(DB_Savings!$F:$F,DB_Savings!$G:$G,"Agent 10",DB_Savings!$E:$E,TODAY())</f>
        <v>0</v>
      </c>
      <c r="C13" s="7">
        <f ca="1">SUMIFS(DB_Withdrawals!$G:$G,DB_Withdrawals!$J:$J,"Agent 10",DB_Withdrawals!$F:$F,TODAY())</f>
        <v>0</v>
      </c>
      <c r="D13" s="7">
        <f t="shared" ca="1" si="0"/>
        <v>0</v>
      </c>
      <c r="E13" s="8">
        <f ca="1">COUNTIFS(DB_Savings!$G:$G,"Agent 10",DB_Savings!$E:$E,TODAY())+COUNTIFS(DB_Withdrawals!$J:$J,"Agent 10",DB_Withdrawals!$F:$F,TODAY())</f>
        <v>0</v>
      </c>
      <c r="F13" s="7">
        <v>5000</v>
      </c>
      <c r="G13" s="8" t="str">
        <f t="shared" ca="1" si="1"/>
        <v>❌ Low</v>
      </c>
    </row>
    <row r="14" spans="1:7" x14ac:dyDescent="0.25">
      <c r="A14" s="10" t="s">
        <v>194</v>
      </c>
      <c r="B14" s="11">
        <f ca="1">SUM(B4:B13)</f>
        <v>0</v>
      </c>
      <c r="C14" s="11">
        <f ca="1">SUM(C4:C13)</f>
        <v>0</v>
      </c>
      <c r="D14" s="11">
        <f t="shared" ca="1" si="0"/>
        <v>0</v>
      </c>
      <c r="E14" s="10">
        <f ca="1">SUM(E4:E13)</f>
        <v>0</v>
      </c>
      <c r="F14" s="10"/>
      <c r="G14" s="10"/>
    </row>
    <row r="15" spans="1:7" ht="7.5" customHeight="1" x14ac:dyDescent="0.25"/>
  </sheetData>
  <mergeCells count="2">
    <mergeCell ref="A1:G1"/>
    <mergeCell ref="A2:G2"/>
  </mergeCells>
  <conditionalFormatting sqref="D4:D13">
    <cfRule type="cellIs" dxfId="2" priority="2" operator="greaterThan">
      <formula>0</formula>
    </cfRule>
    <cfRule type="cellIs" dxfId="1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2E86AB"/>
  </sheetPr>
  <dimension ref="A1:H1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8.7109375" defaultRowHeight="15" x14ac:dyDescent="0.25"/>
  <cols>
    <col min="1" max="1" width="14" customWidth="1"/>
    <col min="2" max="7" width="13" customWidth="1"/>
    <col min="8" max="8" width="16" customWidth="1"/>
  </cols>
  <sheetData>
    <row r="1" spans="1:8" ht="31.5" customHeight="1" x14ac:dyDescent="0.25">
      <c r="A1" s="115" t="s">
        <v>195</v>
      </c>
      <c r="B1" s="115"/>
      <c r="C1" s="115"/>
      <c r="D1" s="115"/>
      <c r="E1" s="115"/>
      <c r="F1" s="115"/>
      <c r="G1" s="115"/>
      <c r="H1" s="115"/>
    </row>
    <row r="2" spans="1:8" ht="19.5" customHeight="1" x14ac:dyDescent="0.25">
      <c r="A2" s="116" t="str">
        <f ca="1">TEXT(TODAY()-WEEKDAY(TODAY(),2)+1,"DD MMM")&amp;" – "&amp;TEXT(TODAY()-WEEKDAY(TODAY(),2)+7,"DD MMM YYYY")</f>
        <v>13 Apr – 19 Apr 2026</v>
      </c>
      <c r="B2" s="116"/>
      <c r="C2" s="116"/>
      <c r="D2" s="116"/>
      <c r="E2" s="116"/>
      <c r="F2" s="116"/>
      <c r="G2" s="116"/>
      <c r="H2" s="116"/>
    </row>
    <row r="3" spans="1:8" ht="18" customHeight="1" x14ac:dyDescent="0.25">
      <c r="A3" s="82" t="s">
        <v>196</v>
      </c>
      <c r="B3" s="82"/>
      <c r="C3" s="83" t="s">
        <v>32</v>
      </c>
      <c r="D3" s="83"/>
      <c r="E3" s="84" t="s">
        <v>197</v>
      </c>
      <c r="F3" s="84"/>
      <c r="G3" s="103" t="s">
        <v>12</v>
      </c>
      <c r="H3" s="103"/>
    </row>
    <row r="4" spans="1:8" ht="27.75" customHeight="1" x14ac:dyDescent="0.25">
      <c r="A4" s="111">
        <f ca="1">Daily_Balancing!B14</f>
        <v>0</v>
      </c>
      <c r="B4" s="111"/>
      <c r="C4" s="112">
        <f ca="1">Daily_Balancing!C14</f>
        <v>0</v>
      </c>
      <c r="D4" s="112"/>
      <c r="E4" s="113">
        <f ca="1">Daily_Balancing!D14</f>
        <v>0</v>
      </c>
      <c r="F4" s="113"/>
      <c r="G4" s="114">
        <f ca="1">Daily_Balancing!E14</f>
        <v>0</v>
      </c>
      <c r="H4" s="114"/>
    </row>
    <row r="6" spans="1:8" x14ac:dyDescent="0.25">
      <c r="A6" s="66" t="s">
        <v>198</v>
      </c>
      <c r="B6" s="66"/>
      <c r="C6" s="66"/>
      <c r="D6" s="66"/>
      <c r="E6" s="66"/>
      <c r="F6" s="66"/>
      <c r="G6" s="66"/>
      <c r="H6" s="66"/>
    </row>
    <row r="7" spans="1:8" x14ac:dyDescent="0.25">
      <c r="A7" s="1" t="s">
        <v>8</v>
      </c>
      <c r="B7" s="1" t="s">
        <v>199</v>
      </c>
      <c r="C7" s="1" t="s">
        <v>200</v>
      </c>
      <c r="D7" s="1" t="s">
        <v>201</v>
      </c>
      <c r="E7" s="1" t="s">
        <v>202</v>
      </c>
      <c r="F7" s="1" t="s">
        <v>203</v>
      </c>
      <c r="G7" s="1" t="s">
        <v>204</v>
      </c>
      <c r="H7" s="1" t="s">
        <v>205</v>
      </c>
    </row>
    <row r="8" spans="1:8" x14ac:dyDescent="0.25">
      <c r="A8" s="2" t="s">
        <v>17</v>
      </c>
      <c r="B8" s="3">
        <f ca="1">IFERROR(Daily_Balancing!B4/5,0)</f>
        <v>0</v>
      </c>
      <c r="C8" s="3">
        <f ca="1">IFERROR(Daily_Balancing!B4/5,0)</f>
        <v>0</v>
      </c>
      <c r="D8" s="3">
        <f ca="1">IFERROR(Daily_Balancing!B4/5,0)</f>
        <v>0</v>
      </c>
      <c r="E8" s="3">
        <f ca="1">IFERROR(Daily_Balancing!B4/5,0)</f>
        <v>0</v>
      </c>
      <c r="F8" s="3">
        <f ca="1">IFERROR(Daily_Balancing!B4/5,0)</f>
        <v>0</v>
      </c>
      <c r="G8" s="3">
        <f ca="1">IFERROR(Daily_Balancing!B4/5,0)</f>
        <v>0</v>
      </c>
      <c r="H8" s="3">
        <f t="shared" ref="H8:H17" ca="1" si="0">SUM(B8:G8)</f>
        <v>0</v>
      </c>
    </row>
    <row r="9" spans="1:8" x14ac:dyDescent="0.25">
      <c r="A9" s="6" t="s">
        <v>18</v>
      </c>
      <c r="B9" s="7">
        <f ca="1">IFERROR(Daily_Balancing!B5/5,0)</f>
        <v>0</v>
      </c>
      <c r="C9" s="7">
        <f ca="1">IFERROR(Daily_Balancing!B5/5,0)</f>
        <v>0</v>
      </c>
      <c r="D9" s="7">
        <f ca="1">IFERROR(Daily_Balancing!B5/5,0)</f>
        <v>0</v>
      </c>
      <c r="E9" s="7">
        <f ca="1">IFERROR(Daily_Balancing!B5/5,0)</f>
        <v>0</v>
      </c>
      <c r="F9" s="7">
        <f ca="1">IFERROR(Daily_Balancing!B5/5,0)</f>
        <v>0</v>
      </c>
      <c r="G9" s="7">
        <f ca="1">IFERROR(Daily_Balancing!B5/5,0)</f>
        <v>0</v>
      </c>
      <c r="H9" s="7">
        <f t="shared" ca="1" si="0"/>
        <v>0</v>
      </c>
    </row>
    <row r="10" spans="1:8" x14ac:dyDescent="0.25">
      <c r="A10" s="2" t="s">
        <v>19</v>
      </c>
      <c r="B10" s="3">
        <f ca="1">IFERROR(Daily_Balancing!B6/5,0)</f>
        <v>0</v>
      </c>
      <c r="C10" s="3">
        <f ca="1">IFERROR(Daily_Balancing!B6/5,0)</f>
        <v>0</v>
      </c>
      <c r="D10" s="3">
        <f ca="1">IFERROR(Daily_Balancing!B6/5,0)</f>
        <v>0</v>
      </c>
      <c r="E10" s="3">
        <f ca="1">IFERROR(Daily_Balancing!B6/5,0)</f>
        <v>0</v>
      </c>
      <c r="F10" s="3">
        <f ca="1">IFERROR(Daily_Balancing!B6/5,0)</f>
        <v>0</v>
      </c>
      <c r="G10" s="3">
        <f ca="1">IFERROR(Daily_Balancing!B6/5,0)</f>
        <v>0</v>
      </c>
      <c r="H10" s="3">
        <f t="shared" ca="1" si="0"/>
        <v>0</v>
      </c>
    </row>
    <row r="11" spans="1:8" x14ac:dyDescent="0.25">
      <c r="A11" s="6" t="s">
        <v>20</v>
      </c>
      <c r="B11" s="7">
        <f ca="1">IFERROR(Daily_Balancing!B7/5,0)</f>
        <v>0</v>
      </c>
      <c r="C11" s="7">
        <f ca="1">IFERROR(Daily_Balancing!B7/5,0)</f>
        <v>0</v>
      </c>
      <c r="D11" s="7">
        <f ca="1">IFERROR(Daily_Balancing!B7/5,0)</f>
        <v>0</v>
      </c>
      <c r="E11" s="7">
        <f ca="1">IFERROR(Daily_Balancing!B7/5,0)</f>
        <v>0</v>
      </c>
      <c r="F11" s="7">
        <f ca="1">IFERROR(Daily_Balancing!B7/5,0)</f>
        <v>0</v>
      </c>
      <c r="G11" s="7">
        <f ca="1">IFERROR(Daily_Balancing!B7/5,0)</f>
        <v>0</v>
      </c>
      <c r="H11" s="7">
        <f t="shared" ca="1" si="0"/>
        <v>0</v>
      </c>
    </row>
    <row r="12" spans="1:8" x14ac:dyDescent="0.25">
      <c r="A12" s="2" t="s">
        <v>21</v>
      </c>
      <c r="B12" s="3">
        <f ca="1">IFERROR(Daily_Balancing!B8/5,0)</f>
        <v>0</v>
      </c>
      <c r="C12" s="3">
        <f ca="1">IFERROR(Daily_Balancing!B8/5,0)</f>
        <v>0</v>
      </c>
      <c r="D12" s="3">
        <f ca="1">IFERROR(Daily_Balancing!B8/5,0)</f>
        <v>0</v>
      </c>
      <c r="E12" s="3">
        <f ca="1">IFERROR(Daily_Balancing!B8/5,0)</f>
        <v>0</v>
      </c>
      <c r="F12" s="3">
        <f ca="1">IFERROR(Daily_Balancing!B8/5,0)</f>
        <v>0</v>
      </c>
      <c r="G12" s="3">
        <f ca="1">IFERROR(Daily_Balancing!B8/5,0)</f>
        <v>0</v>
      </c>
      <c r="H12" s="3">
        <f t="shared" ca="1" si="0"/>
        <v>0</v>
      </c>
    </row>
    <row r="13" spans="1:8" x14ac:dyDescent="0.25">
      <c r="A13" s="6" t="s">
        <v>22</v>
      </c>
      <c r="B13" s="7">
        <f ca="1">IFERROR(Daily_Balancing!B9/5,0)</f>
        <v>0</v>
      </c>
      <c r="C13" s="7">
        <f ca="1">IFERROR(Daily_Balancing!B9/5,0)</f>
        <v>0</v>
      </c>
      <c r="D13" s="7">
        <f ca="1">IFERROR(Daily_Balancing!B9/5,0)</f>
        <v>0</v>
      </c>
      <c r="E13" s="7">
        <f ca="1">IFERROR(Daily_Balancing!B9/5,0)</f>
        <v>0</v>
      </c>
      <c r="F13" s="7">
        <f ca="1">IFERROR(Daily_Balancing!B9/5,0)</f>
        <v>0</v>
      </c>
      <c r="G13" s="7">
        <f ca="1">IFERROR(Daily_Balancing!B9/5,0)</f>
        <v>0</v>
      </c>
      <c r="H13" s="7">
        <f t="shared" ca="1" si="0"/>
        <v>0</v>
      </c>
    </row>
    <row r="14" spans="1:8" x14ac:dyDescent="0.25">
      <c r="A14" s="2" t="s">
        <v>23</v>
      </c>
      <c r="B14" s="3">
        <f ca="1">IFERROR(Daily_Balancing!B10/5,0)</f>
        <v>0</v>
      </c>
      <c r="C14" s="3">
        <f ca="1">IFERROR(Daily_Balancing!B10/5,0)</f>
        <v>0</v>
      </c>
      <c r="D14" s="3">
        <f ca="1">IFERROR(Daily_Balancing!B10/5,0)</f>
        <v>0</v>
      </c>
      <c r="E14" s="3">
        <f ca="1">IFERROR(Daily_Balancing!B10/5,0)</f>
        <v>0</v>
      </c>
      <c r="F14" s="3">
        <f ca="1">IFERROR(Daily_Balancing!B10/5,0)</f>
        <v>0</v>
      </c>
      <c r="G14" s="3">
        <f ca="1">IFERROR(Daily_Balancing!B10/5,0)</f>
        <v>0</v>
      </c>
      <c r="H14" s="3">
        <f t="shared" ca="1" si="0"/>
        <v>0</v>
      </c>
    </row>
    <row r="15" spans="1:8" x14ac:dyDescent="0.25">
      <c r="A15" s="6" t="s">
        <v>24</v>
      </c>
      <c r="B15" s="7">
        <f ca="1">IFERROR(Daily_Balancing!B11/5,0)</f>
        <v>0</v>
      </c>
      <c r="C15" s="7">
        <f ca="1">IFERROR(Daily_Balancing!B11/5,0)</f>
        <v>0</v>
      </c>
      <c r="D15" s="7">
        <f ca="1">IFERROR(Daily_Balancing!B11/5,0)</f>
        <v>0</v>
      </c>
      <c r="E15" s="7">
        <f ca="1">IFERROR(Daily_Balancing!B11/5,0)</f>
        <v>0</v>
      </c>
      <c r="F15" s="7">
        <f ca="1">IFERROR(Daily_Balancing!B11/5,0)</f>
        <v>0</v>
      </c>
      <c r="G15" s="7">
        <f ca="1">IFERROR(Daily_Balancing!B11/5,0)</f>
        <v>0</v>
      </c>
      <c r="H15" s="7">
        <f t="shared" ca="1" si="0"/>
        <v>0</v>
      </c>
    </row>
    <row r="16" spans="1:8" x14ac:dyDescent="0.25">
      <c r="A16" s="2" t="s">
        <v>25</v>
      </c>
      <c r="B16" s="3">
        <f ca="1">IFERROR(Daily_Balancing!B12/5,0)</f>
        <v>0</v>
      </c>
      <c r="C16" s="3">
        <f ca="1">IFERROR(Daily_Balancing!B12/5,0)</f>
        <v>0</v>
      </c>
      <c r="D16" s="3">
        <f ca="1">IFERROR(Daily_Balancing!B12/5,0)</f>
        <v>0</v>
      </c>
      <c r="E16" s="3">
        <f ca="1">IFERROR(Daily_Balancing!B12/5,0)</f>
        <v>0</v>
      </c>
      <c r="F16" s="3">
        <f ca="1">IFERROR(Daily_Balancing!B12/5,0)</f>
        <v>0</v>
      </c>
      <c r="G16" s="3">
        <f ca="1">IFERROR(Daily_Balancing!B12/5,0)</f>
        <v>0</v>
      </c>
      <c r="H16" s="3">
        <f t="shared" ca="1" si="0"/>
        <v>0</v>
      </c>
    </row>
    <row r="17" spans="1:8" x14ac:dyDescent="0.25">
      <c r="A17" s="6" t="s">
        <v>26</v>
      </c>
      <c r="B17" s="7">
        <f ca="1">IFERROR(Daily_Balancing!B13/5,0)</f>
        <v>0</v>
      </c>
      <c r="C17" s="7">
        <f ca="1">IFERROR(Daily_Balancing!B13/5,0)</f>
        <v>0</v>
      </c>
      <c r="D17" s="7">
        <f ca="1">IFERROR(Daily_Balancing!B13/5,0)</f>
        <v>0</v>
      </c>
      <c r="E17" s="7">
        <f ca="1">IFERROR(Daily_Balancing!B13/5,0)</f>
        <v>0</v>
      </c>
      <c r="F17" s="7">
        <f ca="1">IFERROR(Daily_Balancing!B13/5,0)</f>
        <v>0</v>
      </c>
      <c r="G17" s="7">
        <f ca="1">IFERROR(Daily_Balancing!B13/5,0)</f>
        <v>0</v>
      </c>
      <c r="H17" s="7">
        <f t="shared" ca="1" si="0"/>
        <v>0</v>
      </c>
    </row>
    <row r="18" spans="1:8" x14ac:dyDescent="0.25">
      <c r="A18" s="10" t="s">
        <v>206</v>
      </c>
      <c r="B18" s="11">
        <f t="shared" ref="B18:H18" ca="1" si="1">SUM(B8:B17)</f>
        <v>0</v>
      </c>
      <c r="C18" s="11">
        <f t="shared" ca="1" si="1"/>
        <v>0</v>
      </c>
      <c r="D18" s="11">
        <f t="shared" ca="1" si="1"/>
        <v>0</v>
      </c>
      <c r="E18" s="11">
        <f t="shared" ca="1" si="1"/>
        <v>0</v>
      </c>
      <c r="F18" s="11">
        <f t="shared" ca="1" si="1"/>
        <v>0</v>
      </c>
      <c r="G18" s="11">
        <f t="shared" ca="1" si="1"/>
        <v>0</v>
      </c>
      <c r="H18" s="11">
        <f t="shared" ca="1" si="1"/>
        <v>0</v>
      </c>
    </row>
  </sheetData>
  <mergeCells count="11">
    <mergeCell ref="A1:H1"/>
    <mergeCell ref="A2:H2"/>
    <mergeCell ref="A3:B3"/>
    <mergeCell ref="C3:D3"/>
    <mergeCell ref="E3:F3"/>
    <mergeCell ref="G3:H3"/>
    <mergeCell ref="A4:B4"/>
    <mergeCell ref="C4:D4"/>
    <mergeCell ref="E4:F4"/>
    <mergeCell ref="G4:H4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8E44AD"/>
  </sheetPr>
  <dimension ref="A1:I2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8.7109375" defaultRowHeight="15" x14ac:dyDescent="0.25"/>
  <cols>
    <col min="1" max="1" width="10" customWidth="1"/>
    <col min="2" max="3" width="18" customWidth="1"/>
    <col min="4" max="4" width="15" customWidth="1"/>
    <col min="5" max="5" width="12" customWidth="1"/>
    <col min="6" max="6" width="10" customWidth="1"/>
    <col min="7" max="7" width="16" customWidth="1"/>
    <col min="8" max="9" width="10" customWidth="1"/>
  </cols>
  <sheetData>
    <row r="1" spans="1:9" ht="31.5" customHeight="1" x14ac:dyDescent="0.25">
      <c r="A1" s="117" t="s">
        <v>207</v>
      </c>
      <c r="B1" s="117"/>
      <c r="C1" s="117"/>
      <c r="D1" s="117"/>
      <c r="E1" s="117"/>
      <c r="F1" s="117"/>
      <c r="G1" s="117"/>
      <c r="H1" s="117"/>
      <c r="I1" s="117"/>
    </row>
    <row r="2" spans="1:9" ht="19.5" customHeight="1" x14ac:dyDescent="0.25">
      <c r="A2" s="118" t="s">
        <v>208</v>
      </c>
      <c r="B2" s="118"/>
      <c r="C2" s="118"/>
      <c r="D2" s="118"/>
      <c r="E2" s="118"/>
      <c r="F2" s="118"/>
      <c r="G2" s="118"/>
      <c r="H2" s="118"/>
      <c r="I2" s="118"/>
    </row>
    <row r="3" spans="1:9" ht="18" customHeight="1" x14ac:dyDescent="0.25">
      <c r="A3" s="47" t="s">
        <v>15</v>
      </c>
      <c r="B3" s="47" t="s">
        <v>209</v>
      </c>
      <c r="C3" s="47" t="s">
        <v>210</v>
      </c>
      <c r="D3" s="47" t="s">
        <v>211</v>
      </c>
      <c r="E3" s="47" t="s">
        <v>212</v>
      </c>
    </row>
    <row r="4" spans="1:9" ht="31.5" customHeight="1" x14ac:dyDescent="0.25">
      <c r="A4" s="48">
        <f ca="1">Daily_Balancing!B14</f>
        <v>0</v>
      </c>
      <c r="B4" s="48">
        <f ca="1">Daily_Balancing!C14</f>
        <v>0</v>
      </c>
      <c r="C4" s="48">
        <f ca="1">Daily_Balancing!D14</f>
        <v>0</v>
      </c>
      <c r="D4" s="49">
        <f ca="1">COUNTIF(DB_Customers!J2:J2000,"&gt;="&amp;DATE(YEAR(TODAY()),MONTH(TODAY()),1))</f>
        <v>0</v>
      </c>
      <c r="E4" s="49">
        <f>COUNTIF(DB_Loans!K2:K500,"Approved")</f>
        <v>2</v>
      </c>
    </row>
    <row r="6" spans="1:9" x14ac:dyDescent="0.25">
      <c r="A6" s="66" t="s">
        <v>213</v>
      </c>
      <c r="B6" s="66"/>
      <c r="C6" s="66"/>
      <c r="D6" s="66"/>
      <c r="E6" s="66"/>
      <c r="F6" s="66"/>
      <c r="G6" s="66"/>
      <c r="H6" s="66"/>
      <c r="I6" s="66"/>
    </row>
    <row r="7" spans="1:9" x14ac:dyDescent="0.25">
      <c r="A7" s="50" t="s">
        <v>214</v>
      </c>
      <c r="B7" s="50" t="s">
        <v>215</v>
      </c>
      <c r="C7" s="50" t="s">
        <v>216</v>
      </c>
      <c r="D7" s="50" t="s">
        <v>11</v>
      </c>
      <c r="E7" s="50" t="s">
        <v>217</v>
      </c>
      <c r="F7" s="50" t="s">
        <v>218</v>
      </c>
      <c r="G7" s="50" t="s">
        <v>219</v>
      </c>
      <c r="H7" s="50" t="s">
        <v>220</v>
      </c>
      <c r="I7" s="50" t="s">
        <v>221</v>
      </c>
    </row>
    <row r="8" spans="1:9" x14ac:dyDescent="0.25">
      <c r="A8" s="8" t="s">
        <v>222</v>
      </c>
      <c r="B8" s="7">
        <v>107824.22</v>
      </c>
      <c r="C8" s="7">
        <v>37455.75</v>
      </c>
      <c r="D8" s="7">
        <v>70368.47</v>
      </c>
      <c r="E8" s="8">
        <v>8</v>
      </c>
      <c r="F8" s="8">
        <v>12</v>
      </c>
      <c r="G8" s="7">
        <v>2695.61</v>
      </c>
      <c r="H8" s="8" t="s">
        <v>223</v>
      </c>
      <c r="I8" s="8" t="s">
        <v>224</v>
      </c>
    </row>
    <row r="9" spans="1:9" x14ac:dyDescent="0.25">
      <c r="A9" s="4" t="s">
        <v>225</v>
      </c>
      <c r="B9" s="3">
        <v>133790.85</v>
      </c>
      <c r="C9" s="3">
        <v>40398.620000000003</v>
      </c>
      <c r="D9" s="3">
        <v>93392.23</v>
      </c>
      <c r="E9" s="4">
        <v>13</v>
      </c>
      <c r="F9" s="4">
        <v>12</v>
      </c>
      <c r="G9" s="3">
        <v>3344.77</v>
      </c>
      <c r="H9" s="4" t="s">
        <v>226</v>
      </c>
      <c r="I9" s="4" t="s">
        <v>224</v>
      </c>
    </row>
    <row r="10" spans="1:9" x14ac:dyDescent="0.25">
      <c r="A10" s="8" t="s">
        <v>227</v>
      </c>
      <c r="B10" s="7">
        <v>95687.1</v>
      </c>
      <c r="C10" s="7">
        <v>51481.08</v>
      </c>
      <c r="D10" s="7">
        <v>44206.02</v>
      </c>
      <c r="E10" s="8">
        <v>7</v>
      </c>
      <c r="F10" s="8">
        <v>11</v>
      </c>
      <c r="G10" s="7">
        <v>2392.1799999999998</v>
      </c>
      <c r="H10" s="8" t="s">
        <v>228</v>
      </c>
      <c r="I10" s="8" t="s">
        <v>229</v>
      </c>
    </row>
    <row r="11" spans="1:9" x14ac:dyDescent="0.25">
      <c r="A11" s="4" t="s">
        <v>230</v>
      </c>
      <c r="B11" s="3">
        <v>108714.02</v>
      </c>
      <c r="C11" s="3">
        <v>50819.15</v>
      </c>
      <c r="D11" s="3">
        <v>57894.87</v>
      </c>
      <c r="E11" s="4">
        <v>7</v>
      </c>
      <c r="F11" s="4">
        <v>6</v>
      </c>
      <c r="G11" s="3">
        <v>2717.85</v>
      </c>
      <c r="H11" s="4" t="s">
        <v>231</v>
      </c>
      <c r="I11" s="4" t="s">
        <v>224</v>
      </c>
    </row>
    <row r="12" spans="1:9" x14ac:dyDescent="0.25">
      <c r="A12" s="8" t="s">
        <v>232</v>
      </c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4" t="s">
        <v>233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8" t="s">
        <v>234</v>
      </c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4" t="s">
        <v>235</v>
      </c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8" t="s">
        <v>236</v>
      </c>
      <c r="B16" s="8"/>
      <c r="C16" s="8"/>
      <c r="D16" s="8"/>
      <c r="E16" s="8"/>
      <c r="F16" s="8"/>
      <c r="G16" s="8"/>
      <c r="H16" s="8"/>
      <c r="I16" s="8"/>
    </row>
    <row r="17" spans="1:9" x14ac:dyDescent="0.25">
      <c r="A17" s="4" t="s">
        <v>237</v>
      </c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8" t="s">
        <v>238</v>
      </c>
      <c r="B18" s="8"/>
      <c r="C18" s="8"/>
      <c r="D18" s="8"/>
      <c r="E18" s="8"/>
      <c r="F18" s="8"/>
      <c r="G18" s="8"/>
      <c r="H18" s="8"/>
      <c r="I18" s="8"/>
    </row>
    <row r="19" spans="1:9" x14ac:dyDescent="0.25">
      <c r="A19" s="4" t="s">
        <v>239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10" t="s">
        <v>240</v>
      </c>
      <c r="B20" s="11">
        <f t="shared" ref="B20:G20" si="0">SUM(B8:B19)</f>
        <v>446016.19000000006</v>
      </c>
      <c r="C20" s="11">
        <f t="shared" si="0"/>
        <v>180154.6</v>
      </c>
      <c r="D20" s="11">
        <f t="shared" si="0"/>
        <v>265861.59000000003</v>
      </c>
      <c r="E20" s="11">
        <f t="shared" si="0"/>
        <v>35</v>
      </c>
      <c r="F20" s="11">
        <f t="shared" si="0"/>
        <v>41</v>
      </c>
      <c r="G20" s="11">
        <f t="shared" si="0"/>
        <v>11150.41</v>
      </c>
      <c r="H20" s="10"/>
      <c r="I20" s="10"/>
    </row>
  </sheetData>
  <mergeCells count="3">
    <mergeCell ref="A1:I1"/>
    <mergeCell ref="A2:I2"/>
    <mergeCell ref="A6:I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2E86AB"/>
  </sheetPr>
  <dimension ref="A1:D1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20" customWidth="1"/>
    <col min="3" max="3" width="12" customWidth="1"/>
    <col min="4" max="4" width="28" customWidth="1"/>
  </cols>
  <sheetData>
    <row r="1" spans="1:4" ht="31.5" customHeight="1" x14ac:dyDescent="0.25">
      <c r="A1" s="101" t="s">
        <v>241</v>
      </c>
      <c r="B1" s="101"/>
      <c r="C1" s="101"/>
      <c r="D1" s="101"/>
    </row>
    <row r="2" spans="1:4" ht="19.5" customHeight="1" x14ac:dyDescent="0.25">
      <c r="A2" s="119" t="s">
        <v>242</v>
      </c>
      <c r="B2" s="119"/>
      <c r="C2" s="119"/>
      <c r="D2" s="119"/>
    </row>
    <row r="3" spans="1:4" x14ac:dyDescent="0.25">
      <c r="A3" s="1" t="s">
        <v>243</v>
      </c>
      <c r="B3" s="1" t="s">
        <v>244</v>
      </c>
      <c r="C3" s="1" t="s">
        <v>91</v>
      </c>
      <c r="D3" s="1" t="s">
        <v>245</v>
      </c>
    </row>
    <row r="4" spans="1:4" x14ac:dyDescent="0.25">
      <c r="A4" s="4" t="s">
        <v>246</v>
      </c>
      <c r="B4" s="4" t="s">
        <v>17</v>
      </c>
      <c r="C4" s="4" t="s">
        <v>247</v>
      </c>
      <c r="D4" s="4" t="s">
        <v>248</v>
      </c>
    </row>
    <row r="5" spans="1:4" x14ac:dyDescent="0.25">
      <c r="A5" s="8" t="s">
        <v>249</v>
      </c>
      <c r="B5" s="8" t="s">
        <v>18</v>
      </c>
      <c r="C5" s="8" t="s">
        <v>247</v>
      </c>
      <c r="D5" s="8" t="s">
        <v>250</v>
      </c>
    </row>
    <row r="6" spans="1:4" x14ac:dyDescent="0.25">
      <c r="A6" s="4" t="s">
        <v>251</v>
      </c>
      <c r="B6" s="4" t="s">
        <v>19</v>
      </c>
      <c r="C6" s="4" t="s">
        <v>247</v>
      </c>
      <c r="D6" s="4" t="s">
        <v>252</v>
      </c>
    </row>
    <row r="7" spans="1:4" x14ac:dyDescent="0.25">
      <c r="A7" s="8" t="s">
        <v>253</v>
      </c>
      <c r="B7" s="8" t="s">
        <v>20</v>
      </c>
      <c r="C7" s="8" t="s">
        <v>247</v>
      </c>
      <c r="D7" s="8" t="s">
        <v>254</v>
      </c>
    </row>
    <row r="8" spans="1:4" x14ac:dyDescent="0.25">
      <c r="A8" s="4" t="s">
        <v>255</v>
      </c>
      <c r="B8" s="4" t="s">
        <v>21</v>
      </c>
      <c r="C8" s="4" t="s">
        <v>247</v>
      </c>
      <c r="D8" s="4" t="s">
        <v>256</v>
      </c>
    </row>
    <row r="9" spans="1:4" x14ac:dyDescent="0.25">
      <c r="A9" s="8" t="s">
        <v>257</v>
      </c>
      <c r="B9" s="8" t="s">
        <v>22</v>
      </c>
      <c r="C9" s="8" t="s">
        <v>247</v>
      </c>
      <c r="D9" s="8" t="s">
        <v>258</v>
      </c>
    </row>
    <row r="10" spans="1:4" x14ac:dyDescent="0.25">
      <c r="A10" s="4" t="s">
        <v>259</v>
      </c>
      <c r="B10" s="4" t="s">
        <v>23</v>
      </c>
      <c r="C10" s="4" t="s">
        <v>247</v>
      </c>
      <c r="D10" s="4" t="s">
        <v>260</v>
      </c>
    </row>
    <row r="11" spans="1:4" x14ac:dyDescent="0.25">
      <c r="A11" s="8" t="s">
        <v>261</v>
      </c>
      <c r="B11" s="8" t="s">
        <v>24</v>
      </c>
      <c r="C11" s="8" t="s">
        <v>247</v>
      </c>
      <c r="D11" s="8" t="s">
        <v>262</v>
      </c>
    </row>
    <row r="12" spans="1:4" x14ac:dyDescent="0.25">
      <c r="A12" s="4" t="s">
        <v>263</v>
      </c>
      <c r="B12" s="4" t="s">
        <v>25</v>
      </c>
      <c r="C12" s="4" t="s">
        <v>247</v>
      </c>
      <c r="D12" s="4" t="s">
        <v>264</v>
      </c>
    </row>
    <row r="13" spans="1:4" x14ac:dyDescent="0.25">
      <c r="A13" s="8" t="s">
        <v>265</v>
      </c>
      <c r="B13" s="8" t="s">
        <v>26</v>
      </c>
      <c r="C13" s="8" t="s">
        <v>247</v>
      </c>
      <c r="D13" s="8" t="s">
        <v>266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0392B"/>
  </sheetPr>
  <dimension ref="A1:N2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3" width="14" customWidth="1"/>
    <col min="4" max="4" width="22" customWidth="1"/>
    <col min="5" max="5" width="14" customWidth="1"/>
    <col min="6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0" customWidth="1"/>
    <col min="12" max="12" width="16" customWidth="1"/>
    <col min="13" max="13" width="18" customWidth="1"/>
    <col min="14" max="14" width="16" customWidth="1"/>
  </cols>
  <sheetData>
    <row r="1" spans="1:14" ht="31.5" customHeight="1" x14ac:dyDescent="0.25">
      <c r="A1" s="109" t="s">
        <v>267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4" ht="19.5" customHeight="1" x14ac:dyDescent="0.25">
      <c r="A2" s="110" t="s">
        <v>268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4" x14ac:dyDescent="0.25">
      <c r="A3" s="1" t="s">
        <v>269</v>
      </c>
      <c r="B3" s="1" t="s">
        <v>270</v>
      </c>
      <c r="C3" s="1" t="s">
        <v>271</v>
      </c>
      <c r="D3" s="1" t="s">
        <v>272</v>
      </c>
      <c r="E3" s="1" t="s">
        <v>273</v>
      </c>
      <c r="F3" s="1" t="s">
        <v>274</v>
      </c>
      <c r="G3" s="1" t="s">
        <v>275</v>
      </c>
      <c r="H3" s="1" t="s">
        <v>276</v>
      </c>
      <c r="I3" s="1" t="s">
        <v>277</v>
      </c>
      <c r="J3" s="1" t="s">
        <v>278</v>
      </c>
      <c r="K3" s="1" t="s">
        <v>91</v>
      </c>
      <c r="L3" s="1" t="s">
        <v>279</v>
      </c>
      <c r="M3" s="1" t="s">
        <v>280</v>
      </c>
      <c r="N3" s="1" t="s">
        <v>281</v>
      </c>
    </row>
    <row r="4" spans="1:14" x14ac:dyDescent="0.25">
      <c r="A4" s="8" t="s">
        <v>94</v>
      </c>
      <c r="B4" s="8" t="s">
        <v>282</v>
      </c>
      <c r="C4" s="8" t="s">
        <v>283</v>
      </c>
      <c r="D4" s="6" t="s">
        <v>284</v>
      </c>
      <c r="E4" s="8" t="s">
        <v>42</v>
      </c>
      <c r="F4" s="8" t="s">
        <v>285</v>
      </c>
      <c r="G4" s="6" t="s">
        <v>286</v>
      </c>
      <c r="H4" s="8" t="s">
        <v>17</v>
      </c>
      <c r="I4" s="7">
        <v>500</v>
      </c>
      <c r="J4" s="51" t="s">
        <v>287</v>
      </c>
      <c r="K4" s="8" t="s">
        <v>247</v>
      </c>
      <c r="L4" s="7">
        <f>SUMIF(DB_Savings!$C:$C,A4,DB_Savings!$F:$F)</f>
        <v>981.73</v>
      </c>
      <c r="M4" s="7">
        <f>SUMIF(DB_Withdrawals!$C:$C,A4,DB_Withdrawals!$G:$G)</f>
        <v>402.90999999999997</v>
      </c>
      <c r="N4" s="7">
        <f t="shared" ref="N4:N23" si="0">I4+L4-M4</f>
        <v>1078.8200000000002</v>
      </c>
    </row>
    <row r="5" spans="1:14" x14ac:dyDescent="0.25">
      <c r="A5" s="4" t="s">
        <v>95</v>
      </c>
      <c r="B5" s="4" t="s">
        <v>288</v>
      </c>
      <c r="C5" s="4" t="s">
        <v>289</v>
      </c>
      <c r="D5" s="2" t="s">
        <v>290</v>
      </c>
      <c r="E5" s="4" t="s">
        <v>65</v>
      </c>
      <c r="F5" s="4" t="s">
        <v>44</v>
      </c>
      <c r="G5" s="2" t="s">
        <v>291</v>
      </c>
      <c r="H5" s="4" t="s">
        <v>17</v>
      </c>
      <c r="I5" s="3">
        <v>1200</v>
      </c>
      <c r="J5" s="52" t="s">
        <v>292</v>
      </c>
      <c r="K5" s="4" t="s">
        <v>247</v>
      </c>
      <c r="L5" s="3">
        <f>SUMIF(DB_Savings!$C:$C,A5,DB_Savings!$F:$F)</f>
        <v>884.48</v>
      </c>
      <c r="M5" s="3">
        <f>SUMIF(DB_Withdrawals!$C:$C,A5,DB_Withdrawals!$G:$G)</f>
        <v>215.97</v>
      </c>
      <c r="N5" s="3">
        <f t="shared" si="0"/>
        <v>1868.51</v>
      </c>
    </row>
    <row r="6" spans="1:14" x14ac:dyDescent="0.25">
      <c r="A6" s="8" t="s">
        <v>129</v>
      </c>
      <c r="B6" s="8" t="s">
        <v>293</v>
      </c>
      <c r="C6" s="8" t="s">
        <v>294</v>
      </c>
      <c r="D6" s="6" t="s">
        <v>295</v>
      </c>
      <c r="E6" s="8" t="s">
        <v>42</v>
      </c>
      <c r="F6" s="8" t="s">
        <v>296</v>
      </c>
      <c r="G6" s="6" t="s">
        <v>297</v>
      </c>
      <c r="H6" s="8" t="s">
        <v>18</v>
      </c>
      <c r="I6" s="7">
        <v>800</v>
      </c>
      <c r="J6" s="51" t="s">
        <v>298</v>
      </c>
      <c r="K6" s="8" t="s">
        <v>247</v>
      </c>
      <c r="L6" s="7">
        <f>SUMIF(DB_Savings!$C:$C,A6,DB_Savings!$F:$F)</f>
        <v>2132.38</v>
      </c>
      <c r="M6" s="7">
        <f>SUMIF(DB_Withdrawals!$C:$C,A6,DB_Withdrawals!$G:$G)</f>
        <v>375.56</v>
      </c>
      <c r="N6" s="7">
        <f t="shared" si="0"/>
        <v>2556.8200000000002</v>
      </c>
    </row>
    <row r="7" spans="1:14" x14ac:dyDescent="0.25">
      <c r="A7" s="4" t="s">
        <v>130</v>
      </c>
      <c r="B7" s="4" t="s">
        <v>299</v>
      </c>
      <c r="C7" s="4" t="s">
        <v>300</v>
      </c>
      <c r="D7" s="2" t="s">
        <v>301</v>
      </c>
      <c r="E7" s="4" t="s">
        <v>65</v>
      </c>
      <c r="F7" s="4" t="s">
        <v>44</v>
      </c>
      <c r="G7" s="2" t="s">
        <v>302</v>
      </c>
      <c r="H7" s="4" t="s">
        <v>18</v>
      </c>
      <c r="I7" s="3">
        <v>300</v>
      </c>
      <c r="J7" s="52" t="s">
        <v>303</v>
      </c>
      <c r="K7" s="4" t="s">
        <v>247</v>
      </c>
      <c r="L7" s="3">
        <f>SUMIF(DB_Savings!$C:$C,A7,DB_Savings!$F:$F)</f>
        <v>1445.77</v>
      </c>
      <c r="M7" s="3">
        <f>SUMIF(DB_Withdrawals!$C:$C,A7,DB_Withdrawals!$G:$G)</f>
        <v>247.51</v>
      </c>
      <c r="N7" s="3">
        <f t="shared" si="0"/>
        <v>1498.26</v>
      </c>
    </row>
    <row r="8" spans="1:14" x14ac:dyDescent="0.25">
      <c r="A8" s="8" t="s">
        <v>137</v>
      </c>
      <c r="B8" s="8" t="s">
        <v>304</v>
      </c>
      <c r="C8" s="8" t="s">
        <v>305</v>
      </c>
      <c r="D8" s="6" t="s">
        <v>306</v>
      </c>
      <c r="E8" s="8" t="s">
        <v>42</v>
      </c>
      <c r="F8" s="8" t="s">
        <v>307</v>
      </c>
      <c r="G8" s="6" t="s">
        <v>308</v>
      </c>
      <c r="H8" s="8" t="s">
        <v>19</v>
      </c>
      <c r="I8" s="7">
        <v>2500</v>
      </c>
      <c r="J8" s="51" t="s">
        <v>309</v>
      </c>
      <c r="K8" s="8" t="s">
        <v>247</v>
      </c>
      <c r="L8" s="7">
        <f>SUMIF(DB_Savings!$C:$C,A8,DB_Savings!$F:$F)</f>
        <v>1417.2</v>
      </c>
      <c r="M8" s="7">
        <f>SUMIF(DB_Withdrawals!$C:$C,A8,DB_Withdrawals!$G:$G)</f>
        <v>91.47999999999999</v>
      </c>
      <c r="N8" s="7">
        <f t="shared" si="0"/>
        <v>3825.72</v>
      </c>
    </row>
    <row r="9" spans="1:14" x14ac:dyDescent="0.25">
      <c r="A9" s="4" t="s">
        <v>138</v>
      </c>
      <c r="B9" s="4" t="s">
        <v>310</v>
      </c>
      <c r="C9" s="4" t="s">
        <v>311</v>
      </c>
      <c r="D9" s="2" t="s">
        <v>312</v>
      </c>
      <c r="E9" s="4" t="s">
        <v>65</v>
      </c>
      <c r="F9" s="4" t="s">
        <v>44</v>
      </c>
      <c r="G9" s="2" t="s">
        <v>313</v>
      </c>
      <c r="H9" s="4" t="s">
        <v>19</v>
      </c>
      <c r="I9" s="3">
        <v>400</v>
      </c>
      <c r="J9" s="52" t="s">
        <v>314</v>
      </c>
      <c r="K9" s="4" t="s">
        <v>247</v>
      </c>
      <c r="L9" s="3">
        <f>SUMIF(DB_Savings!$C:$C,A9,DB_Savings!$F:$F)</f>
        <v>925.66</v>
      </c>
      <c r="M9" s="3">
        <f>SUMIF(DB_Withdrawals!$C:$C,A9,DB_Withdrawals!$G:$G)</f>
        <v>81.39</v>
      </c>
      <c r="N9" s="3">
        <f t="shared" si="0"/>
        <v>1244.2699999999998</v>
      </c>
    </row>
    <row r="10" spans="1:14" x14ac:dyDescent="0.25">
      <c r="A10" s="8" t="s">
        <v>145</v>
      </c>
      <c r="B10" s="8" t="s">
        <v>315</v>
      </c>
      <c r="C10" s="8" t="s">
        <v>316</v>
      </c>
      <c r="D10" s="6" t="s">
        <v>317</v>
      </c>
      <c r="E10" s="8" t="s">
        <v>42</v>
      </c>
      <c r="F10" s="8" t="s">
        <v>318</v>
      </c>
      <c r="G10" s="6" t="s">
        <v>319</v>
      </c>
      <c r="H10" s="8" t="s">
        <v>20</v>
      </c>
      <c r="I10" s="7">
        <v>1500</v>
      </c>
      <c r="J10" s="51" t="s">
        <v>320</v>
      </c>
      <c r="K10" s="8" t="s">
        <v>247</v>
      </c>
      <c r="L10" s="7">
        <f>SUMIF(DB_Savings!$C:$C,A10,DB_Savings!$F:$F)</f>
        <v>1296.5</v>
      </c>
      <c r="M10" s="7">
        <f>SUMIF(DB_Withdrawals!$C:$C,A10,DB_Withdrawals!$G:$G)</f>
        <v>461.01</v>
      </c>
      <c r="N10" s="7">
        <f t="shared" si="0"/>
        <v>2335.4899999999998</v>
      </c>
    </row>
    <row r="11" spans="1:14" x14ac:dyDescent="0.25">
      <c r="A11" s="4" t="s">
        <v>146</v>
      </c>
      <c r="B11" s="4" t="s">
        <v>321</v>
      </c>
      <c r="C11" s="4" t="s">
        <v>322</v>
      </c>
      <c r="D11" s="2" t="s">
        <v>323</v>
      </c>
      <c r="E11" s="4" t="s">
        <v>65</v>
      </c>
      <c r="F11" s="4" t="s">
        <v>44</v>
      </c>
      <c r="G11" s="2" t="s">
        <v>324</v>
      </c>
      <c r="H11" s="4" t="s">
        <v>20</v>
      </c>
      <c r="I11" s="3">
        <v>950</v>
      </c>
      <c r="J11" s="52" t="s">
        <v>325</v>
      </c>
      <c r="K11" s="4" t="s">
        <v>247</v>
      </c>
      <c r="L11" s="3">
        <f>SUMIF(DB_Savings!$C:$C,A11,DB_Savings!$F:$F)</f>
        <v>2531.1200000000003</v>
      </c>
      <c r="M11" s="3">
        <f>SUMIF(DB_Withdrawals!$C:$C,A11,DB_Withdrawals!$G:$G)</f>
        <v>446.91999999999996</v>
      </c>
      <c r="N11" s="3">
        <f t="shared" si="0"/>
        <v>3034.2000000000003</v>
      </c>
    </row>
    <row r="12" spans="1:14" x14ac:dyDescent="0.25">
      <c r="A12" s="8" t="s">
        <v>153</v>
      </c>
      <c r="B12" s="8" t="s">
        <v>326</v>
      </c>
      <c r="C12" s="8" t="s">
        <v>327</v>
      </c>
      <c r="D12" s="6" t="s">
        <v>328</v>
      </c>
      <c r="E12" s="8" t="s">
        <v>42</v>
      </c>
      <c r="F12" s="8" t="s">
        <v>329</v>
      </c>
      <c r="G12" s="6" t="s">
        <v>330</v>
      </c>
      <c r="H12" s="8" t="s">
        <v>21</v>
      </c>
      <c r="I12" s="7">
        <v>3000</v>
      </c>
      <c r="J12" s="51" t="s">
        <v>331</v>
      </c>
      <c r="K12" s="8" t="s">
        <v>247</v>
      </c>
      <c r="L12" s="7">
        <f>SUMIF(DB_Savings!$C:$C,A12,DB_Savings!$F:$F)</f>
        <v>1132.5</v>
      </c>
      <c r="M12" s="7">
        <f>SUMIF(DB_Withdrawals!$C:$C,A12,DB_Withdrawals!$G:$G)</f>
        <v>245.75</v>
      </c>
      <c r="N12" s="7">
        <f t="shared" si="0"/>
        <v>3886.75</v>
      </c>
    </row>
    <row r="13" spans="1:14" x14ac:dyDescent="0.25">
      <c r="A13" s="4" t="s">
        <v>154</v>
      </c>
      <c r="B13" s="4" t="s">
        <v>332</v>
      </c>
      <c r="C13" s="4" t="s">
        <v>333</v>
      </c>
      <c r="D13" s="2" t="s">
        <v>334</v>
      </c>
      <c r="E13" s="4" t="s">
        <v>65</v>
      </c>
      <c r="F13" s="4" t="s">
        <v>44</v>
      </c>
      <c r="G13" s="2" t="s">
        <v>335</v>
      </c>
      <c r="H13" s="4" t="s">
        <v>21</v>
      </c>
      <c r="I13" s="3">
        <v>750</v>
      </c>
      <c r="J13" s="52" t="s">
        <v>336</v>
      </c>
      <c r="K13" s="4" t="s">
        <v>247</v>
      </c>
      <c r="L13" s="3">
        <f>SUMIF(DB_Savings!$C:$C,A13,DB_Savings!$F:$F)</f>
        <v>2661.2</v>
      </c>
      <c r="M13" s="3">
        <f>SUMIF(DB_Withdrawals!$C:$C,A13,DB_Withdrawals!$G:$G)</f>
        <v>572.13</v>
      </c>
      <c r="N13" s="3">
        <f t="shared" si="0"/>
        <v>2839.0699999999997</v>
      </c>
    </row>
    <row r="14" spans="1:14" x14ac:dyDescent="0.25">
      <c r="A14" s="8" t="s">
        <v>160</v>
      </c>
      <c r="B14" s="8" t="s">
        <v>337</v>
      </c>
      <c r="C14" s="8" t="s">
        <v>338</v>
      </c>
      <c r="D14" s="6" t="s">
        <v>339</v>
      </c>
      <c r="E14" s="8" t="s">
        <v>42</v>
      </c>
      <c r="F14" s="8" t="s">
        <v>340</v>
      </c>
      <c r="G14" s="6" t="s">
        <v>341</v>
      </c>
      <c r="H14" s="8" t="s">
        <v>22</v>
      </c>
      <c r="I14" s="7">
        <v>1100</v>
      </c>
      <c r="J14" s="51" t="s">
        <v>342</v>
      </c>
      <c r="K14" s="8" t="s">
        <v>247</v>
      </c>
      <c r="L14" s="7">
        <f>SUMIF(DB_Savings!$C:$C,A14,DB_Savings!$F:$F)</f>
        <v>1422.69</v>
      </c>
      <c r="M14" s="7">
        <f>SUMIF(DB_Withdrawals!$C:$C,A14,DB_Withdrawals!$G:$G)</f>
        <v>533.15</v>
      </c>
      <c r="N14" s="7">
        <f t="shared" si="0"/>
        <v>1989.54</v>
      </c>
    </row>
    <row r="15" spans="1:14" x14ac:dyDescent="0.25">
      <c r="A15" s="4" t="s">
        <v>161</v>
      </c>
      <c r="B15" s="4" t="s">
        <v>343</v>
      </c>
      <c r="C15" s="4" t="s">
        <v>344</v>
      </c>
      <c r="D15" s="2" t="s">
        <v>345</v>
      </c>
      <c r="E15" s="4" t="s">
        <v>65</v>
      </c>
      <c r="F15" s="4" t="s">
        <v>44</v>
      </c>
      <c r="G15" s="2" t="s">
        <v>346</v>
      </c>
      <c r="H15" s="4" t="s">
        <v>22</v>
      </c>
      <c r="I15" s="3">
        <v>600</v>
      </c>
      <c r="J15" s="52" t="s">
        <v>347</v>
      </c>
      <c r="K15" s="4" t="s">
        <v>247</v>
      </c>
      <c r="L15" s="3">
        <f>SUMIF(DB_Savings!$C:$C,A15,DB_Savings!$F:$F)</f>
        <v>1861.22</v>
      </c>
      <c r="M15" s="3">
        <f>SUMIF(DB_Withdrawals!$C:$C,A15,DB_Withdrawals!$G:$G)</f>
        <v>298.92</v>
      </c>
      <c r="N15" s="3">
        <f t="shared" si="0"/>
        <v>2162.3000000000002</v>
      </c>
    </row>
    <row r="16" spans="1:14" x14ac:dyDescent="0.25">
      <c r="A16" s="8" t="s">
        <v>167</v>
      </c>
      <c r="B16" s="8" t="s">
        <v>348</v>
      </c>
      <c r="C16" s="8" t="s">
        <v>349</v>
      </c>
      <c r="D16" s="6" t="s">
        <v>350</v>
      </c>
      <c r="E16" s="8" t="s">
        <v>42</v>
      </c>
      <c r="F16" s="8" t="s">
        <v>351</v>
      </c>
      <c r="G16" s="6" t="s">
        <v>286</v>
      </c>
      <c r="H16" s="8" t="s">
        <v>23</v>
      </c>
      <c r="I16" s="7">
        <v>850</v>
      </c>
      <c r="J16" s="51" t="s">
        <v>352</v>
      </c>
      <c r="K16" s="8" t="s">
        <v>247</v>
      </c>
      <c r="L16" s="7">
        <f>SUMIF(DB_Savings!$C:$C,A16,DB_Savings!$F:$F)</f>
        <v>2078.33</v>
      </c>
      <c r="M16" s="7">
        <f>SUMIF(DB_Withdrawals!$C:$C,A16,DB_Withdrawals!$G:$G)</f>
        <v>568.18999999999994</v>
      </c>
      <c r="N16" s="7">
        <f t="shared" si="0"/>
        <v>2360.14</v>
      </c>
    </row>
    <row r="17" spans="1:14" x14ac:dyDescent="0.25">
      <c r="A17" s="4" t="s">
        <v>168</v>
      </c>
      <c r="B17" s="4" t="s">
        <v>353</v>
      </c>
      <c r="C17" s="4" t="s">
        <v>354</v>
      </c>
      <c r="D17" s="2" t="s">
        <v>355</v>
      </c>
      <c r="E17" s="4" t="s">
        <v>65</v>
      </c>
      <c r="F17" s="4" t="s">
        <v>44</v>
      </c>
      <c r="G17" s="2" t="s">
        <v>291</v>
      </c>
      <c r="H17" s="4" t="s">
        <v>23</v>
      </c>
      <c r="I17" s="3">
        <v>2200</v>
      </c>
      <c r="J17" s="52" t="s">
        <v>356</v>
      </c>
      <c r="K17" s="4" t="s">
        <v>247</v>
      </c>
      <c r="L17" s="3">
        <f>SUMIF(DB_Savings!$C:$C,A17,DB_Savings!$F:$F)</f>
        <v>837.42000000000007</v>
      </c>
      <c r="M17" s="3">
        <f>SUMIF(DB_Withdrawals!$C:$C,A17,DB_Withdrawals!$G:$G)</f>
        <v>359.01</v>
      </c>
      <c r="N17" s="3">
        <f t="shared" si="0"/>
        <v>2678.41</v>
      </c>
    </row>
    <row r="18" spans="1:14" x14ac:dyDescent="0.25">
      <c r="A18" s="8" t="s">
        <v>174</v>
      </c>
      <c r="B18" s="8" t="s">
        <v>357</v>
      </c>
      <c r="C18" s="8" t="s">
        <v>358</v>
      </c>
      <c r="D18" s="6" t="s">
        <v>359</v>
      </c>
      <c r="E18" s="8" t="s">
        <v>42</v>
      </c>
      <c r="F18" s="8" t="s">
        <v>360</v>
      </c>
      <c r="G18" s="6" t="s">
        <v>361</v>
      </c>
      <c r="H18" s="8" t="s">
        <v>24</v>
      </c>
      <c r="I18" s="7">
        <v>4000</v>
      </c>
      <c r="J18" s="51" t="s">
        <v>362</v>
      </c>
      <c r="K18" s="8" t="s">
        <v>247</v>
      </c>
      <c r="L18" s="7">
        <f>SUMIF(DB_Savings!$C:$C,A18,DB_Savings!$F:$F)</f>
        <v>809.91000000000008</v>
      </c>
      <c r="M18" s="7">
        <f>SUMIF(DB_Withdrawals!$C:$C,A18,DB_Withdrawals!$G:$G)</f>
        <v>460.22</v>
      </c>
      <c r="N18" s="7">
        <f t="shared" si="0"/>
        <v>4349.6899999999996</v>
      </c>
    </row>
    <row r="19" spans="1:14" x14ac:dyDescent="0.25">
      <c r="A19" s="4" t="s">
        <v>76</v>
      </c>
      <c r="B19" s="4" t="s">
        <v>363</v>
      </c>
      <c r="C19" s="4" t="s">
        <v>364</v>
      </c>
      <c r="D19" s="2" t="s">
        <v>77</v>
      </c>
      <c r="E19" s="4" t="s">
        <v>65</v>
      </c>
      <c r="F19" s="4" t="s">
        <v>44</v>
      </c>
      <c r="G19" s="2" t="s">
        <v>365</v>
      </c>
      <c r="H19" s="4" t="s">
        <v>24</v>
      </c>
      <c r="I19" s="3">
        <v>1800</v>
      </c>
      <c r="J19" s="52" t="s">
        <v>78</v>
      </c>
      <c r="K19" s="4" t="s">
        <v>247</v>
      </c>
      <c r="L19" s="3">
        <f>SUMIF(DB_Savings!$C:$C,A19,DB_Savings!$F:$F)</f>
        <v>537.52</v>
      </c>
      <c r="M19" s="3">
        <f>SUMIF(DB_Withdrawals!$C:$C,A19,DB_Withdrawals!$G:$G)</f>
        <v>428.86</v>
      </c>
      <c r="N19" s="3">
        <f t="shared" si="0"/>
        <v>1908.6599999999999</v>
      </c>
    </row>
    <row r="20" spans="1:14" x14ac:dyDescent="0.25">
      <c r="A20" s="8" t="s">
        <v>73</v>
      </c>
      <c r="B20" s="8" t="s">
        <v>366</v>
      </c>
      <c r="C20" s="8" t="s">
        <v>367</v>
      </c>
      <c r="D20" s="6" t="s">
        <v>74</v>
      </c>
      <c r="E20" s="8" t="s">
        <v>42</v>
      </c>
      <c r="F20" s="8" t="s">
        <v>368</v>
      </c>
      <c r="G20" s="6" t="s">
        <v>369</v>
      </c>
      <c r="H20" s="8" t="s">
        <v>25</v>
      </c>
      <c r="I20" s="7">
        <v>650</v>
      </c>
      <c r="J20" s="51" t="s">
        <v>75</v>
      </c>
      <c r="K20" s="8" t="s">
        <v>247</v>
      </c>
      <c r="L20" s="7">
        <f>SUMIF(DB_Savings!$C:$C,A20,DB_Savings!$F:$F)</f>
        <v>1499.7400000000002</v>
      </c>
      <c r="M20" s="7">
        <f>SUMIF(DB_Withdrawals!$C:$C,A20,DB_Withdrawals!$G:$G)</f>
        <v>283.27999999999997</v>
      </c>
      <c r="N20" s="7">
        <f t="shared" si="0"/>
        <v>1866.4600000000003</v>
      </c>
    </row>
    <row r="21" spans="1:14" x14ac:dyDescent="0.25">
      <c r="A21" s="4" t="s">
        <v>70</v>
      </c>
      <c r="B21" s="4" t="s">
        <v>370</v>
      </c>
      <c r="C21" s="4" t="s">
        <v>371</v>
      </c>
      <c r="D21" s="2" t="s">
        <v>71</v>
      </c>
      <c r="E21" s="4" t="s">
        <v>65</v>
      </c>
      <c r="F21" s="4" t="s">
        <v>44</v>
      </c>
      <c r="G21" s="2" t="s">
        <v>372</v>
      </c>
      <c r="H21" s="4" t="s">
        <v>25</v>
      </c>
      <c r="I21" s="3">
        <v>3500</v>
      </c>
      <c r="J21" s="52" t="s">
        <v>72</v>
      </c>
      <c r="K21" s="4" t="s">
        <v>247</v>
      </c>
      <c r="L21" s="3">
        <f>SUMIF(DB_Savings!$C:$C,A21,DB_Savings!$F:$F)</f>
        <v>1862.09</v>
      </c>
      <c r="M21" s="3">
        <f>SUMIF(DB_Withdrawals!$C:$C,A21,DB_Withdrawals!$G:$G)</f>
        <v>292.13</v>
      </c>
      <c r="N21" s="3">
        <f t="shared" si="0"/>
        <v>5069.96</v>
      </c>
    </row>
    <row r="22" spans="1:14" x14ac:dyDescent="0.25">
      <c r="A22" s="8" t="s">
        <v>67</v>
      </c>
      <c r="B22" s="8" t="s">
        <v>373</v>
      </c>
      <c r="C22" s="8" t="s">
        <v>374</v>
      </c>
      <c r="D22" s="6" t="s">
        <v>68</v>
      </c>
      <c r="E22" s="8" t="s">
        <v>42</v>
      </c>
      <c r="F22" s="8" t="s">
        <v>375</v>
      </c>
      <c r="G22" s="6" t="s">
        <v>286</v>
      </c>
      <c r="H22" s="8" t="s">
        <v>26</v>
      </c>
      <c r="I22" s="7">
        <v>900</v>
      </c>
      <c r="J22" s="51" t="s">
        <v>69</v>
      </c>
      <c r="K22" s="8" t="s">
        <v>247</v>
      </c>
      <c r="L22" s="7">
        <f>SUMIF(DB_Savings!$C:$C,A22,DB_Savings!$F:$F)</f>
        <v>2116.06</v>
      </c>
      <c r="M22" s="7">
        <f>SUMIF(DB_Withdrawals!$C:$C,A22,DB_Withdrawals!$G:$G)</f>
        <v>458.46000000000004</v>
      </c>
      <c r="N22" s="7">
        <f t="shared" si="0"/>
        <v>2557.6</v>
      </c>
    </row>
    <row r="23" spans="1:14" x14ac:dyDescent="0.25">
      <c r="A23" s="4" t="s">
        <v>63</v>
      </c>
      <c r="B23" s="4" t="s">
        <v>282</v>
      </c>
      <c r="C23" s="4" t="s">
        <v>376</v>
      </c>
      <c r="D23" s="2" t="s">
        <v>64</v>
      </c>
      <c r="E23" s="4" t="s">
        <v>65</v>
      </c>
      <c r="F23" s="4" t="s">
        <v>44</v>
      </c>
      <c r="G23" s="2" t="s">
        <v>313</v>
      </c>
      <c r="H23" s="4" t="s">
        <v>26</v>
      </c>
      <c r="I23" s="3">
        <v>700</v>
      </c>
      <c r="J23" s="52" t="s">
        <v>66</v>
      </c>
      <c r="K23" s="4" t="s">
        <v>247</v>
      </c>
      <c r="L23" s="3">
        <f>SUMIF(DB_Savings!$C:$C,A23,DB_Savings!$F:$F)</f>
        <v>1582.74</v>
      </c>
      <c r="M23" s="3">
        <f>SUMIF(DB_Withdrawals!$C:$C,A23,DB_Withdrawals!$G:$G)</f>
        <v>36.42</v>
      </c>
      <c r="N23" s="3">
        <f t="shared" si="0"/>
        <v>2246.3199999999997</v>
      </c>
    </row>
  </sheetData>
  <autoFilter ref="A3:N3" xr:uid="{00000000-0009-0000-0000-000024000000}"/>
  <mergeCells count="2">
    <mergeCell ref="A1:N1"/>
    <mergeCell ref="A2:N2"/>
  </mergeCells>
  <conditionalFormatting sqref="N4:N23">
    <cfRule type="cellIs" dxfId="0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27AE60"/>
  </sheetPr>
  <dimension ref="A1:J97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20" customWidth="1"/>
    <col min="3" max="3" width="16" customWidth="1"/>
    <col min="4" max="4" width="24" customWidth="1"/>
    <col min="5" max="5" width="13" customWidth="1"/>
    <col min="6" max="6" width="14" customWidth="1"/>
    <col min="7" max="7" width="12" customWidth="1"/>
    <col min="8" max="8" width="10" customWidth="1"/>
    <col min="9" max="10" width="22" customWidth="1"/>
  </cols>
  <sheetData>
    <row r="1" spans="1:10" ht="31.5" customHeight="1" x14ac:dyDescent="0.25">
      <c r="A1" s="101" t="s">
        <v>377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19.5" customHeight="1" x14ac:dyDescent="0.25">
      <c r="A2" s="102" t="s">
        <v>378</v>
      </c>
      <c r="B2" s="102"/>
      <c r="C2" s="102"/>
      <c r="D2" s="102"/>
      <c r="E2" s="102"/>
      <c r="F2" s="102"/>
      <c r="G2" s="102"/>
      <c r="H2" s="102"/>
      <c r="I2" s="102"/>
      <c r="J2" s="102"/>
    </row>
    <row r="3" spans="1:10" x14ac:dyDescent="0.25">
      <c r="A3" s="53" t="s">
        <v>379</v>
      </c>
      <c r="B3" s="53" t="s">
        <v>380</v>
      </c>
      <c r="C3" s="53" t="s">
        <v>269</v>
      </c>
      <c r="D3" s="53" t="s">
        <v>381</v>
      </c>
      <c r="E3" s="53" t="s">
        <v>88</v>
      </c>
      <c r="F3" s="53" t="s">
        <v>382</v>
      </c>
      <c r="G3" s="53" t="s">
        <v>8</v>
      </c>
      <c r="H3" s="53" t="s">
        <v>91</v>
      </c>
      <c r="I3" s="53" t="s">
        <v>383</v>
      </c>
      <c r="J3" s="53" t="s">
        <v>93</v>
      </c>
    </row>
    <row r="4" spans="1:10" x14ac:dyDescent="0.25">
      <c r="A4" s="8">
        <v>1</v>
      </c>
      <c r="B4" s="8" t="s">
        <v>384</v>
      </c>
      <c r="C4" s="8" t="s">
        <v>94</v>
      </c>
      <c r="D4" s="6" t="s">
        <v>284</v>
      </c>
      <c r="E4" s="51" t="s">
        <v>385</v>
      </c>
      <c r="F4" s="7">
        <v>315.41000000000003</v>
      </c>
      <c r="G4" s="8" t="s">
        <v>17</v>
      </c>
      <c r="H4" s="54" t="s">
        <v>386</v>
      </c>
      <c r="I4" s="8" t="s">
        <v>385</v>
      </c>
      <c r="J4" s="8"/>
    </row>
    <row r="5" spans="1:10" x14ac:dyDescent="0.25">
      <c r="A5" s="4">
        <v>2</v>
      </c>
      <c r="B5" s="4" t="s">
        <v>387</v>
      </c>
      <c r="C5" s="4" t="s">
        <v>94</v>
      </c>
      <c r="D5" s="2" t="s">
        <v>284</v>
      </c>
      <c r="E5" s="52" t="s">
        <v>388</v>
      </c>
      <c r="F5" s="3">
        <v>163.35</v>
      </c>
      <c r="G5" s="4" t="s">
        <v>17</v>
      </c>
      <c r="H5" s="54" t="s">
        <v>386</v>
      </c>
      <c r="I5" s="4" t="s">
        <v>388</v>
      </c>
      <c r="J5" s="4"/>
    </row>
    <row r="6" spans="1:10" x14ac:dyDescent="0.25">
      <c r="A6" s="8">
        <v>3</v>
      </c>
      <c r="B6" s="8" t="s">
        <v>389</v>
      </c>
      <c r="C6" s="8" t="s">
        <v>94</v>
      </c>
      <c r="D6" s="6" t="s">
        <v>284</v>
      </c>
      <c r="E6" s="51" t="s">
        <v>390</v>
      </c>
      <c r="F6" s="7">
        <v>502.97</v>
      </c>
      <c r="G6" s="8" t="s">
        <v>17</v>
      </c>
      <c r="H6" s="54" t="s">
        <v>386</v>
      </c>
      <c r="I6" s="8" t="s">
        <v>390</v>
      </c>
      <c r="J6" s="8"/>
    </row>
    <row r="7" spans="1:10" x14ac:dyDescent="0.25">
      <c r="A7" s="4">
        <v>4</v>
      </c>
      <c r="B7" s="4" t="s">
        <v>391</v>
      </c>
      <c r="C7" s="4" t="s">
        <v>95</v>
      </c>
      <c r="D7" s="2" t="s">
        <v>290</v>
      </c>
      <c r="E7" s="52" t="s">
        <v>392</v>
      </c>
      <c r="F7" s="3">
        <v>336.37</v>
      </c>
      <c r="G7" s="4" t="s">
        <v>17</v>
      </c>
      <c r="H7" s="54" t="s">
        <v>386</v>
      </c>
      <c r="I7" s="4" t="s">
        <v>392</v>
      </c>
      <c r="J7" s="4"/>
    </row>
    <row r="8" spans="1:10" x14ac:dyDescent="0.25">
      <c r="A8" s="8">
        <v>5</v>
      </c>
      <c r="B8" s="8" t="s">
        <v>393</v>
      </c>
      <c r="C8" s="8" t="s">
        <v>95</v>
      </c>
      <c r="D8" s="6" t="s">
        <v>290</v>
      </c>
      <c r="E8" s="51" t="s">
        <v>394</v>
      </c>
      <c r="F8" s="7">
        <v>91.85</v>
      </c>
      <c r="G8" s="8" t="s">
        <v>17</v>
      </c>
      <c r="H8" s="54" t="s">
        <v>386</v>
      </c>
      <c r="I8" s="8" t="s">
        <v>394</v>
      </c>
      <c r="J8" s="8"/>
    </row>
    <row r="9" spans="1:10" x14ac:dyDescent="0.25">
      <c r="A9" s="4">
        <v>6</v>
      </c>
      <c r="B9" s="4" t="s">
        <v>395</v>
      </c>
      <c r="C9" s="4" t="s">
        <v>95</v>
      </c>
      <c r="D9" s="2" t="s">
        <v>290</v>
      </c>
      <c r="E9" s="52" t="s">
        <v>396</v>
      </c>
      <c r="F9" s="3">
        <v>74.510000000000005</v>
      </c>
      <c r="G9" s="4" t="s">
        <v>17</v>
      </c>
      <c r="H9" s="54" t="s">
        <v>386</v>
      </c>
      <c r="I9" s="4" t="s">
        <v>396</v>
      </c>
      <c r="J9" s="4"/>
    </row>
    <row r="10" spans="1:10" x14ac:dyDescent="0.25">
      <c r="A10" s="8">
        <v>7</v>
      </c>
      <c r="B10" s="8" t="s">
        <v>397</v>
      </c>
      <c r="C10" s="8" t="s">
        <v>95</v>
      </c>
      <c r="D10" s="6" t="s">
        <v>290</v>
      </c>
      <c r="E10" s="51" t="s">
        <v>398</v>
      </c>
      <c r="F10" s="7">
        <v>381.75</v>
      </c>
      <c r="G10" s="8" t="s">
        <v>17</v>
      </c>
      <c r="H10" s="54" t="s">
        <v>386</v>
      </c>
      <c r="I10" s="8" t="s">
        <v>398</v>
      </c>
      <c r="J10" s="8"/>
    </row>
    <row r="11" spans="1:10" x14ac:dyDescent="0.25">
      <c r="A11" s="4">
        <v>8</v>
      </c>
      <c r="B11" s="4" t="s">
        <v>399</v>
      </c>
      <c r="C11" s="4" t="s">
        <v>129</v>
      </c>
      <c r="D11" s="2" t="s">
        <v>295</v>
      </c>
      <c r="E11" s="52" t="s">
        <v>400</v>
      </c>
      <c r="F11" s="3">
        <v>205.99</v>
      </c>
      <c r="G11" s="4" t="s">
        <v>18</v>
      </c>
      <c r="H11" s="54" t="s">
        <v>386</v>
      </c>
      <c r="I11" s="4" t="s">
        <v>400</v>
      </c>
      <c r="J11" s="4"/>
    </row>
    <row r="12" spans="1:10" x14ac:dyDescent="0.25">
      <c r="A12" s="8">
        <v>9</v>
      </c>
      <c r="B12" s="8" t="s">
        <v>401</v>
      </c>
      <c r="C12" s="8" t="s">
        <v>129</v>
      </c>
      <c r="D12" s="6" t="s">
        <v>295</v>
      </c>
      <c r="E12" s="51" t="s">
        <v>402</v>
      </c>
      <c r="F12" s="7">
        <v>194.28</v>
      </c>
      <c r="G12" s="8" t="s">
        <v>18</v>
      </c>
      <c r="H12" s="54" t="s">
        <v>386</v>
      </c>
      <c r="I12" s="8" t="s">
        <v>402</v>
      </c>
      <c r="J12" s="8"/>
    </row>
    <row r="13" spans="1:10" x14ac:dyDescent="0.25">
      <c r="A13" s="4">
        <v>10</v>
      </c>
      <c r="B13" s="4" t="s">
        <v>403</v>
      </c>
      <c r="C13" s="4" t="s">
        <v>129</v>
      </c>
      <c r="D13" s="2" t="s">
        <v>295</v>
      </c>
      <c r="E13" s="52" t="s">
        <v>404</v>
      </c>
      <c r="F13" s="3">
        <v>427.22</v>
      </c>
      <c r="G13" s="4" t="s">
        <v>18</v>
      </c>
      <c r="H13" s="54" t="s">
        <v>386</v>
      </c>
      <c r="I13" s="4" t="s">
        <v>404</v>
      </c>
      <c r="J13" s="4"/>
    </row>
    <row r="14" spans="1:10" x14ac:dyDescent="0.25">
      <c r="A14" s="8">
        <v>11</v>
      </c>
      <c r="B14" s="8" t="s">
        <v>405</v>
      </c>
      <c r="C14" s="8" t="s">
        <v>129</v>
      </c>
      <c r="D14" s="6" t="s">
        <v>295</v>
      </c>
      <c r="E14" s="51" t="s">
        <v>331</v>
      </c>
      <c r="F14" s="7">
        <v>249.42</v>
      </c>
      <c r="G14" s="8" t="s">
        <v>18</v>
      </c>
      <c r="H14" s="54" t="s">
        <v>386</v>
      </c>
      <c r="I14" s="8" t="s">
        <v>331</v>
      </c>
      <c r="J14" s="8"/>
    </row>
    <row r="15" spans="1:10" x14ac:dyDescent="0.25">
      <c r="A15" s="4">
        <v>12</v>
      </c>
      <c r="B15" s="4" t="s">
        <v>406</v>
      </c>
      <c r="C15" s="4" t="s">
        <v>129</v>
      </c>
      <c r="D15" s="2" t="s">
        <v>295</v>
      </c>
      <c r="E15" s="52" t="s">
        <v>407</v>
      </c>
      <c r="F15" s="3">
        <v>472.31</v>
      </c>
      <c r="G15" s="4" t="s">
        <v>18</v>
      </c>
      <c r="H15" s="54" t="s">
        <v>386</v>
      </c>
      <c r="I15" s="4" t="s">
        <v>407</v>
      </c>
      <c r="J15" s="4"/>
    </row>
    <row r="16" spans="1:10" x14ac:dyDescent="0.25">
      <c r="A16" s="8">
        <v>13</v>
      </c>
      <c r="B16" s="8" t="s">
        <v>408</v>
      </c>
      <c r="C16" s="8" t="s">
        <v>129</v>
      </c>
      <c r="D16" s="6" t="s">
        <v>295</v>
      </c>
      <c r="E16" s="51" t="s">
        <v>409</v>
      </c>
      <c r="F16" s="7">
        <v>583.16</v>
      </c>
      <c r="G16" s="8" t="s">
        <v>18</v>
      </c>
      <c r="H16" s="54" t="s">
        <v>386</v>
      </c>
      <c r="I16" s="8" t="s">
        <v>409</v>
      </c>
      <c r="J16" s="8"/>
    </row>
    <row r="17" spans="1:10" x14ac:dyDescent="0.25">
      <c r="A17" s="4">
        <v>14</v>
      </c>
      <c r="B17" s="4" t="s">
        <v>410</v>
      </c>
      <c r="C17" s="4" t="s">
        <v>130</v>
      </c>
      <c r="D17" s="2" t="s">
        <v>301</v>
      </c>
      <c r="E17" s="52" t="s">
        <v>411</v>
      </c>
      <c r="F17" s="3">
        <v>370.61</v>
      </c>
      <c r="G17" s="4" t="s">
        <v>18</v>
      </c>
      <c r="H17" s="54" t="s">
        <v>386</v>
      </c>
      <c r="I17" s="4" t="s">
        <v>411</v>
      </c>
      <c r="J17" s="4"/>
    </row>
    <row r="18" spans="1:10" x14ac:dyDescent="0.25">
      <c r="A18" s="8">
        <v>15</v>
      </c>
      <c r="B18" s="8" t="s">
        <v>412</v>
      </c>
      <c r="C18" s="8" t="s">
        <v>130</v>
      </c>
      <c r="D18" s="6" t="s">
        <v>301</v>
      </c>
      <c r="E18" s="51" t="s">
        <v>303</v>
      </c>
      <c r="F18" s="7">
        <v>123.68</v>
      </c>
      <c r="G18" s="8" t="s">
        <v>18</v>
      </c>
      <c r="H18" s="54" t="s">
        <v>386</v>
      </c>
      <c r="I18" s="8" t="s">
        <v>303</v>
      </c>
      <c r="J18" s="8"/>
    </row>
    <row r="19" spans="1:10" x14ac:dyDescent="0.25">
      <c r="A19" s="4">
        <v>16</v>
      </c>
      <c r="B19" s="4" t="s">
        <v>413</v>
      </c>
      <c r="C19" s="4" t="s">
        <v>130</v>
      </c>
      <c r="D19" s="2" t="s">
        <v>301</v>
      </c>
      <c r="E19" s="52" t="s">
        <v>414</v>
      </c>
      <c r="F19" s="3">
        <v>344.99</v>
      </c>
      <c r="G19" s="4" t="s">
        <v>18</v>
      </c>
      <c r="H19" s="54" t="s">
        <v>386</v>
      </c>
      <c r="I19" s="4" t="s">
        <v>414</v>
      </c>
      <c r="J19" s="4"/>
    </row>
    <row r="20" spans="1:10" x14ac:dyDescent="0.25">
      <c r="A20" s="8">
        <v>17</v>
      </c>
      <c r="B20" s="8" t="s">
        <v>415</v>
      </c>
      <c r="C20" s="8" t="s">
        <v>130</v>
      </c>
      <c r="D20" s="6" t="s">
        <v>301</v>
      </c>
      <c r="E20" s="51" t="s">
        <v>303</v>
      </c>
      <c r="F20" s="7">
        <v>222.9</v>
      </c>
      <c r="G20" s="8" t="s">
        <v>18</v>
      </c>
      <c r="H20" s="54" t="s">
        <v>386</v>
      </c>
      <c r="I20" s="8" t="s">
        <v>303</v>
      </c>
      <c r="J20" s="8"/>
    </row>
    <row r="21" spans="1:10" x14ac:dyDescent="0.25">
      <c r="A21" s="4">
        <v>18</v>
      </c>
      <c r="B21" s="4" t="s">
        <v>416</v>
      </c>
      <c r="C21" s="4" t="s">
        <v>130</v>
      </c>
      <c r="D21" s="2" t="s">
        <v>301</v>
      </c>
      <c r="E21" s="52" t="s">
        <v>417</v>
      </c>
      <c r="F21" s="3">
        <v>297.83999999999997</v>
      </c>
      <c r="G21" s="4" t="s">
        <v>18</v>
      </c>
      <c r="H21" s="54" t="s">
        <v>386</v>
      </c>
      <c r="I21" s="4" t="s">
        <v>417</v>
      </c>
      <c r="J21" s="4"/>
    </row>
    <row r="22" spans="1:10" x14ac:dyDescent="0.25">
      <c r="A22" s="8">
        <v>19</v>
      </c>
      <c r="B22" s="8" t="s">
        <v>418</v>
      </c>
      <c r="C22" s="8" t="s">
        <v>130</v>
      </c>
      <c r="D22" s="6" t="s">
        <v>301</v>
      </c>
      <c r="E22" s="51" t="s">
        <v>419</v>
      </c>
      <c r="F22" s="7">
        <v>85.75</v>
      </c>
      <c r="G22" s="8" t="s">
        <v>18</v>
      </c>
      <c r="H22" s="54" t="s">
        <v>386</v>
      </c>
      <c r="I22" s="8" t="s">
        <v>419</v>
      </c>
      <c r="J22" s="8"/>
    </row>
    <row r="23" spans="1:10" x14ac:dyDescent="0.25">
      <c r="A23" s="4">
        <v>20</v>
      </c>
      <c r="B23" s="4" t="s">
        <v>420</v>
      </c>
      <c r="C23" s="4" t="s">
        <v>137</v>
      </c>
      <c r="D23" s="2" t="s">
        <v>306</v>
      </c>
      <c r="E23" s="52" t="s">
        <v>421</v>
      </c>
      <c r="F23" s="3">
        <v>136.03</v>
      </c>
      <c r="G23" s="4" t="s">
        <v>19</v>
      </c>
      <c r="H23" s="54" t="s">
        <v>386</v>
      </c>
      <c r="I23" s="4" t="s">
        <v>421</v>
      </c>
      <c r="J23" s="4"/>
    </row>
    <row r="24" spans="1:10" x14ac:dyDescent="0.25">
      <c r="A24" s="8">
        <v>21</v>
      </c>
      <c r="B24" s="8" t="s">
        <v>422</v>
      </c>
      <c r="C24" s="8" t="s">
        <v>137</v>
      </c>
      <c r="D24" s="6" t="s">
        <v>306</v>
      </c>
      <c r="E24" s="51" t="s">
        <v>423</v>
      </c>
      <c r="F24" s="7">
        <v>583.38</v>
      </c>
      <c r="G24" s="8" t="s">
        <v>19</v>
      </c>
      <c r="H24" s="54" t="s">
        <v>386</v>
      </c>
      <c r="I24" s="8" t="s">
        <v>423</v>
      </c>
      <c r="J24" s="8"/>
    </row>
    <row r="25" spans="1:10" x14ac:dyDescent="0.25">
      <c r="A25" s="4">
        <v>22</v>
      </c>
      <c r="B25" s="4" t="s">
        <v>424</v>
      </c>
      <c r="C25" s="4" t="s">
        <v>137</v>
      </c>
      <c r="D25" s="2" t="s">
        <v>306</v>
      </c>
      <c r="E25" s="52" t="s">
        <v>425</v>
      </c>
      <c r="F25" s="3">
        <v>70.31</v>
      </c>
      <c r="G25" s="4" t="s">
        <v>19</v>
      </c>
      <c r="H25" s="54" t="s">
        <v>386</v>
      </c>
      <c r="I25" s="4" t="s">
        <v>425</v>
      </c>
      <c r="J25" s="4"/>
    </row>
    <row r="26" spans="1:10" x14ac:dyDescent="0.25">
      <c r="A26" s="8">
        <v>23</v>
      </c>
      <c r="B26" s="8" t="s">
        <v>426</v>
      </c>
      <c r="C26" s="8" t="s">
        <v>137</v>
      </c>
      <c r="D26" s="6" t="s">
        <v>306</v>
      </c>
      <c r="E26" s="51" t="s">
        <v>427</v>
      </c>
      <c r="F26" s="7">
        <v>215.64</v>
      </c>
      <c r="G26" s="8" t="s">
        <v>19</v>
      </c>
      <c r="H26" s="54" t="s">
        <v>386</v>
      </c>
      <c r="I26" s="8" t="s">
        <v>427</v>
      </c>
      <c r="J26" s="8"/>
    </row>
    <row r="27" spans="1:10" x14ac:dyDescent="0.25">
      <c r="A27" s="4">
        <v>24</v>
      </c>
      <c r="B27" s="4" t="s">
        <v>428</v>
      </c>
      <c r="C27" s="4" t="s">
        <v>137</v>
      </c>
      <c r="D27" s="2" t="s">
        <v>306</v>
      </c>
      <c r="E27" s="52" t="s">
        <v>429</v>
      </c>
      <c r="F27" s="3">
        <v>411.84</v>
      </c>
      <c r="G27" s="4" t="s">
        <v>19</v>
      </c>
      <c r="H27" s="54" t="s">
        <v>386</v>
      </c>
      <c r="I27" s="4" t="s">
        <v>429</v>
      </c>
      <c r="J27" s="4"/>
    </row>
    <row r="28" spans="1:10" x14ac:dyDescent="0.25">
      <c r="A28" s="8">
        <v>25</v>
      </c>
      <c r="B28" s="8" t="s">
        <v>430</v>
      </c>
      <c r="C28" s="8" t="s">
        <v>138</v>
      </c>
      <c r="D28" s="6" t="s">
        <v>312</v>
      </c>
      <c r="E28" s="51" t="s">
        <v>431</v>
      </c>
      <c r="F28" s="7">
        <v>261.43</v>
      </c>
      <c r="G28" s="8" t="s">
        <v>19</v>
      </c>
      <c r="H28" s="54" t="s">
        <v>386</v>
      </c>
      <c r="I28" s="8" t="s">
        <v>431</v>
      </c>
      <c r="J28" s="8"/>
    </row>
    <row r="29" spans="1:10" x14ac:dyDescent="0.25">
      <c r="A29" s="4">
        <v>26</v>
      </c>
      <c r="B29" s="4" t="s">
        <v>432</v>
      </c>
      <c r="C29" s="4" t="s">
        <v>138</v>
      </c>
      <c r="D29" s="2" t="s">
        <v>312</v>
      </c>
      <c r="E29" s="52" t="s">
        <v>390</v>
      </c>
      <c r="F29" s="3">
        <v>552.13</v>
      </c>
      <c r="G29" s="4" t="s">
        <v>19</v>
      </c>
      <c r="H29" s="54" t="s">
        <v>386</v>
      </c>
      <c r="I29" s="4" t="s">
        <v>390</v>
      </c>
      <c r="J29" s="4"/>
    </row>
    <row r="30" spans="1:10" x14ac:dyDescent="0.25">
      <c r="A30" s="8">
        <v>27</v>
      </c>
      <c r="B30" s="8" t="s">
        <v>433</v>
      </c>
      <c r="C30" s="8" t="s">
        <v>138</v>
      </c>
      <c r="D30" s="6" t="s">
        <v>312</v>
      </c>
      <c r="E30" s="51" t="s">
        <v>431</v>
      </c>
      <c r="F30" s="7">
        <v>112.1</v>
      </c>
      <c r="G30" s="8" t="s">
        <v>19</v>
      </c>
      <c r="H30" s="54" t="s">
        <v>386</v>
      </c>
      <c r="I30" s="8" t="s">
        <v>431</v>
      </c>
      <c r="J30" s="8"/>
    </row>
    <row r="31" spans="1:10" x14ac:dyDescent="0.25">
      <c r="A31" s="4">
        <v>28</v>
      </c>
      <c r="B31" s="4" t="s">
        <v>434</v>
      </c>
      <c r="C31" s="4" t="s">
        <v>145</v>
      </c>
      <c r="D31" s="2" t="s">
        <v>317</v>
      </c>
      <c r="E31" s="52" t="s">
        <v>435</v>
      </c>
      <c r="F31" s="3">
        <v>141.5</v>
      </c>
      <c r="G31" s="4" t="s">
        <v>20</v>
      </c>
      <c r="H31" s="54" t="s">
        <v>386</v>
      </c>
      <c r="I31" s="4" t="s">
        <v>435</v>
      </c>
      <c r="J31" s="4"/>
    </row>
    <row r="32" spans="1:10" x14ac:dyDescent="0.25">
      <c r="A32" s="8">
        <v>29</v>
      </c>
      <c r="B32" s="8" t="s">
        <v>436</v>
      </c>
      <c r="C32" s="8" t="s">
        <v>145</v>
      </c>
      <c r="D32" s="6" t="s">
        <v>317</v>
      </c>
      <c r="E32" s="51" t="s">
        <v>425</v>
      </c>
      <c r="F32" s="7">
        <v>571.23</v>
      </c>
      <c r="G32" s="8" t="s">
        <v>20</v>
      </c>
      <c r="H32" s="54" t="s">
        <v>386</v>
      </c>
      <c r="I32" s="8" t="s">
        <v>425</v>
      </c>
      <c r="J32" s="8"/>
    </row>
    <row r="33" spans="1:10" x14ac:dyDescent="0.25">
      <c r="A33" s="4">
        <v>30</v>
      </c>
      <c r="B33" s="4" t="s">
        <v>437</v>
      </c>
      <c r="C33" s="4" t="s">
        <v>145</v>
      </c>
      <c r="D33" s="2" t="s">
        <v>317</v>
      </c>
      <c r="E33" s="52" t="s">
        <v>438</v>
      </c>
      <c r="F33" s="3">
        <v>583.77</v>
      </c>
      <c r="G33" s="4" t="s">
        <v>20</v>
      </c>
      <c r="H33" s="54" t="s">
        <v>386</v>
      </c>
      <c r="I33" s="4" t="s">
        <v>438</v>
      </c>
      <c r="J33" s="4"/>
    </row>
    <row r="34" spans="1:10" x14ac:dyDescent="0.25">
      <c r="A34" s="8">
        <v>31</v>
      </c>
      <c r="B34" s="8" t="s">
        <v>439</v>
      </c>
      <c r="C34" s="8" t="s">
        <v>146</v>
      </c>
      <c r="D34" s="6" t="s">
        <v>323</v>
      </c>
      <c r="E34" s="51" t="s">
        <v>440</v>
      </c>
      <c r="F34" s="7">
        <v>424.43</v>
      </c>
      <c r="G34" s="8" t="s">
        <v>20</v>
      </c>
      <c r="H34" s="54" t="s">
        <v>386</v>
      </c>
      <c r="I34" s="8" t="s">
        <v>440</v>
      </c>
      <c r="J34" s="8"/>
    </row>
    <row r="35" spans="1:10" x14ac:dyDescent="0.25">
      <c r="A35" s="4">
        <v>32</v>
      </c>
      <c r="B35" s="4" t="s">
        <v>441</v>
      </c>
      <c r="C35" s="4" t="s">
        <v>146</v>
      </c>
      <c r="D35" s="2" t="s">
        <v>323</v>
      </c>
      <c r="E35" s="52" t="s">
        <v>303</v>
      </c>
      <c r="F35" s="3">
        <v>389.49</v>
      </c>
      <c r="G35" s="4" t="s">
        <v>20</v>
      </c>
      <c r="H35" s="54" t="s">
        <v>386</v>
      </c>
      <c r="I35" s="4" t="s">
        <v>303</v>
      </c>
      <c r="J35" s="4"/>
    </row>
    <row r="36" spans="1:10" x14ac:dyDescent="0.25">
      <c r="A36" s="8">
        <v>33</v>
      </c>
      <c r="B36" s="8" t="s">
        <v>442</v>
      </c>
      <c r="C36" s="8" t="s">
        <v>146</v>
      </c>
      <c r="D36" s="6" t="s">
        <v>323</v>
      </c>
      <c r="E36" s="51" t="s">
        <v>309</v>
      </c>
      <c r="F36" s="7">
        <v>525.69000000000005</v>
      </c>
      <c r="G36" s="8" t="s">
        <v>20</v>
      </c>
      <c r="H36" s="54" t="s">
        <v>386</v>
      </c>
      <c r="I36" s="8" t="s">
        <v>309</v>
      </c>
      <c r="J36" s="8"/>
    </row>
    <row r="37" spans="1:10" x14ac:dyDescent="0.25">
      <c r="A37" s="4">
        <v>34</v>
      </c>
      <c r="B37" s="4" t="s">
        <v>443</v>
      </c>
      <c r="C37" s="4" t="s">
        <v>146</v>
      </c>
      <c r="D37" s="2" t="s">
        <v>323</v>
      </c>
      <c r="E37" s="52" t="s">
        <v>444</v>
      </c>
      <c r="F37" s="3">
        <v>300.64999999999998</v>
      </c>
      <c r="G37" s="4" t="s">
        <v>20</v>
      </c>
      <c r="H37" s="54" t="s">
        <v>386</v>
      </c>
      <c r="I37" s="4" t="s">
        <v>444</v>
      </c>
      <c r="J37" s="4"/>
    </row>
    <row r="38" spans="1:10" x14ac:dyDescent="0.25">
      <c r="A38" s="8">
        <v>35</v>
      </c>
      <c r="B38" s="8" t="s">
        <v>445</v>
      </c>
      <c r="C38" s="8" t="s">
        <v>146</v>
      </c>
      <c r="D38" s="6" t="s">
        <v>323</v>
      </c>
      <c r="E38" s="51" t="s">
        <v>425</v>
      </c>
      <c r="F38" s="7">
        <v>413.23</v>
      </c>
      <c r="G38" s="8" t="s">
        <v>20</v>
      </c>
      <c r="H38" s="54" t="s">
        <v>386</v>
      </c>
      <c r="I38" s="8" t="s">
        <v>425</v>
      </c>
      <c r="J38" s="8"/>
    </row>
    <row r="39" spans="1:10" x14ac:dyDescent="0.25">
      <c r="A39" s="4">
        <v>36</v>
      </c>
      <c r="B39" s="4" t="s">
        <v>446</v>
      </c>
      <c r="C39" s="4" t="s">
        <v>146</v>
      </c>
      <c r="D39" s="2" t="s">
        <v>323</v>
      </c>
      <c r="E39" s="52" t="s">
        <v>309</v>
      </c>
      <c r="F39" s="3">
        <v>477.63</v>
      </c>
      <c r="G39" s="4" t="s">
        <v>20</v>
      </c>
      <c r="H39" s="54" t="s">
        <v>386</v>
      </c>
      <c r="I39" s="4" t="s">
        <v>309</v>
      </c>
      <c r="J39" s="4"/>
    </row>
    <row r="40" spans="1:10" x14ac:dyDescent="0.25">
      <c r="A40" s="8">
        <v>37</v>
      </c>
      <c r="B40" s="8" t="s">
        <v>447</v>
      </c>
      <c r="C40" s="8" t="s">
        <v>153</v>
      </c>
      <c r="D40" s="6" t="s">
        <v>328</v>
      </c>
      <c r="E40" s="51" t="s">
        <v>448</v>
      </c>
      <c r="F40" s="7">
        <v>230.44</v>
      </c>
      <c r="G40" s="8" t="s">
        <v>21</v>
      </c>
      <c r="H40" s="54" t="s">
        <v>386</v>
      </c>
      <c r="I40" s="8" t="s">
        <v>448</v>
      </c>
      <c r="J40" s="8"/>
    </row>
    <row r="41" spans="1:10" x14ac:dyDescent="0.25">
      <c r="A41" s="4">
        <v>38</v>
      </c>
      <c r="B41" s="4" t="s">
        <v>449</v>
      </c>
      <c r="C41" s="4" t="s">
        <v>153</v>
      </c>
      <c r="D41" s="2" t="s">
        <v>328</v>
      </c>
      <c r="E41" s="52" t="s">
        <v>440</v>
      </c>
      <c r="F41" s="3">
        <v>52.75</v>
      </c>
      <c r="G41" s="4" t="s">
        <v>21</v>
      </c>
      <c r="H41" s="54" t="s">
        <v>386</v>
      </c>
      <c r="I41" s="4" t="s">
        <v>440</v>
      </c>
      <c r="J41" s="4"/>
    </row>
    <row r="42" spans="1:10" x14ac:dyDescent="0.25">
      <c r="A42" s="8">
        <v>39</v>
      </c>
      <c r="B42" s="8" t="s">
        <v>450</v>
      </c>
      <c r="C42" s="8" t="s">
        <v>153</v>
      </c>
      <c r="D42" s="6" t="s">
        <v>328</v>
      </c>
      <c r="E42" s="51" t="s">
        <v>451</v>
      </c>
      <c r="F42" s="7">
        <v>232.41</v>
      </c>
      <c r="G42" s="8" t="s">
        <v>21</v>
      </c>
      <c r="H42" s="54" t="s">
        <v>386</v>
      </c>
      <c r="I42" s="8" t="s">
        <v>451</v>
      </c>
      <c r="J42" s="8"/>
    </row>
    <row r="43" spans="1:10" x14ac:dyDescent="0.25">
      <c r="A43" s="4">
        <v>40</v>
      </c>
      <c r="B43" s="4" t="s">
        <v>452</v>
      </c>
      <c r="C43" s="4" t="s">
        <v>153</v>
      </c>
      <c r="D43" s="2" t="s">
        <v>328</v>
      </c>
      <c r="E43" s="52" t="s">
        <v>407</v>
      </c>
      <c r="F43" s="3">
        <v>183.44</v>
      </c>
      <c r="G43" s="4" t="s">
        <v>21</v>
      </c>
      <c r="H43" s="54" t="s">
        <v>386</v>
      </c>
      <c r="I43" s="4" t="s">
        <v>407</v>
      </c>
      <c r="J43" s="4"/>
    </row>
    <row r="44" spans="1:10" x14ac:dyDescent="0.25">
      <c r="A44" s="8">
        <v>41</v>
      </c>
      <c r="B44" s="8" t="s">
        <v>453</v>
      </c>
      <c r="C44" s="8" t="s">
        <v>153</v>
      </c>
      <c r="D44" s="6" t="s">
        <v>328</v>
      </c>
      <c r="E44" s="51" t="s">
        <v>454</v>
      </c>
      <c r="F44" s="7">
        <v>296.43</v>
      </c>
      <c r="G44" s="8" t="s">
        <v>21</v>
      </c>
      <c r="H44" s="54" t="s">
        <v>386</v>
      </c>
      <c r="I44" s="8" t="s">
        <v>454</v>
      </c>
      <c r="J44" s="8"/>
    </row>
    <row r="45" spans="1:10" x14ac:dyDescent="0.25">
      <c r="A45" s="4">
        <v>42</v>
      </c>
      <c r="B45" s="4" t="s">
        <v>455</v>
      </c>
      <c r="C45" s="4" t="s">
        <v>153</v>
      </c>
      <c r="D45" s="2" t="s">
        <v>328</v>
      </c>
      <c r="E45" s="52" t="s">
        <v>456</v>
      </c>
      <c r="F45" s="3">
        <v>137.03</v>
      </c>
      <c r="G45" s="4" t="s">
        <v>21</v>
      </c>
      <c r="H45" s="54" t="s">
        <v>386</v>
      </c>
      <c r="I45" s="4" t="s">
        <v>456</v>
      </c>
      <c r="J45" s="4"/>
    </row>
    <row r="46" spans="1:10" x14ac:dyDescent="0.25">
      <c r="A46" s="8">
        <v>43</v>
      </c>
      <c r="B46" s="8" t="s">
        <v>457</v>
      </c>
      <c r="C46" s="8" t="s">
        <v>154</v>
      </c>
      <c r="D46" s="6" t="s">
        <v>334</v>
      </c>
      <c r="E46" s="51" t="s">
        <v>458</v>
      </c>
      <c r="F46" s="7">
        <v>541.41</v>
      </c>
      <c r="G46" s="8" t="s">
        <v>21</v>
      </c>
      <c r="H46" s="54" t="s">
        <v>386</v>
      </c>
      <c r="I46" s="8" t="s">
        <v>458</v>
      </c>
      <c r="J46" s="8"/>
    </row>
    <row r="47" spans="1:10" x14ac:dyDescent="0.25">
      <c r="A47" s="4">
        <v>44</v>
      </c>
      <c r="B47" s="4" t="s">
        <v>459</v>
      </c>
      <c r="C47" s="4" t="s">
        <v>154</v>
      </c>
      <c r="D47" s="2" t="s">
        <v>334</v>
      </c>
      <c r="E47" s="52" t="s">
        <v>460</v>
      </c>
      <c r="F47" s="3">
        <v>595.75</v>
      </c>
      <c r="G47" s="4" t="s">
        <v>21</v>
      </c>
      <c r="H47" s="54" t="s">
        <v>386</v>
      </c>
      <c r="I47" s="4" t="s">
        <v>460</v>
      </c>
      <c r="J47" s="4"/>
    </row>
    <row r="48" spans="1:10" x14ac:dyDescent="0.25">
      <c r="A48" s="8">
        <v>45</v>
      </c>
      <c r="B48" s="8" t="s">
        <v>461</v>
      </c>
      <c r="C48" s="8" t="s">
        <v>154</v>
      </c>
      <c r="D48" s="6" t="s">
        <v>334</v>
      </c>
      <c r="E48" s="51" t="s">
        <v>462</v>
      </c>
      <c r="F48" s="7">
        <v>336.06</v>
      </c>
      <c r="G48" s="8" t="s">
        <v>21</v>
      </c>
      <c r="H48" s="54" t="s">
        <v>386</v>
      </c>
      <c r="I48" s="8" t="s">
        <v>462</v>
      </c>
      <c r="J48" s="8"/>
    </row>
    <row r="49" spans="1:10" x14ac:dyDescent="0.25">
      <c r="A49" s="4">
        <v>46</v>
      </c>
      <c r="B49" s="4" t="s">
        <v>463</v>
      </c>
      <c r="C49" s="4" t="s">
        <v>154</v>
      </c>
      <c r="D49" s="2" t="s">
        <v>334</v>
      </c>
      <c r="E49" s="52" t="s">
        <v>342</v>
      </c>
      <c r="F49" s="3">
        <v>324.93</v>
      </c>
      <c r="G49" s="4" t="s">
        <v>21</v>
      </c>
      <c r="H49" s="54" t="s">
        <v>386</v>
      </c>
      <c r="I49" s="4" t="s">
        <v>342</v>
      </c>
      <c r="J49" s="4"/>
    </row>
    <row r="50" spans="1:10" x14ac:dyDescent="0.25">
      <c r="A50" s="8">
        <v>47</v>
      </c>
      <c r="B50" s="8" t="s">
        <v>464</v>
      </c>
      <c r="C50" s="8" t="s">
        <v>154</v>
      </c>
      <c r="D50" s="6" t="s">
        <v>334</v>
      </c>
      <c r="E50" s="51" t="s">
        <v>465</v>
      </c>
      <c r="F50" s="7">
        <v>319.16000000000003</v>
      </c>
      <c r="G50" s="8" t="s">
        <v>21</v>
      </c>
      <c r="H50" s="54" t="s">
        <v>386</v>
      </c>
      <c r="I50" s="8" t="s">
        <v>465</v>
      </c>
      <c r="J50" s="8"/>
    </row>
    <row r="51" spans="1:10" x14ac:dyDescent="0.25">
      <c r="A51" s="4">
        <v>48</v>
      </c>
      <c r="B51" s="4" t="s">
        <v>466</v>
      </c>
      <c r="C51" s="4" t="s">
        <v>154</v>
      </c>
      <c r="D51" s="2" t="s">
        <v>334</v>
      </c>
      <c r="E51" s="52" t="s">
        <v>467</v>
      </c>
      <c r="F51" s="3">
        <v>543.89</v>
      </c>
      <c r="G51" s="4" t="s">
        <v>21</v>
      </c>
      <c r="H51" s="54" t="s">
        <v>386</v>
      </c>
      <c r="I51" s="4" t="s">
        <v>467</v>
      </c>
      <c r="J51" s="4"/>
    </row>
    <row r="52" spans="1:10" x14ac:dyDescent="0.25">
      <c r="A52" s="8">
        <v>49</v>
      </c>
      <c r="B52" s="8" t="s">
        <v>468</v>
      </c>
      <c r="C52" s="8" t="s">
        <v>160</v>
      </c>
      <c r="D52" s="6" t="s">
        <v>339</v>
      </c>
      <c r="E52" s="51" t="s">
        <v>469</v>
      </c>
      <c r="F52" s="7">
        <v>347.71</v>
      </c>
      <c r="G52" s="8" t="s">
        <v>22</v>
      </c>
      <c r="H52" s="54" t="s">
        <v>386</v>
      </c>
      <c r="I52" s="8" t="s">
        <v>469</v>
      </c>
      <c r="J52" s="8"/>
    </row>
    <row r="53" spans="1:10" x14ac:dyDescent="0.25">
      <c r="A53" s="4">
        <v>50</v>
      </c>
      <c r="B53" s="4" t="s">
        <v>470</v>
      </c>
      <c r="C53" s="4" t="s">
        <v>160</v>
      </c>
      <c r="D53" s="2" t="s">
        <v>339</v>
      </c>
      <c r="E53" s="52" t="s">
        <v>435</v>
      </c>
      <c r="F53" s="3">
        <v>346.27</v>
      </c>
      <c r="G53" s="4" t="s">
        <v>22</v>
      </c>
      <c r="H53" s="54" t="s">
        <v>386</v>
      </c>
      <c r="I53" s="4" t="s">
        <v>435</v>
      </c>
      <c r="J53" s="4"/>
    </row>
    <row r="54" spans="1:10" x14ac:dyDescent="0.25">
      <c r="A54" s="8">
        <v>51</v>
      </c>
      <c r="B54" s="8" t="s">
        <v>471</v>
      </c>
      <c r="C54" s="8" t="s">
        <v>160</v>
      </c>
      <c r="D54" s="6" t="s">
        <v>339</v>
      </c>
      <c r="E54" s="51" t="s">
        <v>402</v>
      </c>
      <c r="F54" s="7">
        <v>435.97</v>
      </c>
      <c r="G54" s="8" t="s">
        <v>22</v>
      </c>
      <c r="H54" s="54" t="s">
        <v>386</v>
      </c>
      <c r="I54" s="8" t="s">
        <v>402</v>
      </c>
      <c r="J54" s="8"/>
    </row>
    <row r="55" spans="1:10" x14ac:dyDescent="0.25">
      <c r="A55" s="4">
        <v>52</v>
      </c>
      <c r="B55" s="4" t="s">
        <v>472</v>
      </c>
      <c r="C55" s="4" t="s">
        <v>160</v>
      </c>
      <c r="D55" s="2" t="s">
        <v>339</v>
      </c>
      <c r="E55" s="52" t="s">
        <v>473</v>
      </c>
      <c r="F55" s="3">
        <v>292.74</v>
      </c>
      <c r="G55" s="4" t="s">
        <v>22</v>
      </c>
      <c r="H55" s="54" t="s">
        <v>386</v>
      </c>
      <c r="I55" s="4" t="s">
        <v>473</v>
      </c>
      <c r="J55" s="4"/>
    </row>
    <row r="56" spans="1:10" x14ac:dyDescent="0.25">
      <c r="A56" s="8">
        <v>53</v>
      </c>
      <c r="B56" s="8" t="s">
        <v>474</v>
      </c>
      <c r="C56" s="8" t="s">
        <v>161</v>
      </c>
      <c r="D56" s="6" t="s">
        <v>345</v>
      </c>
      <c r="E56" s="51" t="s">
        <v>475</v>
      </c>
      <c r="F56" s="7">
        <v>529.61</v>
      </c>
      <c r="G56" s="8" t="s">
        <v>22</v>
      </c>
      <c r="H56" s="54" t="s">
        <v>386</v>
      </c>
      <c r="I56" s="8" t="s">
        <v>475</v>
      </c>
      <c r="J56" s="8"/>
    </row>
    <row r="57" spans="1:10" x14ac:dyDescent="0.25">
      <c r="A57" s="4">
        <v>54</v>
      </c>
      <c r="B57" s="4" t="s">
        <v>476</v>
      </c>
      <c r="C57" s="4" t="s">
        <v>161</v>
      </c>
      <c r="D57" s="2" t="s">
        <v>345</v>
      </c>
      <c r="E57" s="52" t="s">
        <v>429</v>
      </c>
      <c r="F57" s="3">
        <v>344.48</v>
      </c>
      <c r="G57" s="4" t="s">
        <v>22</v>
      </c>
      <c r="H57" s="54" t="s">
        <v>386</v>
      </c>
      <c r="I57" s="4" t="s">
        <v>429</v>
      </c>
      <c r="J57" s="4"/>
    </row>
    <row r="58" spans="1:10" x14ac:dyDescent="0.25">
      <c r="A58" s="8">
        <v>55</v>
      </c>
      <c r="B58" s="8" t="s">
        <v>477</v>
      </c>
      <c r="C58" s="8" t="s">
        <v>161</v>
      </c>
      <c r="D58" s="6" t="s">
        <v>345</v>
      </c>
      <c r="E58" s="51" t="s">
        <v>303</v>
      </c>
      <c r="F58" s="7">
        <v>242.3</v>
      </c>
      <c r="G58" s="8" t="s">
        <v>22</v>
      </c>
      <c r="H58" s="54" t="s">
        <v>386</v>
      </c>
      <c r="I58" s="8" t="s">
        <v>303</v>
      </c>
      <c r="J58" s="8"/>
    </row>
    <row r="59" spans="1:10" x14ac:dyDescent="0.25">
      <c r="A59" s="4">
        <v>56</v>
      </c>
      <c r="B59" s="4" t="s">
        <v>478</v>
      </c>
      <c r="C59" s="4" t="s">
        <v>161</v>
      </c>
      <c r="D59" s="2" t="s">
        <v>345</v>
      </c>
      <c r="E59" s="52" t="s">
        <v>440</v>
      </c>
      <c r="F59" s="3">
        <v>109.82</v>
      </c>
      <c r="G59" s="4" t="s">
        <v>22</v>
      </c>
      <c r="H59" s="54" t="s">
        <v>386</v>
      </c>
      <c r="I59" s="4" t="s">
        <v>440</v>
      </c>
      <c r="J59" s="4"/>
    </row>
    <row r="60" spans="1:10" x14ac:dyDescent="0.25">
      <c r="A60" s="8">
        <v>57</v>
      </c>
      <c r="B60" s="8" t="s">
        <v>479</v>
      </c>
      <c r="C60" s="8" t="s">
        <v>161</v>
      </c>
      <c r="D60" s="6" t="s">
        <v>345</v>
      </c>
      <c r="E60" s="51" t="s">
        <v>480</v>
      </c>
      <c r="F60" s="7">
        <v>508.4</v>
      </c>
      <c r="G60" s="8" t="s">
        <v>22</v>
      </c>
      <c r="H60" s="54" t="s">
        <v>386</v>
      </c>
      <c r="I60" s="8" t="s">
        <v>480</v>
      </c>
      <c r="J60" s="8"/>
    </row>
    <row r="61" spans="1:10" x14ac:dyDescent="0.25">
      <c r="A61" s="4">
        <v>58</v>
      </c>
      <c r="B61" s="4" t="s">
        <v>481</v>
      </c>
      <c r="C61" s="4" t="s">
        <v>161</v>
      </c>
      <c r="D61" s="2" t="s">
        <v>345</v>
      </c>
      <c r="E61" s="52" t="s">
        <v>482</v>
      </c>
      <c r="F61" s="3">
        <v>126.61</v>
      </c>
      <c r="G61" s="4" t="s">
        <v>22</v>
      </c>
      <c r="H61" s="54" t="s">
        <v>386</v>
      </c>
      <c r="I61" s="4" t="s">
        <v>482</v>
      </c>
      <c r="J61" s="4"/>
    </row>
    <row r="62" spans="1:10" x14ac:dyDescent="0.25">
      <c r="A62" s="8">
        <v>59</v>
      </c>
      <c r="B62" s="8" t="s">
        <v>483</v>
      </c>
      <c r="C62" s="8" t="s">
        <v>167</v>
      </c>
      <c r="D62" s="6" t="s">
        <v>350</v>
      </c>
      <c r="E62" s="51" t="s">
        <v>484</v>
      </c>
      <c r="F62" s="7">
        <v>557.45000000000005</v>
      </c>
      <c r="G62" s="8" t="s">
        <v>23</v>
      </c>
      <c r="H62" s="54" t="s">
        <v>386</v>
      </c>
      <c r="I62" s="8" t="s">
        <v>484</v>
      </c>
      <c r="J62" s="8"/>
    </row>
    <row r="63" spans="1:10" x14ac:dyDescent="0.25">
      <c r="A63" s="4">
        <v>60</v>
      </c>
      <c r="B63" s="4" t="s">
        <v>485</v>
      </c>
      <c r="C63" s="4" t="s">
        <v>167</v>
      </c>
      <c r="D63" s="2" t="s">
        <v>350</v>
      </c>
      <c r="E63" s="52" t="s">
        <v>417</v>
      </c>
      <c r="F63" s="3">
        <v>449.42</v>
      </c>
      <c r="G63" s="4" t="s">
        <v>23</v>
      </c>
      <c r="H63" s="54" t="s">
        <v>386</v>
      </c>
      <c r="I63" s="4" t="s">
        <v>417</v>
      </c>
      <c r="J63" s="4"/>
    </row>
    <row r="64" spans="1:10" x14ac:dyDescent="0.25">
      <c r="A64" s="8">
        <v>61</v>
      </c>
      <c r="B64" s="8" t="s">
        <v>486</v>
      </c>
      <c r="C64" s="8" t="s">
        <v>167</v>
      </c>
      <c r="D64" s="6" t="s">
        <v>350</v>
      </c>
      <c r="E64" s="51" t="s">
        <v>487</v>
      </c>
      <c r="F64" s="7">
        <v>302.04000000000002</v>
      </c>
      <c r="G64" s="8" t="s">
        <v>23</v>
      </c>
      <c r="H64" s="54" t="s">
        <v>386</v>
      </c>
      <c r="I64" s="8" t="s">
        <v>487</v>
      </c>
      <c r="J64" s="8"/>
    </row>
    <row r="65" spans="1:10" x14ac:dyDescent="0.25">
      <c r="A65" s="4">
        <v>62</v>
      </c>
      <c r="B65" s="4" t="s">
        <v>488</v>
      </c>
      <c r="C65" s="4" t="s">
        <v>167</v>
      </c>
      <c r="D65" s="2" t="s">
        <v>350</v>
      </c>
      <c r="E65" s="52" t="s">
        <v>325</v>
      </c>
      <c r="F65" s="3">
        <v>407.24</v>
      </c>
      <c r="G65" s="4" t="s">
        <v>23</v>
      </c>
      <c r="H65" s="54" t="s">
        <v>386</v>
      </c>
      <c r="I65" s="4" t="s">
        <v>325</v>
      </c>
      <c r="J65" s="4"/>
    </row>
    <row r="66" spans="1:10" x14ac:dyDescent="0.25">
      <c r="A66" s="8">
        <v>63</v>
      </c>
      <c r="B66" s="8" t="s">
        <v>489</v>
      </c>
      <c r="C66" s="8" t="s">
        <v>167</v>
      </c>
      <c r="D66" s="6" t="s">
        <v>350</v>
      </c>
      <c r="E66" s="51" t="s">
        <v>490</v>
      </c>
      <c r="F66" s="7">
        <v>134.5</v>
      </c>
      <c r="G66" s="8" t="s">
        <v>23</v>
      </c>
      <c r="H66" s="54" t="s">
        <v>386</v>
      </c>
      <c r="I66" s="8" t="s">
        <v>490</v>
      </c>
      <c r="J66" s="8"/>
    </row>
    <row r="67" spans="1:10" x14ac:dyDescent="0.25">
      <c r="A67" s="4">
        <v>64</v>
      </c>
      <c r="B67" s="4" t="s">
        <v>491</v>
      </c>
      <c r="C67" s="4" t="s">
        <v>167</v>
      </c>
      <c r="D67" s="2" t="s">
        <v>350</v>
      </c>
      <c r="E67" s="52" t="s">
        <v>492</v>
      </c>
      <c r="F67" s="3">
        <v>227.68</v>
      </c>
      <c r="G67" s="4" t="s">
        <v>23</v>
      </c>
      <c r="H67" s="54" t="s">
        <v>386</v>
      </c>
      <c r="I67" s="4" t="s">
        <v>492</v>
      </c>
      <c r="J67" s="4"/>
    </row>
    <row r="68" spans="1:10" x14ac:dyDescent="0.25">
      <c r="A68" s="8">
        <v>65</v>
      </c>
      <c r="B68" s="8" t="s">
        <v>493</v>
      </c>
      <c r="C68" s="8" t="s">
        <v>168</v>
      </c>
      <c r="D68" s="6" t="s">
        <v>355</v>
      </c>
      <c r="E68" s="51" t="s">
        <v>494</v>
      </c>
      <c r="F68" s="7">
        <v>157.57</v>
      </c>
      <c r="G68" s="8" t="s">
        <v>23</v>
      </c>
      <c r="H68" s="54" t="s">
        <v>386</v>
      </c>
      <c r="I68" s="8" t="s">
        <v>494</v>
      </c>
      <c r="J68" s="8"/>
    </row>
    <row r="69" spans="1:10" x14ac:dyDescent="0.25">
      <c r="A69" s="4">
        <v>66</v>
      </c>
      <c r="B69" s="4" t="s">
        <v>495</v>
      </c>
      <c r="C69" s="4" t="s">
        <v>168</v>
      </c>
      <c r="D69" s="2" t="s">
        <v>355</v>
      </c>
      <c r="E69" s="52" t="s">
        <v>496</v>
      </c>
      <c r="F69" s="3">
        <v>366.43</v>
      </c>
      <c r="G69" s="4" t="s">
        <v>23</v>
      </c>
      <c r="H69" s="54" t="s">
        <v>386</v>
      </c>
      <c r="I69" s="4" t="s">
        <v>496</v>
      </c>
      <c r="J69" s="4"/>
    </row>
    <row r="70" spans="1:10" x14ac:dyDescent="0.25">
      <c r="A70" s="8">
        <v>67</v>
      </c>
      <c r="B70" s="8" t="s">
        <v>497</v>
      </c>
      <c r="C70" s="8" t="s">
        <v>168</v>
      </c>
      <c r="D70" s="6" t="s">
        <v>355</v>
      </c>
      <c r="E70" s="51" t="s">
        <v>498</v>
      </c>
      <c r="F70" s="7">
        <v>313.42</v>
      </c>
      <c r="G70" s="8" t="s">
        <v>23</v>
      </c>
      <c r="H70" s="54" t="s">
        <v>386</v>
      </c>
      <c r="I70" s="8" t="s">
        <v>498</v>
      </c>
      <c r="J70" s="8"/>
    </row>
    <row r="71" spans="1:10" x14ac:dyDescent="0.25">
      <c r="A71" s="4">
        <v>68</v>
      </c>
      <c r="B71" s="4" t="s">
        <v>499</v>
      </c>
      <c r="C71" s="4" t="s">
        <v>174</v>
      </c>
      <c r="D71" s="2" t="s">
        <v>359</v>
      </c>
      <c r="E71" s="52" t="s">
        <v>417</v>
      </c>
      <c r="F71" s="3">
        <v>289.45</v>
      </c>
      <c r="G71" s="4" t="s">
        <v>24</v>
      </c>
      <c r="H71" s="54" t="s">
        <v>386</v>
      </c>
      <c r="I71" s="4" t="s">
        <v>417</v>
      </c>
      <c r="J71" s="4"/>
    </row>
    <row r="72" spans="1:10" x14ac:dyDescent="0.25">
      <c r="A72" s="8">
        <v>69</v>
      </c>
      <c r="B72" s="8" t="s">
        <v>500</v>
      </c>
      <c r="C72" s="8" t="s">
        <v>174</v>
      </c>
      <c r="D72" s="6" t="s">
        <v>359</v>
      </c>
      <c r="E72" s="51" t="s">
        <v>438</v>
      </c>
      <c r="F72" s="7">
        <v>445.03</v>
      </c>
      <c r="G72" s="8" t="s">
        <v>24</v>
      </c>
      <c r="H72" s="54" t="s">
        <v>386</v>
      </c>
      <c r="I72" s="8" t="s">
        <v>438</v>
      </c>
      <c r="J72" s="8"/>
    </row>
    <row r="73" spans="1:10" x14ac:dyDescent="0.25">
      <c r="A73" s="4">
        <v>70</v>
      </c>
      <c r="B73" s="4" t="s">
        <v>501</v>
      </c>
      <c r="C73" s="4" t="s">
        <v>174</v>
      </c>
      <c r="D73" s="2" t="s">
        <v>359</v>
      </c>
      <c r="E73" s="52" t="s">
        <v>502</v>
      </c>
      <c r="F73" s="3">
        <v>75.430000000000007</v>
      </c>
      <c r="G73" s="4" t="s">
        <v>24</v>
      </c>
      <c r="H73" s="54" t="s">
        <v>386</v>
      </c>
      <c r="I73" s="4" t="s">
        <v>502</v>
      </c>
      <c r="J73" s="4"/>
    </row>
    <row r="74" spans="1:10" x14ac:dyDescent="0.25">
      <c r="A74" s="8">
        <v>71</v>
      </c>
      <c r="B74" s="8" t="s">
        <v>503</v>
      </c>
      <c r="C74" s="8" t="s">
        <v>76</v>
      </c>
      <c r="D74" s="6" t="s">
        <v>77</v>
      </c>
      <c r="E74" s="51" t="s">
        <v>504</v>
      </c>
      <c r="F74" s="7">
        <v>139.44999999999999</v>
      </c>
      <c r="G74" s="8" t="s">
        <v>24</v>
      </c>
      <c r="H74" s="54" t="s">
        <v>386</v>
      </c>
      <c r="I74" s="8" t="s">
        <v>504</v>
      </c>
      <c r="J74" s="8"/>
    </row>
    <row r="75" spans="1:10" x14ac:dyDescent="0.25">
      <c r="A75" s="4">
        <v>72</v>
      </c>
      <c r="B75" s="4" t="s">
        <v>505</v>
      </c>
      <c r="C75" s="4" t="s">
        <v>76</v>
      </c>
      <c r="D75" s="2" t="s">
        <v>77</v>
      </c>
      <c r="E75" s="52" t="s">
        <v>506</v>
      </c>
      <c r="F75" s="3">
        <v>127.7</v>
      </c>
      <c r="G75" s="4" t="s">
        <v>24</v>
      </c>
      <c r="H75" s="54" t="s">
        <v>386</v>
      </c>
      <c r="I75" s="4" t="s">
        <v>506</v>
      </c>
      <c r="J75" s="4"/>
    </row>
    <row r="76" spans="1:10" x14ac:dyDescent="0.25">
      <c r="A76" s="8">
        <v>73</v>
      </c>
      <c r="B76" s="8" t="s">
        <v>507</v>
      </c>
      <c r="C76" s="8" t="s">
        <v>76</v>
      </c>
      <c r="D76" s="6" t="s">
        <v>77</v>
      </c>
      <c r="E76" s="51" t="s">
        <v>508</v>
      </c>
      <c r="F76" s="7">
        <v>270.37</v>
      </c>
      <c r="G76" s="8" t="s">
        <v>24</v>
      </c>
      <c r="H76" s="54" t="s">
        <v>386</v>
      </c>
      <c r="I76" s="8" t="s">
        <v>508</v>
      </c>
      <c r="J76" s="8"/>
    </row>
    <row r="77" spans="1:10" x14ac:dyDescent="0.25">
      <c r="A77" s="4">
        <v>74</v>
      </c>
      <c r="B77" s="4" t="s">
        <v>509</v>
      </c>
      <c r="C77" s="4" t="s">
        <v>73</v>
      </c>
      <c r="D77" s="2" t="s">
        <v>74</v>
      </c>
      <c r="E77" s="52" t="s">
        <v>402</v>
      </c>
      <c r="F77" s="3">
        <v>150.4</v>
      </c>
      <c r="G77" s="4" t="s">
        <v>25</v>
      </c>
      <c r="H77" s="54" t="s">
        <v>386</v>
      </c>
      <c r="I77" s="4" t="s">
        <v>402</v>
      </c>
      <c r="J77" s="4"/>
    </row>
    <row r="78" spans="1:10" x14ac:dyDescent="0.25">
      <c r="A78" s="8">
        <v>75</v>
      </c>
      <c r="B78" s="8" t="s">
        <v>510</v>
      </c>
      <c r="C78" s="8" t="s">
        <v>73</v>
      </c>
      <c r="D78" s="6" t="s">
        <v>74</v>
      </c>
      <c r="E78" s="51" t="s">
        <v>511</v>
      </c>
      <c r="F78" s="7">
        <v>157.06</v>
      </c>
      <c r="G78" s="8" t="s">
        <v>25</v>
      </c>
      <c r="H78" s="54" t="s">
        <v>386</v>
      </c>
      <c r="I78" s="8" t="s">
        <v>511</v>
      </c>
      <c r="J78" s="8"/>
    </row>
    <row r="79" spans="1:10" x14ac:dyDescent="0.25">
      <c r="A79" s="4">
        <v>76</v>
      </c>
      <c r="B79" s="4" t="s">
        <v>512</v>
      </c>
      <c r="C79" s="4" t="s">
        <v>73</v>
      </c>
      <c r="D79" s="2" t="s">
        <v>74</v>
      </c>
      <c r="E79" s="52" t="s">
        <v>435</v>
      </c>
      <c r="F79" s="3">
        <v>592.45000000000005</v>
      </c>
      <c r="G79" s="4" t="s">
        <v>25</v>
      </c>
      <c r="H79" s="54" t="s">
        <v>386</v>
      </c>
      <c r="I79" s="4" t="s">
        <v>435</v>
      </c>
      <c r="J79" s="4"/>
    </row>
    <row r="80" spans="1:10" x14ac:dyDescent="0.25">
      <c r="A80" s="8">
        <v>77</v>
      </c>
      <c r="B80" s="8" t="s">
        <v>513</v>
      </c>
      <c r="C80" s="8" t="s">
        <v>73</v>
      </c>
      <c r="D80" s="6" t="s">
        <v>74</v>
      </c>
      <c r="E80" s="51" t="s">
        <v>514</v>
      </c>
      <c r="F80" s="7">
        <v>599.83000000000004</v>
      </c>
      <c r="G80" s="8" t="s">
        <v>25</v>
      </c>
      <c r="H80" s="54" t="s">
        <v>386</v>
      </c>
      <c r="I80" s="8" t="s">
        <v>514</v>
      </c>
      <c r="J80" s="8"/>
    </row>
    <row r="81" spans="1:10" x14ac:dyDescent="0.25">
      <c r="A81" s="4">
        <v>78</v>
      </c>
      <c r="B81" s="4" t="s">
        <v>515</v>
      </c>
      <c r="C81" s="4" t="s">
        <v>70</v>
      </c>
      <c r="D81" s="2" t="s">
        <v>71</v>
      </c>
      <c r="E81" s="52" t="s">
        <v>516</v>
      </c>
      <c r="F81" s="3">
        <v>505.04</v>
      </c>
      <c r="G81" s="4" t="s">
        <v>25</v>
      </c>
      <c r="H81" s="54" t="s">
        <v>386</v>
      </c>
      <c r="I81" s="4" t="s">
        <v>516</v>
      </c>
      <c r="J81" s="4"/>
    </row>
    <row r="82" spans="1:10" x14ac:dyDescent="0.25">
      <c r="A82" s="8">
        <v>79</v>
      </c>
      <c r="B82" s="8" t="s">
        <v>517</v>
      </c>
      <c r="C82" s="8" t="s">
        <v>70</v>
      </c>
      <c r="D82" s="6" t="s">
        <v>71</v>
      </c>
      <c r="E82" s="51" t="s">
        <v>518</v>
      </c>
      <c r="F82" s="7">
        <v>296.19</v>
      </c>
      <c r="G82" s="8" t="s">
        <v>25</v>
      </c>
      <c r="H82" s="54" t="s">
        <v>386</v>
      </c>
      <c r="I82" s="8" t="s">
        <v>518</v>
      </c>
      <c r="J82" s="8"/>
    </row>
    <row r="83" spans="1:10" x14ac:dyDescent="0.25">
      <c r="A83" s="4">
        <v>80</v>
      </c>
      <c r="B83" s="4" t="s">
        <v>519</v>
      </c>
      <c r="C83" s="4" t="s">
        <v>70</v>
      </c>
      <c r="D83" s="2" t="s">
        <v>71</v>
      </c>
      <c r="E83" s="52" t="s">
        <v>520</v>
      </c>
      <c r="F83" s="3">
        <v>164.68</v>
      </c>
      <c r="G83" s="4" t="s">
        <v>25</v>
      </c>
      <c r="H83" s="54" t="s">
        <v>386</v>
      </c>
      <c r="I83" s="4" t="s">
        <v>520</v>
      </c>
      <c r="J83" s="4"/>
    </row>
    <row r="84" spans="1:10" x14ac:dyDescent="0.25">
      <c r="A84" s="8">
        <v>81</v>
      </c>
      <c r="B84" s="8" t="s">
        <v>521</v>
      </c>
      <c r="C84" s="8" t="s">
        <v>70</v>
      </c>
      <c r="D84" s="6" t="s">
        <v>71</v>
      </c>
      <c r="E84" s="51" t="s">
        <v>522</v>
      </c>
      <c r="F84" s="7">
        <v>250.38</v>
      </c>
      <c r="G84" s="8" t="s">
        <v>25</v>
      </c>
      <c r="H84" s="54" t="s">
        <v>386</v>
      </c>
      <c r="I84" s="8" t="s">
        <v>522</v>
      </c>
      <c r="J84" s="8"/>
    </row>
    <row r="85" spans="1:10" x14ac:dyDescent="0.25">
      <c r="A85" s="4">
        <v>82</v>
      </c>
      <c r="B85" s="4" t="s">
        <v>523</v>
      </c>
      <c r="C85" s="4" t="s">
        <v>70</v>
      </c>
      <c r="D85" s="2" t="s">
        <v>71</v>
      </c>
      <c r="E85" s="52" t="s">
        <v>524</v>
      </c>
      <c r="F85" s="3">
        <v>480.52</v>
      </c>
      <c r="G85" s="4" t="s">
        <v>25</v>
      </c>
      <c r="H85" s="54" t="s">
        <v>386</v>
      </c>
      <c r="I85" s="4" t="s">
        <v>524</v>
      </c>
      <c r="J85" s="4"/>
    </row>
    <row r="86" spans="1:10" x14ac:dyDescent="0.25">
      <c r="A86" s="8">
        <v>83</v>
      </c>
      <c r="B86" s="8" t="s">
        <v>525</v>
      </c>
      <c r="C86" s="8" t="s">
        <v>70</v>
      </c>
      <c r="D86" s="6" t="s">
        <v>71</v>
      </c>
      <c r="E86" s="51" t="s">
        <v>526</v>
      </c>
      <c r="F86" s="7">
        <v>165.28</v>
      </c>
      <c r="G86" s="8" t="s">
        <v>25</v>
      </c>
      <c r="H86" s="54" t="s">
        <v>386</v>
      </c>
      <c r="I86" s="8" t="s">
        <v>526</v>
      </c>
      <c r="J86" s="8"/>
    </row>
    <row r="87" spans="1:10" x14ac:dyDescent="0.25">
      <c r="A87" s="4">
        <v>84</v>
      </c>
      <c r="B87" s="4" t="s">
        <v>527</v>
      </c>
      <c r="C87" s="4" t="s">
        <v>67</v>
      </c>
      <c r="D87" s="2" t="s">
        <v>68</v>
      </c>
      <c r="E87" s="52" t="s">
        <v>490</v>
      </c>
      <c r="F87" s="3">
        <v>529.24</v>
      </c>
      <c r="G87" s="4" t="s">
        <v>26</v>
      </c>
      <c r="H87" s="54" t="s">
        <v>386</v>
      </c>
      <c r="I87" s="4" t="s">
        <v>490</v>
      </c>
      <c r="J87" s="4"/>
    </row>
    <row r="88" spans="1:10" x14ac:dyDescent="0.25">
      <c r="A88" s="8">
        <v>85</v>
      </c>
      <c r="B88" s="8" t="s">
        <v>528</v>
      </c>
      <c r="C88" s="8" t="s">
        <v>67</v>
      </c>
      <c r="D88" s="6" t="s">
        <v>68</v>
      </c>
      <c r="E88" s="51" t="s">
        <v>362</v>
      </c>
      <c r="F88" s="7">
        <v>159.86000000000001</v>
      </c>
      <c r="G88" s="8" t="s">
        <v>26</v>
      </c>
      <c r="H88" s="54" t="s">
        <v>386</v>
      </c>
      <c r="I88" s="8" t="s">
        <v>362</v>
      </c>
      <c r="J88" s="8"/>
    </row>
    <row r="89" spans="1:10" x14ac:dyDescent="0.25">
      <c r="A89" s="4">
        <v>86</v>
      </c>
      <c r="B89" s="4" t="s">
        <v>529</v>
      </c>
      <c r="C89" s="4" t="s">
        <v>67</v>
      </c>
      <c r="D89" s="2" t="s">
        <v>68</v>
      </c>
      <c r="E89" s="52" t="s">
        <v>530</v>
      </c>
      <c r="F89" s="3">
        <v>488.42</v>
      </c>
      <c r="G89" s="4" t="s">
        <v>26</v>
      </c>
      <c r="H89" s="54" t="s">
        <v>386</v>
      </c>
      <c r="I89" s="4" t="s">
        <v>530</v>
      </c>
      <c r="J89" s="4"/>
    </row>
    <row r="90" spans="1:10" x14ac:dyDescent="0.25">
      <c r="A90" s="8">
        <v>87</v>
      </c>
      <c r="B90" s="8" t="s">
        <v>531</v>
      </c>
      <c r="C90" s="8" t="s">
        <v>67</v>
      </c>
      <c r="D90" s="6" t="s">
        <v>68</v>
      </c>
      <c r="E90" s="51" t="s">
        <v>462</v>
      </c>
      <c r="F90" s="7">
        <v>241.4</v>
      </c>
      <c r="G90" s="8" t="s">
        <v>26</v>
      </c>
      <c r="H90" s="54" t="s">
        <v>386</v>
      </c>
      <c r="I90" s="8" t="s">
        <v>462</v>
      </c>
      <c r="J90" s="8"/>
    </row>
    <row r="91" spans="1:10" x14ac:dyDescent="0.25">
      <c r="A91" s="4">
        <v>88</v>
      </c>
      <c r="B91" s="4" t="s">
        <v>532</v>
      </c>
      <c r="C91" s="4" t="s">
        <v>67</v>
      </c>
      <c r="D91" s="2" t="s">
        <v>68</v>
      </c>
      <c r="E91" s="52" t="s">
        <v>484</v>
      </c>
      <c r="F91" s="3">
        <v>301.27999999999997</v>
      </c>
      <c r="G91" s="4" t="s">
        <v>26</v>
      </c>
      <c r="H91" s="54" t="s">
        <v>386</v>
      </c>
      <c r="I91" s="4" t="s">
        <v>484</v>
      </c>
      <c r="J91" s="4"/>
    </row>
    <row r="92" spans="1:10" x14ac:dyDescent="0.25">
      <c r="A92" s="8">
        <v>89</v>
      </c>
      <c r="B92" s="8" t="s">
        <v>533</v>
      </c>
      <c r="C92" s="8" t="s">
        <v>67</v>
      </c>
      <c r="D92" s="6" t="s">
        <v>68</v>
      </c>
      <c r="E92" s="51" t="s">
        <v>325</v>
      </c>
      <c r="F92" s="7">
        <v>395.86</v>
      </c>
      <c r="G92" s="8" t="s">
        <v>26</v>
      </c>
      <c r="H92" s="54" t="s">
        <v>386</v>
      </c>
      <c r="I92" s="8" t="s">
        <v>325</v>
      </c>
      <c r="J92" s="8"/>
    </row>
    <row r="93" spans="1:10" x14ac:dyDescent="0.25">
      <c r="A93" s="4">
        <v>90</v>
      </c>
      <c r="B93" s="4" t="s">
        <v>534</v>
      </c>
      <c r="C93" s="4" t="s">
        <v>63</v>
      </c>
      <c r="D93" s="2" t="s">
        <v>64</v>
      </c>
      <c r="E93" s="52" t="s">
        <v>535</v>
      </c>
      <c r="F93" s="3">
        <v>432.29</v>
      </c>
      <c r="G93" s="4" t="s">
        <v>26</v>
      </c>
      <c r="H93" s="54" t="s">
        <v>386</v>
      </c>
      <c r="I93" s="4" t="s">
        <v>535</v>
      </c>
      <c r="J93" s="4"/>
    </row>
    <row r="94" spans="1:10" x14ac:dyDescent="0.25">
      <c r="A94" s="8">
        <v>91</v>
      </c>
      <c r="B94" s="8" t="s">
        <v>536</v>
      </c>
      <c r="C94" s="8" t="s">
        <v>63</v>
      </c>
      <c r="D94" s="6" t="s">
        <v>64</v>
      </c>
      <c r="E94" s="51" t="s">
        <v>508</v>
      </c>
      <c r="F94" s="7">
        <v>324.67</v>
      </c>
      <c r="G94" s="8" t="s">
        <v>26</v>
      </c>
      <c r="H94" s="54" t="s">
        <v>386</v>
      </c>
      <c r="I94" s="8" t="s">
        <v>508</v>
      </c>
      <c r="J94" s="8"/>
    </row>
    <row r="95" spans="1:10" x14ac:dyDescent="0.25">
      <c r="A95" s="4">
        <v>92</v>
      </c>
      <c r="B95" s="4" t="s">
        <v>537</v>
      </c>
      <c r="C95" s="4" t="s">
        <v>63</v>
      </c>
      <c r="D95" s="2" t="s">
        <v>64</v>
      </c>
      <c r="E95" s="52" t="s">
        <v>331</v>
      </c>
      <c r="F95" s="3">
        <v>272.51</v>
      </c>
      <c r="G95" s="4" t="s">
        <v>26</v>
      </c>
      <c r="H95" s="54" t="s">
        <v>386</v>
      </c>
      <c r="I95" s="4" t="s">
        <v>331</v>
      </c>
      <c r="J95" s="4"/>
    </row>
    <row r="96" spans="1:10" x14ac:dyDescent="0.25">
      <c r="A96" s="8">
        <v>93</v>
      </c>
      <c r="B96" s="8" t="s">
        <v>538</v>
      </c>
      <c r="C96" s="8" t="s">
        <v>63</v>
      </c>
      <c r="D96" s="6" t="s">
        <v>64</v>
      </c>
      <c r="E96" s="51" t="s">
        <v>539</v>
      </c>
      <c r="F96" s="7">
        <v>237.84</v>
      </c>
      <c r="G96" s="8" t="s">
        <v>26</v>
      </c>
      <c r="H96" s="54" t="s">
        <v>386</v>
      </c>
      <c r="I96" s="8" t="s">
        <v>539</v>
      </c>
      <c r="J96" s="8"/>
    </row>
    <row r="97" spans="1:10" x14ac:dyDescent="0.25">
      <c r="A97" s="4">
        <v>94</v>
      </c>
      <c r="B97" s="4" t="s">
        <v>540</v>
      </c>
      <c r="C97" s="4" t="s">
        <v>63</v>
      </c>
      <c r="D97" s="2" t="s">
        <v>64</v>
      </c>
      <c r="E97" s="52" t="s">
        <v>402</v>
      </c>
      <c r="F97" s="3">
        <v>315.43</v>
      </c>
      <c r="G97" s="4" t="s">
        <v>26</v>
      </c>
      <c r="H97" s="54" t="s">
        <v>386</v>
      </c>
      <c r="I97" s="4" t="s">
        <v>402</v>
      </c>
      <c r="J97" s="4"/>
    </row>
  </sheetData>
  <autoFilter ref="A3:J3" xr:uid="{00000000-0009-0000-0000-000025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0392B"/>
  </sheetPr>
  <dimension ref="A1:L4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20" customWidth="1"/>
    <col min="3" max="3" width="16" customWidth="1"/>
    <col min="4" max="4" width="24" customWidth="1"/>
    <col min="5" max="5" width="16" customWidth="1"/>
    <col min="6" max="6" width="13" customWidth="1"/>
    <col min="7" max="7" width="18" customWidth="1"/>
    <col min="8" max="9" width="16" customWidth="1"/>
    <col min="10" max="10" width="12" customWidth="1"/>
    <col min="11" max="11" width="14" customWidth="1"/>
    <col min="12" max="12" width="22" customWidth="1"/>
  </cols>
  <sheetData>
    <row r="1" spans="1:12" ht="31.5" customHeight="1" x14ac:dyDescent="0.25">
      <c r="A1" s="109" t="s">
        <v>541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ht="19.5" customHeight="1" x14ac:dyDescent="0.25">
      <c r="A2" s="110" t="s">
        <v>542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spans="1:12" x14ac:dyDescent="0.25">
      <c r="A3" s="30" t="s">
        <v>379</v>
      </c>
      <c r="B3" s="30" t="s">
        <v>380</v>
      </c>
      <c r="C3" s="30" t="s">
        <v>269</v>
      </c>
      <c r="D3" s="30" t="s">
        <v>381</v>
      </c>
      <c r="E3" s="30" t="s">
        <v>543</v>
      </c>
      <c r="F3" s="30" t="s">
        <v>88</v>
      </c>
      <c r="G3" s="30" t="s">
        <v>544</v>
      </c>
      <c r="H3" s="30" t="s">
        <v>545</v>
      </c>
      <c r="I3" s="30" t="s">
        <v>546</v>
      </c>
      <c r="J3" s="30" t="s">
        <v>8</v>
      </c>
      <c r="K3" s="30" t="s">
        <v>91</v>
      </c>
      <c r="L3" s="30" t="s">
        <v>383</v>
      </c>
    </row>
    <row r="4" spans="1:12" x14ac:dyDescent="0.25">
      <c r="A4" s="8">
        <v>1</v>
      </c>
      <c r="B4" s="8" t="s">
        <v>547</v>
      </c>
      <c r="C4" s="8" t="s">
        <v>94</v>
      </c>
      <c r="D4" s="6" t="s">
        <v>284</v>
      </c>
      <c r="E4" s="7">
        <v>1178.97</v>
      </c>
      <c r="F4" s="51" t="s">
        <v>400</v>
      </c>
      <c r="G4" s="7">
        <v>100.15</v>
      </c>
      <c r="H4" s="8" t="s">
        <v>106</v>
      </c>
      <c r="I4" s="7">
        <v>1078.82</v>
      </c>
      <c r="J4" s="8" t="s">
        <v>17</v>
      </c>
      <c r="K4" s="54" t="s">
        <v>548</v>
      </c>
      <c r="L4" s="8" t="s">
        <v>400</v>
      </c>
    </row>
    <row r="5" spans="1:12" x14ac:dyDescent="0.25">
      <c r="A5" s="4">
        <v>2</v>
      </c>
      <c r="B5" s="4" t="s">
        <v>549</v>
      </c>
      <c r="C5" s="4" t="s">
        <v>94</v>
      </c>
      <c r="D5" s="2" t="s">
        <v>284</v>
      </c>
      <c r="E5" s="3">
        <v>1344.3</v>
      </c>
      <c r="F5" s="52" t="s">
        <v>440</v>
      </c>
      <c r="G5" s="3">
        <v>265.48</v>
      </c>
      <c r="H5" s="4" t="s">
        <v>106</v>
      </c>
      <c r="I5" s="3">
        <v>1078.82</v>
      </c>
      <c r="J5" s="4" t="s">
        <v>17</v>
      </c>
      <c r="K5" s="54" t="s">
        <v>548</v>
      </c>
      <c r="L5" s="4" t="s">
        <v>440</v>
      </c>
    </row>
    <row r="6" spans="1:12" x14ac:dyDescent="0.25">
      <c r="A6" s="8">
        <v>3</v>
      </c>
      <c r="B6" s="8" t="s">
        <v>550</v>
      </c>
      <c r="C6" s="8" t="s">
        <v>94</v>
      </c>
      <c r="D6" s="6" t="s">
        <v>284</v>
      </c>
      <c r="E6" s="7">
        <v>1116.0999999999999</v>
      </c>
      <c r="F6" s="51" t="s">
        <v>462</v>
      </c>
      <c r="G6" s="7">
        <v>37.28</v>
      </c>
      <c r="H6" s="8" t="s">
        <v>106</v>
      </c>
      <c r="I6" s="7">
        <v>1078.82</v>
      </c>
      <c r="J6" s="8" t="s">
        <v>17</v>
      </c>
      <c r="K6" s="54" t="s">
        <v>548</v>
      </c>
      <c r="L6" s="8" t="s">
        <v>462</v>
      </c>
    </row>
    <row r="7" spans="1:12" x14ac:dyDescent="0.25">
      <c r="A7" s="4">
        <v>4</v>
      </c>
      <c r="B7" s="4" t="s">
        <v>551</v>
      </c>
      <c r="C7" s="4" t="s">
        <v>95</v>
      </c>
      <c r="D7" s="2" t="s">
        <v>290</v>
      </c>
      <c r="E7" s="3">
        <v>1926.39</v>
      </c>
      <c r="F7" s="52" t="s">
        <v>526</v>
      </c>
      <c r="G7" s="3">
        <v>57.88</v>
      </c>
      <c r="H7" s="4" t="s">
        <v>106</v>
      </c>
      <c r="I7" s="3">
        <v>1868.51</v>
      </c>
      <c r="J7" s="4" t="s">
        <v>17</v>
      </c>
      <c r="K7" s="54" t="s">
        <v>548</v>
      </c>
      <c r="L7" s="4" t="s">
        <v>526</v>
      </c>
    </row>
    <row r="8" spans="1:12" x14ac:dyDescent="0.25">
      <c r="A8" s="8">
        <v>5</v>
      </c>
      <c r="B8" s="8" t="s">
        <v>552</v>
      </c>
      <c r="C8" s="8" t="s">
        <v>95</v>
      </c>
      <c r="D8" s="6" t="s">
        <v>290</v>
      </c>
      <c r="E8" s="7">
        <v>2026.6</v>
      </c>
      <c r="F8" s="51" t="s">
        <v>553</v>
      </c>
      <c r="G8" s="7">
        <v>158.09</v>
      </c>
      <c r="H8" s="8" t="s">
        <v>106</v>
      </c>
      <c r="I8" s="7">
        <v>1868.51</v>
      </c>
      <c r="J8" s="8" t="s">
        <v>17</v>
      </c>
      <c r="K8" s="54" t="s">
        <v>548</v>
      </c>
      <c r="L8" s="8" t="s">
        <v>553</v>
      </c>
    </row>
    <row r="9" spans="1:12" x14ac:dyDescent="0.25">
      <c r="A9" s="4">
        <v>6</v>
      </c>
      <c r="B9" s="4" t="s">
        <v>554</v>
      </c>
      <c r="C9" s="4" t="s">
        <v>129</v>
      </c>
      <c r="D9" s="2" t="s">
        <v>295</v>
      </c>
      <c r="E9" s="3">
        <v>2698.06</v>
      </c>
      <c r="F9" s="52" t="s">
        <v>473</v>
      </c>
      <c r="G9" s="3">
        <v>141.24</v>
      </c>
      <c r="H9" s="4" t="s">
        <v>106</v>
      </c>
      <c r="I9" s="3">
        <v>2556.8200000000002</v>
      </c>
      <c r="J9" s="4" t="s">
        <v>18</v>
      </c>
      <c r="K9" s="54" t="s">
        <v>548</v>
      </c>
      <c r="L9" s="4" t="s">
        <v>473</v>
      </c>
    </row>
    <row r="10" spans="1:12" x14ac:dyDescent="0.25">
      <c r="A10" s="8">
        <v>7</v>
      </c>
      <c r="B10" s="8" t="s">
        <v>555</v>
      </c>
      <c r="C10" s="8" t="s">
        <v>129</v>
      </c>
      <c r="D10" s="6" t="s">
        <v>295</v>
      </c>
      <c r="E10" s="7">
        <v>2672.38</v>
      </c>
      <c r="F10" s="51" t="s">
        <v>419</v>
      </c>
      <c r="G10" s="7">
        <v>115.56</v>
      </c>
      <c r="H10" s="8" t="s">
        <v>106</v>
      </c>
      <c r="I10" s="7">
        <v>2556.8200000000002</v>
      </c>
      <c r="J10" s="8" t="s">
        <v>18</v>
      </c>
      <c r="K10" s="54" t="s">
        <v>548</v>
      </c>
      <c r="L10" s="8" t="s">
        <v>419</v>
      </c>
    </row>
    <row r="11" spans="1:12" x14ac:dyDescent="0.25">
      <c r="A11" s="4">
        <v>8</v>
      </c>
      <c r="B11" s="4" t="s">
        <v>556</v>
      </c>
      <c r="C11" s="4" t="s">
        <v>129</v>
      </c>
      <c r="D11" s="2" t="s">
        <v>295</v>
      </c>
      <c r="E11" s="3">
        <v>2675.58</v>
      </c>
      <c r="F11" s="52" t="s">
        <v>467</v>
      </c>
      <c r="G11" s="3">
        <v>118.76</v>
      </c>
      <c r="H11" s="4" t="s">
        <v>106</v>
      </c>
      <c r="I11" s="3">
        <v>2556.8200000000002</v>
      </c>
      <c r="J11" s="4" t="s">
        <v>18</v>
      </c>
      <c r="K11" s="54" t="s">
        <v>548</v>
      </c>
      <c r="L11" s="4" t="s">
        <v>467</v>
      </c>
    </row>
    <row r="12" spans="1:12" x14ac:dyDescent="0.25">
      <c r="A12" s="8">
        <v>9</v>
      </c>
      <c r="B12" s="8" t="s">
        <v>557</v>
      </c>
      <c r="C12" s="8" t="s">
        <v>130</v>
      </c>
      <c r="D12" s="6" t="s">
        <v>301</v>
      </c>
      <c r="E12" s="7">
        <v>1745.77</v>
      </c>
      <c r="F12" s="51" t="s">
        <v>558</v>
      </c>
      <c r="G12" s="7">
        <v>247.51</v>
      </c>
      <c r="H12" s="8" t="s">
        <v>106</v>
      </c>
      <c r="I12" s="7">
        <v>1498.26</v>
      </c>
      <c r="J12" s="8" t="s">
        <v>18</v>
      </c>
      <c r="K12" s="54" t="s">
        <v>548</v>
      </c>
      <c r="L12" s="8" t="s">
        <v>558</v>
      </c>
    </row>
    <row r="13" spans="1:12" x14ac:dyDescent="0.25">
      <c r="A13" s="4">
        <v>10</v>
      </c>
      <c r="B13" s="4" t="s">
        <v>559</v>
      </c>
      <c r="C13" s="4" t="s">
        <v>137</v>
      </c>
      <c r="D13" s="2" t="s">
        <v>306</v>
      </c>
      <c r="E13" s="3">
        <v>3877.72</v>
      </c>
      <c r="F13" s="52" t="s">
        <v>560</v>
      </c>
      <c r="G13" s="3">
        <v>52</v>
      </c>
      <c r="H13" s="4" t="s">
        <v>106</v>
      </c>
      <c r="I13" s="3">
        <v>3825.72</v>
      </c>
      <c r="J13" s="4" t="s">
        <v>19</v>
      </c>
      <c r="K13" s="54" t="s">
        <v>548</v>
      </c>
      <c r="L13" s="4" t="s">
        <v>560</v>
      </c>
    </row>
    <row r="14" spans="1:12" x14ac:dyDescent="0.25">
      <c r="A14" s="8">
        <v>11</v>
      </c>
      <c r="B14" s="8" t="s">
        <v>561</v>
      </c>
      <c r="C14" s="8" t="s">
        <v>137</v>
      </c>
      <c r="D14" s="6" t="s">
        <v>306</v>
      </c>
      <c r="E14" s="7">
        <v>3865.2</v>
      </c>
      <c r="F14" s="51" t="s">
        <v>417</v>
      </c>
      <c r="G14" s="7">
        <v>39.479999999999997</v>
      </c>
      <c r="H14" s="8" t="s">
        <v>106</v>
      </c>
      <c r="I14" s="7">
        <v>3825.72</v>
      </c>
      <c r="J14" s="8" t="s">
        <v>19</v>
      </c>
      <c r="K14" s="54" t="s">
        <v>548</v>
      </c>
      <c r="L14" s="8" t="s">
        <v>417</v>
      </c>
    </row>
    <row r="15" spans="1:12" x14ac:dyDescent="0.25">
      <c r="A15" s="4">
        <v>12</v>
      </c>
      <c r="B15" s="4" t="s">
        <v>562</v>
      </c>
      <c r="C15" s="4" t="s">
        <v>138</v>
      </c>
      <c r="D15" s="2" t="s">
        <v>312</v>
      </c>
      <c r="E15" s="3">
        <v>1325.66</v>
      </c>
      <c r="F15" s="52" t="s">
        <v>563</v>
      </c>
      <c r="G15" s="3">
        <v>81.39</v>
      </c>
      <c r="H15" s="4" t="s">
        <v>106</v>
      </c>
      <c r="I15" s="3">
        <v>1244.27</v>
      </c>
      <c r="J15" s="4" t="s">
        <v>19</v>
      </c>
      <c r="K15" s="54" t="s">
        <v>548</v>
      </c>
      <c r="L15" s="4" t="s">
        <v>563</v>
      </c>
    </row>
    <row r="16" spans="1:12" x14ac:dyDescent="0.25">
      <c r="A16" s="8">
        <v>13</v>
      </c>
      <c r="B16" s="8" t="s">
        <v>564</v>
      </c>
      <c r="C16" s="8" t="s">
        <v>145</v>
      </c>
      <c r="D16" s="6" t="s">
        <v>317</v>
      </c>
      <c r="E16" s="7">
        <v>2447.86</v>
      </c>
      <c r="F16" s="51" t="s">
        <v>565</v>
      </c>
      <c r="G16" s="7">
        <v>112.37</v>
      </c>
      <c r="H16" s="8" t="s">
        <v>106</v>
      </c>
      <c r="I16" s="7">
        <v>2335.4899999999998</v>
      </c>
      <c r="J16" s="8" t="s">
        <v>20</v>
      </c>
      <c r="K16" s="54" t="s">
        <v>548</v>
      </c>
      <c r="L16" s="8" t="s">
        <v>565</v>
      </c>
    </row>
    <row r="17" spans="1:12" x14ac:dyDescent="0.25">
      <c r="A17" s="4">
        <v>14</v>
      </c>
      <c r="B17" s="4" t="s">
        <v>566</v>
      </c>
      <c r="C17" s="4" t="s">
        <v>145</v>
      </c>
      <c r="D17" s="2" t="s">
        <v>317</v>
      </c>
      <c r="E17" s="3">
        <v>2409.59</v>
      </c>
      <c r="F17" s="52" t="s">
        <v>567</v>
      </c>
      <c r="G17" s="3">
        <v>74.099999999999994</v>
      </c>
      <c r="H17" s="4" t="s">
        <v>106</v>
      </c>
      <c r="I17" s="3">
        <v>2335.4899999999998</v>
      </c>
      <c r="J17" s="4" t="s">
        <v>20</v>
      </c>
      <c r="K17" s="54" t="s">
        <v>548</v>
      </c>
      <c r="L17" s="4" t="s">
        <v>567</v>
      </c>
    </row>
    <row r="18" spans="1:12" x14ac:dyDescent="0.25">
      <c r="A18" s="8">
        <v>15</v>
      </c>
      <c r="B18" s="8" t="s">
        <v>568</v>
      </c>
      <c r="C18" s="8" t="s">
        <v>145</v>
      </c>
      <c r="D18" s="6" t="s">
        <v>317</v>
      </c>
      <c r="E18" s="7">
        <v>2610.0300000000002</v>
      </c>
      <c r="F18" s="51" t="s">
        <v>569</v>
      </c>
      <c r="G18" s="7">
        <v>274.54000000000002</v>
      </c>
      <c r="H18" s="8" t="s">
        <v>106</v>
      </c>
      <c r="I18" s="7">
        <v>2335.4899999999998</v>
      </c>
      <c r="J18" s="8" t="s">
        <v>20</v>
      </c>
      <c r="K18" s="54" t="s">
        <v>548</v>
      </c>
      <c r="L18" s="8" t="s">
        <v>569</v>
      </c>
    </row>
    <row r="19" spans="1:12" x14ac:dyDescent="0.25">
      <c r="A19" s="4">
        <v>16</v>
      </c>
      <c r="B19" s="4" t="s">
        <v>570</v>
      </c>
      <c r="C19" s="4" t="s">
        <v>146</v>
      </c>
      <c r="D19" s="2" t="s">
        <v>323</v>
      </c>
      <c r="E19" s="3">
        <v>3296.16</v>
      </c>
      <c r="F19" s="52" t="s">
        <v>469</v>
      </c>
      <c r="G19" s="3">
        <v>261.95999999999998</v>
      </c>
      <c r="H19" s="4" t="s">
        <v>106</v>
      </c>
      <c r="I19" s="3">
        <v>3034.2</v>
      </c>
      <c r="J19" s="4" t="s">
        <v>20</v>
      </c>
      <c r="K19" s="54" t="s">
        <v>548</v>
      </c>
      <c r="L19" s="4" t="s">
        <v>469</v>
      </c>
    </row>
    <row r="20" spans="1:12" x14ac:dyDescent="0.25">
      <c r="A20" s="8">
        <v>17</v>
      </c>
      <c r="B20" s="8" t="s">
        <v>571</v>
      </c>
      <c r="C20" s="8" t="s">
        <v>146</v>
      </c>
      <c r="D20" s="6" t="s">
        <v>323</v>
      </c>
      <c r="E20" s="7">
        <v>3219.16</v>
      </c>
      <c r="F20" s="51" t="s">
        <v>553</v>
      </c>
      <c r="G20" s="7">
        <v>184.96</v>
      </c>
      <c r="H20" s="8" t="s">
        <v>106</v>
      </c>
      <c r="I20" s="7">
        <v>3034.2</v>
      </c>
      <c r="J20" s="8" t="s">
        <v>20</v>
      </c>
      <c r="K20" s="54" t="s">
        <v>548</v>
      </c>
      <c r="L20" s="8" t="s">
        <v>553</v>
      </c>
    </row>
    <row r="21" spans="1:12" x14ac:dyDescent="0.25">
      <c r="A21" s="4">
        <v>18</v>
      </c>
      <c r="B21" s="4" t="s">
        <v>572</v>
      </c>
      <c r="C21" s="4" t="s">
        <v>153</v>
      </c>
      <c r="D21" s="2" t="s">
        <v>328</v>
      </c>
      <c r="E21" s="3">
        <v>4132.5</v>
      </c>
      <c r="F21" s="52" t="s">
        <v>454</v>
      </c>
      <c r="G21" s="3">
        <v>245.75</v>
      </c>
      <c r="H21" s="4" t="s">
        <v>106</v>
      </c>
      <c r="I21" s="3">
        <v>3886.75</v>
      </c>
      <c r="J21" s="4" t="s">
        <v>21</v>
      </c>
      <c r="K21" s="54" t="s">
        <v>548</v>
      </c>
      <c r="L21" s="4" t="s">
        <v>454</v>
      </c>
    </row>
    <row r="22" spans="1:12" x14ac:dyDescent="0.25">
      <c r="A22" s="8">
        <v>19</v>
      </c>
      <c r="B22" s="8" t="s">
        <v>573</v>
      </c>
      <c r="C22" s="8" t="s">
        <v>154</v>
      </c>
      <c r="D22" s="6" t="s">
        <v>334</v>
      </c>
      <c r="E22" s="7">
        <v>2944.51</v>
      </c>
      <c r="F22" s="51" t="s">
        <v>574</v>
      </c>
      <c r="G22" s="7">
        <v>105.44</v>
      </c>
      <c r="H22" s="8" t="s">
        <v>106</v>
      </c>
      <c r="I22" s="7">
        <v>2839.07</v>
      </c>
      <c r="J22" s="8" t="s">
        <v>21</v>
      </c>
      <c r="K22" s="54" t="s">
        <v>548</v>
      </c>
      <c r="L22" s="8" t="s">
        <v>574</v>
      </c>
    </row>
    <row r="23" spans="1:12" x14ac:dyDescent="0.25">
      <c r="A23" s="4">
        <v>20</v>
      </c>
      <c r="B23" s="4" t="s">
        <v>575</v>
      </c>
      <c r="C23" s="4" t="s">
        <v>154</v>
      </c>
      <c r="D23" s="2" t="s">
        <v>334</v>
      </c>
      <c r="E23" s="3">
        <v>3031</v>
      </c>
      <c r="F23" s="52" t="s">
        <v>484</v>
      </c>
      <c r="G23" s="3">
        <v>191.93</v>
      </c>
      <c r="H23" s="4" t="s">
        <v>106</v>
      </c>
      <c r="I23" s="3">
        <v>2839.07</v>
      </c>
      <c r="J23" s="4" t="s">
        <v>21</v>
      </c>
      <c r="K23" s="54" t="s">
        <v>548</v>
      </c>
      <c r="L23" s="4" t="s">
        <v>484</v>
      </c>
    </row>
    <row r="24" spans="1:12" x14ac:dyDescent="0.25">
      <c r="A24" s="8">
        <v>21</v>
      </c>
      <c r="B24" s="8" t="s">
        <v>576</v>
      </c>
      <c r="C24" s="8" t="s">
        <v>154</v>
      </c>
      <c r="D24" s="6" t="s">
        <v>334</v>
      </c>
      <c r="E24" s="7">
        <v>3113.83</v>
      </c>
      <c r="F24" s="51" t="s">
        <v>577</v>
      </c>
      <c r="G24" s="7">
        <v>274.76</v>
      </c>
      <c r="H24" s="8" t="s">
        <v>106</v>
      </c>
      <c r="I24" s="7">
        <v>2839.07</v>
      </c>
      <c r="J24" s="8" t="s">
        <v>21</v>
      </c>
      <c r="K24" s="54" t="s">
        <v>548</v>
      </c>
      <c r="L24" s="8" t="s">
        <v>577</v>
      </c>
    </row>
    <row r="25" spans="1:12" x14ac:dyDescent="0.25">
      <c r="A25" s="4">
        <v>22</v>
      </c>
      <c r="B25" s="4" t="s">
        <v>578</v>
      </c>
      <c r="C25" s="4" t="s">
        <v>160</v>
      </c>
      <c r="D25" s="2" t="s">
        <v>339</v>
      </c>
      <c r="E25" s="3">
        <v>2169.58</v>
      </c>
      <c r="F25" s="52" t="s">
        <v>482</v>
      </c>
      <c r="G25" s="3">
        <v>180.04</v>
      </c>
      <c r="H25" s="4" t="s">
        <v>106</v>
      </c>
      <c r="I25" s="3">
        <v>1989.54</v>
      </c>
      <c r="J25" s="4" t="s">
        <v>22</v>
      </c>
      <c r="K25" s="54" t="s">
        <v>548</v>
      </c>
      <c r="L25" s="4" t="s">
        <v>482</v>
      </c>
    </row>
    <row r="26" spans="1:12" x14ac:dyDescent="0.25">
      <c r="A26" s="8">
        <v>23</v>
      </c>
      <c r="B26" s="8" t="s">
        <v>579</v>
      </c>
      <c r="C26" s="8" t="s">
        <v>160</v>
      </c>
      <c r="D26" s="6" t="s">
        <v>339</v>
      </c>
      <c r="E26" s="7">
        <v>2061.86</v>
      </c>
      <c r="F26" s="51" t="s">
        <v>577</v>
      </c>
      <c r="G26" s="7">
        <v>72.319999999999993</v>
      </c>
      <c r="H26" s="8" t="s">
        <v>106</v>
      </c>
      <c r="I26" s="7">
        <v>1989.54</v>
      </c>
      <c r="J26" s="8" t="s">
        <v>22</v>
      </c>
      <c r="K26" s="54" t="s">
        <v>548</v>
      </c>
      <c r="L26" s="8" t="s">
        <v>577</v>
      </c>
    </row>
    <row r="27" spans="1:12" x14ac:dyDescent="0.25">
      <c r="A27" s="4">
        <v>24</v>
      </c>
      <c r="B27" s="4" t="s">
        <v>580</v>
      </c>
      <c r="C27" s="4" t="s">
        <v>160</v>
      </c>
      <c r="D27" s="2" t="s">
        <v>339</v>
      </c>
      <c r="E27" s="3">
        <v>2270.33</v>
      </c>
      <c r="F27" s="52" t="s">
        <v>347</v>
      </c>
      <c r="G27" s="3">
        <v>280.79000000000002</v>
      </c>
      <c r="H27" s="4" t="s">
        <v>106</v>
      </c>
      <c r="I27" s="3">
        <v>1989.54</v>
      </c>
      <c r="J27" s="4" t="s">
        <v>22</v>
      </c>
      <c r="K27" s="54" t="s">
        <v>548</v>
      </c>
      <c r="L27" s="4" t="s">
        <v>347</v>
      </c>
    </row>
    <row r="28" spans="1:12" x14ac:dyDescent="0.25">
      <c r="A28" s="8">
        <v>25</v>
      </c>
      <c r="B28" s="8" t="s">
        <v>581</v>
      </c>
      <c r="C28" s="8" t="s">
        <v>161</v>
      </c>
      <c r="D28" s="6" t="s">
        <v>345</v>
      </c>
      <c r="E28" s="7">
        <v>2461.2199999999998</v>
      </c>
      <c r="F28" s="51" t="s">
        <v>325</v>
      </c>
      <c r="G28" s="7">
        <v>298.92</v>
      </c>
      <c r="H28" s="8" t="s">
        <v>106</v>
      </c>
      <c r="I28" s="7">
        <v>2162.3000000000002</v>
      </c>
      <c r="J28" s="8" t="s">
        <v>22</v>
      </c>
      <c r="K28" s="54" t="s">
        <v>548</v>
      </c>
      <c r="L28" s="8" t="s">
        <v>325</v>
      </c>
    </row>
    <row r="29" spans="1:12" x14ac:dyDescent="0.25">
      <c r="A29" s="4">
        <v>26</v>
      </c>
      <c r="B29" s="4" t="s">
        <v>582</v>
      </c>
      <c r="C29" s="4" t="s">
        <v>167</v>
      </c>
      <c r="D29" s="2" t="s">
        <v>350</v>
      </c>
      <c r="E29" s="3">
        <v>2483.23</v>
      </c>
      <c r="F29" s="52" t="s">
        <v>583</v>
      </c>
      <c r="G29" s="3">
        <v>123.09</v>
      </c>
      <c r="H29" s="4" t="s">
        <v>106</v>
      </c>
      <c r="I29" s="3">
        <v>2360.14</v>
      </c>
      <c r="J29" s="4" t="s">
        <v>23</v>
      </c>
      <c r="K29" s="54" t="s">
        <v>548</v>
      </c>
      <c r="L29" s="4" t="s">
        <v>583</v>
      </c>
    </row>
    <row r="30" spans="1:12" x14ac:dyDescent="0.25">
      <c r="A30" s="8">
        <v>27</v>
      </c>
      <c r="B30" s="8" t="s">
        <v>584</v>
      </c>
      <c r="C30" s="8" t="s">
        <v>167</v>
      </c>
      <c r="D30" s="6" t="s">
        <v>350</v>
      </c>
      <c r="E30" s="7">
        <v>2634.98</v>
      </c>
      <c r="F30" s="51" t="s">
        <v>325</v>
      </c>
      <c r="G30" s="7">
        <v>274.83999999999997</v>
      </c>
      <c r="H30" s="8" t="s">
        <v>106</v>
      </c>
      <c r="I30" s="7">
        <v>2360.14</v>
      </c>
      <c r="J30" s="8" t="s">
        <v>23</v>
      </c>
      <c r="K30" s="54" t="s">
        <v>548</v>
      </c>
      <c r="L30" s="8" t="s">
        <v>325</v>
      </c>
    </row>
    <row r="31" spans="1:12" x14ac:dyDescent="0.25">
      <c r="A31" s="4">
        <v>28</v>
      </c>
      <c r="B31" s="4" t="s">
        <v>585</v>
      </c>
      <c r="C31" s="4" t="s">
        <v>167</v>
      </c>
      <c r="D31" s="2" t="s">
        <v>350</v>
      </c>
      <c r="E31" s="3">
        <v>2530.4</v>
      </c>
      <c r="F31" s="52" t="s">
        <v>320</v>
      </c>
      <c r="G31" s="3">
        <v>170.26</v>
      </c>
      <c r="H31" s="4" t="s">
        <v>106</v>
      </c>
      <c r="I31" s="3">
        <v>2360.14</v>
      </c>
      <c r="J31" s="4" t="s">
        <v>23</v>
      </c>
      <c r="K31" s="54" t="s">
        <v>548</v>
      </c>
      <c r="L31" s="4" t="s">
        <v>320</v>
      </c>
    </row>
    <row r="32" spans="1:12" x14ac:dyDescent="0.25">
      <c r="A32" s="8">
        <v>29</v>
      </c>
      <c r="B32" s="8" t="s">
        <v>586</v>
      </c>
      <c r="C32" s="8" t="s">
        <v>168</v>
      </c>
      <c r="D32" s="6" t="s">
        <v>355</v>
      </c>
      <c r="E32" s="7">
        <v>2976.42</v>
      </c>
      <c r="F32" s="51" t="s">
        <v>565</v>
      </c>
      <c r="G32" s="7">
        <v>298.01</v>
      </c>
      <c r="H32" s="8" t="s">
        <v>106</v>
      </c>
      <c r="I32" s="7">
        <v>2678.41</v>
      </c>
      <c r="J32" s="8" t="s">
        <v>23</v>
      </c>
      <c r="K32" s="54" t="s">
        <v>548</v>
      </c>
      <c r="L32" s="8" t="s">
        <v>565</v>
      </c>
    </row>
    <row r="33" spans="1:12" x14ac:dyDescent="0.25">
      <c r="A33" s="4">
        <v>30</v>
      </c>
      <c r="B33" s="4" t="s">
        <v>587</v>
      </c>
      <c r="C33" s="4" t="s">
        <v>168</v>
      </c>
      <c r="D33" s="2" t="s">
        <v>355</v>
      </c>
      <c r="E33" s="3">
        <v>2739.41</v>
      </c>
      <c r="F33" s="52" t="s">
        <v>421</v>
      </c>
      <c r="G33" s="3">
        <v>61</v>
      </c>
      <c r="H33" s="4" t="s">
        <v>106</v>
      </c>
      <c r="I33" s="3">
        <v>2678.41</v>
      </c>
      <c r="J33" s="4" t="s">
        <v>23</v>
      </c>
      <c r="K33" s="54" t="s">
        <v>548</v>
      </c>
      <c r="L33" s="4" t="s">
        <v>421</v>
      </c>
    </row>
    <row r="34" spans="1:12" x14ac:dyDescent="0.25">
      <c r="A34" s="8">
        <v>31</v>
      </c>
      <c r="B34" s="8" t="s">
        <v>588</v>
      </c>
      <c r="C34" s="8" t="s">
        <v>174</v>
      </c>
      <c r="D34" s="6" t="s">
        <v>359</v>
      </c>
      <c r="E34" s="7">
        <v>4598.3999999999996</v>
      </c>
      <c r="F34" s="51" t="s">
        <v>448</v>
      </c>
      <c r="G34" s="7">
        <v>248.71</v>
      </c>
      <c r="H34" s="8" t="s">
        <v>106</v>
      </c>
      <c r="I34" s="7">
        <v>4349.6899999999996</v>
      </c>
      <c r="J34" s="8" t="s">
        <v>24</v>
      </c>
      <c r="K34" s="54" t="s">
        <v>548</v>
      </c>
      <c r="L34" s="8" t="s">
        <v>448</v>
      </c>
    </row>
    <row r="35" spans="1:12" x14ac:dyDescent="0.25">
      <c r="A35" s="4">
        <v>32</v>
      </c>
      <c r="B35" s="4" t="s">
        <v>589</v>
      </c>
      <c r="C35" s="4" t="s">
        <v>174</v>
      </c>
      <c r="D35" s="2" t="s">
        <v>359</v>
      </c>
      <c r="E35" s="3">
        <v>4561.2</v>
      </c>
      <c r="F35" s="52" t="s">
        <v>530</v>
      </c>
      <c r="G35" s="3">
        <v>211.51</v>
      </c>
      <c r="H35" s="4" t="s">
        <v>106</v>
      </c>
      <c r="I35" s="3">
        <v>4349.6899999999996</v>
      </c>
      <c r="J35" s="4" t="s">
        <v>24</v>
      </c>
      <c r="K35" s="54" t="s">
        <v>548</v>
      </c>
      <c r="L35" s="4" t="s">
        <v>530</v>
      </c>
    </row>
    <row r="36" spans="1:12" x14ac:dyDescent="0.25">
      <c r="A36" s="8">
        <v>33</v>
      </c>
      <c r="B36" s="8" t="s">
        <v>590</v>
      </c>
      <c r="C36" s="8" t="s">
        <v>76</v>
      </c>
      <c r="D36" s="6" t="s">
        <v>77</v>
      </c>
      <c r="E36" s="7">
        <v>2081.85</v>
      </c>
      <c r="F36" s="51" t="s">
        <v>591</v>
      </c>
      <c r="G36" s="7">
        <v>173.19</v>
      </c>
      <c r="H36" s="8" t="s">
        <v>106</v>
      </c>
      <c r="I36" s="7">
        <v>1908.66</v>
      </c>
      <c r="J36" s="8" t="s">
        <v>24</v>
      </c>
      <c r="K36" s="54" t="s">
        <v>548</v>
      </c>
      <c r="L36" s="8" t="s">
        <v>591</v>
      </c>
    </row>
    <row r="37" spans="1:12" x14ac:dyDescent="0.25">
      <c r="A37" s="4">
        <v>34</v>
      </c>
      <c r="B37" s="4" t="s">
        <v>592</v>
      </c>
      <c r="C37" s="4" t="s">
        <v>76</v>
      </c>
      <c r="D37" s="2" t="s">
        <v>77</v>
      </c>
      <c r="E37" s="3">
        <v>2164.33</v>
      </c>
      <c r="F37" s="52" t="s">
        <v>421</v>
      </c>
      <c r="G37" s="3">
        <v>255.67</v>
      </c>
      <c r="H37" s="4" t="s">
        <v>106</v>
      </c>
      <c r="I37" s="3">
        <v>1908.66</v>
      </c>
      <c r="J37" s="4" t="s">
        <v>24</v>
      </c>
      <c r="K37" s="54" t="s">
        <v>548</v>
      </c>
      <c r="L37" s="4" t="s">
        <v>421</v>
      </c>
    </row>
    <row r="38" spans="1:12" x14ac:dyDescent="0.25">
      <c r="A38" s="8">
        <v>35</v>
      </c>
      <c r="B38" s="8" t="s">
        <v>593</v>
      </c>
      <c r="C38" s="8" t="s">
        <v>73</v>
      </c>
      <c r="D38" s="6" t="s">
        <v>74</v>
      </c>
      <c r="E38" s="7">
        <v>2149.7399999999998</v>
      </c>
      <c r="F38" s="51" t="s">
        <v>594</v>
      </c>
      <c r="G38" s="7">
        <v>283.27999999999997</v>
      </c>
      <c r="H38" s="8" t="s">
        <v>106</v>
      </c>
      <c r="I38" s="7">
        <v>1866.46</v>
      </c>
      <c r="J38" s="8" t="s">
        <v>25</v>
      </c>
      <c r="K38" s="54" t="s">
        <v>548</v>
      </c>
      <c r="L38" s="8" t="s">
        <v>594</v>
      </c>
    </row>
    <row r="39" spans="1:12" x14ac:dyDescent="0.25">
      <c r="A39" s="4">
        <v>36</v>
      </c>
      <c r="B39" s="4" t="s">
        <v>595</v>
      </c>
      <c r="C39" s="4" t="s">
        <v>70</v>
      </c>
      <c r="D39" s="2" t="s">
        <v>71</v>
      </c>
      <c r="E39" s="3">
        <v>5103.38</v>
      </c>
      <c r="F39" s="52" t="s">
        <v>535</v>
      </c>
      <c r="G39" s="3">
        <v>33.42</v>
      </c>
      <c r="H39" s="4" t="s">
        <v>106</v>
      </c>
      <c r="I39" s="3">
        <v>5069.96</v>
      </c>
      <c r="J39" s="4" t="s">
        <v>25</v>
      </c>
      <c r="K39" s="54" t="s">
        <v>548</v>
      </c>
      <c r="L39" s="4" t="s">
        <v>535</v>
      </c>
    </row>
    <row r="40" spans="1:12" x14ac:dyDescent="0.25">
      <c r="A40" s="8">
        <v>37</v>
      </c>
      <c r="B40" s="8" t="s">
        <v>596</v>
      </c>
      <c r="C40" s="8" t="s">
        <v>70</v>
      </c>
      <c r="D40" s="6" t="s">
        <v>71</v>
      </c>
      <c r="E40" s="7">
        <v>5125.1400000000003</v>
      </c>
      <c r="F40" s="51" t="s">
        <v>594</v>
      </c>
      <c r="G40" s="7">
        <v>55.18</v>
      </c>
      <c r="H40" s="8" t="s">
        <v>106</v>
      </c>
      <c r="I40" s="7">
        <v>5069.96</v>
      </c>
      <c r="J40" s="8" t="s">
        <v>25</v>
      </c>
      <c r="K40" s="54" t="s">
        <v>548</v>
      </c>
      <c r="L40" s="8" t="s">
        <v>594</v>
      </c>
    </row>
    <row r="41" spans="1:12" x14ac:dyDescent="0.25">
      <c r="A41" s="4">
        <v>38</v>
      </c>
      <c r="B41" s="4" t="s">
        <v>597</v>
      </c>
      <c r="C41" s="4" t="s">
        <v>70</v>
      </c>
      <c r="D41" s="2" t="s">
        <v>71</v>
      </c>
      <c r="E41" s="3">
        <v>5273.49</v>
      </c>
      <c r="F41" s="52" t="s">
        <v>506</v>
      </c>
      <c r="G41" s="3">
        <v>203.53</v>
      </c>
      <c r="H41" s="4" t="s">
        <v>106</v>
      </c>
      <c r="I41" s="3">
        <v>5069.96</v>
      </c>
      <c r="J41" s="4" t="s">
        <v>25</v>
      </c>
      <c r="K41" s="54" t="s">
        <v>548</v>
      </c>
      <c r="L41" s="4" t="s">
        <v>506</v>
      </c>
    </row>
    <row r="42" spans="1:12" x14ac:dyDescent="0.25">
      <c r="A42" s="8">
        <v>39</v>
      </c>
      <c r="B42" s="8" t="s">
        <v>598</v>
      </c>
      <c r="C42" s="8" t="s">
        <v>67</v>
      </c>
      <c r="D42" s="6" t="s">
        <v>68</v>
      </c>
      <c r="E42" s="7">
        <v>2766.78</v>
      </c>
      <c r="F42" s="51" t="s">
        <v>496</v>
      </c>
      <c r="G42" s="7">
        <v>209.18</v>
      </c>
      <c r="H42" s="8" t="s">
        <v>106</v>
      </c>
      <c r="I42" s="7">
        <v>2557.6</v>
      </c>
      <c r="J42" s="8" t="s">
        <v>26</v>
      </c>
      <c r="K42" s="54" t="s">
        <v>548</v>
      </c>
      <c r="L42" s="8" t="s">
        <v>496</v>
      </c>
    </row>
    <row r="43" spans="1:12" x14ac:dyDescent="0.25">
      <c r="A43" s="4">
        <v>40</v>
      </c>
      <c r="B43" s="4" t="s">
        <v>599</v>
      </c>
      <c r="C43" s="4" t="s">
        <v>67</v>
      </c>
      <c r="D43" s="2" t="s">
        <v>68</v>
      </c>
      <c r="E43" s="3">
        <v>2640.09</v>
      </c>
      <c r="F43" s="52" t="s">
        <v>417</v>
      </c>
      <c r="G43" s="3">
        <v>82.49</v>
      </c>
      <c r="H43" s="4" t="s">
        <v>106</v>
      </c>
      <c r="I43" s="3">
        <v>2557.6</v>
      </c>
      <c r="J43" s="4" t="s">
        <v>26</v>
      </c>
      <c r="K43" s="54" t="s">
        <v>548</v>
      </c>
      <c r="L43" s="4" t="s">
        <v>417</v>
      </c>
    </row>
    <row r="44" spans="1:12" x14ac:dyDescent="0.25">
      <c r="A44" s="8">
        <v>41</v>
      </c>
      <c r="B44" s="8" t="s">
        <v>600</v>
      </c>
      <c r="C44" s="8" t="s">
        <v>67</v>
      </c>
      <c r="D44" s="6" t="s">
        <v>68</v>
      </c>
      <c r="E44" s="7">
        <v>2724.39</v>
      </c>
      <c r="F44" s="51" t="s">
        <v>601</v>
      </c>
      <c r="G44" s="7">
        <v>166.79</v>
      </c>
      <c r="H44" s="8" t="s">
        <v>106</v>
      </c>
      <c r="I44" s="7">
        <v>2557.6</v>
      </c>
      <c r="J44" s="8" t="s">
        <v>26</v>
      </c>
      <c r="K44" s="54" t="s">
        <v>548</v>
      </c>
      <c r="L44" s="8" t="s">
        <v>601</v>
      </c>
    </row>
    <row r="45" spans="1:12" x14ac:dyDescent="0.25">
      <c r="A45" s="4">
        <v>42</v>
      </c>
      <c r="B45" s="4" t="s">
        <v>602</v>
      </c>
      <c r="C45" s="4" t="s">
        <v>63</v>
      </c>
      <c r="D45" s="2" t="s">
        <v>64</v>
      </c>
      <c r="E45" s="3">
        <v>2282.7399999999998</v>
      </c>
      <c r="F45" s="52" t="s">
        <v>456</v>
      </c>
      <c r="G45" s="3">
        <v>36.42</v>
      </c>
      <c r="H45" s="4" t="s">
        <v>106</v>
      </c>
      <c r="I45" s="3">
        <v>2246.3200000000002</v>
      </c>
      <c r="J45" s="4" t="s">
        <v>26</v>
      </c>
      <c r="K45" s="54" t="s">
        <v>548</v>
      </c>
      <c r="L45" s="4" t="s">
        <v>456</v>
      </c>
    </row>
  </sheetData>
  <autoFilter ref="A3:L3" xr:uid="{00000000-0009-0000-0000-000026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E67E22"/>
  </sheetPr>
  <dimension ref="A1:N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6" customWidth="1"/>
    <col min="10" max="10" width="18" customWidth="1"/>
    <col min="11" max="11" width="14" customWidth="1"/>
    <col min="12" max="12" width="12" customWidth="1"/>
    <col min="13" max="13" width="22" customWidth="1"/>
  </cols>
  <sheetData>
    <row r="1" spans="1:14" ht="31.5" customHeight="1" x14ac:dyDescent="0.25">
      <c r="A1" s="64" t="s">
        <v>603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9.5" customHeight="1" x14ac:dyDescent="0.25">
      <c r="A2" s="65" t="s">
        <v>604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x14ac:dyDescent="0.25">
      <c r="A3" s="36" t="s">
        <v>605</v>
      </c>
      <c r="B3" s="36" t="s">
        <v>269</v>
      </c>
      <c r="C3" s="36" t="s">
        <v>381</v>
      </c>
      <c r="D3" s="36" t="s">
        <v>606</v>
      </c>
      <c r="E3" s="36" t="s">
        <v>607</v>
      </c>
      <c r="F3" s="36" t="s">
        <v>120</v>
      </c>
      <c r="G3" s="36" t="s">
        <v>121</v>
      </c>
      <c r="H3" s="36" t="s">
        <v>608</v>
      </c>
      <c r="I3" s="36" t="s">
        <v>609</v>
      </c>
      <c r="J3" s="36" t="s">
        <v>610</v>
      </c>
      <c r="K3" s="36" t="s">
        <v>91</v>
      </c>
      <c r="L3" s="36" t="s">
        <v>8</v>
      </c>
      <c r="M3" s="36" t="s">
        <v>125</v>
      </c>
    </row>
    <row r="4" spans="1:14" x14ac:dyDescent="0.25">
      <c r="A4" s="8" t="s">
        <v>611</v>
      </c>
      <c r="B4" s="8" t="s">
        <v>94</v>
      </c>
      <c r="C4" s="6" t="s">
        <v>284</v>
      </c>
      <c r="D4" s="51" t="s">
        <v>612</v>
      </c>
      <c r="E4" s="7">
        <v>2000</v>
      </c>
      <c r="F4" s="6" t="s">
        <v>126</v>
      </c>
      <c r="G4" s="8">
        <v>6</v>
      </c>
      <c r="H4" s="8">
        <v>2.5</v>
      </c>
      <c r="I4" s="7">
        <f>E4+(E4*H4/100*G4)</f>
        <v>2300</v>
      </c>
      <c r="J4" s="7">
        <f>IFERROR(I4/G4,0)</f>
        <v>383.33333333333331</v>
      </c>
      <c r="K4" s="54" t="s">
        <v>613</v>
      </c>
      <c r="L4" s="8" t="s">
        <v>17</v>
      </c>
      <c r="M4" s="8"/>
    </row>
    <row r="5" spans="1:14" x14ac:dyDescent="0.25">
      <c r="A5" s="4" t="s">
        <v>614</v>
      </c>
      <c r="B5" s="4" t="s">
        <v>137</v>
      </c>
      <c r="C5" s="2" t="s">
        <v>306</v>
      </c>
      <c r="D5" s="52" t="s">
        <v>612</v>
      </c>
      <c r="E5" s="3">
        <v>5000</v>
      </c>
      <c r="F5" s="2" t="s">
        <v>134</v>
      </c>
      <c r="G5" s="4">
        <v>12</v>
      </c>
      <c r="H5" s="4">
        <v>2.5</v>
      </c>
      <c r="I5" s="3">
        <f>E5+(E5*H5/100*G5)</f>
        <v>6500</v>
      </c>
      <c r="J5" s="3">
        <f>IFERROR(I5/G5,0)</f>
        <v>541.66666666666663</v>
      </c>
      <c r="K5" s="54" t="s">
        <v>613</v>
      </c>
      <c r="L5" s="4" t="s">
        <v>19</v>
      </c>
      <c r="M5" s="4"/>
    </row>
    <row r="6" spans="1:14" x14ac:dyDescent="0.25">
      <c r="A6" s="8" t="s">
        <v>615</v>
      </c>
      <c r="B6" s="8" t="s">
        <v>153</v>
      </c>
      <c r="C6" s="6" t="s">
        <v>328</v>
      </c>
      <c r="D6" s="51" t="s">
        <v>612</v>
      </c>
      <c r="E6" s="7">
        <v>8000</v>
      </c>
      <c r="F6" s="6" t="s">
        <v>616</v>
      </c>
      <c r="G6" s="8">
        <v>18</v>
      </c>
      <c r="H6" s="8">
        <v>2.5</v>
      </c>
      <c r="I6" s="7">
        <f>E6+(E6*H6/100*G6)</f>
        <v>11600</v>
      </c>
      <c r="J6" s="7">
        <f>IFERROR(I6/G6,0)</f>
        <v>644.44444444444446</v>
      </c>
      <c r="K6" s="55" t="s">
        <v>617</v>
      </c>
      <c r="L6" s="8" t="s">
        <v>21</v>
      </c>
      <c r="M6" s="8"/>
    </row>
    <row r="7" spans="1:14" x14ac:dyDescent="0.25">
      <c r="A7" s="4" t="s">
        <v>618</v>
      </c>
      <c r="B7" s="4" t="s">
        <v>167</v>
      </c>
      <c r="C7" s="2" t="s">
        <v>350</v>
      </c>
      <c r="D7" s="52" t="s">
        <v>612</v>
      </c>
      <c r="E7" s="3">
        <v>1500</v>
      </c>
      <c r="F7" s="2" t="s">
        <v>619</v>
      </c>
      <c r="G7" s="4">
        <v>3</v>
      </c>
      <c r="H7" s="4">
        <v>2.5</v>
      </c>
      <c r="I7" s="3">
        <f>E7+(E7*H7/100*G7)</f>
        <v>1612.5</v>
      </c>
      <c r="J7" s="3">
        <f>IFERROR(I7/G7,0)</f>
        <v>537.5</v>
      </c>
      <c r="K7" s="55" t="s">
        <v>617</v>
      </c>
      <c r="L7" s="4" t="s">
        <v>23</v>
      </c>
      <c r="M7" s="4"/>
    </row>
    <row r="8" spans="1:14" x14ac:dyDescent="0.25">
      <c r="A8" s="8" t="s">
        <v>620</v>
      </c>
      <c r="B8" s="8" t="s">
        <v>73</v>
      </c>
      <c r="C8" s="6" t="s">
        <v>74</v>
      </c>
      <c r="D8" s="51" t="s">
        <v>612</v>
      </c>
      <c r="E8" s="7">
        <v>3000</v>
      </c>
      <c r="F8" s="6" t="s">
        <v>621</v>
      </c>
      <c r="G8" s="8">
        <v>9</v>
      </c>
      <c r="H8" s="8">
        <v>2.5</v>
      </c>
      <c r="I8" s="7">
        <f>E8+(E8*H8/100*G8)</f>
        <v>3675</v>
      </c>
      <c r="J8" s="7">
        <f>IFERROR(I8/G8,0)</f>
        <v>408.33333333333331</v>
      </c>
      <c r="K8" s="55" t="s">
        <v>617</v>
      </c>
      <c r="L8" s="8" t="s">
        <v>25</v>
      </c>
      <c r="M8" s="8"/>
    </row>
  </sheetData>
  <autoFilter ref="A3:M3" xr:uid="{00000000-0009-0000-0000-000027000000}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4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40" customWidth="1"/>
  </cols>
  <sheetData>
    <row r="1" spans="1:3" ht="31.5" customHeight="1" x14ac:dyDescent="0.25">
      <c r="A1" s="109" t="s">
        <v>622</v>
      </c>
      <c r="B1" s="109"/>
      <c r="C1" s="109"/>
    </row>
    <row r="3" spans="1:3" x14ac:dyDescent="0.25">
      <c r="A3" s="56" t="s">
        <v>623</v>
      </c>
      <c r="B3" s="57" t="s">
        <v>624</v>
      </c>
    </row>
    <row r="4" spans="1:3" x14ac:dyDescent="0.25">
      <c r="A4" s="56" t="s">
        <v>625</v>
      </c>
      <c r="B4" s="57" t="s">
        <v>626</v>
      </c>
    </row>
    <row r="5" spans="1:3" x14ac:dyDescent="0.25">
      <c r="A5" s="56" t="s">
        <v>627</v>
      </c>
      <c r="B5" s="57" t="s">
        <v>628</v>
      </c>
    </row>
    <row r="6" spans="1:3" x14ac:dyDescent="0.25">
      <c r="A6" s="56" t="s">
        <v>629</v>
      </c>
      <c r="B6" s="57" t="s">
        <v>630</v>
      </c>
    </row>
    <row r="7" spans="1:3" x14ac:dyDescent="0.25">
      <c r="A7" s="56" t="s">
        <v>631</v>
      </c>
      <c r="B7" s="57" t="s">
        <v>632</v>
      </c>
    </row>
    <row r="8" spans="1:3" x14ac:dyDescent="0.25">
      <c r="A8" s="56" t="s">
        <v>633</v>
      </c>
      <c r="B8" s="57">
        <v>10</v>
      </c>
    </row>
    <row r="9" spans="1:3" x14ac:dyDescent="0.25">
      <c r="A9" s="56" t="s">
        <v>634</v>
      </c>
      <c r="B9" s="57" t="s">
        <v>635</v>
      </c>
    </row>
    <row r="10" spans="1:3" x14ac:dyDescent="0.25">
      <c r="A10" s="56" t="s">
        <v>636</v>
      </c>
      <c r="B10" s="57" t="s">
        <v>612</v>
      </c>
    </row>
    <row r="11" spans="1:3" x14ac:dyDescent="0.25">
      <c r="A11" s="56" t="s">
        <v>637</v>
      </c>
      <c r="B11" s="57" t="s">
        <v>638</v>
      </c>
    </row>
    <row r="12" spans="1:3" x14ac:dyDescent="0.25">
      <c r="A12" s="56" t="s">
        <v>639</v>
      </c>
      <c r="B12" s="57">
        <v>20</v>
      </c>
    </row>
    <row r="13" spans="1:3" x14ac:dyDescent="0.25">
      <c r="A13" s="56" t="s">
        <v>640</v>
      </c>
      <c r="B13" s="57">
        <v>94</v>
      </c>
    </row>
    <row r="14" spans="1:3" x14ac:dyDescent="0.25">
      <c r="A14" s="56" t="s">
        <v>641</v>
      </c>
      <c r="B14" s="57">
        <v>42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A252F"/>
  </sheetPr>
  <dimension ref="A1:D5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60" customWidth="1"/>
  </cols>
  <sheetData>
    <row r="1" spans="1:4" ht="31.5" customHeight="1" x14ac:dyDescent="0.25">
      <c r="A1" s="120" t="s">
        <v>642</v>
      </c>
      <c r="B1" s="120"/>
      <c r="C1" s="120"/>
      <c r="D1" s="120"/>
    </row>
    <row r="2" spans="1:4" x14ac:dyDescent="0.25">
      <c r="A2" s="1" t="s">
        <v>643</v>
      </c>
      <c r="B2" s="1" t="s">
        <v>644</v>
      </c>
      <c r="C2" s="1" t="s">
        <v>645</v>
      </c>
      <c r="D2" s="1" t="s">
        <v>646</v>
      </c>
    </row>
    <row r="3" spans="1:4" x14ac:dyDescent="0.25">
      <c r="A3" s="2" t="s">
        <v>647</v>
      </c>
      <c r="B3" s="2" t="s">
        <v>648</v>
      </c>
      <c r="C3" s="2" t="s">
        <v>649</v>
      </c>
      <c r="D3" s="2" t="s">
        <v>650</v>
      </c>
    </row>
    <row r="4" spans="1:4" x14ac:dyDescent="0.25">
      <c r="A4" s="6" t="s">
        <v>651</v>
      </c>
      <c r="B4" s="6" t="s">
        <v>648</v>
      </c>
      <c r="C4" s="6" t="s">
        <v>652</v>
      </c>
      <c r="D4" s="6" t="s">
        <v>653</v>
      </c>
    </row>
    <row r="5" spans="1:4" x14ac:dyDescent="0.25">
      <c r="A5" s="2" t="s">
        <v>654</v>
      </c>
      <c r="B5" s="2" t="s">
        <v>648</v>
      </c>
      <c r="C5" s="2" t="s">
        <v>655</v>
      </c>
      <c r="D5" s="2" t="s">
        <v>656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A252F"/>
  </sheetPr>
  <dimension ref="A1:A317"/>
  <sheetViews>
    <sheetView zoomScaleNormal="100" workbookViewId="0"/>
  </sheetViews>
  <sheetFormatPr defaultColWidth="8.7109375" defaultRowHeight="15" x14ac:dyDescent="0.25"/>
  <cols>
    <col min="1" max="1" width="120" customWidth="1"/>
  </cols>
  <sheetData>
    <row r="1" spans="1:1" ht="27.75" customHeight="1" x14ac:dyDescent="0.25">
      <c r="A1" s="58" t="s">
        <v>657</v>
      </c>
    </row>
    <row r="2" spans="1:1" ht="34.5" customHeight="1" x14ac:dyDescent="0.25">
      <c r="A2" s="59" t="s">
        <v>658</v>
      </c>
    </row>
    <row r="4" spans="1:1" x14ac:dyDescent="0.25">
      <c r="A4" s="60"/>
    </row>
    <row r="5" spans="1:1" x14ac:dyDescent="0.25">
      <c r="A5" s="60" t="s">
        <v>659</v>
      </c>
    </row>
    <row r="6" spans="1:1" x14ac:dyDescent="0.25">
      <c r="A6" s="60" t="s">
        <v>660</v>
      </c>
    </row>
    <row r="7" spans="1:1" x14ac:dyDescent="0.25">
      <c r="A7" s="60" t="s">
        <v>661</v>
      </c>
    </row>
    <row r="8" spans="1:1" x14ac:dyDescent="0.25">
      <c r="A8" s="60" t="s">
        <v>662</v>
      </c>
    </row>
    <row r="9" spans="1:1" x14ac:dyDescent="0.25">
      <c r="A9" s="60" t="s">
        <v>663</v>
      </c>
    </row>
    <row r="10" spans="1:1" x14ac:dyDescent="0.25">
      <c r="A10" s="60" t="s">
        <v>664</v>
      </c>
    </row>
    <row r="11" spans="1:1" x14ac:dyDescent="0.25">
      <c r="A11" s="60" t="s">
        <v>665</v>
      </c>
    </row>
    <row r="12" spans="1:1" x14ac:dyDescent="0.25">
      <c r="A12" s="60" t="s">
        <v>666</v>
      </c>
    </row>
    <row r="13" spans="1:1" x14ac:dyDescent="0.25">
      <c r="A13" s="60" t="s">
        <v>659</v>
      </c>
    </row>
    <row r="14" spans="1:1" x14ac:dyDescent="0.25">
      <c r="A14" s="60"/>
    </row>
    <row r="15" spans="1:1" x14ac:dyDescent="0.25">
      <c r="A15" s="60" t="s">
        <v>667</v>
      </c>
    </row>
    <row r="16" spans="1:1" x14ac:dyDescent="0.25">
      <c r="A16" s="60"/>
    </row>
    <row r="17" spans="1:1" x14ac:dyDescent="0.25">
      <c r="A17" s="60" t="s">
        <v>668</v>
      </c>
    </row>
    <row r="18" spans="1:1" x14ac:dyDescent="0.25">
      <c r="A18" s="60" t="s">
        <v>669</v>
      </c>
    </row>
    <row r="19" spans="1:1" x14ac:dyDescent="0.25">
      <c r="A19" s="60" t="s">
        <v>670</v>
      </c>
    </row>
    <row r="20" spans="1:1" x14ac:dyDescent="0.25">
      <c r="A20" s="60" t="s">
        <v>671</v>
      </c>
    </row>
    <row r="21" spans="1:1" x14ac:dyDescent="0.25">
      <c r="A21" s="60" t="s">
        <v>672</v>
      </c>
    </row>
    <row r="22" spans="1:1" x14ac:dyDescent="0.25">
      <c r="A22" s="60" t="s">
        <v>673</v>
      </c>
    </row>
    <row r="23" spans="1:1" x14ac:dyDescent="0.25">
      <c r="A23" s="60" t="s">
        <v>674</v>
      </c>
    </row>
    <row r="24" spans="1:1" x14ac:dyDescent="0.25">
      <c r="A24" s="60" t="s">
        <v>675</v>
      </c>
    </row>
    <row r="25" spans="1:1" x14ac:dyDescent="0.25">
      <c r="A25" s="60" t="s">
        <v>676</v>
      </c>
    </row>
    <row r="26" spans="1:1" x14ac:dyDescent="0.25">
      <c r="A26" s="60" t="s">
        <v>677</v>
      </c>
    </row>
    <row r="27" spans="1:1" x14ac:dyDescent="0.25">
      <c r="A27" s="60" t="s">
        <v>678</v>
      </c>
    </row>
    <row r="28" spans="1:1" x14ac:dyDescent="0.25">
      <c r="A28" s="60" t="s">
        <v>679</v>
      </c>
    </row>
    <row r="29" spans="1:1" x14ac:dyDescent="0.25">
      <c r="A29" s="60" t="s">
        <v>680</v>
      </c>
    </row>
    <row r="30" spans="1:1" x14ac:dyDescent="0.25">
      <c r="A30" s="60" t="s">
        <v>681</v>
      </c>
    </row>
    <row r="31" spans="1:1" x14ac:dyDescent="0.25">
      <c r="A31" s="60" t="s">
        <v>682</v>
      </c>
    </row>
    <row r="32" spans="1:1" x14ac:dyDescent="0.25">
      <c r="A32" s="60" t="s">
        <v>683</v>
      </c>
    </row>
    <row r="33" spans="1:1" x14ac:dyDescent="0.25">
      <c r="A33" s="60"/>
    </row>
    <row r="34" spans="1:1" x14ac:dyDescent="0.25">
      <c r="A34" s="60" t="s">
        <v>684</v>
      </c>
    </row>
    <row r="35" spans="1:1" x14ac:dyDescent="0.25">
      <c r="A35" s="60" t="s">
        <v>685</v>
      </c>
    </row>
    <row r="36" spans="1:1" x14ac:dyDescent="0.25">
      <c r="A36" s="60" t="s">
        <v>671</v>
      </c>
    </row>
    <row r="37" spans="1:1" x14ac:dyDescent="0.25">
      <c r="A37" s="60"/>
    </row>
    <row r="38" spans="1:1" x14ac:dyDescent="0.25">
      <c r="A38" s="60" t="s">
        <v>686</v>
      </c>
    </row>
    <row r="39" spans="1:1" x14ac:dyDescent="0.25">
      <c r="A39" s="60" t="s">
        <v>687</v>
      </c>
    </row>
    <row r="40" spans="1:1" x14ac:dyDescent="0.25">
      <c r="A40" s="60" t="s">
        <v>688</v>
      </c>
    </row>
    <row r="41" spans="1:1" x14ac:dyDescent="0.25">
      <c r="A41" s="60" t="s">
        <v>689</v>
      </c>
    </row>
    <row r="42" spans="1:1" x14ac:dyDescent="0.25">
      <c r="A42" s="60" t="s">
        <v>690</v>
      </c>
    </row>
    <row r="43" spans="1:1" x14ac:dyDescent="0.25">
      <c r="A43" s="60" t="s">
        <v>691</v>
      </c>
    </row>
    <row r="44" spans="1:1" x14ac:dyDescent="0.25">
      <c r="A44" s="60" t="s">
        <v>692</v>
      </c>
    </row>
    <row r="45" spans="1:1" x14ac:dyDescent="0.25">
      <c r="A45" s="60"/>
    </row>
    <row r="46" spans="1:1" x14ac:dyDescent="0.25">
      <c r="A46" s="60" t="s">
        <v>693</v>
      </c>
    </row>
    <row r="47" spans="1:1" x14ac:dyDescent="0.25">
      <c r="A47" s="60" t="s">
        <v>694</v>
      </c>
    </row>
    <row r="48" spans="1:1" x14ac:dyDescent="0.25">
      <c r="A48" s="60" t="s">
        <v>695</v>
      </c>
    </row>
    <row r="49" spans="1:1" x14ac:dyDescent="0.25">
      <c r="A49" s="60" t="s">
        <v>696</v>
      </c>
    </row>
    <row r="50" spans="1:1" x14ac:dyDescent="0.25">
      <c r="A50" s="60" t="s">
        <v>697</v>
      </c>
    </row>
    <row r="51" spans="1:1" x14ac:dyDescent="0.25">
      <c r="A51" s="60" t="s">
        <v>698</v>
      </c>
    </row>
    <row r="52" spans="1:1" x14ac:dyDescent="0.25">
      <c r="A52" s="60"/>
    </row>
    <row r="53" spans="1:1" x14ac:dyDescent="0.25">
      <c r="A53" s="60" t="s">
        <v>699</v>
      </c>
    </row>
    <row r="54" spans="1:1" x14ac:dyDescent="0.25">
      <c r="A54" s="60" t="s">
        <v>700</v>
      </c>
    </row>
    <row r="55" spans="1:1" x14ac:dyDescent="0.25">
      <c r="A55" s="60"/>
    </row>
    <row r="56" spans="1:1" x14ac:dyDescent="0.25">
      <c r="A56" s="60" t="s">
        <v>701</v>
      </c>
    </row>
    <row r="57" spans="1:1" x14ac:dyDescent="0.25">
      <c r="A57" s="60" t="s">
        <v>702</v>
      </c>
    </row>
    <row r="58" spans="1:1" x14ac:dyDescent="0.25">
      <c r="A58" s="60" t="s">
        <v>703</v>
      </c>
    </row>
    <row r="59" spans="1:1" x14ac:dyDescent="0.25">
      <c r="A59" s="60" t="s">
        <v>704</v>
      </c>
    </row>
    <row r="60" spans="1:1" x14ac:dyDescent="0.25">
      <c r="A60" s="60" t="s">
        <v>705</v>
      </c>
    </row>
    <row r="61" spans="1:1" x14ac:dyDescent="0.25">
      <c r="A61" s="60" t="s">
        <v>706</v>
      </c>
    </row>
    <row r="62" spans="1:1" x14ac:dyDescent="0.25">
      <c r="A62" s="60" t="s">
        <v>707</v>
      </c>
    </row>
    <row r="63" spans="1:1" x14ac:dyDescent="0.25">
      <c r="A63" s="60" t="s">
        <v>708</v>
      </c>
    </row>
    <row r="64" spans="1:1" x14ac:dyDescent="0.25">
      <c r="A64" s="60" t="s">
        <v>709</v>
      </c>
    </row>
    <row r="65" spans="1:1" x14ac:dyDescent="0.25">
      <c r="A65" s="60" t="s">
        <v>710</v>
      </c>
    </row>
    <row r="66" spans="1:1" x14ac:dyDescent="0.25">
      <c r="A66" s="60" t="s">
        <v>711</v>
      </c>
    </row>
    <row r="67" spans="1:1" x14ac:dyDescent="0.25">
      <c r="A67" s="60" t="s">
        <v>712</v>
      </c>
    </row>
    <row r="68" spans="1:1" x14ac:dyDescent="0.25">
      <c r="A68" s="60" t="s">
        <v>713</v>
      </c>
    </row>
    <row r="69" spans="1:1" x14ac:dyDescent="0.25">
      <c r="A69" s="60" t="s">
        <v>714</v>
      </c>
    </row>
    <row r="70" spans="1:1" x14ac:dyDescent="0.25">
      <c r="A70" s="60"/>
    </row>
    <row r="71" spans="1:1" x14ac:dyDescent="0.25">
      <c r="A71" s="60" t="s">
        <v>715</v>
      </c>
    </row>
    <row r="72" spans="1:1" x14ac:dyDescent="0.25">
      <c r="A72" s="60" t="s">
        <v>716</v>
      </c>
    </row>
    <row r="73" spans="1:1" x14ac:dyDescent="0.25">
      <c r="A73" s="60"/>
    </row>
    <row r="74" spans="1:1" x14ac:dyDescent="0.25">
      <c r="A74" s="60" t="s">
        <v>717</v>
      </c>
    </row>
    <row r="75" spans="1:1" x14ac:dyDescent="0.25">
      <c r="A75" s="60" t="s">
        <v>718</v>
      </c>
    </row>
    <row r="76" spans="1:1" x14ac:dyDescent="0.25">
      <c r="A76" s="60"/>
    </row>
    <row r="77" spans="1:1" x14ac:dyDescent="0.25">
      <c r="A77" s="60" t="s">
        <v>719</v>
      </c>
    </row>
    <row r="78" spans="1:1" x14ac:dyDescent="0.25">
      <c r="A78" s="60" t="s">
        <v>720</v>
      </c>
    </row>
    <row r="79" spans="1:1" x14ac:dyDescent="0.25">
      <c r="A79" s="60" t="s">
        <v>721</v>
      </c>
    </row>
    <row r="80" spans="1:1" x14ac:dyDescent="0.25">
      <c r="A80" s="60" t="s">
        <v>722</v>
      </c>
    </row>
    <row r="81" spans="1:1" x14ac:dyDescent="0.25">
      <c r="A81" s="60" t="s">
        <v>723</v>
      </c>
    </row>
    <row r="82" spans="1:1" x14ac:dyDescent="0.25">
      <c r="A82" s="60"/>
    </row>
    <row r="83" spans="1:1" x14ac:dyDescent="0.25">
      <c r="A83" s="60" t="s">
        <v>724</v>
      </c>
    </row>
    <row r="84" spans="1:1" x14ac:dyDescent="0.25">
      <c r="A84" s="60" t="s">
        <v>725</v>
      </c>
    </row>
    <row r="85" spans="1:1" x14ac:dyDescent="0.25">
      <c r="A85" s="60" t="s">
        <v>726</v>
      </c>
    </row>
    <row r="86" spans="1:1" x14ac:dyDescent="0.25">
      <c r="A86" s="60" t="s">
        <v>727</v>
      </c>
    </row>
    <row r="87" spans="1:1" x14ac:dyDescent="0.25">
      <c r="A87" s="60" t="s">
        <v>728</v>
      </c>
    </row>
    <row r="88" spans="1:1" x14ac:dyDescent="0.25">
      <c r="A88" s="60" t="s">
        <v>729</v>
      </c>
    </row>
    <row r="89" spans="1:1" x14ac:dyDescent="0.25">
      <c r="A89" s="60"/>
    </row>
    <row r="90" spans="1:1" x14ac:dyDescent="0.25">
      <c r="A90" s="60" t="s">
        <v>730</v>
      </c>
    </row>
    <row r="91" spans="1:1" x14ac:dyDescent="0.25">
      <c r="A91" s="60"/>
    </row>
    <row r="92" spans="1:1" x14ac:dyDescent="0.25">
      <c r="A92" s="60" t="s">
        <v>731</v>
      </c>
    </row>
    <row r="93" spans="1:1" x14ac:dyDescent="0.25">
      <c r="A93" s="60" t="s">
        <v>732</v>
      </c>
    </row>
    <row r="94" spans="1:1" x14ac:dyDescent="0.25">
      <c r="A94" s="60" t="s">
        <v>733</v>
      </c>
    </row>
    <row r="95" spans="1:1" x14ac:dyDescent="0.25">
      <c r="A95" s="60" t="s">
        <v>734</v>
      </c>
    </row>
    <row r="96" spans="1:1" x14ac:dyDescent="0.25">
      <c r="A96" s="60"/>
    </row>
    <row r="97" spans="1:1" x14ac:dyDescent="0.25">
      <c r="A97" s="60" t="s">
        <v>735</v>
      </c>
    </row>
    <row r="98" spans="1:1" x14ac:dyDescent="0.25">
      <c r="A98" s="60" t="s">
        <v>736</v>
      </c>
    </row>
    <row r="99" spans="1:1" x14ac:dyDescent="0.25">
      <c r="A99" s="60" t="s">
        <v>737</v>
      </c>
    </row>
    <row r="100" spans="1:1" x14ac:dyDescent="0.25">
      <c r="A100" s="60" t="s">
        <v>738</v>
      </c>
    </row>
    <row r="101" spans="1:1" x14ac:dyDescent="0.25">
      <c r="A101" s="60" t="s">
        <v>739</v>
      </c>
    </row>
    <row r="102" spans="1:1" x14ac:dyDescent="0.25">
      <c r="A102" s="60" t="s">
        <v>740</v>
      </c>
    </row>
    <row r="103" spans="1:1" x14ac:dyDescent="0.25">
      <c r="A103" s="60" t="s">
        <v>741</v>
      </c>
    </row>
    <row r="104" spans="1:1" x14ac:dyDescent="0.25">
      <c r="A104" s="60" t="s">
        <v>742</v>
      </c>
    </row>
    <row r="105" spans="1:1" x14ac:dyDescent="0.25">
      <c r="A105" s="60" t="s">
        <v>743</v>
      </c>
    </row>
    <row r="106" spans="1:1" x14ac:dyDescent="0.25">
      <c r="A106" s="60" t="s">
        <v>680</v>
      </c>
    </row>
    <row r="107" spans="1:1" x14ac:dyDescent="0.25">
      <c r="A107" s="60" t="s">
        <v>744</v>
      </c>
    </row>
    <row r="108" spans="1:1" x14ac:dyDescent="0.25">
      <c r="A108" s="60"/>
    </row>
    <row r="109" spans="1:1" x14ac:dyDescent="0.25">
      <c r="A109" s="60" t="s">
        <v>745</v>
      </c>
    </row>
    <row r="110" spans="1:1" x14ac:dyDescent="0.25">
      <c r="A110" s="60"/>
    </row>
    <row r="111" spans="1:1" x14ac:dyDescent="0.25">
      <c r="A111" s="60" t="s">
        <v>746</v>
      </c>
    </row>
    <row r="112" spans="1:1" x14ac:dyDescent="0.25">
      <c r="A112" s="60" t="s">
        <v>747</v>
      </c>
    </row>
    <row r="113" spans="1:1" x14ac:dyDescent="0.25">
      <c r="A113" s="60" t="s">
        <v>748</v>
      </c>
    </row>
    <row r="114" spans="1:1" x14ac:dyDescent="0.25">
      <c r="A114" s="60"/>
    </row>
    <row r="115" spans="1:1" x14ac:dyDescent="0.25">
      <c r="A115" s="60" t="s">
        <v>749</v>
      </c>
    </row>
    <row r="116" spans="1:1" x14ac:dyDescent="0.25">
      <c r="A116" s="60" t="s">
        <v>750</v>
      </c>
    </row>
    <row r="117" spans="1:1" x14ac:dyDescent="0.25">
      <c r="A117" s="60" t="s">
        <v>751</v>
      </c>
    </row>
    <row r="118" spans="1:1" x14ac:dyDescent="0.25">
      <c r="A118" s="60" t="s">
        <v>752</v>
      </c>
    </row>
    <row r="119" spans="1:1" x14ac:dyDescent="0.25">
      <c r="A119" s="60"/>
    </row>
    <row r="120" spans="1:1" x14ac:dyDescent="0.25">
      <c r="A120" s="60" t="s">
        <v>753</v>
      </c>
    </row>
    <row r="121" spans="1:1" x14ac:dyDescent="0.25">
      <c r="A121" s="60" t="s">
        <v>754</v>
      </c>
    </row>
    <row r="122" spans="1:1" x14ac:dyDescent="0.25">
      <c r="A122" s="60" t="s">
        <v>755</v>
      </c>
    </row>
    <row r="123" spans="1:1" x14ac:dyDescent="0.25">
      <c r="A123" s="60"/>
    </row>
    <row r="124" spans="1:1" x14ac:dyDescent="0.25">
      <c r="A124" s="60" t="s">
        <v>756</v>
      </c>
    </row>
    <row r="125" spans="1:1" x14ac:dyDescent="0.25">
      <c r="A125" s="60" t="s">
        <v>757</v>
      </c>
    </row>
    <row r="126" spans="1:1" x14ac:dyDescent="0.25">
      <c r="A126" s="60" t="s">
        <v>758</v>
      </c>
    </row>
    <row r="127" spans="1:1" x14ac:dyDescent="0.25">
      <c r="A127" s="60" t="s">
        <v>759</v>
      </c>
    </row>
    <row r="128" spans="1:1" x14ac:dyDescent="0.25">
      <c r="A128" s="60" t="s">
        <v>760</v>
      </c>
    </row>
    <row r="129" spans="1:1" x14ac:dyDescent="0.25">
      <c r="A129" s="60" t="s">
        <v>761</v>
      </c>
    </row>
    <row r="130" spans="1:1" x14ac:dyDescent="0.25">
      <c r="A130" s="60" t="s">
        <v>762</v>
      </c>
    </row>
    <row r="131" spans="1:1" x14ac:dyDescent="0.25">
      <c r="A131" s="60" t="s">
        <v>763</v>
      </c>
    </row>
    <row r="132" spans="1:1" x14ac:dyDescent="0.25">
      <c r="A132" s="60" t="s">
        <v>764</v>
      </c>
    </row>
    <row r="133" spans="1:1" x14ac:dyDescent="0.25">
      <c r="A133" s="60"/>
    </row>
    <row r="134" spans="1:1" x14ac:dyDescent="0.25">
      <c r="A134" s="60" t="s">
        <v>765</v>
      </c>
    </row>
    <row r="135" spans="1:1" x14ac:dyDescent="0.25">
      <c r="A135" s="60" t="s">
        <v>766</v>
      </c>
    </row>
    <row r="136" spans="1:1" x14ac:dyDescent="0.25">
      <c r="A136" s="60" t="s">
        <v>767</v>
      </c>
    </row>
    <row r="137" spans="1:1" x14ac:dyDescent="0.25">
      <c r="A137" s="60"/>
    </row>
    <row r="138" spans="1:1" x14ac:dyDescent="0.25">
      <c r="A138" s="60" t="s">
        <v>768</v>
      </c>
    </row>
    <row r="139" spans="1:1" x14ac:dyDescent="0.25">
      <c r="A139" s="60" t="s">
        <v>769</v>
      </c>
    </row>
    <row r="140" spans="1:1" x14ac:dyDescent="0.25">
      <c r="A140" s="60" t="s">
        <v>729</v>
      </c>
    </row>
    <row r="141" spans="1:1" x14ac:dyDescent="0.25">
      <c r="A141" s="60"/>
    </row>
    <row r="142" spans="1:1" x14ac:dyDescent="0.25">
      <c r="A142" s="60" t="s">
        <v>770</v>
      </c>
    </row>
    <row r="143" spans="1:1" x14ac:dyDescent="0.25">
      <c r="A143" s="60"/>
    </row>
    <row r="144" spans="1:1" x14ac:dyDescent="0.25">
      <c r="A144" s="60" t="s">
        <v>771</v>
      </c>
    </row>
    <row r="145" spans="1:1" x14ac:dyDescent="0.25">
      <c r="A145" s="60" t="s">
        <v>732</v>
      </c>
    </row>
    <row r="146" spans="1:1" x14ac:dyDescent="0.25">
      <c r="A146" s="60" t="s">
        <v>772</v>
      </c>
    </row>
    <row r="147" spans="1:1" x14ac:dyDescent="0.25">
      <c r="A147" s="60" t="s">
        <v>734</v>
      </c>
    </row>
    <row r="148" spans="1:1" x14ac:dyDescent="0.25">
      <c r="A148" s="60"/>
    </row>
    <row r="149" spans="1:1" x14ac:dyDescent="0.25">
      <c r="A149" s="60" t="s">
        <v>736</v>
      </c>
    </row>
    <row r="150" spans="1:1" x14ac:dyDescent="0.25">
      <c r="A150" s="60" t="s">
        <v>737</v>
      </c>
    </row>
    <row r="151" spans="1:1" x14ac:dyDescent="0.25">
      <c r="A151" s="60" t="s">
        <v>738</v>
      </c>
    </row>
    <row r="152" spans="1:1" x14ac:dyDescent="0.25">
      <c r="A152" s="60" t="s">
        <v>773</v>
      </c>
    </row>
    <row r="153" spans="1:1" x14ac:dyDescent="0.25">
      <c r="A153" s="60" t="s">
        <v>743</v>
      </c>
    </row>
    <row r="154" spans="1:1" x14ac:dyDescent="0.25">
      <c r="A154" s="60" t="s">
        <v>680</v>
      </c>
    </row>
    <row r="155" spans="1:1" x14ac:dyDescent="0.25">
      <c r="A155" s="60" t="s">
        <v>744</v>
      </c>
    </row>
    <row r="156" spans="1:1" x14ac:dyDescent="0.25">
      <c r="A156" s="60" t="s">
        <v>774</v>
      </c>
    </row>
    <row r="157" spans="1:1" x14ac:dyDescent="0.25">
      <c r="A157" s="60"/>
    </row>
    <row r="158" spans="1:1" x14ac:dyDescent="0.25">
      <c r="A158" s="60" t="s">
        <v>775</v>
      </c>
    </row>
    <row r="159" spans="1:1" x14ac:dyDescent="0.25">
      <c r="A159" s="60" t="s">
        <v>776</v>
      </c>
    </row>
    <row r="160" spans="1:1" x14ac:dyDescent="0.25">
      <c r="A160" s="60" t="s">
        <v>777</v>
      </c>
    </row>
    <row r="161" spans="1:1" x14ac:dyDescent="0.25">
      <c r="A161" s="60" t="s">
        <v>778</v>
      </c>
    </row>
    <row r="162" spans="1:1" x14ac:dyDescent="0.25">
      <c r="A162" s="60"/>
    </row>
    <row r="163" spans="1:1" x14ac:dyDescent="0.25">
      <c r="A163" s="60" t="s">
        <v>750</v>
      </c>
    </row>
    <row r="164" spans="1:1" x14ac:dyDescent="0.25">
      <c r="A164" s="60" t="s">
        <v>751</v>
      </c>
    </row>
    <row r="165" spans="1:1" x14ac:dyDescent="0.25">
      <c r="A165" s="60" t="s">
        <v>779</v>
      </c>
    </row>
    <row r="166" spans="1:1" x14ac:dyDescent="0.25">
      <c r="A166" s="60"/>
    </row>
    <row r="167" spans="1:1" x14ac:dyDescent="0.25">
      <c r="A167" s="60" t="s">
        <v>780</v>
      </c>
    </row>
    <row r="168" spans="1:1" x14ac:dyDescent="0.25">
      <c r="A168" s="60" t="s">
        <v>781</v>
      </c>
    </row>
    <row r="169" spans="1:1" x14ac:dyDescent="0.25">
      <c r="A169" s="60" t="s">
        <v>782</v>
      </c>
    </row>
    <row r="170" spans="1:1" x14ac:dyDescent="0.25">
      <c r="A170" s="60"/>
    </row>
    <row r="171" spans="1:1" x14ac:dyDescent="0.25">
      <c r="A171" s="60" t="s">
        <v>783</v>
      </c>
    </row>
    <row r="172" spans="1:1" x14ac:dyDescent="0.25">
      <c r="A172" s="60" t="s">
        <v>784</v>
      </c>
    </row>
    <row r="173" spans="1:1" x14ac:dyDescent="0.25">
      <c r="A173" s="60" t="s">
        <v>785</v>
      </c>
    </row>
    <row r="174" spans="1:1" x14ac:dyDescent="0.25">
      <c r="A174" s="60" t="s">
        <v>786</v>
      </c>
    </row>
    <row r="175" spans="1:1" x14ac:dyDescent="0.25">
      <c r="A175" s="60" t="s">
        <v>787</v>
      </c>
    </row>
    <row r="176" spans="1:1" x14ac:dyDescent="0.25">
      <c r="A176" s="60" t="s">
        <v>697</v>
      </c>
    </row>
    <row r="177" spans="1:1" x14ac:dyDescent="0.25">
      <c r="A177" s="60"/>
    </row>
    <row r="178" spans="1:1" x14ac:dyDescent="0.25">
      <c r="A178" s="60" t="s">
        <v>788</v>
      </c>
    </row>
    <row r="179" spans="1:1" x14ac:dyDescent="0.25">
      <c r="A179" s="60" t="s">
        <v>789</v>
      </c>
    </row>
    <row r="180" spans="1:1" x14ac:dyDescent="0.25">
      <c r="A180" s="60" t="s">
        <v>790</v>
      </c>
    </row>
    <row r="181" spans="1:1" x14ac:dyDescent="0.25">
      <c r="A181" s="60" t="s">
        <v>791</v>
      </c>
    </row>
    <row r="182" spans="1:1" x14ac:dyDescent="0.25">
      <c r="A182" s="60" t="s">
        <v>792</v>
      </c>
    </row>
    <row r="183" spans="1:1" x14ac:dyDescent="0.25">
      <c r="A183" s="60" t="s">
        <v>793</v>
      </c>
    </row>
    <row r="184" spans="1:1" x14ac:dyDescent="0.25">
      <c r="A184" s="60" t="s">
        <v>794</v>
      </c>
    </row>
    <row r="185" spans="1:1" x14ac:dyDescent="0.25">
      <c r="A185" s="60" t="s">
        <v>795</v>
      </c>
    </row>
    <row r="186" spans="1:1" x14ac:dyDescent="0.25">
      <c r="A186" s="60" t="s">
        <v>796</v>
      </c>
    </row>
    <row r="187" spans="1:1" x14ac:dyDescent="0.25">
      <c r="A187" s="60" t="s">
        <v>797</v>
      </c>
    </row>
    <row r="188" spans="1:1" x14ac:dyDescent="0.25">
      <c r="A188" s="60" t="s">
        <v>798</v>
      </c>
    </row>
    <row r="189" spans="1:1" x14ac:dyDescent="0.25">
      <c r="A189" s="60" t="s">
        <v>799</v>
      </c>
    </row>
    <row r="190" spans="1:1" x14ac:dyDescent="0.25">
      <c r="A190" s="60" t="s">
        <v>800</v>
      </c>
    </row>
    <row r="191" spans="1:1" x14ac:dyDescent="0.25">
      <c r="A191" s="60"/>
    </row>
    <row r="192" spans="1:1" x14ac:dyDescent="0.25">
      <c r="A192" s="60" t="s">
        <v>766</v>
      </c>
    </row>
    <row r="193" spans="1:1" x14ac:dyDescent="0.25">
      <c r="A193" s="60" t="s">
        <v>767</v>
      </c>
    </row>
    <row r="194" spans="1:1" x14ac:dyDescent="0.25">
      <c r="A194" s="60"/>
    </row>
    <row r="195" spans="1:1" x14ac:dyDescent="0.25">
      <c r="A195" s="60" t="s">
        <v>801</v>
      </c>
    </row>
    <row r="196" spans="1:1" x14ac:dyDescent="0.25">
      <c r="A196" s="60" t="s">
        <v>802</v>
      </c>
    </row>
    <row r="197" spans="1:1" x14ac:dyDescent="0.25">
      <c r="A197" s="60" t="s">
        <v>729</v>
      </c>
    </row>
    <row r="198" spans="1:1" x14ac:dyDescent="0.25">
      <c r="A198" s="60"/>
    </row>
    <row r="199" spans="1:1" x14ac:dyDescent="0.25">
      <c r="A199" s="60" t="s">
        <v>803</v>
      </c>
    </row>
    <row r="200" spans="1:1" x14ac:dyDescent="0.25">
      <c r="A200" s="60"/>
    </row>
    <row r="201" spans="1:1" x14ac:dyDescent="0.25">
      <c r="A201" s="60" t="s">
        <v>804</v>
      </c>
    </row>
    <row r="202" spans="1:1" x14ac:dyDescent="0.25">
      <c r="A202" s="60" t="s">
        <v>732</v>
      </c>
    </row>
    <row r="203" spans="1:1" x14ac:dyDescent="0.25">
      <c r="A203" s="60" t="s">
        <v>805</v>
      </c>
    </row>
    <row r="204" spans="1:1" x14ac:dyDescent="0.25">
      <c r="A204" s="60" t="s">
        <v>734</v>
      </c>
    </row>
    <row r="205" spans="1:1" x14ac:dyDescent="0.25">
      <c r="A205" s="60"/>
    </row>
    <row r="206" spans="1:1" x14ac:dyDescent="0.25">
      <c r="A206" s="60" t="s">
        <v>736</v>
      </c>
    </row>
    <row r="207" spans="1:1" x14ac:dyDescent="0.25">
      <c r="A207" s="60" t="s">
        <v>737</v>
      </c>
    </row>
    <row r="208" spans="1:1" x14ac:dyDescent="0.25">
      <c r="A208" s="60" t="s">
        <v>806</v>
      </c>
    </row>
    <row r="209" spans="1:1" x14ac:dyDescent="0.25">
      <c r="A209" s="60" t="s">
        <v>807</v>
      </c>
    </row>
    <row r="210" spans="1:1" x14ac:dyDescent="0.25">
      <c r="A210" s="60" t="s">
        <v>743</v>
      </c>
    </row>
    <row r="211" spans="1:1" x14ac:dyDescent="0.25">
      <c r="A211" s="60" t="s">
        <v>680</v>
      </c>
    </row>
    <row r="212" spans="1:1" x14ac:dyDescent="0.25">
      <c r="A212" s="60" t="s">
        <v>744</v>
      </c>
    </row>
    <row r="213" spans="1:1" x14ac:dyDescent="0.25">
      <c r="A213" s="60" t="s">
        <v>808</v>
      </c>
    </row>
    <row r="214" spans="1:1" x14ac:dyDescent="0.25">
      <c r="A214" s="60"/>
    </row>
    <row r="215" spans="1:1" x14ac:dyDescent="0.25">
      <c r="A215" s="60" t="s">
        <v>809</v>
      </c>
    </row>
    <row r="216" spans="1:1" x14ac:dyDescent="0.25">
      <c r="A216" s="60" t="s">
        <v>810</v>
      </c>
    </row>
    <row r="217" spans="1:1" x14ac:dyDescent="0.25">
      <c r="A217" s="60" t="s">
        <v>811</v>
      </c>
    </row>
    <row r="218" spans="1:1" x14ac:dyDescent="0.25">
      <c r="A218" s="60" t="s">
        <v>812</v>
      </c>
    </row>
    <row r="219" spans="1:1" x14ac:dyDescent="0.25">
      <c r="A219" s="60" t="s">
        <v>813</v>
      </c>
    </row>
    <row r="220" spans="1:1" x14ac:dyDescent="0.25">
      <c r="A220" s="60" t="s">
        <v>814</v>
      </c>
    </row>
    <row r="221" spans="1:1" x14ac:dyDescent="0.25">
      <c r="A221" s="60" t="s">
        <v>815</v>
      </c>
    </row>
    <row r="222" spans="1:1" x14ac:dyDescent="0.25">
      <c r="A222" s="60"/>
    </row>
    <row r="223" spans="1:1" x14ac:dyDescent="0.25">
      <c r="A223" s="60" t="s">
        <v>816</v>
      </c>
    </row>
    <row r="224" spans="1:1" x14ac:dyDescent="0.25">
      <c r="A224" s="60" t="s">
        <v>817</v>
      </c>
    </row>
    <row r="225" spans="1:1" x14ac:dyDescent="0.25">
      <c r="A225" s="60"/>
    </row>
    <row r="226" spans="1:1" x14ac:dyDescent="0.25">
      <c r="A226" s="60" t="s">
        <v>750</v>
      </c>
    </row>
    <row r="227" spans="1:1" x14ac:dyDescent="0.25">
      <c r="A227" s="60" t="s">
        <v>751</v>
      </c>
    </row>
    <row r="228" spans="1:1" x14ac:dyDescent="0.25">
      <c r="A228" s="60" t="s">
        <v>779</v>
      </c>
    </row>
    <row r="229" spans="1:1" x14ac:dyDescent="0.25">
      <c r="A229" s="60"/>
    </row>
    <row r="230" spans="1:1" x14ac:dyDescent="0.25">
      <c r="A230" s="60" t="s">
        <v>818</v>
      </c>
    </row>
    <row r="231" spans="1:1" x14ac:dyDescent="0.25">
      <c r="A231" s="60" t="s">
        <v>819</v>
      </c>
    </row>
    <row r="232" spans="1:1" x14ac:dyDescent="0.25">
      <c r="A232" s="60" t="s">
        <v>820</v>
      </c>
    </row>
    <row r="233" spans="1:1" x14ac:dyDescent="0.25">
      <c r="A233" s="60"/>
    </row>
    <row r="234" spans="1:1" x14ac:dyDescent="0.25">
      <c r="A234" s="60" t="s">
        <v>821</v>
      </c>
    </row>
    <row r="235" spans="1:1" x14ac:dyDescent="0.25">
      <c r="A235" s="60" t="s">
        <v>822</v>
      </c>
    </row>
    <row r="236" spans="1:1" x14ac:dyDescent="0.25">
      <c r="A236" s="60" t="s">
        <v>823</v>
      </c>
    </row>
    <row r="237" spans="1:1" x14ac:dyDescent="0.25">
      <c r="A237" s="60" t="s">
        <v>824</v>
      </c>
    </row>
    <row r="238" spans="1:1" x14ac:dyDescent="0.25">
      <c r="A238" s="60" t="s">
        <v>825</v>
      </c>
    </row>
    <row r="239" spans="1:1" x14ac:dyDescent="0.25">
      <c r="A239" s="60" t="s">
        <v>826</v>
      </c>
    </row>
    <row r="240" spans="1:1" x14ac:dyDescent="0.25">
      <c r="A240" s="60" t="s">
        <v>827</v>
      </c>
    </row>
    <row r="241" spans="1:1" x14ac:dyDescent="0.25">
      <c r="A241" s="60" t="s">
        <v>828</v>
      </c>
    </row>
    <row r="242" spans="1:1" x14ac:dyDescent="0.25">
      <c r="A242" s="60" t="s">
        <v>829</v>
      </c>
    </row>
    <row r="243" spans="1:1" x14ac:dyDescent="0.25">
      <c r="A243" s="60" t="s">
        <v>830</v>
      </c>
    </row>
    <row r="244" spans="1:1" x14ac:dyDescent="0.25">
      <c r="A244" s="60" t="s">
        <v>831</v>
      </c>
    </row>
    <row r="245" spans="1:1" x14ac:dyDescent="0.25">
      <c r="A245" s="60" t="s">
        <v>832</v>
      </c>
    </row>
    <row r="246" spans="1:1" x14ac:dyDescent="0.25">
      <c r="A246" s="60" t="s">
        <v>833</v>
      </c>
    </row>
    <row r="247" spans="1:1" x14ac:dyDescent="0.25">
      <c r="A247" s="60" t="s">
        <v>834</v>
      </c>
    </row>
    <row r="248" spans="1:1" x14ac:dyDescent="0.25">
      <c r="A248" s="60"/>
    </row>
    <row r="249" spans="1:1" x14ac:dyDescent="0.25">
      <c r="A249" s="60" t="s">
        <v>835</v>
      </c>
    </row>
    <row r="250" spans="1:1" x14ac:dyDescent="0.25">
      <c r="A250" s="60" t="s">
        <v>836</v>
      </c>
    </row>
    <row r="251" spans="1:1" x14ac:dyDescent="0.25">
      <c r="A251" s="60" t="s">
        <v>729</v>
      </c>
    </row>
    <row r="252" spans="1:1" x14ac:dyDescent="0.25">
      <c r="A252" s="60"/>
    </row>
    <row r="253" spans="1:1" x14ac:dyDescent="0.25">
      <c r="A253" s="60" t="s">
        <v>837</v>
      </c>
    </row>
    <row r="254" spans="1:1" x14ac:dyDescent="0.25">
      <c r="A254" s="60"/>
    </row>
    <row r="255" spans="1:1" x14ac:dyDescent="0.25">
      <c r="A255" s="60" t="s">
        <v>838</v>
      </c>
    </row>
    <row r="256" spans="1:1" x14ac:dyDescent="0.25">
      <c r="A256" s="60" t="s">
        <v>839</v>
      </c>
    </row>
    <row r="257" spans="1:1" x14ac:dyDescent="0.25">
      <c r="A257" s="60" t="s">
        <v>840</v>
      </c>
    </row>
    <row r="258" spans="1:1" x14ac:dyDescent="0.25">
      <c r="A258" s="60" t="s">
        <v>841</v>
      </c>
    </row>
    <row r="259" spans="1:1" x14ac:dyDescent="0.25">
      <c r="A259" s="60"/>
    </row>
    <row r="260" spans="1:1" x14ac:dyDescent="0.25">
      <c r="A260" s="60" t="s">
        <v>805</v>
      </c>
    </row>
    <row r="261" spans="1:1" x14ac:dyDescent="0.25">
      <c r="A261" s="60" t="s">
        <v>734</v>
      </c>
    </row>
    <row r="262" spans="1:1" x14ac:dyDescent="0.25">
      <c r="A262" s="60" t="s">
        <v>733</v>
      </c>
    </row>
    <row r="263" spans="1:1" x14ac:dyDescent="0.25">
      <c r="A263" s="60"/>
    </row>
    <row r="264" spans="1:1" x14ac:dyDescent="0.25">
      <c r="A264" s="60" t="s">
        <v>842</v>
      </c>
    </row>
    <row r="265" spans="1:1" x14ac:dyDescent="0.25">
      <c r="A265" s="60" t="s">
        <v>843</v>
      </c>
    </row>
    <row r="266" spans="1:1" x14ac:dyDescent="0.25">
      <c r="A266" s="60" t="s">
        <v>844</v>
      </c>
    </row>
    <row r="267" spans="1:1" x14ac:dyDescent="0.25">
      <c r="A267" s="60"/>
    </row>
    <row r="268" spans="1:1" x14ac:dyDescent="0.25">
      <c r="A268" s="60" t="s">
        <v>845</v>
      </c>
    </row>
    <row r="269" spans="1:1" x14ac:dyDescent="0.25">
      <c r="A269" s="60" t="s">
        <v>846</v>
      </c>
    </row>
    <row r="270" spans="1:1" x14ac:dyDescent="0.25">
      <c r="A270" s="60" t="s">
        <v>697</v>
      </c>
    </row>
    <row r="271" spans="1:1" x14ac:dyDescent="0.25">
      <c r="A271" s="60"/>
    </row>
    <row r="272" spans="1:1" x14ac:dyDescent="0.25">
      <c r="A272" s="60" t="s">
        <v>847</v>
      </c>
    </row>
    <row r="273" spans="1:1" x14ac:dyDescent="0.25">
      <c r="A273" s="60"/>
    </row>
    <row r="274" spans="1:1" x14ac:dyDescent="0.25">
      <c r="A274" s="60" t="s">
        <v>848</v>
      </c>
    </row>
    <row r="275" spans="1:1" x14ac:dyDescent="0.25">
      <c r="A275" s="60" t="s">
        <v>849</v>
      </c>
    </row>
    <row r="276" spans="1:1" x14ac:dyDescent="0.25">
      <c r="A276" s="60" t="s">
        <v>850</v>
      </c>
    </row>
    <row r="277" spans="1:1" x14ac:dyDescent="0.25">
      <c r="A277" s="60" t="s">
        <v>754</v>
      </c>
    </row>
    <row r="278" spans="1:1" x14ac:dyDescent="0.25">
      <c r="A278" s="60"/>
    </row>
    <row r="279" spans="1:1" x14ac:dyDescent="0.25">
      <c r="A279" s="60" t="s">
        <v>756</v>
      </c>
    </row>
    <row r="280" spans="1:1" x14ac:dyDescent="0.25">
      <c r="A280" s="60" t="s">
        <v>851</v>
      </c>
    </row>
    <row r="281" spans="1:1" x14ac:dyDescent="0.25">
      <c r="A281" s="60" t="s">
        <v>758</v>
      </c>
    </row>
    <row r="282" spans="1:1" x14ac:dyDescent="0.25">
      <c r="A282" s="60" t="s">
        <v>852</v>
      </c>
    </row>
    <row r="283" spans="1:1" x14ac:dyDescent="0.25">
      <c r="A283" s="60" t="s">
        <v>853</v>
      </c>
    </row>
    <row r="284" spans="1:1" x14ac:dyDescent="0.25">
      <c r="A284" s="60" t="s">
        <v>760</v>
      </c>
    </row>
    <row r="285" spans="1:1" x14ac:dyDescent="0.25">
      <c r="A285" s="60" t="s">
        <v>854</v>
      </c>
    </row>
    <row r="286" spans="1:1" x14ac:dyDescent="0.25">
      <c r="A286" s="60" t="s">
        <v>855</v>
      </c>
    </row>
    <row r="287" spans="1:1" x14ac:dyDescent="0.25">
      <c r="A287" s="60" t="s">
        <v>856</v>
      </c>
    </row>
    <row r="288" spans="1:1" x14ac:dyDescent="0.25">
      <c r="A288" s="60" t="s">
        <v>764</v>
      </c>
    </row>
    <row r="289" spans="1:1" x14ac:dyDescent="0.25">
      <c r="A289" s="60"/>
    </row>
    <row r="290" spans="1:1" x14ac:dyDescent="0.25">
      <c r="A290" s="60" t="s">
        <v>857</v>
      </c>
    </row>
    <row r="291" spans="1:1" x14ac:dyDescent="0.25">
      <c r="A291" s="60" t="s">
        <v>858</v>
      </c>
    </row>
    <row r="292" spans="1:1" x14ac:dyDescent="0.25">
      <c r="A292" s="60" t="s">
        <v>729</v>
      </c>
    </row>
    <row r="293" spans="1:1" x14ac:dyDescent="0.25">
      <c r="A293" s="60"/>
    </row>
    <row r="294" spans="1:1" x14ac:dyDescent="0.25">
      <c r="A294" s="60" t="s">
        <v>859</v>
      </c>
    </row>
    <row r="295" spans="1:1" x14ac:dyDescent="0.25">
      <c r="A295" s="60"/>
    </row>
    <row r="296" spans="1:1" x14ac:dyDescent="0.25">
      <c r="A296" s="60" t="s">
        <v>860</v>
      </c>
    </row>
    <row r="297" spans="1:1" x14ac:dyDescent="0.25">
      <c r="A297" s="60" t="s">
        <v>861</v>
      </c>
    </row>
    <row r="298" spans="1:1" x14ac:dyDescent="0.25">
      <c r="A298" s="60" t="s">
        <v>862</v>
      </c>
    </row>
    <row r="299" spans="1:1" x14ac:dyDescent="0.25">
      <c r="A299" s="60" t="s">
        <v>863</v>
      </c>
    </row>
    <row r="300" spans="1:1" x14ac:dyDescent="0.25">
      <c r="A300" s="60" t="s">
        <v>864</v>
      </c>
    </row>
    <row r="301" spans="1:1" x14ac:dyDescent="0.25">
      <c r="A301" s="60" t="s">
        <v>865</v>
      </c>
    </row>
    <row r="302" spans="1:1" x14ac:dyDescent="0.25">
      <c r="A302" s="60" t="s">
        <v>729</v>
      </c>
    </row>
    <row r="303" spans="1:1" x14ac:dyDescent="0.25">
      <c r="A303" s="60"/>
    </row>
    <row r="304" spans="1:1" x14ac:dyDescent="0.25">
      <c r="A304" s="60" t="s">
        <v>866</v>
      </c>
    </row>
    <row r="305" spans="1:1" x14ac:dyDescent="0.25">
      <c r="A305" s="60"/>
    </row>
    <row r="306" spans="1:1" x14ac:dyDescent="0.25">
      <c r="A306" s="60" t="s">
        <v>867</v>
      </c>
    </row>
    <row r="307" spans="1:1" x14ac:dyDescent="0.25">
      <c r="A307" s="60" t="s">
        <v>868</v>
      </c>
    </row>
    <row r="308" spans="1:1" x14ac:dyDescent="0.25">
      <c r="A308" s="60" t="s">
        <v>869</v>
      </c>
    </row>
    <row r="309" spans="1:1" x14ac:dyDescent="0.25">
      <c r="A309" s="60" t="s">
        <v>870</v>
      </c>
    </row>
    <row r="310" spans="1:1" x14ac:dyDescent="0.25">
      <c r="A310" s="60" t="s">
        <v>871</v>
      </c>
    </row>
    <row r="311" spans="1:1" x14ac:dyDescent="0.25">
      <c r="A311" s="60" t="s">
        <v>872</v>
      </c>
    </row>
    <row r="312" spans="1:1" x14ac:dyDescent="0.25">
      <c r="A312" s="60" t="s">
        <v>873</v>
      </c>
    </row>
    <row r="313" spans="1:1" x14ac:dyDescent="0.25">
      <c r="A313" s="60" t="s">
        <v>874</v>
      </c>
    </row>
    <row r="314" spans="1:1" x14ac:dyDescent="0.25">
      <c r="A314" s="60" t="s">
        <v>875</v>
      </c>
    </row>
    <row r="315" spans="1:1" x14ac:dyDescent="0.25">
      <c r="A315" s="60" t="s">
        <v>876</v>
      </c>
    </row>
    <row r="316" spans="1:1" x14ac:dyDescent="0.25">
      <c r="A316" s="60" t="s">
        <v>729</v>
      </c>
    </row>
    <row r="317" spans="1:1" x14ac:dyDescent="0.25">
      <c r="A317" s="6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Manager_Dashboard</vt:lpstr>
      <vt:lpstr>Account_Opening</vt:lpstr>
      <vt:lpstr>Agent01_Savings</vt:lpstr>
      <vt:lpstr>Agent01_Withdrawals</vt:lpstr>
      <vt:lpstr>Agent01_Loans</vt:lpstr>
      <vt:lpstr>Agent02_Savings</vt:lpstr>
      <vt:lpstr>Agent02_Withdrawals</vt:lpstr>
      <vt:lpstr>Agent02_Loans</vt:lpstr>
      <vt:lpstr>Agent03_Savings</vt:lpstr>
      <vt:lpstr>Agent03_Withdrawals</vt:lpstr>
      <vt:lpstr>Agent03_Loans</vt:lpstr>
      <vt:lpstr>Agent04_Savings</vt:lpstr>
      <vt:lpstr>Agent04_Withdrawals</vt:lpstr>
      <vt:lpstr>Agent04_Loans</vt:lpstr>
      <vt:lpstr>Agent05_Savings</vt:lpstr>
      <vt:lpstr>Agent05_Withdrawals</vt:lpstr>
      <vt:lpstr>Agent05_Loans</vt:lpstr>
      <vt:lpstr>Agent06_Savings</vt:lpstr>
      <vt:lpstr>Agent06_Withdrawals</vt:lpstr>
      <vt:lpstr>Agent06_Loans</vt:lpstr>
      <vt:lpstr>Agent07_Savings</vt:lpstr>
      <vt:lpstr>Agent07_Withdrawals</vt:lpstr>
      <vt:lpstr>Agent07_Loans</vt:lpstr>
      <vt:lpstr>Agent08_Savings</vt:lpstr>
      <vt:lpstr>Agent08_Withdrawals</vt:lpstr>
      <vt:lpstr>Agent08_Loans</vt:lpstr>
      <vt:lpstr>Agent09_Savings</vt:lpstr>
      <vt:lpstr>Agent09_Withdrawals</vt:lpstr>
      <vt:lpstr>Agent09_Loans</vt:lpstr>
      <vt:lpstr>Agent10_Savings</vt:lpstr>
      <vt:lpstr>Agent10_Withdrawals</vt:lpstr>
      <vt:lpstr>Agent10_Loans</vt:lpstr>
      <vt:lpstr>Daily_Balancing</vt:lpstr>
      <vt:lpstr>Weekly_Balancing</vt:lpstr>
      <vt:lpstr>Monthly_Balancing</vt:lpstr>
      <vt:lpstr>DB_Agents</vt:lpstr>
      <vt:lpstr>DB_Customers</vt:lpstr>
      <vt:lpstr>DB_Savings</vt:lpstr>
      <vt:lpstr>DB_Withdrawals</vt:lpstr>
      <vt:lpstr>DB_Loans</vt:lpstr>
      <vt:lpstr>System_Config</vt:lpstr>
      <vt:lpstr>Audit_Log</vt:lpstr>
      <vt:lpstr>VBA_Macros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SAMICIOUS MICROFINANCE V2</dc:title>
  <dc:subject/>
  <dc:creator>SAMICIOUS MICROFINANCE</dc:creator>
  <dc:description/>
  <cp:lastModifiedBy>FRANK ABBAN</cp:lastModifiedBy>
  <cp:revision>1</cp:revision>
  <dcterms:created xsi:type="dcterms:W3CDTF">2026-04-13T03:15:26Z</dcterms:created>
  <dcterms:modified xsi:type="dcterms:W3CDTF">2026-04-14T09:20:04Z</dcterms:modified>
  <dc:language>en-US</dc:language>
</cp:coreProperties>
</file>